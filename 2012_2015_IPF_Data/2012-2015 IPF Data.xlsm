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207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b6c91fcad9b2761a/Public/"/>
    </mc:Choice>
  </mc:AlternateContent>
  <bookViews>
    <workbookView xWindow="0" yWindow="0" windowWidth="28800" windowHeight="14235" tabRatio="868" firstSheet="4" activeTab="4"/>
  </bookViews>
  <sheets>
    <sheet name="Data Raw" sheetId="1" r:id="rId1"/>
    <sheet name="Data Squat" sheetId="2" r:id="rId2"/>
    <sheet name="Data Dead" sheetId="8" r:id="rId3"/>
    <sheet name="Data Total" sheetId="9" r:id="rId4"/>
    <sheet name="C All Squat " sheetId="11" r:id="rId5"/>
    <sheet name="C Open Ratio" sheetId="5" r:id="rId6"/>
    <sheet name="C Class Ratio" sheetId="6" r:id="rId7"/>
    <sheet name="C Class Squat" sheetId="4" r:id="rId8"/>
    <sheet name="C Class Dead" sheetId="7" r:id="rId9"/>
    <sheet name="C Class Total" sheetId="10" r:id="rId10"/>
  </sheet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89" i="8" l="1"/>
  <c r="L1388" i="8"/>
  <c r="L1387" i="8"/>
  <c r="L1386" i="8"/>
  <c r="L1385" i="8"/>
  <c r="L1384" i="8"/>
  <c r="L1383" i="8"/>
  <c r="L1382" i="8"/>
  <c r="L1381" i="8"/>
  <c r="L1380" i="8"/>
  <c r="L1379" i="8"/>
  <c r="L1378" i="8"/>
  <c r="L1377" i="8"/>
  <c r="L1376" i="8"/>
  <c r="L1375" i="8"/>
  <c r="L1374" i="8"/>
  <c r="L1373" i="8"/>
  <c r="L1372" i="8"/>
  <c r="L1371" i="8"/>
  <c r="L1370" i="8"/>
  <c r="L1369" i="8"/>
  <c r="L1368" i="8"/>
  <c r="L1367" i="8"/>
  <c r="L1366" i="8"/>
  <c r="L1365" i="8"/>
  <c r="L1364" i="8"/>
  <c r="L1363" i="8"/>
  <c r="L1362" i="8"/>
  <c r="L1361" i="8"/>
  <c r="L1360" i="8"/>
  <c r="L1359" i="8"/>
  <c r="L1358" i="8"/>
  <c r="L1357" i="8"/>
  <c r="L1356" i="8"/>
  <c r="L1355" i="8"/>
  <c r="L1354" i="8"/>
  <c r="L1353" i="8"/>
  <c r="L1352" i="8"/>
  <c r="L1351" i="8"/>
  <c r="L1350" i="8"/>
  <c r="L1349" i="8"/>
  <c r="L1348" i="8"/>
  <c r="L1347" i="8"/>
  <c r="L1346" i="8"/>
  <c r="L1345" i="8"/>
  <c r="L1344" i="8"/>
  <c r="L1343" i="8"/>
  <c r="L1342" i="8"/>
  <c r="L1341" i="8"/>
  <c r="L1340" i="8"/>
  <c r="L1339" i="8"/>
  <c r="L1338" i="8"/>
  <c r="L1337" i="8"/>
  <c r="L1336" i="8"/>
  <c r="L1335" i="8"/>
  <c r="L1334" i="8"/>
  <c r="L1333" i="8"/>
  <c r="L1332" i="8"/>
  <c r="L1331" i="8"/>
  <c r="L1330" i="8"/>
  <c r="L1329" i="8"/>
  <c r="L1328" i="8"/>
  <c r="L1327" i="8"/>
  <c r="L1326" i="8"/>
  <c r="L1325" i="8"/>
  <c r="L1324" i="8"/>
  <c r="L1323" i="8"/>
  <c r="L1322" i="8"/>
  <c r="L1321" i="8"/>
  <c r="L1320" i="8"/>
  <c r="L1319" i="8"/>
  <c r="L1318" i="8"/>
  <c r="L1317" i="8"/>
  <c r="L1316" i="8"/>
  <c r="L1315" i="8"/>
  <c r="L1314" i="8"/>
  <c r="L1313" i="8"/>
  <c r="L1312" i="8"/>
  <c r="L1311" i="8"/>
  <c r="L1310" i="8"/>
  <c r="L1309" i="8"/>
  <c r="L1308" i="8"/>
  <c r="L1307" i="8"/>
  <c r="L1306" i="8"/>
  <c r="L1305" i="8"/>
  <c r="L1304" i="8"/>
  <c r="L1303" i="8"/>
  <c r="L1302" i="8"/>
  <c r="L1301" i="8"/>
  <c r="L1300" i="8"/>
  <c r="L1299" i="8"/>
  <c r="L1298" i="8"/>
  <c r="L1297" i="8"/>
  <c r="L1296" i="8"/>
  <c r="L1295" i="8"/>
  <c r="L1294" i="8"/>
  <c r="L1293" i="8"/>
  <c r="L1292" i="8"/>
  <c r="L1291" i="8"/>
  <c r="L1290" i="8"/>
  <c r="L1289" i="8"/>
  <c r="L1288" i="8"/>
  <c r="L1287" i="8"/>
  <c r="L1286" i="8"/>
  <c r="L1285" i="8"/>
  <c r="L1284" i="8"/>
  <c r="L1283" i="8"/>
  <c r="L1282" i="8"/>
  <c r="L1281" i="8"/>
  <c r="L1280" i="8"/>
  <c r="L1279" i="8"/>
  <c r="L1278" i="8"/>
  <c r="L1277" i="8"/>
  <c r="L1276" i="8"/>
  <c r="L1275" i="8"/>
  <c r="L1274" i="8"/>
  <c r="L1273" i="8"/>
  <c r="L1272" i="8"/>
  <c r="L1271" i="8"/>
  <c r="L1270" i="8"/>
  <c r="L1269" i="8"/>
  <c r="L1268" i="8"/>
  <c r="L1267" i="8"/>
  <c r="L1266" i="8"/>
  <c r="L1265" i="8"/>
  <c r="L1264" i="8"/>
  <c r="L1263" i="8"/>
  <c r="L1262" i="8"/>
  <c r="L1261" i="8"/>
  <c r="L1260" i="8"/>
  <c r="L1259" i="8"/>
  <c r="L1258" i="8"/>
  <c r="L1257" i="8"/>
  <c r="L1256" i="8"/>
  <c r="L1255" i="8"/>
  <c r="L1254" i="8"/>
  <c r="L1253" i="8"/>
  <c r="L1252" i="8"/>
  <c r="L1251" i="8"/>
  <c r="L1250" i="8"/>
  <c r="L1249" i="8"/>
  <c r="L1248" i="8"/>
  <c r="L1247" i="8"/>
  <c r="L1246" i="8"/>
  <c r="L1245" i="8"/>
  <c r="L1244" i="8"/>
  <c r="L1243" i="8"/>
  <c r="L1242" i="8"/>
  <c r="L1241" i="8"/>
  <c r="L1240" i="8"/>
  <c r="L1239" i="8"/>
  <c r="L1238" i="8"/>
  <c r="L1237" i="8"/>
  <c r="L1236" i="8"/>
  <c r="L1235" i="8"/>
  <c r="L1234" i="8"/>
  <c r="L1233" i="8"/>
  <c r="L1232" i="8"/>
  <c r="L1231" i="8"/>
  <c r="L1230" i="8"/>
  <c r="L1229" i="8"/>
  <c r="L1228" i="8"/>
  <c r="L1227" i="8"/>
  <c r="L1226" i="8"/>
  <c r="L1225" i="8"/>
  <c r="L1224" i="8"/>
  <c r="L1223" i="8"/>
  <c r="L1222" i="8"/>
  <c r="L1221" i="8"/>
  <c r="L1220" i="8"/>
  <c r="L1219" i="8"/>
  <c r="L1218" i="8"/>
  <c r="L1217" i="8"/>
  <c r="L1216" i="8"/>
  <c r="L1215" i="8"/>
  <c r="L1214" i="8"/>
  <c r="L1213" i="8"/>
  <c r="L1212" i="8"/>
  <c r="L1211" i="8"/>
  <c r="L1210" i="8"/>
  <c r="L1209" i="8"/>
  <c r="L1208" i="8"/>
  <c r="L1207" i="8"/>
  <c r="L1206" i="8"/>
  <c r="L1205" i="8"/>
  <c r="L1204" i="8"/>
  <c r="L1203" i="8"/>
  <c r="L1202" i="8"/>
  <c r="L1201" i="8"/>
  <c r="L1200" i="8"/>
  <c r="L1199" i="8"/>
  <c r="L1198" i="8"/>
  <c r="L1197" i="8"/>
  <c r="L1196" i="8"/>
  <c r="L1195" i="8"/>
  <c r="L1194" i="8"/>
  <c r="L1193" i="8"/>
  <c r="L1192" i="8"/>
  <c r="L1191" i="8"/>
  <c r="L1190" i="8"/>
  <c r="L1189" i="8"/>
  <c r="L1188" i="8"/>
  <c r="L1187" i="8"/>
  <c r="L1186" i="8"/>
  <c r="L1185" i="8"/>
  <c r="L1184" i="8"/>
  <c r="L1183" i="8"/>
  <c r="L1182" i="8"/>
  <c r="L1181" i="8"/>
  <c r="L1180" i="8"/>
  <c r="L1179" i="8"/>
  <c r="L1178" i="8"/>
  <c r="L1177" i="8"/>
  <c r="L1176" i="8"/>
  <c r="L1175" i="8"/>
  <c r="L1174" i="8"/>
  <c r="L1173" i="8"/>
  <c r="L1172" i="8"/>
  <c r="L1171" i="8"/>
  <c r="L1170" i="8"/>
  <c r="L1169" i="8"/>
  <c r="L1168" i="8"/>
  <c r="L1167" i="8"/>
  <c r="L1166" i="8"/>
  <c r="L1165" i="8"/>
  <c r="L1164" i="8"/>
  <c r="L1163" i="8"/>
  <c r="L1162" i="8"/>
  <c r="L1161" i="8"/>
  <c r="L1160" i="8"/>
  <c r="L1159" i="8"/>
  <c r="L1158" i="8"/>
  <c r="L1157" i="8"/>
  <c r="L1156" i="8"/>
  <c r="L1155" i="8"/>
  <c r="L1154" i="8"/>
  <c r="L1153" i="8"/>
  <c r="L1152" i="8"/>
  <c r="L1151" i="8"/>
  <c r="L1150" i="8"/>
  <c r="L1149" i="8"/>
  <c r="L1148" i="8"/>
  <c r="L1147" i="8"/>
  <c r="L1146" i="8"/>
  <c r="L1145" i="8"/>
  <c r="L1144" i="8"/>
  <c r="L1143" i="8"/>
  <c r="L1142" i="8"/>
  <c r="L1141" i="8"/>
  <c r="L1140" i="8"/>
  <c r="L1139" i="8"/>
  <c r="L1138" i="8"/>
  <c r="L1137" i="8"/>
  <c r="L1136" i="8"/>
  <c r="L1135" i="8"/>
  <c r="L1134" i="8"/>
  <c r="L1133" i="8"/>
  <c r="L1132" i="8"/>
  <c r="L1131" i="8"/>
  <c r="L1130" i="8"/>
  <c r="L1129" i="8"/>
  <c r="L1128" i="8"/>
  <c r="L1127" i="8"/>
  <c r="L1126" i="8"/>
  <c r="L1125" i="8"/>
  <c r="L1124" i="8"/>
  <c r="L1123" i="8"/>
  <c r="L1122" i="8"/>
  <c r="L1121" i="8"/>
  <c r="L1120" i="8"/>
  <c r="L1119" i="8"/>
  <c r="L1118" i="8"/>
  <c r="L1117" i="8"/>
  <c r="L1116" i="8"/>
  <c r="L1115" i="8"/>
  <c r="L1114" i="8"/>
  <c r="L1113" i="8"/>
  <c r="L1112" i="8"/>
  <c r="L1111" i="8"/>
  <c r="L1110" i="8"/>
  <c r="L1109" i="8"/>
  <c r="L1108" i="8"/>
  <c r="L1107" i="8"/>
  <c r="L1106" i="8"/>
  <c r="L1105" i="8"/>
  <c r="L1104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L1457" i="8"/>
  <c r="L1411" i="8"/>
  <c r="L1456" i="8"/>
  <c r="L1412" i="8"/>
  <c r="L1455" i="8"/>
  <c r="L1409" i="8"/>
  <c r="L1413" i="8"/>
  <c r="L1414" i="8"/>
  <c r="L1454" i="8"/>
  <c r="L1453" i="8"/>
  <c r="L1402" i="8"/>
  <c r="L1397" i="8"/>
  <c r="L1405" i="8"/>
  <c r="L1452" i="8"/>
  <c r="L1399" i="8"/>
  <c r="L1451" i="8"/>
  <c r="L1410" i="8"/>
  <c r="L1450" i="8"/>
  <c r="L1449" i="8"/>
  <c r="L1395" i="8"/>
  <c r="L1448" i="8"/>
  <c r="L1447" i="8"/>
  <c r="L1446" i="8"/>
  <c r="L1403" i="8"/>
  <c r="L1401" i="8"/>
  <c r="L1408" i="8"/>
  <c r="L1445" i="8"/>
  <c r="L1398" i="8"/>
  <c r="L1444" i="8"/>
  <c r="L1396" i="8"/>
  <c r="L1400" i="8"/>
  <c r="L1443" i="8"/>
  <c r="L1442" i="8"/>
  <c r="L1441" i="8"/>
  <c r="L1440" i="8"/>
  <c r="L1439" i="8"/>
  <c r="L1394" i="8"/>
  <c r="L1393" i="8"/>
  <c r="L1438" i="8"/>
  <c r="L1437" i="8"/>
  <c r="L1392" i="8"/>
  <c r="L1391" i="8"/>
  <c r="L1436" i="8"/>
  <c r="L1435" i="8"/>
  <c r="L1406" i="8"/>
  <c r="L1407" i="8"/>
  <c r="L1434" i="8"/>
  <c r="L1433" i="8"/>
  <c r="L1432" i="8"/>
  <c r="L1431" i="8"/>
  <c r="L1404" i="8"/>
  <c r="L520" i="2"/>
  <c r="L1134" i="2"/>
  <c r="L509" i="2"/>
  <c r="L1220" i="2"/>
  <c r="L608" i="2"/>
  <c r="L1252" i="2"/>
  <c r="L590" i="2"/>
  <c r="L499" i="2"/>
  <c r="L647" i="2"/>
  <c r="L1232" i="2"/>
  <c r="L644" i="2"/>
  <c r="L1312" i="2"/>
  <c r="L613" i="2"/>
  <c r="L1269" i="2"/>
  <c r="L625" i="2"/>
  <c r="L404" i="2"/>
  <c r="L1246" i="2"/>
  <c r="L1227" i="2"/>
  <c r="L1129" i="2"/>
  <c r="L494" i="2"/>
  <c r="L477" i="2"/>
  <c r="L658" i="2"/>
  <c r="L545" i="2"/>
  <c r="L539" i="2"/>
  <c r="L629" i="2"/>
  <c r="L501" i="2"/>
  <c r="L556" i="2"/>
  <c r="L577" i="2"/>
  <c r="L1244" i="2"/>
  <c r="L476" i="2"/>
  <c r="L1240" i="2"/>
  <c r="L1151" i="2"/>
  <c r="L533" i="2"/>
  <c r="L583" i="2"/>
  <c r="L1157" i="2"/>
  <c r="L1192" i="2"/>
  <c r="L1153" i="2"/>
  <c r="L578" i="2"/>
  <c r="L643" i="2"/>
  <c r="L1387" i="2"/>
  <c r="L402" i="2"/>
  <c r="L1297" i="2"/>
  <c r="L1359" i="2"/>
  <c r="L1117" i="2"/>
  <c r="L1118" i="2"/>
  <c r="L553" i="2"/>
  <c r="L459" i="2"/>
  <c r="L1248" i="2"/>
  <c r="L1223" i="2"/>
  <c r="L528" i="2"/>
  <c r="L1335" i="2"/>
  <c r="L1310" i="2"/>
  <c r="L450" i="2"/>
  <c r="L660" i="2"/>
  <c r="L659" i="2"/>
  <c r="L1296" i="2"/>
  <c r="L1330" i="2"/>
  <c r="L1295" i="2"/>
  <c r="L620" i="2"/>
  <c r="L1179" i="2"/>
  <c r="L1216" i="2"/>
  <c r="L1178" i="2"/>
  <c r="L1122" i="2"/>
  <c r="L436" i="2"/>
  <c r="L1121" i="2"/>
  <c r="L1138" i="2"/>
  <c r="L1116" i="2"/>
  <c r="L1174" i="2"/>
  <c r="L1350" i="2"/>
  <c r="L418" i="2"/>
  <c r="L571" i="2"/>
  <c r="L407" i="2"/>
  <c r="L408" i="2"/>
  <c r="L638" i="2"/>
  <c r="L1267" i="2"/>
  <c r="L1311" i="2"/>
  <c r="L575" i="2"/>
  <c r="L1329" i="2"/>
  <c r="L597" i="2"/>
  <c r="L1318" i="2"/>
  <c r="L580" i="2"/>
  <c r="L1314" i="2"/>
  <c r="L1331" i="2"/>
  <c r="L1294" i="2"/>
  <c r="L435" i="2"/>
  <c r="L550" i="2"/>
  <c r="L1183" i="2"/>
  <c r="L1270" i="2"/>
  <c r="L1281" i="2"/>
  <c r="L1256" i="2"/>
  <c r="L1324" i="2"/>
  <c r="L1319" i="2"/>
  <c r="L1340" i="2"/>
  <c r="L527" i="2"/>
  <c r="L1369" i="2"/>
  <c r="L1457" i="2"/>
  <c r="L648" i="2"/>
  <c r="L1202" i="2"/>
  <c r="L1238" i="2"/>
  <c r="L479" i="2"/>
  <c r="L1230" i="2"/>
  <c r="L1326" i="2"/>
  <c r="L530" i="2"/>
  <c r="L544" i="2"/>
  <c r="L551" i="2"/>
  <c r="L1456" i="2"/>
  <c r="L1237" i="2"/>
  <c r="L1278" i="2"/>
  <c r="L645" i="2"/>
  <c r="L546" i="2"/>
  <c r="L1298" i="2"/>
  <c r="L1271" i="2"/>
  <c r="L1251" i="2"/>
  <c r="L646" i="2"/>
  <c r="L1241" i="2"/>
  <c r="L1302" i="2"/>
  <c r="L574" i="2"/>
  <c r="L573" i="2"/>
  <c r="L654" i="2"/>
  <c r="L1245" i="2"/>
  <c r="L560" i="2"/>
  <c r="L1455" i="2"/>
  <c r="L637" i="2"/>
  <c r="L414" i="2"/>
  <c r="L1280" i="2"/>
  <c r="L1170" i="2"/>
  <c r="L1177" i="2"/>
  <c r="L1191" i="2"/>
  <c r="L409" i="2"/>
  <c r="L1265" i="2"/>
  <c r="L633" i="2"/>
  <c r="L610" i="2"/>
  <c r="L605" i="2"/>
  <c r="L1333" i="2"/>
  <c r="L572" i="2"/>
  <c r="L1353" i="2"/>
  <c r="L1343" i="2"/>
  <c r="L601" i="2"/>
  <c r="L535" i="2"/>
  <c r="L570" i="2"/>
  <c r="L538" i="2"/>
  <c r="L1454" i="2"/>
  <c r="L519" i="2"/>
  <c r="L493" i="2"/>
  <c r="L1184" i="2"/>
  <c r="L1229" i="2"/>
  <c r="L1214" i="2"/>
  <c r="L468" i="2"/>
  <c r="L585" i="2"/>
  <c r="L1360" i="2"/>
  <c r="L1336" i="2"/>
  <c r="L1342" i="2"/>
  <c r="L1140" i="2"/>
  <c r="L1193" i="2"/>
  <c r="L1164" i="2"/>
  <c r="L639" i="2"/>
  <c r="L518" i="2"/>
  <c r="L1110" i="2"/>
  <c r="L488" i="2"/>
  <c r="L1114" i="2"/>
  <c r="L1102" i="2"/>
  <c r="L434" i="2"/>
  <c r="L1309" i="2"/>
  <c r="L541" i="2"/>
  <c r="L607" i="2"/>
  <c r="L632" i="2"/>
  <c r="L652" i="2"/>
  <c r="L1213" i="2"/>
  <c r="L1210" i="2"/>
  <c r="L1167" i="2"/>
  <c r="L564" i="2"/>
  <c r="L636" i="2"/>
  <c r="L1092" i="2"/>
  <c r="L1107" i="2"/>
  <c r="L439" i="2"/>
  <c r="L552" i="2"/>
  <c r="L456" i="2"/>
  <c r="L1453" i="2"/>
  <c r="L1344" i="2"/>
  <c r="L1361" i="2"/>
  <c r="L1366" i="2"/>
  <c r="L1362" i="2"/>
  <c r="L589" i="2"/>
  <c r="L588" i="2"/>
  <c r="L1239" i="2"/>
  <c r="L1166" i="2"/>
  <c r="L1197" i="2"/>
  <c r="L503" i="2"/>
  <c r="L594" i="2"/>
  <c r="L561" i="2"/>
  <c r="L1188" i="2"/>
  <c r="L422" i="2"/>
  <c r="L433" i="2"/>
  <c r="L425" i="2"/>
  <c r="L542" i="2"/>
  <c r="L1301" i="2"/>
  <c r="L1452" i="2"/>
  <c r="L1286" i="2"/>
  <c r="L657" i="2"/>
  <c r="L508" i="2"/>
  <c r="L1132" i="2"/>
  <c r="L635" i="2"/>
  <c r="L1226" i="2"/>
  <c r="L1186" i="2"/>
  <c r="L549" i="2"/>
  <c r="L1163" i="2"/>
  <c r="L1095" i="2"/>
  <c r="L455" i="2"/>
  <c r="L1218" i="2"/>
  <c r="L1211" i="2"/>
  <c r="L1198" i="2"/>
  <c r="L525" i="2"/>
  <c r="L1284" i="2"/>
  <c r="L1451" i="2"/>
  <c r="L1159" i="2"/>
  <c r="L526" i="2"/>
  <c r="L650" i="2"/>
  <c r="L616" i="2"/>
  <c r="L1277" i="2"/>
  <c r="L621" i="2"/>
  <c r="L1219" i="2"/>
  <c r="L1195" i="2"/>
  <c r="L523" i="2"/>
  <c r="L598" i="2"/>
  <c r="L1187" i="2"/>
  <c r="L1287" i="2"/>
  <c r="L1247" i="2"/>
  <c r="L1349" i="2"/>
  <c r="L642" i="2"/>
  <c r="L1242" i="2"/>
  <c r="L1099" i="2"/>
  <c r="L454" i="2"/>
  <c r="L543" i="2"/>
  <c r="L596" i="2"/>
  <c r="L1275" i="2"/>
  <c r="L584" i="2"/>
  <c r="L593" i="2"/>
  <c r="L579" i="2"/>
  <c r="L473" i="2"/>
  <c r="L1225" i="2"/>
  <c r="L1173" i="2"/>
  <c r="L569" i="2"/>
  <c r="L1293" i="2"/>
  <c r="L532" i="2"/>
  <c r="L1128" i="2"/>
  <c r="L555" i="2"/>
  <c r="L529" i="2"/>
  <c r="L655" i="2"/>
  <c r="L1373" i="2"/>
  <c r="L1371" i="2"/>
  <c r="L1370" i="2"/>
  <c r="L1367" i="2"/>
  <c r="L1365" i="2"/>
  <c r="L1133" i="2"/>
  <c r="L1154" i="2"/>
  <c r="L1162" i="2"/>
  <c r="L641" i="2"/>
  <c r="L623" i="2"/>
  <c r="L524" i="2"/>
  <c r="L1119" i="2"/>
  <c r="L413" i="2"/>
  <c r="L461" i="2"/>
  <c r="L1165" i="2"/>
  <c r="L484" i="2"/>
  <c r="L566" i="2"/>
  <c r="L1341" i="2"/>
  <c r="L1109" i="2"/>
  <c r="L615" i="2"/>
  <c r="L1205" i="2"/>
  <c r="L1250" i="2"/>
  <c r="L1182" i="2"/>
  <c r="L483" i="2"/>
  <c r="L469" i="2"/>
  <c r="L1098" i="2"/>
  <c r="L445" i="2"/>
  <c r="L1096" i="2"/>
  <c r="L513" i="2"/>
  <c r="L531" i="2"/>
  <c r="L536" i="2"/>
  <c r="L651" i="2"/>
  <c r="L612" i="2"/>
  <c r="L640" i="2"/>
  <c r="L558" i="2"/>
  <c r="L482" i="2"/>
  <c r="L1260" i="2"/>
  <c r="L1234" i="2"/>
  <c r="L432" i="2"/>
  <c r="L406" i="2"/>
  <c r="L600" i="2"/>
  <c r="L649" i="2"/>
  <c r="L653" i="2"/>
  <c r="L1354" i="2"/>
  <c r="L1299" i="2"/>
  <c r="L587" i="2"/>
  <c r="L624" i="2"/>
  <c r="L1100" i="2"/>
  <c r="L411" i="2"/>
  <c r="L446" i="2"/>
  <c r="L1190" i="2"/>
  <c r="L1450" i="2"/>
  <c r="L559" i="2"/>
  <c r="L1104" i="2"/>
  <c r="L1449" i="2"/>
  <c r="L1144" i="2"/>
  <c r="L1137" i="2"/>
  <c r="L1115" i="2"/>
  <c r="L1126" i="2"/>
  <c r="L478" i="2"/>
  <c r="L470" i="2"/>
  <c r="L485" i="2"/>
  <c r="L1328" i="2"/>
  <c r="L634" i="2"/>
  <c r="L1091" i="2"/>
  <c r="L1257" i="2"/>
  <c r="L1233" i="2"/>
  <c r="L1274" i="2"/>
  <c r="L505" i="2"/>
  <c r="L1106" i="2"/>
  <c r="L495" i="2"/>
  <c r="L562" i="2"/>
  <c r="L1351" i="2"/>
  <c r="L1292" i="2"/>
  <c r="L603" i="2"/>
  <c r="L614" i="2"/>
  <c r="L592" i="2"/>
  <c r="L431" i="2"/>
  <c r="L416" i="2"/>
  <c r="L1143" i="2"/>
  <c r="L1185" i="2"/>
  <c r="L1111" i="2"/>
  <c r="L1136" i="2"/>
  <c r="L1125" i="2"/>
  <c r="L1176" i="2"/>
  <c r="L1201" i="2"/>
  <c r="L1172" i="2"/>
  <c r="L563" i="2"/>
  <c r="L1113" i="2"/>
  <c r="L1120" i="2"/>
  <c r="L1097" i="2"/>
  <c r="L458" i="2"/>
  <c r="L1448" i="2"/>
  <c r="L1217" i="2"/>
  <c r="L1447" i="2"/>
  <c r="L1207" i="2"/>
  <c r="L1180" i="2"/>
  <c r="L1199" i="2"/>
  <c r="L437" i="2"/>
  <c r="L1224" i="2"/>
  <c r="L1145" i="2"/>
  <c r="L516" i="2"/>
  <c r="L1446" i="2"/>
  <c r="L1315" i="2"/>
  <c r="L582" i="2"/>
  <c r="L1306" i="2"/>
  <c r="L1263" i="2"/>
  <c r="L1307" i="2"/>
  <c r="L1386" i="2"/>
  <c r="L1215" i="2"/>
  <c r="L1445" i="2"/>
  <c r="L1171" i="2"/>
  <c r="L1141" i="2"/>
  <c r="L1337" i="2"/>
  <c r="L426" i="2"/>
  <c r="L1258" i="2"/>
  <c r="L604" i="2"/>
  <c r="L1148" i="2"/>
  <c r="L1135" i="2"/>
  <c r="L1348" i="2"/>
  <c r="L1352" i="2"/>
  <c r="L1289" i="2"/>
  <c r="L1255" i="2"/>
  <c r="L514" i="2"/>
  <c r="L1127" i="2"/>
  <c r="L449" i="2"/>
  <c r="L1313" i="2"/>
  <c r="L1264" i="2"/>
  <c r="L1279" i="2"/>
  <c r="L609" i="2"/>
  <c r="L576" i="2"/>
  <c r="L599" i="2"/>
  <c r="L1094" i="2"/>
  <c r="L464" i="2"/>
  <c r="L447" i="2"/>
  <c r="L1444" i="2"/>
  <c r="L1181" i="2"/>
  <c r="L1321" i="2"/>
  <c r="L1317" i="2"/>
  <c r="L1139" i="2"/>
  <c r="L628" i="2"/>
  <c r="L627" i="2"/>
  <c r="L496" i="2"/>
  <c r="L1212" i="2"/>
  <c r="L1231" i="2"/>
  <c r="L1228" i="2"/>
  <c r="L1156" i="2"/>
  <c r="L1155" i="2"/>
  <c r="L1152" i="2"/>
  <c r="L1285" i="2"/>
  <c r="L1323" i="2"/>
  <c r="L1332" i="2"/>
  <c r="L631" i="2"/>
  <c r="L557" i="2"/>
  <c r="L487" i="2"/>
  <c r="L1443" i="2"/>
  <c r="L1093" i="2"/>
  <c r="L1204" i="2"/>
  <c r="L697" i="2"/>
  <c r="L266" i="2"/>
  <c r="L847" i="2"/>
  <c r="L129" i="2"/>
  <c r="L99" i="2"/>
  <c r="L995" i="2"/>
  <c r="L883" i="2"/>
  <c r="L943" i="2"/>
  <c r="L1440" i="2"/>
  <c r="L663" i="2"/>
  <c r="L1439" i="2"/>
  <c r="L876" i="2"/>
  <c r="L214" i="2"/>
  <c r="L897" i="2"/>
  <c r="L257" i="2"/>
  <c r="L213" i="2"/>
  <c r="L801" i="2"/>
  <c r="L92" i="2"/>
  <c r="L1012" i="2"/>
  <c r="L20" i="2"/>
  <c r="L34" i="2"/>
  <c r="L133" i="2"/>
  <c r="L171" i="2"/>
  <c r="L268" i="2"/>
  <c r="L1438" i="2"/>
  <c r="L830" i="2"/>
  <c r="L836" i="2"/>
  <c r="L1068" i="2"/>
  <c r="L1032" i="2"/>
  <c r="L1061" i="2"/>
  <c r="L1073" i="2"/>
  <c r="L56" i="2"/>
  <c r="L64" i="2"/>
  <c r="L212" i="2"/>
  <c r="L170" i="2"/>
  <c r="L767" i="2"/>
  <c r="L720" i="2"/>
  <c r="L1437" i="2"/>
  <c r="L939" i="2"/>
  <c r="L861" i="2"/>
  <c r="L956" i="2"/>
  <c r="L922" i="2"/>
  <c r="L882" i="2"/>
  <c r="L814" i="2"/>
  <c r="L896" i="2"/>
  <c r="L209" i="2"/>
  <c r="L693" i="2"/>
  <c r="L748" i="2"/>
  <c r="L300" i="2"/>
  <c r="L1059" i="2"/>
  <c r="L848" i="2"/>
  <c r="L348" i="2"/>
  <c r="L926" i="2"/>
  <c r="L1436" i="2"/>
  <c r="L1435" i="2"/>
  <c r="L733" i="2"/>
  <c r="L670" i="2"/>
  <c r="L732" i="2"/>
  <c r="L1048" i="2"/>
  <c r="L933" i="2"/>
  <c r="L967" i="2"/>
  <c r="L675" i="2"/>
  <c r="L1039" i="2"/>
  <c r="L1014" i="2"/>
  <c r="L1434" i="2"/>
  <c r="L253" i="2"/>
  <c r="L54" i="2"/>
  <c r="L159" i="2"/>
  <c r="L765" i="2"/>
  <c r="L82" i="2"/>
  <c r="L285" i="2"/>
  <c r="L169" i="2"/>
  <c r="L764" i="2"/>
  <c r="L134" i="2"/>
  <c r="L84" i="2"/>
  <c r="L73" i="2"/>
  <c r="L46" i="2"/>
  <c r="L290" i="2"/>
  <c r="L688" i="2"/>
  <c r="L314" i="2"/>
  <c r="L347" i="2"/>
  <c r="L218" i="2"/>
  <c r="L1433" i="2"/>
  <c r="L1058" i="2"/>
  <c r="L1050" i="2"/>
  <c r="L1063" i="2"/>
  <c r="L1030" i="2"/>
  <c r="L295" i="2"/>
  <c r="L362" i="2"/>
  <c r="L287" i="2"/>
  <c r="L716" i="2"/>
  <c r="L669" i="2"/>
  <c r="L696" i="2"/>
  <c r="L1432" i="2"/>
  <c r="L274" i="2"/>
  <c r="L294" i="2"/>
  <c r="L1431" i="2"/>
  <c r="L914" i="2"/>
  <c r="L1430" i="2"/>
  <c r="L1084" i="2"/>
  <c r="L1082" i="2"/>
  <c r="L270" i="2"/>
  <c r="L168" i="2"/>
  <c r="L176" i="2"/>
  <c r="L1025" i="2"/>
  <c r="L31" i="2"/>
  <c r="L828" i="2"/>
  <c r="L1429" i="2"/>
  <c r="L689" i="2"/>
  <c r="L945" i="2"/>
  <c r="L984" i="2"/>
  <c r="L1045" i="2"/>
  <c r="L973" i="2"/>
  <c r="L910" i="2"/>
  <c r="L888" i="2"/>
  <c r="L771" i="2"/>
  <c r="L842" i="2"/>
  <c r="L903" i="2"/>
  <c r="L853" i="2"/>
  <c r="L1076" i="2"/>
  <c r="L760" i="2"/>
  <c r="L763" i="2"/>
  <c r="L734" i="2"/>
  <c r="L1071" i="2"/>
  <c r="L1033" i="2"/>
  <c r="L398" i="2"/>
  <c r="L824" i="2"/>
  <c r="L373" i="2"/>
  <c r="L358" i="2"/>
  <c r="L380" i="2"/>
  <c r="L326" i="2"/>
  <c r="L120" i="2"/>
  <c r="L311" i="2"/>
  <c r="L691" i="2"/>
  <c r="L305" i="2"/>
  <c r="L1065" i="2"/>
  <c r="L1042" i="2"/>
  <c r="L1009" i="2"/>
  <c r="L832" i="2"/>
  <c r="L776" i="2"/>
  <c r="L1428" i="2"/>
  <c r="L85" i="2"/>
  <c r="L201" i="2"/>
  <c r="L126" i="2"/>
  <c r="L741" i="2"/>
  <c r="L1022" i="2"/>
  <c r="L878" i="2"/>
  <c r="L260" i="2"/>
  <c r="L690" i="2"/>
  <c r="L1427" i="2"/>
  <c r="L316" i="2"/>
  <c r="L806" i="2"/>
  <c r="L298" i="2"/>
  <c r="L318" i="2"/>
  <c r="L372" i="2"/>
  <c r="L374" i="2"/>
  <c r="L687" i="2"/>
  <c r="L857" i="2"/>
  <c r="L867" i="2"/>
  <c r="L78" i="2"/>
  <c r="L19" i="2"/>
  <c r="L955" i="2"/>
  <c r="L292" i="2"/>
  <c r="L296" i="2"/>
  <c r="L1004" i="2"/>
  <c r="L365" i="2"/>
  <c r="L392" i="2"/>
  <c r="L1021" i="2"/>
  <c r="L1015" i="2"/>
  <c r="L1019" i="2"/>
  <c r="L839" i="2"/>
  <c r="L915" i="2"/>
  <c r="L1074" i="2"/>
  <c r="L1057" i="2"/>
  <c r="L1056" i="2"/>
  <c r="L1055" i="2"/>
  <c r="L792" i="2"/>
  <c r="L802" i="2"/>
  <c r="L255" i="2"/>
  <c r="L773" i="2"/>
  <c r="L798" i="2"/>
  <c r="L799" i="2"/>
  <c r="L699" i="2"/>
  <c r="L795" i="2"/>
  <c r="L148" i="2"/>
  <c r="L234" i="2"/>
  <c r="L949" i="2"/>
  <c r="L918" i="2"/>
  <c r="L850" i="2"/>
  <c r="L796" i="2"/>
  <c r="L667" i="2"/>
  <c r="L665" i="2"/>
  <c r="L804" i="2"/>
  <c r="L151" i="2"/>
  <c r="L167" i="2"/>
  <c r="L1426" i="2"/>
  <c r="L979" i="2"/>
  <c r="L964" i="2"/>
  <c r="L906" i="2"/>
  <c r="L136" i="2"/>
  <c r="L1069" i="2"/>
  <c r="L329" i="2"/>
  <c r="L341" i="2"/>
  <c r="L952" i="2"/>
  <c r="L1010" i="2"/>
  <c r="L1049" i="2"/>
  <c r="L904" i="2"/>
  <c r="L921" i="2"/>
  <c r="L919" i="2"/>
  <c r="L881" i="2"/>
  <c r="L886" i="2"/>
  <c r="L252" i="2"/>
  <c r="L892" i="2"/>
  <c r="L917" i="2"/>
  <c r="L785" i="2"/>
  <c r="L854" i="2"/>
  <c r="L86" i="2"/>
  <c r="L229" i="2"/>
  <c r="L59" i="2"/>
  <c r="L128" i="2"/>
  <c r="L147" i="2"/>
  <c r="L215" i="2"/>
  <c r="L52" i="2"/>
  <c r="L112" i="2"/>
  <c r="L1425" i="2"/>
  <c r="L254" i="2"/>
  <c r="L275" i="2"/>
  <c r="L1060" i="2"/>
  <c r="L974" i="2"/>
  <c r="L217" i="2"/>
  <c r="L158" i="2"/>
  <c r="L47" i="2"/>
  <c r="L61" i="2"/>
  <c r="L868" i="2"/>
  <c r="L786" i="2"/>
  <c r="L390" i="2"/>
  <c r="L823" i="2"/>
  <c r="L122" i="2"/>
  <c r="L787" i="2"/>
  <c r="L929" i="2"/>
  <c r="L250" i="2"/>
  <c r="L960" i="2"/>
  <c r="L125" i="2"/>
  <c r="L194" i="2"/>
  <c r="L1424" i="2"/>
  <c r="L1031" i="2"/>
  <c r="L102" i="2"/>
  <c r="L1423" i="2"/>
  <c r="L916" i="2"/>
  <c r="L963" i="2"/>
  <c r="L864" i="2"/>
  <c r="L1422" i="2"/>
  <c r="L1385" i="2"/>
  <c r="L1421" i="2"/>
  <c r="L756" i="2"/>
  <c r="L728" i="2"/>
  <c r="L708" i="2"/>
  <c r="L988" i="2"/>
  <c r="L908" i="2"/>
  <c r="L871" i="2"/>
  <c r="L1420" i="2"/>
  <c r="L237" i="2"/>
  <c r="L1419" i="2"/>
  <c r="L739" i="2"/>
  <c r="L714" i="2"/>
  <c r="L722" i="2"/>
  <c r="L70" i="2"/>
  <c r="L953" i="2"/>
  <c r="L1418" i="2"/>
  <c r="L703" i="2"/>
  <c r="L702" i="2"/>
  <c r="L706" i="2"/>
  <c r="L705" i="2"/>
  <c r="L813" i="2"/>
  <c r="L811" i="2"/>
  <c r="L111" i="2"/>
  <c r="L707" i="2"/>
  <c r="L1087" i="2"/>
  <c r="L33" i="2"/>
  <c r="L762" i="2"/>
  <c r="L227" i="2"/>
  <c r="L833" i="2"/>
  <c r="L790" i="2"/>
  <c r="L668" i="2"/>
  <c r="L998" i="2"/>
  <c r="L899" i="2"/>
  <c r="L947" i="2"/>
  <c r="L155" i="2"/>
  <c r="L166" i="2"/>
  <c r="L769" i="2"/>
  <c r="L761" i="2"/>
  <c r="L109" i="2"/>
  <c r="L57" i="2"/>
  <c r="L400" i="2"/>
  <c r="L1417" i="2"/>
  <c r="L674" i="2"/>
  <c r="L18" i="2"/>
  <c r="L950" i="2"/>
  <c r="L997" i="2"/>
  <c r="L972" i="2"/>
  <c r="L856" i="2"/>
  <c r="L332" i="2"/>
  <c r="L386" i="2"/>
  <c r="L273" i="2"/>
  <c r="L238" i="2"/>
  <c r="L1416" i="2"/>
  <c r="L755" i="2"/>
  <c r="L192" i="2"/>
  <c r="L331" i="2"/>
  <c r="L101" i="2"/>
  <c r="L77" i="2"/>
  <c r="L932" i="2"/>
  <c r="L750" i="2"/>
  <c r="L165" i="2"/>
  <c r="L74" i="2"/>
  <c r="L221" i="2"/>
  <c r="L1000" i="2"/>
  <c r="L931" i="2"/>
  <c r="L1053" i="2"/>
  <c r="L355" i="2"/>
  <c r="L383" i="2"/>
  <c r="L1415" i="2"/>
  <c r="L941" i="2"/>
  <c r="L900" i="2"/>
  <c r="L1013" i="2"/>
  <c r="L742" i="2"/>
  <c r="L840" i="2"/>
  <c r="L672" i="2"/>
  <c r="L370" i="2"/>
  <c r="L118" i="2"/>
  <c r="L361" i="2"/>
  <c r="L356" i="2"/>
  <c r="L38" i="2"/>
  <c r="L244" i="2"/>
  <c r="L164" i="2"/>
  <c r="L875" i="2"/>
  <c r="L959" i="2"/>
  <c r="L812" i="2"/>
  <c r="L1414" i="2"/>
  <c r="L902" i="2"/>
  <c r="L815" i="2"/>
  <c r="L1088" i="2"/>
  <c r="L71" i="2"/>
  <c r="L185" i="2"/>
  <c r="L41" i="2"/>
  <c r="L822" i="2"/>
  <c r="L50" i="2"/>
  <c r="L188" i="2"/>
  <c r="L157" i="2"/>
  <c r="L172" i="2"/>
  <c r="L975" i="2"/>
  <c r="L930" i="2"/>
  <c r="L15" i="2"/>
  <c r="L51" i="2"/>
  <c r="L13" i="2"/>
  <c r="L264" i="2"/>
  <c r="L977" i="2"/>
  <c r="L805" i="2"/>
  <c r="L831" i="2"/>
  <c r="L23" i="2"/>
  <c r="L182" i="2"/>
  <c r="L360" i="2"/>
  <c r="L1413" i="2"/>
  <c r="L817" i="2"/>
  <c r="L334" i="2"/>
  <c r="L713" i="2"/>
  <c r="L692" i="2"/>
  <c r="L239" i="2"/>
  <c r="L248" i="2"/>
  <c r="L1075" i="2"/>
  <c r="L1412" i="2"/>
  <c r="L226" i="2"/>
  <c r="L719" i="2"/>
  <c r="L735" i="2"/>
  <c r="L729" i="2"/>
  <c r="L263" i="2"/>
  <c r="L88" i="2"/>
  <c r="L76" i="2"/>
  <c r="L1020" i="2"/>
  <c r="L780" i="2"/>
  <c r="L715" i="2"/>
  <c r="L235" i="2"/>
  <c r="L211" i="2"/>
  <c r="L766" i="2"/>
  <c r="L759" i="2"/>
  <c r="L243" i="2"/>
  <c r="L770" i="2"/>
  <c r="L821" i="2"/>
  <c r="L726" i="2"/>
  <c r="L934" i="2"/>
  <c r="L887" i="2"/>
  <c r="L944" i="2"/>
  <c r="L277" i="2"/>
  <c r="L891" i="2"/>
  <c r="L807" i="2"/>
  <c r="L1384" i="2"/>
  <c r="L8" i="2"/>
  <c r="L9" i="2"/>
  <c r="L772" i="2"/>
  <c r="L826" i="2"/>
  <c r="L1383" i="2"/>
  <c r="L204" i="2"/>
  <c r="L219" i="2"/>
  <c r="L928" i="2"/>
  <c r="L210" i="2"/>
  <c r="L269" i="2"/>
  <c r="L130" i="2"/>
  <c r="L3" i="2"/>
  <c r="L7" i="2"/>
  <c r="L203" i="2"/>
  <c r="L191" i="2"/>
  <c r="L1018" i="2"/>
  <c r="L721" i="2"/>
  <c r="L865" i="2"/>
  <c r="L740" i="2"/>
  <c r="L35" i="2"/>
  <c r="L49" i="2"/>
  <c r="L93" i="2"/>
  <c r="L898" i="2"/>
  <c r="L936" i="2"/>
  <c r="L1077" i="2"/>
  <c r="L1036" i="2"/>
  <c r="L1411" i="2"/>
  <c r="L27" i="2"/>
  <c r="L53" i="2"/>
  <c r="L40" i="2"/>
  <c r="L232" i="2"/>
  <c r="L982" i="2"/>
  <c r="L980" i="2"/>
  <c r="L946" i="2"/>
  <c r="L279" i="2"/>
  <c r="L987" i="2"/>
  <c r="L985" i="2"/>
  <c r="L664" i="2"/>
  <c r="L893" i="2"/>
  <c r="L190" i="2"/>
  <c r="L388" i="2"/>
  <c r="L1081" i="2"/>
  <c r="L768" i="2"/>
  <c r="L1410" i="2"/>
  <c r="L994" i="2"/>
  <c r="L83" i="2"/>
  <c r="L69" i="2"/>
  <c r="L24" i="2"/>
  <c r="L154" i="2"/>
  <c r="L1409" i="2"/>
  <c r="L1003" i="2"/>
  <c r="L858" i="2"/>
  <c r="L231" i="2"/>
  <c r="L1078" i="2"/>
  <c r="L924" i="2"/>
  <c r="L114" i="2"/>
  <c r="L180" i="2"/>
  <c r="L1408" i="2"/>
  <c r="L694" i="2"/>
  <c r="L684" i="2"/>
  <c r="L758" i="2"/>
  <c r="L783" i="2"/>
  <c r="L1066" i="2"/>
  <c r="L1382" i="2"/>
  <c r="L375" i="2"/>
  <c r="L312" i="2"/>
  <c r="L350" i="2"/>
  <c r="L345" i="2"/>
  <c r="L387" i="2"/>
  <c r="L843" i="2"/>
  <c r="L681" i="2"/>
  <c r="L901" i="2"/>
  <c r="L1407" i="2"/>
  <c r="L820" i="2"/>
  <c r="L177" i="2"/>
  <c r="L731" i="2"/>
  <c r="L1041" i="2"/>
  <c r="L749" i="2"/>
  <c r="L712" i="2"/>
  <c r="L336" i="2"/>
  <c r="L117" i="2"/>
  <c r="L940" i="2"/>
  <c r="L1406" i="2"/>
  <c r="L1085" i="2"/>
  <c r="L6" i="2"/>
  <c r="L10" i="2"/>
  <c r="L677" i="2"/>
  <c r="L181" i="2"/>
  <c r="L1029" i="2"/>
  <c r="L1028" i="2"/>
  <c r="L1405" i="2"/>
  <c r="L1381" i="2"/>
  <c r="L310" i="2"/>
  <c r="L1007" i="2"/>
  <c r="L174" i="2"/>
  <c r="L976" i="2"/>
  <c r="L992" i="2"/>
  <c r="L685" i="2"/>
  <c r="L1404" i="2"/>
  <c r="L60" i="2"/>
  <c r="L874" i="2"/>
  <c r="L163" i="2"/>
  <c r="L993" i="2"/>
  <c r="L970" i="2"/>
  <c r="L335" i="2"/>
  <c r="L942" i="2"/>
  <c r="L990" i="2"/>
  <c r="L289" i="2"/>
  <c r="L971" i="2"/>
  <c r="L354" i="2"/>
  <c r="L958" i="2"/>
  <c r="L1072" i="2"/>
  <c r="L186" i="2"/>
  <c r="L247" i="2"/>
  <c r="L195" i="2"/>
  <c r="L138" i="2"/>
  <c r="L957" i="2"/>
  <c r="L162" i="2"/>
  <c r="L965" i="2"/>
  <c r="L333" i="2"/>
  <c r="L127" i="2"/>
  <c r="L1080" i="2"/>
  <c r="L852" i="2"/>
  <c r="L849" i="2"/>
  <c r="L382" i="2"/>
  <c r="L384" i="2"/>
  <c r="L175" i="2"/>
  <c r="L709" i="2"/>
  <c r="L718" i="2"/>
  <c r="L21" i="2"/>
  <c r="L152" i="2"/>
  <c r="L132" i="2"/>
  <c r="L343" i="2"/>
  <c r="L666" i="2"/>
  <c r="L996" i="2"/>
  <c r="L1403" i="2"/>
  <c r="L68" i="2"/>
  <c r="L1380" i="2"/>
  <c r="L261" i="2"/>
  <c r="L678" i="2"/>
  <c r="L851" i="2"/>
  <c r="L894" i="2"/>
  <c r="L819" i="2"/>
  <c r="L146" i="2"/>
  <c r="L829" i="2"/>
  <c r="L789" i="2"/>
  <c r="L816" i="2"/>
  <c r="L1402" i="2"/>
  <c r="L889" i="2"/>
  <c r="L880" i="2"/>
  <c r="L1006" i="2"/>
  <c r="L1401" i="2"/>
  <c r="L753" i="2"/>
  <c r="L747" i="2"/>
  <c r="L96" i="2"/>
  <c r="L222" i="2"/>
  <c r="L48" i="2"/>
  <c r="L62" i="2"/>
  <c r="L788" i="2"/>
  <c r="L280" i="2"/>
  <c r="L991" i="2"/>
  <c r="L121" i="2"/>
  <c r="L983" i="2"/>
  <c r="L246" i="2"/>
  <c r="L810" i="2"/>
  <c r="L55" i="2"/>
  <c r="L775" i="2"/>
  <c r="L797" i="2"/>
  <c r="L1400" i="2"/>
  <c r="L781" i="2"/>
  <c r="L873" i="2"/>
  <c r="L303" i="2"/>
  <c r="L877" i="2"/>
  <c r="L100" i="2"/>
  <c r="L846" i="2"/>
  <c r="L863" i="2"/>
  <c r="L803" i="2"/>
  <c r="L782" i="2"/>
  <c r="L288" i="2"/>
  <c r="L189" i="2"/>
  <c r="L1399" i="2"/>
  <c r="L198" i="2"/>
  <c r="L309" i="2"/>
  <c r="L701" i="2"/>
  <c r="L954" i="2"/>
  <c r="L927" i="2"/>
  <c r="L860" i="2"/>
  <c r="L1054" i="2"/>
  <c r="L710" i="2"/>
  <c r="L825" i="2"/>
  <c r="L139" i="2"/>
  <c r="L800" i="2"/>
  <c r="L63" i="2"/>
  <c r="L352" i="2"/>
  <c r="L357" i="2"/>
  <c r="L935" i="2"/>
  <c r="L1079" i="2"/>
  <c r="L137" i="2"/>
  <c r="L676" i="2"/>
  <c r="L774" i="2"/>
  <c r="L671" i="2"/>
  <c r="L251" i="2"/>
  <c r="L1398" i="2"/>
  <c r="L67" i="2"/>
  <c r="L884" i="2"/>
  <c r="L313" i="2"/>
  <c r="L827" i="2"/>
  <c r="L291" i="2"/>
  <c r="L841" i="2"/>
  <c r="L743" i="2"/>
  <c r="L45" i="2"/>
  <c r="L1397" i="2"/>
  <c r="L751" i="2"/>
  <c r="L142" i="2"/>
  <c r="L717" i="2"/>
  <c r="L673" i="2"/>
  <c r="L778" i="2"/>
  <c r="L98" i="2"/>
  <c r="L1035" i="2"/>
  <c r="L1034" i="2"/>
  <c r="L1052" i="2"/>
  <c r="L337" i="2"/>
  <c r="L321" i="2"/>
  <c r="L320" i="2"/>
  <c r="L1067" i="2"/>
  <c r="L119" i="2"/>
  <c r="L746" i="2"/>
  <c r="L315" i="2"/>
  <c r="L342" i="2"/>
  <c r="L1002" i="2"/>
  <c r="L1027" i="2"/>
  <c r="L989" i="2"/>
  <c r="L737" i="2"/>
  <c r="L680" i="2"/>
  <c r="L1023" i="2"/>
  <c r="L912" i="2"/>
  <c r="L346" i="2"/>
  <c r="L367" i="2"/>
  <c r="L377" i="2"/>
  <c r="L1379" i="2"/>
  <c r="L116" i="2"/>
  <c r="L242" i="2"/>
  <c r="L144" i="2"/>
  <c r="L730" i="2"/>
  <c r="L723" i="2"/>
  <c r="L686" i="2"/>
  <c r="L725" i="2"/>
  <c r="L124" i="2"/>
  <c r="L738" i="2"/>
  <c r="L757" i="2"/>
  <c r="L91" i="2"/>
  <c r="L711" i="2"/>
  <c r="L216" i="2"/>
  <c r="L338" i="2"/>
  <c r="L698" i="2"/>
  <c r="L1046" i="2"/>
  <c r="L1064" i="2"/>
  <c r="L745" i="2"/>
  <c r="L948" i="2"/>
  <c r="L113" i="2"/>
  <c r="L837" i="2"/>
  <c r="L115" i="2"/>
  <c r="L808" i="2"/>
  <c r="L145" i="2"/>
  <c r="L736" i="2"/>
  <c r="L809" i="2"/>
  <c r="L779" i="2"/>
  <c r="L962" i="2"/>
  <c r="L249" i="2"/>
  <c r="L202" i="2"/>
  <c r="L258" i="2"/>
  <c r="L1396" i="2"/>
  <c r="L905" i="2"/>
  <c r="L869" i="2"/>
  <c r="L951" i="2"/>
  <c r="L1083" i="2"/>
  <c r="L95" i="2"/>
  <c r="L1047" i="2"/>
  <c r="L107" i="2"/>
  <c r="L791" i="2"/>
  <c r="L173" i="2"/>
  <c r="L752" i="2"/>
  <c r="L794" i="2"/>
  <c r="L97" i="2"/>
  <c r="L969" i="2"/>
  <c r="L1395" i="2"/>
  <c r="L1044" i="2"/>
  <c r="L872" i="2"/>
  <c r="L844" i="2"/>
  <c r="L838" i="2"/>
  <c r="L818" i="2"/>
  <c r="L695" i="2"/>
  <c r="L754" i="2"/>
  <c r="L793" i="2"/>
  <c r="L986" i="2"/>
  <c r="L1001" i="2"/>
  <c r="L682" i="2"/>
  <c r="L5" i="2"/>
  <c r="L885" i="2"/>
  <c r="L845" i="2"/>
  <c r="L208" i="2"/>
  <c r="L879" i="2"/>
  <c r="L777" i="2"/>
  <c r="L724" i="2"/>
  <c r="L241" i="2"/>
  <c r="L131" i="2"/>
  <c r="L351" i="2"/>
  <c r="L966" i="2"/>
  <c r="L866" i="2"/>
  <c r="L349" i="2"/>
  <c r="L385" i="2"/>
  <c r="L396" i="2"/>
  <c r="L72" i="2"/>
  <c r="L25" i="2"/>
  <c r="L12" i="2"/>
  <c r="L368" i="2"/>
  <c r="L233" i="2"/>
  <c r="L323" i="2"/>
  <c r="L937" i="2"/>
  <c r="L925" i="2"/>
  <c r="L981" i="2"/>
  <c r="L911" i="2"/>
  <c r="L1005" i="2"/>
  <c r="L890" i="2"/>
  <c r="L293" i="2"/>
  <c r="L1378" i="2"/>
  <c r="L301" i="2"/>
  <c r="L308" i="2"/>
  <c r="L683" i="2"/>
  <c r="L862" i="2"/>
  <c r="L205" i="2"/>
  <c r="L870" i="2"/>
  <c r="L265" i="2"/>
  <c r="L913" i="2"/>
  <c r="L207" i="2"/>
  <c r="L197" i="2"/>
  <c r="L1394" i="2"/>
  <c r="L700" i="2"/>
  <c r="L679" i="2"/>
  <c r="L704" i="2"/>
  <c r="L1393" i="2"/>
  <c r="L784" i="2"/>
  <c r="L1062" i="2"/>
  <c r="L1086" i="2"/>
  <c r="L1392" i="2"/>
  <c r="L1037" i="2"/>
  <c r="L1016" i="2"/>
  <c r="L1043" i="2"/>
  <c r="L859" i="2"/>
  <c r="L835" i="2"/>
  <c r="L895" i="2"/>
  <c r="L1070" i="2"/>
  <c r="L1040" i="2"/>
  <c r="L378" i="2"/>
  <c r="L909" i="2"/>
  <c r="L907" i="2"/>
  <c r="L999" i="2"/>
  <c r="L340" i="2"/>
  <c r="L978" i="2"/>
  <c r="L1051" i="2"/>
  <c r="L1391" i="2"/>
  <c r="L1026" i="2"/>
  <c r="L1390" i="2"/>
  <c r="L855" i="2"/>
  <c r="L220" i="2"/>
  <c r="L834" i="2"/>
  <c r="L393" i="2"/>
  <c r="L727" i="2"/>
  <c r="L1008" i="2"/>
  <c r="L961" i="2"/>
  <c r="L920" i="2"/>
  <c r="L923" i="2"/>
  <c r="L938" i="2"/>
  <c r="L36" i="2"/>
  <c r="L399" i="2"/>
  <c r="L397" i="2"/>
  <c r="L1017" i="2"/>
  <c r="L1038" i="2"/>
  <c r="L1011" i="2"/>
  <c r="L968" i="2"/>
  <c r="L1024" i="2"/>
  <c r="L744" i="2"/>
  <c r="L317" i="2"/>
  <c r="L1389" i="2"/>
  <c r="L1388" i="2"/>
  <c r="L419" i="2"/>
  <c r="L475" i="2"/>
  <c r="L1262" i="2"/>
  <c r="L622" i="2"/>
  <c r="L522" i="2"/>
  <c r="L1235" i="2"/>
  <c r="L568" i="2"/>
  <c r="L428" i="2"/>
  <c r="L586" i="2"/>
  <c r="L442" i="2"/>
  <c r="L591" i="2"/>
  <c r="L504" i="2"/>
  <c r="L1161" i="2"/>
  <c r="L548" i="2"/>
  <c r="L1364" i="2"/>
  <c r="L490" i="2"/>
  <c r="L1150" i="2"/>
  <c r="L1283" i="2"/>
  <c r="L1345" i="2"/>
  <c r="L1276" i="2"/>
  <c r="L661" i="2"/>
  <c r="L1194" i="2"/>
  <c r="L1142" i="2"/>
  <c r="L438" i="2"/>
  <c r="L417" i="2"/>
  <c r="L421" i="2"/>
  <c r="L1253" i="2"/>
  <c r="L630" i="2"/>
  <c r="L602" i="2"/>
  <c r="L595" i="2"/>
  <c r="L480" i="2"/>
  <c r="L1273" i="2"/>
  <c r="L1322" i="2"/>
  <c r="L492" i="2"/>
  <c r="L1243" i="2"/>
  <c r="L1338" i="2"/>
  <c r="L1158" i="2"/>
  <c r="L1272" i="2"/>
  <c r="L1355" i="2"/>
  <c r="L1254" i="2"/>
  <c r="L1368" i="2"/>
  <c r="L507" i="2"/>
  <c r="L611" i="2"/>
  <c r="L410" i="2"/>
  <c r="L1327" i="2"/>
  <c r="L441" i="2"/>
  <c r="L534" i="2"/>
  <c r="L656" i="2"/>
  <c r="L457" i="2"/>
  <c r="L420" i="2"/>
  <c r="L554" i="2"/>
  <c r="L1305" i="2"/>
  <c r="L1316" i="2"/>
  <c r="L515" i="2"/>
  <c r="L498" i="2"/>
  <c r="L1236" i="2"/>
  <c r="L1222" i="2"/>
  <c r="L444" i="2"/>
  <c r="L1356" i="2"/>
  <c r="L1131" i="2"/>
  <c r="L1196" i="2"/>
  <c r="L452" i="2"/>
  <c r="L1175" i="2"/>
  <c r="L424" i="2"/>
  <c r="L1208" i="2"/>
  <c r="L537" i="2"/>
  <c r="L1147" i="2"/>
  <c r="L567" i="2"/>
  <c r="L451" i="2"/>
  <c r="L1363" i="2"/>
  <c r="L1130" i="2"/>
  <c r="L1090" i="2"/>
  <c r="L1266" i="2"/>
  <c r="L1442" i="2"/>
  <c r="L403" i="2"/>
  <c r="L506" i="2"/>
  <c r="L1304" i="2"/>
  <c r="L547" i="2"/>
  <c r="L565" i="2"/>
  <c r="L1282" i="2"/>
  <c r="L1308" i="2"/>
  <c r="L481" i="2"/>
  <c r="L1288" i="2"/>
  <c r="L617" i="2"/>
  <c r="L1189" i="2"/>
  <c r="L460" i="2"/>
  <c r="L1303" i="2"/>
  <c r="L1357" i="2"/>
  <c r="L405" i="2"/>
  <c r="L517" i="2"/>
  <c r="L581" i="2"/>
  <c r="L491" i="2"/>
  <c r="L1334" i="2"/>
  <c r="L1372" i="2"/>
  <c r="L463" i="2"/>
  <c r="L427" i="2"/>
  <c r="L472" i="2"/>
  <c r="L626" i="2"/>
  <c r="L502" i="2"/>
  <c r="L512" i="2"/>
  <c r="L443" i="2"/>
  <c r="L1291" i="2"/>
  <c r="L467" i="2"/>
  <c r="L1261" i="2"/>
  <c r="L1290" i="2"/>
  <c r="L1112" i="2"/>
  <c r="L489" i="2"/>
  <c r="L540" i="2"/>
  <c r="L619" i="2"/>
  <c r="L1259" i="2"/>
  <c r="L1325" i="2"/>
  <c r="L1108" i="2"/>
  <c r="L429" i="2"/>
  <c r="L511" i="2"/>
  <c r="L1101" i="2"/>
  <c r="L1206" i="2"/>
  <c r="L1160" i="2"/>
  <c r="L474" i="2"/>
  <c r="L1347" i="2"/>
  <c r="L1249" i="2"/>
  <c r="L500" i="2"/>
  <c r="L1268" i="2"/>
  <c r="L430" i="2"/>
  <c r="L521" i="2"/>
  <c r="L1103" i="2"/>
  <c r="L415" i="2"/>
  <c r="L1124" i="2"/>
  <c r="L1105" i="2"/>
  <c r="L1146" i="2"/>
  <c r="L465" i="2"/>
  <c r="L448" i="2"/>
  <c r="L1203" i="2"/>
  <c r="L1221" i="2"/>
  <c r="L440" i="2"/>
  <c r="L1320" i="2"/>
  <c r="L466" i="2"/>
  <c r="L1169" i="2"/>
  <c r="L453" i="2"/>
  <c r="L1339" i="2"/>
  <c r="L510" i="2"/>
  <c r="L606" i="2"/>
  <c r="L1441" i="2"/>
  <c r="L471" i="2"/>
  <c r="L1358" i="2"/>
  <c r="L1123" i="2"/>
  <c r="L497" i="2"/>
  <c r="L1168" i="2"/>
  <c r="L462" i="2"/>
  <c r="L412" i="2"/>
  <c r="L1300" i="2"/>
  <c r="L486" i="2"/>
  <c r="L1209" i="2"/>
  <c r="L1149" i="2"/>
  <c r="L1346" i="2"/>
  <c r="L423" i="2"/>
  <c r="L618" i="2"/>
  <c r="L1200" i="2"/>
  <c r="L28" i="2"/>
  <c r="L267" i="2"/>
  <c r="L394" i="2"/>
  <c r="L307" i="2"/>
  <c r="L278" i="2"/>
  <c r="L1377" i="2"/>
  <c r="L236" i="2"/>
  <c r="L259" i="2"/>
  <c r="L206" i="2"/>
  <c r="L150" i="2"/>
  <c r="L224" i="2"/>
  <c r="L1376" i="2"/>
  <c r="L302" i="2"/>
  <c r="L37" i="2"/>
  <c r="L304" i="2"/>
  <c r="L106" i="2"/>
  <c r="L44" i="2"/>
  <c r="L328" i="2"/>
  <c r="L58" i="2"/>
  <c r="L353" i="2"/>
  <c r="L42" i="2"/>
  <c r="L80" i="2"/>
  <c r="L297" i="2"/>
  <c r="L81" i="2"/>
  <c r="L143" i="2"/>
  <c r="L123" i="2"/>
  <c r="L141" i="2"/>
  <c r="L193" i="2"/>
  <c r="L240" i="2"/>
  <c r="L103" i="2"/>
  <c r="L75" i="2"/>
  <c r="L245" i="2"/>
  <c r="L187" i="2"/>
  <c r="L306" i="2"/>
  <c r="L16" i="2"/>
  <c r="L200" i="2"/>
  <c r="L30" i="2"/>
  <c r="L153" i="2"/>
  <c r="L284" i="2"/>
  <c r="L32" i="2"/>
  <c r="L196" i="2"/>
  <c r="L135" i="2"/>
  <c r="L322" i="2"/>
  <c r="L108" i="2"/>
  <c r="L371" i="2"/>
  <c r="L389" i="2"/>
  <c r="L161" i="2"/>
  <c r="L22" i="2"/>
  <c r="L29" i="2"/>
  <c r="L344" i="2"/>
  <c r="L376" i="2"/>
  <c r="L140" i="2"/>
  <c r="L90" i="2"/>
  <c r="L17" i="2"/>
  <c r="L391" i="2"/>
  <c r="L228" i="2"/>
  <c r="L327" i="2"/>
  <c r="L11" i="2"/>
  <c r="L2" i="2"/>
  <c r="L39" i="2"/>
  <c r="L110" i="2"/>
  <c r="L26" i="2"/>
  <c r="L230" i="2"/>
  <c r="L79" i="2"/>
  <c r="L325" i="2"/>
  <c r="L87" i="2"/>
  <c r="L223" i="2"/>
  <c r="L366" i="2"/>
  <c r="L281" i="2"/>
  <c r="L369" i="2"/>
  <c r="L283" i="2"/>
  <c r="L276" i="2"/>
  <c r="L381" i="2"/>
  <c r="L256" i="2"/>
  <c r="L199" i="2"/>
  <c r="L156" i="2"/>
  <c r="L271" i="2"/>
  <c r="L324" i="2"/>
  <c r="L379" i="2"/>
  <c r="L184" i="2"/>
  <c r="L66" i="2"/>
  <c r="L286" i="2"/>
  <c r="L225" i="2"/>
  <c r="L339" i="2"/>
  <c r="L89" i="2"/>
  <c r="L272" i="2"/>
  <c r="L149" i="2"/>
  <c r="L43" i="2"/>
  <c r="L94" i="2"/>
  <c r="L14" i="2"/>
  <c r="L330" i="2"/>
  <c r="L160" i="2"/>
  <c r="L395" i="2"/>
  <c r="L282" i="2"/>
  <c r="L105" i="2"/>
  <c r="L363" i="2"/>
  <c r="L183" i="2"/>
  <c r="L364" i="2"/>
  <c r="L179" i="2"/>
  <c r="L178" i="2"/>
  <c r="L319" i="2"/>
  <c r="L65" i="2"/>
  <c r="L1375" i="2"/>
  <c r="L262" i="2"/>
  <c r="L359" i="2"/>
  <c r="L299" i="2"/>
  <c r="L4" i="2"/>
  <c r="L104" i="2"/>
  <c r="S1209" i="1" a="1"/>
  <c r="S919" i="1" a="1"/>
  <c r="S62" i="1" a="1"/>
  <c r="S704" i="1" a="1"/>
  <c r="S142" i="1" a="1"/>
  <c r="S18" i="1" a="1"/>
  <c r="S1072" i="1" a="1"/>
  <c r="S449" i="1" a="1"/>
  <c r="S1156" i="1" a="1"/>
  <c r="S710" i="1" a="1"/>
  <c r="S120" i="1" a="1"/>
  <c r="S541" i="1" a="1"/>
  <c r="S1144" i="1" a="1"/>
  <c r="S545" i="1" a="1"/>
  <c r="S453" i="1" a="1"/>
  <c r="S372" i="1" a="1"/>
  <c r="S1130" i="1" a="1"/>
  <c r="S332" i="1" a="1"/>
  <c r="S532" i="1" a="1"/>
  <c r="O211" i="1" a="1"/>
  <c r="S15" i="1" a="1"/>
  <c r="S974" i="1" a="1"/>
  <c r="S226" i="1" a="1"/>
  <c r="S294" i="1" a="1"/>
  <c r="S1014" i="1" a="1"/>
  <c r="S58" i="1" a="1"/>
  <c r="S1439" i="1" a="1"/>
  <c r="S478" i="1" a="1"/>
  <c r="S1448" i="1" a="1"/>
  <c r="S659" i="1" a="1"/>
  <c r="S1326" i="1" a="1"/>
  <c r="S499" i="1" a="1"/>
  <c r="S508" i="1" a="1"/>
  <c r="S817" i="1" a="1"/>
  <c r="S437" i="1" a="1"/>
  <c r="O1159" i="1" a="1"/>
  <c r="S676" i="1" a="1"/>
  <c r="S1006" i="1" a="1"/>
  <c r="S552" i="1" a="1"/>
  <c r="S620" i="1" a="1"/>
  <c r="S115" i="1" a="1"/>
  <c r="S420" i="1" a="1"/>
  <c r="S1262" i="1" a="1"/>
  <c r="S4" i="1" a="1"/>
  <c r="S1286" i="1" a="1"/>
  <c r="S390" i="1" a="1"/>
  <c r="S1077" i="1" a="1"/>
  <c r="S652" i="1" a="1"/>
  <c r="S264" i="1" a="1"/>
  <c r="S210" i="1" a="1"/>
  <c r="S274" i="1" a="1"/>
  <c r="S1332" i="1" a="1"/>
  <c r="S1291" i="1" a="1"/>
  <c r="S1166" i="1" a="1"/>
  <c r="S945" i="1" a="1"/>
  <c r="S1023" i="1" a="1"/>
  <c r="S1015" i="1" a="1"/>
  <c r="S1238" i="1" a="1"/>
  <c r="S154" i="1" a="1"/>
  <c r="S127" i="1" a="1"/>
  <c r="S1358" i="1" a="1"/>
  <c r="S116" i="1" a="1"/>
  <c r="S215" i="1" a="1"/>
  <c r="S1285" i="1" a="1"/>
  <c r="S461" i="1" a="1"/>
  <c r="S1399" i="1" a="1"/>
  <c r="O535" i="1" a="1"/>
  <c r="S753" i="1" a="1"/>
  <c r="S438" i="1" a="1"/>
  <c r="S1261" i="1" a="1"/>
  <c r="S153" i="1" a="1"/>
  <c r="S176" i="1" a="1"/>
  <c r="S1389" i="1" a="1"/>
  <c r="S1390" i="1" a="1"/>
  <c r="S79" i="1" a="1"/>
  <c r="S1295" i="1" a="1"/>
  <c r="S614" i="1" a="1"/>
  <c r="S1420" i="1" a="1"/>
  <c r="S214" i="1" a="1"/>
  <c r="S1293" i="1" a="1"/>
  <c r="S1061" i="1" a="1"/>
  <c r="S751" i="1" a="1"/>
  <c r="O1360" i="1" a="1"/>
  <c r="S262" i="1" a="1"/>
  <c r="S733" i="1" a="1"/>
  <c r="S1287" i="1" a="1"/>
  <c r="S1033" i="1" a="1"/>
  <c r="S1408" i="1" a="1"/>
  <c r="S398" i="1" a="1"/>
  <c r="S1453" i="1" a="1"/>
  <c r="S735" i="1" a="1"/>
  <c r="S1088" i="1" a="1"/>
  <c r="S400" i="1" a="1"/>
  <c r="S1339" i="1" a="1"/>
  <c r="S1441" i="1" a="1"/>
  <c r="S124" i="1" a="1"/>
  <c r="S1317" i="1" a="1"/>
  <c r="S635" i="1" a="1"/>
  <c r="O231" i="1" a="1"/>
  <c r="S1359" i="1" a="1"/>
  <c r="S28" i="1" a="1"/>
  <c r="S205" i="1" a="1"/>
  <c r="S132" i="1" a="1"/>
  <c r="S1381" i="1" a="1"/>
  <c r="S591" i="1" a="1"/>
  <c r="S164" i="1" a="1"/>
  <c r="S746" i="1" a="1"/>
  <c r="S1387" i="1" a="1"/>
  <c r="S24" i="1" a="1"/>
  <c r="S1123" i="1" a="1"/>
  <c r="S1133" i="1" a="1"/>
  <c r="S243" i="1" a="1"/>
  <c r="S313" i="1" a="1"/>
  <c r="S553" i="1" a="1"/>
  <c r="O190" i="1" a="1"/>
  <c r="S312" i="1" a="1"/>
  <c r="S737" i="1" a="1"/>
  <c r="S349" i="1" a="1"/>
  <c r="O1209" i="1" a="1"/>
  <c r="S615" i="1" a="1"/>
  <c r="O1176" i="1" a="1"/>
  <c r="S329" i="1" a="1"/>
  <c r="O1311" i="1" a="1"/>
  <c r="S895" i="1" a="1"/>
  <c r="O1097" i="1" a="1"/>
  <c r="S634" i="1" a="1"/>
  <c r="O204" i="1" a="1"/>
  <c r="S337" i="1" a="1"/>
  <c r="O1216" i="1" a="1"/>
  <c r="O715" i="1" a="1"/>
  <c r="O653" i="1" a="1"/>
  <c r="S1079" i="1" a="1"/>
  <c r="S1020" i="1" a="1"/>
  <c r="S969" i="1" a="1"/>
  <c r="S740" i="1" a="1"/>
  <c r="S621" i="1" a="1"/>
  <c r="S1002" i="1" a="1"/>
  <c r="S441" i="1" a="1"/>
  <c r="S973" i="1" a="1"/>
  <c r="S905" i="1" a="1"/>
  <c r="S469" i="1" a="1"/>
  <c r="S1296" i="1" a="1"/>
  <c r="S717" i="1" a="1"/>
  <c r="S145" i="1" a="1"/>
  <c r="S742" i="1" a="1"/>
  <c r="S1302" i="1" a="1"/>
  <c r="O1298" i="1" a="1"/>
  <c r="S410" i="1" a="1"/>
  <c r="S512" i="1" a="1"/>
  <c r="S86" i="1" a="1"/>
  <c r="S763" i="1" a="1"/>
  <c r="S581" i="1" a="1"/>
  <c r="S1172" i="1" a="1"/>
  <c r="S1032" i="1" a="1"/>
  <c r="S344" i="1" a="1"/>
  <c r="S227" i="1" a="1"/>
  <c r="S27" i="1" a="1"/>
  <c r="S1248" i="1" a="1"/>
  <c r="S98" i="1" a="1"/>
  <c r="S1391" i="1" a="1"/>
  <c r="S7" i="1" a="1"/>
  <c r="S859" i="1" a="1"/>
  <c r="S380" i="1" a="1"/>
  <c r="S29" i="1" a="1"/>
  <c r="S1111" i="1" a="1"/>
  <c r="S1347" i="1" a="1"/>
  <c r="S1167" i="1" a="1"/>
  <c r="S1062" i="1" a="1"/>
  <c r="S366" i="1" a="1"/>
  <c r="S785" i="1" a="1"/>
  <c r="S193" i="1" a="1"/>
  <c r="S1035" i="1" a="1"/>
  <c r="S1246" i="1" a="1"/>
  <c r="S61" i="1" a="1"/>
  <c r="S141" i="1" a="1"/>
  <c r="S1068" i="1" a="1"/>
  <c r="S1449" i="1" a="1"/>
  <c r="O754" i="1" a="1"/>
  <c r="S1269" i="1" a="1"/>
  <c r="S1219" i="1" a="1"/>
  <c r="S1429" i="1" a="1"/>
  <c r="S1298" i="1" a="1"/>
  <c r="S217" i="1" a="1"/>
  <c r="S866" i="1" a="1"/>
  <c r="S159" i="1" a="1"/>
  <c r="S642" i="1" a="1"/>
  <c r="S1239" i="1" a="1"/>
  <c r="S515" i="1" a="1"/>
  <c r="S126" i="1" a="1"/>
  <c r="S1101" i="1" a="1"/>
  <c r="S245" i="1" a="1"/>
  <c r="S584" i="1" a="1"/>
  <c r="S463" i="1" a="1"/>
  <c r="O224" i="1" a="1"/>
  <c r="S1395" i="1" a="1"/>
  <c r="S12" i="1" a="1"/>
  <c r="S1207" i="1" a="1"/>
  <c r="S363" i="1" a="1"/>
  <c r="S1252" i="1" a="1"/>
  <c r="S956" i="1" a="1"/>
  <c r="S149" i="1" a="1"/>
  <c r="S479" i="1" a="1"/>
  <c r="S122" i="1" a="1"/>
  <c r="S915" i="1" a="1"/>
  <c r="S1148" i="1" a="1"/>
  <c r="S1021" i="1" a="1"/>
  <c r="S640" i="1" a="1"/>
  <c r="S13" i="1" a="1"/>
  <c r="S1040" i="1" a="1"/>
  <c r="O1333" i="1" a="1"/>
  <c r="S140" i="1" a="1"/>
  <c r="S674" i="1" a="1"/>
  <c r="S1121" i="1" a="1"/>
  <c r="S862" i="1" a="1"/>
  <c r="S1315" i="1" a="1"/>
  <c r="S547" i="1" a="1"/>
  <c r="S1065" i="1" a="1"/>
  <c r="S575" i="1" a="1"/>
  <c r="S1199" i="1" a="1"/>
  <c r="S689" i="1" a="1"/>
  <c r="S1307" i="1" a="1"/>
  <c r="S724" i="1" a="1"/>
  <c r="S715" i="1" a="1"/>
  <c r="S432" i="1" a="1"/>
  <c r="S1312" i="1" a="1"/>
  <c r="S156" i="1" a="1"/>
  <c r="S612" i="1" a="1"/>
  <c r="S1373" i="1" a="1"/>
  <c r="S1092" i="1" a="1"/>
  <c r="S513" i="1" a="1"/>
  <c r="S254" i="1" a="1"/>
  <c r="S968" i="1" a="1"/>
  <c r="S570" i="1" a="1"/>
  <c r="S1438" i="1" a="1"/>
  <c r="S1366" i="1" a="1"/>
  <c r="S579" i="1" a="1"/>
  <c r="S1228" i="1" a="1"/>
  <c r="S1037" i="1" a="1"/>
  <c r="S1364" i="1" a="1"/>
  <c r="S412" i="1" a="1"/>
  <c r="S451" i="1" a="1"/>
  <c r="S954" i="1" a="1"/>
  <c r="S1188" i="1" a="1"/>
  <c r="S504" i="1" a="1"/>
  <c r="S768" i="1" a="1"/>
  <c r="S1212" i="1" a="1"/>
  <c r="S1106" i="1" a="1"/>
  <c r="S1227" i="1" a="1"/>
  <c r="O1250" i="1" a="1"/>
  <c r="S258" i="1" a="1"/>
  <c r="S1132" i="1" a="1"/>
  <c r="S143" i="1" a="1"/>
  <c r="S497" i="1" a="1"/>
  <c r="S1185" i="1" a="1"/>
  <c r="S1171" i="1" a="1"/>
  <c r="S1147" i="1" a="1"/>
  <c r="S436" i="1" a="1"/>
  <c r="S1271" i="1" a="1"/>
  <c r="S745" i="1" a="1"/>
  <c r="S1223" i="1" a="1"/>
  <c r="S45" i="1" a="1"/>
  <c r="S1424" i="1" a="1"/>
  <c r="S1043" i="1" a="1"/>
  <c r="S208" i="1" a="1"/>
  <c r="O1415" i="1" a="1"/>
  <c r="S1215" i="1" a="1"/>
  <c r="S769" i="1" a="1"/>
  <c r="S130" i="1" a="1"/>
  <c r="S848" i="1" a="1"/>
  <c r="S1301" i="1" a="1"/>
  <c r="S755" i="1" a="1"/>
  <c r="S857" i="1" a="1"/>
  <c r="S494" i="1" a="1"/>
  <c r="S261" i="1" a="1"/>
  <c r="S522" i="1" a="1"/>
  <c r="S1369" i="1" a="1"/>
  <c r="S815" i="1" a="1"/>
  <c r="S192" i="1" a="1"/>
  <c r="S1013" i="1" a="1"/>
  <c r="S705" i="1" a="1"/>
  <c r="O1402" i="1" a="1"/>
  <c r="S266" i="1" a="1"/>
  <c r="S904" i="1" a="1"/>
  <c r="S1419" i="1" a="1"/>
  <c r="S830" i="1" a="1"/>
  <c r="S1383" i="1" a="1"/>
  <c r="S1016" i="1" a="1"/>
  <c r="S1237" i="1" a="1"/>
  <c r="S234" i="1" a="1"/>
  <c r="S225" i="1" a="1"/>
  <c r="S810" i="1" a="1"/>
  <c r="S1313" i="1" a="1"/>
  <c r="S1204" i="1" a="1"/>
  <c r="S204" i="1" a="1"/>
  <c r="S1057" i="1" a="1"/>
  <c r="S716" i="1" a="1"/>
  <c r="O225" i="1" a="1"/>
  <c r="S1386" i="1" a="1"/>
  <c r="S693" i="1" a="1"/>
  <c r="S1222" i="1" a="1"/>
  <c r="S940" i="1" a="1"/>
  <c r="S824" i="1" a="1"/>
  <c r="S602" i="1" a="1"/>
  <c r="S1220" i="1" a="1"/>
  <c r="S326" i="1" a="1"/>
  <c r="S1435" i="1" a="1"/>
  <c r="S569" i="1" a="1"/>
  <c r="S468" i="1" a="1"/>
  <c r="S561" i="1" a="1"/>
  <c r="S250" i="1" a="1"/>
  <c r="S1151" i="1" a="1"/>
  <c r="S841" i="1" a="1"/>
  <c r="S1413" i="1" a="1"/>
  <c r="S617" i="1" a="1"/>
  <c r="S1083" i="1" a="1"/>
  <c r="S1174" i="1" a="1"/>
  <c r="S1159" i="1" a="1"/>
  <c r="S1423" i="1" a="1"/>
  <c r="S1241" i="1" a="1"/>
  <c r="S401" i="1" a="1"/>
  <c r="S52" i="1" a="1"/>
  <c r="S21" i="1" a="1"/>
  <c r="S568" i="1" a="1"/>
  <c r="S1243" i="1" a="1"/>
  <c r="S131" i="1" a="1"/>
  <c r="S906" i="1" a="1"/>
  <c r="S119" i="1" a="1"/>
  <c r="S481" i="1" a="1"/>
  <c r="S1447" i="1" a="1"/>
  <c r="S1044" i="1" a="1"/>
  <c r="S293" i="1" a="1"/>
  <c r="O1096" i="1" a="1"/>
  <c r="S1242" i="1" a="1"/>
  <c r="S41" i="1" a="1"/>
  <c r="S1089" i="1" a="1"/>
  <c r="S1385" i="1" a="1"/>
  <c r="S1335" i="1" a="1"/>
  <c r="S486" i="1" a="1"/>
  <c r="S1430" i="1" a="1"/>
  <c r="S531" i="1" a="1"/>
  <c r="S1119" i="1" a="1"/>
  <c r="S727" i="1" a="1"/>
  <c r="S1251" i="1" a="1"/>
  <c r="S1184" i="1" a="1"/>
  <c r="S1210" i="1" a="1"/>
  <c r="S1405" i="1" a="1"/>
  <c r="S648" i="1" a="1"/>
  <c r="O345" i="1" a="1"/>
  <c r="S1426" i="1" a="1"/>
  <c r="S672" i="1" a="1"/>
  <c r="S233" i="1" a="1"/>
  <c r="S80" i="1" a="1"/>
  <c r="S1290" i="1" a="1"/>
  <c r="S811" i="1" a="1"/>
  <c r="S161" i="1" a="1"/>
  <c r="S498" i="1" a="1"/>
  <c r="S1421" i="1" a="1"/>
  <c r="S19" i="1" a="1"/>
  <c r="S112" i="1" a="1"/>
  <c r="S88" i="1" a="1"/>
  <c r="S1064" i="1" a="1"/>
  <c r="S173" i="1" a="1"/>
  <c r="S928" i="1" a="1"/>
  <c r="O1279" i="1" a="1"/>
  <c r="S211" i="1" a="1"/>
  <c r="S633" i="1" a="1"/>
  <c r="S1051" i="1" a="1"/>
  <c r="S1232" i="1" a="1"/>
  <c r="S1093" i="1" a="1"/>
  <c r="S712" i="1" a="1"/>
  <c r="S1450" i="1" a="1"/>
  <c r="S1102" i="1" a="1"/>
  <c r="S688" i="1" a="1"/>
  <c r="S66" i="1" a="1"/>
  <c r="S650" i="1" a="1"/>
  <c r="S11" i="1" a="1"/>
  <c r="S1282" i="1" a="1"/>
  <c r="S157" i="1" a="1"/>
  <c r="S1318" i="1" a="1"/>
  <c r="O640" i="1" a="1"/>
  <c r="S1321" i="1" a="1"/>
  <c r="S820" i="1" a="1"/>
  <c r="S260" i="1" a="1"/>
  <c r="S1375" i="1" a="1"/>
  <c r="S743" i="1" a="1"/>
  <c r="S1046" i="1" a="1"/>
  <c r="S944" i="1" a="1"/>
  <c r="S1169" i="1" a="1"/>
  <c r="S336" i="1" a="1"/>
  <c r="S32" i="1" a="1"/>
  <c r="S108" i="1" a="1"/>
  <c r="S519" i="1" a="1"/>
  <c r="S520" i="1" a="1"/>
  <c r="S49" i="1" a="1"/>
  <c r="S644" i="1" a="1"/>
  <c r="O1144" i="1" a="1"/>
  <c r="S1260" i="1" a="1"/>
  <c r="S281" i="1" a="1"/>
  <c r="S1145" i="1" a="1"/>
  <c r="S526" i="1" a="1"/>
  <c r="S180" i="1" a="1"/>
  <c r="S876" i="1" a="1"/>
  <c r="S887" i="1" a="1"/>
  <c r="S556" i="1" a="1"/>
  <c r="S26" i="1" a="1"/>
  <c r="S656" i="1" a="1"/>
  <c r="S888" i="1" a="1"/>
  <c r="S444" i="1" a="1"/>
  <c r="S35" i="1" a="1"/>
  <c r="S786" i="1" a="1"/>
  <c r="S844" i="1" a="1"/>
  <c r="S856" i="1" a="1"/>
  <c r="S242" i="1" a="1"/>
  <c r="O807" i="1" a="1"/>
  <c r="S802" i="1" a="1"/>
  <c r="S1070" i="1" a="1"/>
  <c r="S861" i="1" a="1"/>
  <c r="S221" i="1" a="1"/>
  <c r="S923" i="1" a="1"/>
  <c r="S1154" i="1" a="1"/>
  <c r="S780" i="1" a="1"/>
  <c r="S1118" i="1" a="1"/>
  <c r="S379" i="1" a="1"/>
  <c r="S1434" i="1" a="1"/>
  <c r="S1162" i="1" a="1"/>
  <c r="S1018" i="1" a="1"/>
  <c r="O445" i="1" a="1"/>
  <c r="S1157" i="1" a="1"/>
  <c r="S244" i="1" a="1"/>
  <c r="S1104" i="1" a="1"/>
  <c r="S235" i="1" a="1"/>
  <c r="S1422" i="1" a="1"/>
  <c r="S593" i="1" a="1"/>
  <c r="S1158" i="1" a="1"/>
  <c r="S1229" i="1" a="1"/>
  <c r="S1221" i="1" a="1"/>
  <c r="S525" i="1" a="1"/>
  <c r="S1360" i="1" a="1"/>
  <c r="S965" i="1" a="1"/>
  <c r="S1281" i="1" a="1"/>
  <c r="S165" i="1" a="1"/>
  <c r="S564" i="1" a="1"/>
  <c r="O1141" i="1" a="1"/>
  <c r="S1288" i="1" a="1"/>
  <c r="S22" i="1" a="1"/>
  <c r="S1206" i="1" a="1"/>
  <c r="S409" i="1" a="1"/>
  <c r="S1080" i="1" a="1"/>
  <c r="S832" i="1" a="1"/>
  <c r="S1075" i="1" a="1"/>
  <c r="S222" i="1" a="1"/>
  <c r="S1394" i="1" a="1"/>
  <c r="S782" i="1" a="1"/>
  <c r="S1116" i="1" a="1"/>
  <c r="S679" i="1" a="1"/>
  <c r="S1103" i="1" a="1"/>
  <c r="S1244" i="1" a="1"/>
  <c r="S774" i="1" a="1"/>
  <c r="O1140" i="1" a="1"/>
  <c r="S1289" i="1" a="1"/>
  <c r="S1100" i="1" a="1"/>
  <c r="S1393" i="1" a="1"/>
  <c r="S714" i="1" a="1"/>
  <c r="S118" i="1" a="1"/>
  <c r="S816" i="1" a="1"/>
  <c r="S171" i="1" a="1"/>
  <c r="S765" i="1" a="1"/>
  <c r="S253" i="1" a="1"/>
  <c r="S574" i="1" a="1"/>
  <c r="S1445" i="1" a="1"/>
  <c r="S361" i="1" a="1"/>
  <c r="S1183" i="1" a="1"/>
  <c r="S683" i="1" a="1"/>
  <c r="S937" i="1" a="1"/>
  <c r="O1082" i="1" a="1"/>
  <c r="S1234" i="1" a="1"/>
  <c r="S355" i="1" a="1"/>
  <c r="S1181" i="1" a="1"/>
  <c r="S588" i="1" a="1"/>
  <c r="S1427" i="1" a="1"/>
  <c r="S595" i="1" a="1"/>
  <c r="S1325" i="1" a="1"/>
  <c r="S465" i="1" a="1"/>
  <c r="S216" i="1" a="1"/>
  <c r="S404" i="1" a="1"/>
  <c r="S167" i="1" a="1"/>
  <c r="S285" i="1" a="1"/>
  <c r="S239" i="1" a="1"/>
  <c r="S804" i="1" a="1"/>
  <c r="S597" i="1" a="1"/>
  <c r="O251" i="1" a="1"/>
  <c r="S1058" i="1" a="1"/>
  <c r="S1110" i="1" a="1"/>
  <c r="S1443" i="1" a="1"/>
  <c r="S801" i="1" a="1"/>
  <c r="S1270" i="1" a="1"/>
  <c r="S60" i="1" a="1"/>
  <c r="S139" i="1" a="1"/>
  <c r="S360" i="1" a="1"/>
  <c r="S1190" i="1" a="1"/>
  <c r="S1218" i="1" a="1"/>
  <c r="S183" i="1" a="1"/>
  <c r="S17" i="1" a="1"/>
  <c r="S1066" i="1" a="1"/>
  <c r="S893" i="1" a="1"/>
  <c r="S407" i="1" a="1"/>
  <c r="O1428" i="1" a="1"/>
  <c r="S1353" i="1" a="1"/>
  <c r="S501" i="1" a="1"/>
  <c r="S1415" i="1" a="1"/>
  <c r="S921" i="1" a="1"/>
  <c r="S1053" i="1" a="1"/>
  <c r="S709" i="1" a="1"/>
  <c r="S1327" i="1" a="1"/>
  <c r="S273" i="1" a="1"/>
  <c r="S1355" i="1" a="1"/>
  <c r="S350" i="1" a="1"/>
  <c r="S184" i="1" a="1"/>
  <c r="S483" i="1" a="1"/>
  <c r="S566" i="1" a="1"/>
  <c r="S1086" i="1" a="1"/>
  <c r="S791" i="1" a="1"/>
  <c r="O1431" i="1" a="1"/>
  <c r="S1444" i="1" a="1"/>
  <c r="S726" i="1" a="1"/>
  <c r="S1334" i="1" a="1"/>
  <c r="S1257" i="1" a="1"/>
  <c r="S651" i="1" a="1"/>
  <c r="S516" i="1" a="1"/>
  <c r="S199" i="1" a="1"/>
  <c r="S182" i="1" a="1"/>
  <c r="S599" i="1" a="1"/>
  <c r="S852" i="1" a="1"/>
  <c r="S424" i="1" a="1"/>
  <c r="S1010" i="1" a="1"/>
  <c r="S495" i="1" a="1"/>
  <c r="S1254" i="1" a="1"/>
  <c r="S1376" i="1" a="1"/>
  <c r="S1329" i="1" a="1"/>
  <c r="S1067" i="1" a="1"/>
  <c r="S772" i="1" a="1"/>
  <c r="O1205" i="1" a="1"/>
  <c r="S354" i="1" a="1"/>
  <c r="O265" i="1" a="1"/>
  <c r="S74" i="1" a="1"/>
  <c r="O1204" i="1" a="1"/>
  <c r="S364" i="1" a="1"/>
  <c r="O1130" i="1" a="1"/>
  <c r="S728" i="1" a="1"/>
  <c r="O1212" i="1" a="1"/>
  <c r="S822" i="1" a="1"/>
  <c r="O1255" i="1" a="1"/>
  <c r="O1408" i="1" a="1"/>
  <c r="O11" i="1" a="1"/>
  <c r="S1356" i="1" a="1"/>
  <c r="S1055" i="1" a="1"/>
  <c r="S195" i="1" a="1"/>
  <c r="S991" i="1" a="1"/>
  <c r="S1177" i="1" a="1"/>
  <c r="S756" i="1" a="1"/>
  <c r="S259" i="1" a="1"/>
  <c r="S1378" i="1" a="1"/>
  <c r="S1283" i="1" a="1"/>
  <c r="S1087" i="1" a="1"/>
  <c r="S189" i="1" a="1"/>
  <c r="S885" i="1" a="1"/>
  <c r="S51" i="1" a="1"/>
  <c r="S302" i="1" a="1"/>
  <c r="S474" i="1" a="1"/>
  <c r="O1194" i="1" a="1"/>
  <c r="S1178" i="1" a="1"/>
  <c r="S539" i="1" a="1"/>
  <c r="S172" i="1" a="1"/>
  <c r="S663" i="1" a="1"/>
  <c r="S1292" i="1" a="1"/>
  <c r="S1000" i="1" a="1"/>
  <c r="S1195" i="1" a="1"/>
  <c r="S65" i="1" a="1"/>
  <c r="S1330" i="1" a="1"/>
  <c r="S1362" i="1" a="1"/>
  <c r="S136" i="1" a="1"/>
  <c r="S1094" i="1" a="1"/>
  <c r="S1230" i="1" a="1"/>
  <c r="S1109" i="1" a="1"/>
  <c r="S793" i="1" a="1"/>
  <c r="O1261" i="1" a="1"/>
  <c r="S1451" i="1" a="1"/>
  <c r="S1036" i="1" a="1"/>
  <c r="S121" i="1" a="1"/>
  <c r="S1416" i="1" a="1"/>
  <c r="S1073" i="1" a="1"/>
  <c r="S1084" i="1" a="1"/>
  <c r="S1164" i="1" a="1"/>
  <c r="S460" i="1" a="1"/>
  <c r="S1240" i="1" a="1"/>
  <c r="S661" i="1" a="1"/>
  <c r="S1344" i="1" a="1"/>
  <c r="S738" i="1" a="1"/>
  <c r="S1127" i="1" a="1"/>
  <c r="S739" i="1" a="1"/>
  <c r="S799" i="1" a="1"/>
  <c r="O1134" i="1" a="1"/>
  <c r="S212" i="1" a="1"/>
  <c r="S992" i="1" a="1"/>
  <c r="S1091" i="1" a="1"/>
  <c r="S994" i="1" a="1"/>
  <c r="S1442" i="1" a="1"/>
  <c r="S330" i="1" a="1"/>
  <c r="S998" i="1" a="1"/>
  <c r="S533" i="1" a="1"/>
  <c r="S1388" i="1" a="1"/>
  <c r="S422" i="1" a="1"/>
  <c r="S1440" i="1" a="1"/>
  <c r="S445" i="1" a="1"/>
  <c r="S37" i="1" a="1"/>
  <c r="S760" i="1" a="1"/>
  <c r="S790" i="1" a="1"/>
  <c r="O1183" i="1" a="1"/>
  <c r="S1048" i="1" a="1"/>
  <c r="S607" i="1" a="1"/>
  <c r="S1436" i="1" a="1"/>
  <c r="S1007" i="1" a="1"/>
  <c r="S241" i="1" a="1"/>
  <c r="S1343" i="1" a="1"/>
  <c r="S807" i="1" a="1"/>
  <c r="S752" i="1" a="1"/>
  <c r="S206" i="1" a="1"/>
  <c r="S678" i="1" a="1"/>
  <c r="S913" i="1" a="1"/>
  <c r="S348" i="1" a="1"/>
  <c r="S641" i="1" a="1"/>
  <c r="S472" i="1" a="1"/>
  <c r="S300" i="1" a="1"/>
  <c r="O1305" i="1" a="1"/>
  <c r="S256" i="1" a="1"/>
  <c r="S94" i="1" a="1"/>
  <c r="S1305" i="1" a="1"/>
  <c r="S983" i="1" a="1"/>
  <c r="S223" i="1" a="1"/>
  <c r="S795" i="1" a="1"/>
  <c r="S1264" i="1" a="1"/>
  <c r="S514" i="1" a="1"/>
  <c r="S1198" i="1" a="1"/>
  <c r="S1259" i="1" a="1"/>
  <c r="S1155" i="1" a="1"/>
  <c r="S291" i="1" a="1"/>
  <c r="S151" i="1" a="1"/>
  <c r="S1090" i="1" a="1"/>
  <c r="S231" i="1" a="1"/>
  <c r="S160" i="1" a="1"/>
  <c r="S1052" i="1" a="1"/>
  <c r="S1196" i="1" a="1"/>
  <c r="S649" i="1" a="1"/>
  <c r="S109" i="1" a="1"/>
  <c r="S2" i="1" a="1"/>
  <c r="S1165" i="1" a="1"/>
  <c r="S764" i="1" a="1"/>
  <c r="S1418" i="1" a="1"/>
  <c r="S1403" i="1" a="1"/>
  <c r="S1214" i="1" a="1"/>
  <c r="S1108" i="1" a="1"/>
  <c r="S1128" i="1" a="1"/>
  <c r="S73" i="1" a="1"/>
  <c r="S986" i="1" a="1"/>
  <c r="O1135" i="1" a="1"/>
  <c r="S230" i="1" a="1"/>
  <c r="S1314" i="1" a="1"/>
  <c r="S636" i="1" a="1"/>
  <c r="O261" i="1" a="1"/>
  <c r="S886" i="1" a="1"/>
  <c r="O1129" i="1" a="1"/>
  <c r="S916" i="1" a="1"/>
  <c r="O1443" i="1" a="1"/>
  <c r="S838" i="1" a="1"/>
  <c r="O189" i="1" a="1"/>
  <c r="S613" i="1" a="1"/>
  <c r="O1071" i="1" a="1"/>
  <c r="S950" i="1" a="1"/>
  <c r="O1262" i="1" a="1"/>
  <c r="O1111" i="1" a="1"/>
  <c r="O753" i="1" a="1"/>
  <c r="S1410" i="1" a="1"/>
  <c r="S537" i="1" a="1"/>
  <c r="S1311" i="1" a="1"/>
  <c r="S1146" i="1" a="1"/>
  <c r="S577" i="1" a="1"/>
  <c r="S1284" i="1" a="1"/>
  <c r="S1161" i="1" a="1"/>
  <c r="S592" i="1" a="1"/>
  <c r="S953" i="1" a="1"/>
  <c r="S939" i="1" a="1"/>
  <c r="S376" i="1" a="1"/>
  <c r="S622" i="1" a="1"/>
  <c r="S741" i="1" a="1"/>
  <c r="S1060" i="1" a="1"/>
  <c r="S1256" i="1" a="1"/>
  <c r="S213" i="1" a="1"/>
  <c r="S984" i="1" a="1"/>
  <c r="S1432" i="1" a="1"/>
  <c r="S1310" i="1" a="1"/>
  <c r="S237" i="1" a="1"/>
  <c r="S1042" i="1" a="1"/>
  <c r="S493" i="1" a="1"/>
  <c r="S1160" i="1" a="1"/>
  <c r="S177" i="1" a="1"/>
  <c r="S137" i="1" a="1"/>
  <c r="S174" i="1" a="1"/>
  <c r="S681" i="1" a="1"/>
  <c r="S1176" i="1" a="1"/>
  <c r="S1197" i="1" a="1"/>
  <c r="S1452" i="1" a="1"/>
  <c r="S1076" i="1" a="1"/>
  <c r="S1105" i="1" a="1"/>
  <c r="S1431" i="1" a="1"/>
  <c r="S1078" i="1" a="1"/>
  <c r="S989" i="1" a="1"/>
  <c r="S1095" i="1" a="1"/>
  <c r="S643" i="1" a="1"/>
  <c r="S413" i="1" a="1"/>
  <c r="S833" i="1" a="1"/>
  <c r="S981" i="1" a="1"/>
  <c r="S507" i="1" a="1"/>
  <c r="S618" i="1" a="1"/>
  <c r="O1318" i="1" a="1"/>
  <c r="S1096" i="1" a="1"/>
  <c r="S198" i="1" a="1"/>
  <c r="S682" i="1" a="1"/>
  <c r="O1336" i="1" a="1"/>
  <c r="S788" i="1" a="1"/>
  <c r="O236" i="1" a="1"/>
  <c r="S796" i="1" a="1"/>
  <c r="O1114" i="1" a="1"/>
  <c r="S979" i="1" a="1"/>
  <c r="O142" i="1" a="1"/>
  <c r="S685" i="1" a="1"/>
  <c r="O1122" i="1" a="1"/>
  <c r="S191" i="1" a="1"/>
  <c r="O1162" i="1" a="1"/>
  <c r="O886" i="1" a="1"/>
  <c r="S1371" i="1" a="1"/>
  <c r="S388" i="1" a="1"/>
  <c r="S535" i="1" a="1"/>
  <c r="O121" i="1" a="1"/>
  <c r="S812" i="1" a="1"/>
  <c r="O1285" i="1" a="1"/>
  <c r="S99" i="1" a="1"/>
  <c r="O567" i="1" a="1"/>
  <c r="S1272" i="1" a="1"/>
  <c r="O1166" i="1" a="1"/>
  <c r="S488" i="1" a="1"/>
  <c r="O1432" i="1" a="1"/>
  <c r="S972" i="1" a="1"/>
  <c r="O246" i="1" a="1"/>
  <c r="O1102" i="1" a="1"/>
  <c r="O849" i="1" a="1"/>
  <c r="S236" i="1" a="1"/>
  <c r="S179" i="1" a="1"/>
  <c r="S1027" i="1" a="1"/>
  <c r="O38" i="1" a="1"/>
  <c r="S506" i="1" a="1"/>
  <c r="O180" i="1" a="1"/>
  <c r="S850" i="1" a="1"/>
  <c r="O1446" i="1" a="1"/>
  <c r="S1274" i="1" a="1"/>
  <c r="O976" i="1" a="1"/>
  <c r="S903" i="1" a="1"/>
  <c r="O203" i="1" a="1"/>
  <c r="S1304" i="1" a="1"/>
  <c r="O217" i="1" a="1"/>
  <c r="O278" i="1" a="1"/>
  <c r="S163" i="1" a="1"/>
  <c r="S1224" i="1" a="1"/>
  <c r="S1115" i="1" a="1"/>
  <c r="S357" i="1" a="1"/>
  <c r="S1193" i="1" a="1"/>
  <c r="S123" i="1" a="1"/>
  <c r="S1255" i="1" a="1"/>
  <c r="S107" i="1" a="1"/>
  <c r="S1299" i="1" a="1"/>
  <c r="O599" i="1" a="1"/>
  <c r="S1266" i="1" a="1"/>
  <c r="O1288" i="1" a="1"/>
  <c r="S240" i="1" a="1"/>
  <c r="O1011" i="1" a="1"/>
  <c r="O801" i="1" a="1"/>
  <c r="O1057" i="1" a="1"/>
  <c r="S106" i="1" a="1"/>
  <c r="S1081" i="1" a="1"/>
  <c r="S691" i="1" a="1"/>
  <c r="O149" i="1" a="1"/>
  <c r="S1396" i="1" a="1"/>
  <c r="O1119" i="1" a="1"/>
  <c r="S1098" i="1" a="1"/>
  <c r="O68" i="1" a="1"/>
  <c r="S565" i="1" a="1"/>
  <c r="O1292" i="1" a="1"/>
  <c r="S286" i="1" a="1"/>
  <c r="O29" i="1" a="1"/>
  <c r="S990" i="1" a="1"/>
  <c r="O1337" i="1" a="1"/>
  <c r="O888" i="1" a="1"/>
  <c r="S1341" i="1" a="1"/>
  <c r="S1041" i="1" a="1"/>
  <c r="S1342" i="1" a="1"/>
  <c r="O1224" i="1" a="1"/>
  <c r="S1009" i="1" a="1"/>
  <c r="O1413" i="1" a="1"/>
  <c r="S9" i="1" a="1"/>
  <c r="O1153" i="1" a="1"/>
  <c r="S1249" i="1" a="1"/>
  <c r="S134" i="1" a="1"/>
  <c r="S90" i="1" a="1"/>
  <c r="O329" i="1" a="1"/>
  <c r="S411" i="1" a="1"/>
  <c r="S55" i="1" a="1"/>
  <c r="S572" i="1" a="1"/>
  <c r="O221" i="1" a="1"/>
  <c r="S492" i="1" a="1"/>
  <c r="S385" i="1" a="1"/>
  <c r="S292" i="1" a="1"/>
  <c r="O1390" i="1" a="1"/>
  <c r="S540" i="1" a="1"/>
  <c r="S606" i="1" a="1"/>
  <c r="S582" i="1" a="1"/>
  <c r="O223" i="1" a="1"/>
  <c r="S730" i="1" a="1"/>
  <c r="S1039" i="1" a="1"/>
  <c r="S318" i="1" a="1"/>
  <c r="S1141" i="1" a="1"/>
  <c r="S664" i="1" a="1"/>
  <c r="S170" i="1" a="1"/>
  <c r="S178" i="1" a="1"/>
  <c r="S158" i="1" a="1"/>
  <c r="S781" i="1" a="1"/>
  <c r="S757" i="1" a="1"/>
  <c r="S1225" i="1" a="1"/>
  <c r="S70" i="1" a="1"/>
  <c r="S1400" i="1" a="1"/>
  <c r="S1346" i="1" a="1"/>
  <c r="S75" i="1" a="1"/>
  <c r="S550" i="1" a="1"/>
  <c r="S228" i="1" a="1"/>
  <c r="S219" i="1" a="1"/>
  <c r="S1217" i="1" a="1"/>
  <c r="S600" i="1" a="1"/>
  <c r="S959" i="1" a="1"/>
  <c r="S475" i="1" a="1"/>
  <c r="S778" i="1" a="1"/>
  <c r="S711" i="1" a="1"/>
  <c r="S925" i="1" a="1"/>
  <c r="O479" i="1" a="1"/>
  <c r="S93" i="1" a="1"/>
  <c r="S542" i="1" a="1"/>
  <c r="S39" i="1" a="1"/>
  <c r="O649" i="1" a="1"/>
  <c r="S970" i="1" a="1"/>
  <c r="O602" i="1" a="1"/>
  <c r="S609" i="1" a="1"/>
  <c r="O127" i="1" a="1"/>
  <c r="S548" i="1" a="1"/>
  <c r="O1313" i="1" a="1"/>
  <c r="S394" i="1" a="1"/>
  <c r="O1053" i="1" a="1"/>
  <c r="S842" i="1" a="1"/>
  <c r="O1393" i="1" a="1"/>
  <c r="O103" i="1" a="1"/>
  <c r="S1213" i="1" a="1"/>
  <c r="S298" i="1" a="1"/>
  <c r="S536" i="1" a="1"/>
  <c r="O1223" i="1" a="1"/>
  <c r="S910" i="1" a="1"/>
  <c r="O162" i="1" a="1"/>
  <c r="S299" i="1" a="1"/>
  <c r="O688" i="1" a="1"/>
  <c r="S924" i="1" a="1"/>
  <c r="O1227" i="1" a="1"/>
  <c r="S527" i="1" a="1"/>
  <c r="O65" i="1" a="1"/>
  <c r="S102" i="1" a="1"/>
  <c r="O1074" i="1" a="1"/>
  <c r="O234" i="1" a="1"/>
  <c r="O367" i="1" a="1"/>
  <c r="S590" i="1" a="1"/>
  <c r="O1433" i="1" a="1"/>
  <c r="S338" i="1" a="1"/>
  <c r="O1049" i="1" a="1"/>
  <c r="S695" i="1" a="1"/>
  <c r="O177" i="1" a="1"/>
  <c r="S868" i="1" a="1"/>
  <c r="O428" i="1" a="1"/>
  <c r="S926" i="1" a="1"/>
  <c r="O1139" i="1" a="1"/>
  <c r="S1004" i="1" a="1"/>
  <c r="O1388" i="1" a="1"/>
  <c r="S911" i="1" a="1"/>
  <c r="S1322" i="1" a="1"/>
  <c r="O977" i="1" a="1"/>
  <c r="S890" i="1" a="1"/>
  <c r="S686" i="1" a="1"/>
  <c r="S1374" i="1" a="1"/>
  <c r="O220" i="1" a="1"/>
  <c r="S57" i="1" a="1"/>
  <c r="O159" i="1" a="1"/>
  <c r="S813" i="1" a="1"/>
  <c r="O1410" i="1" a="1"/>
  <c r="S828" i="1" a="1"/>
  <c r="O1424" i="1" a="1"/>
  <c r="S646" i="1" a="1"/>
  <c r="O412" i="1" a="1"/>
  <c r="S787" i="1" a="1"/>
  <c r="O1325" i="1" a="1"/>
  <c r="O919" i="1" a="1"/>
  <c r="O953" i="1" a="1"/>
  <c r="S500" i="1" a="1"/>
  <c r="S296" i="1" a="1"/>
  <c r="S867" i="1" a="1"/>
  <c r="O1192" i="1" a="1"/>
  <c r="S632" i="1" a="1"/>
  <c r="O1220" i="1" a="1"/>
  <c r="S731" i="1" a="1"/>
  <c r="O1234" i="1" a="1"/>
  <c r="S305" i="1" a="1"/>
  <c r="O164" i="1" a="1"/>
  <c r="S328" i="1" a="1"/>
  <c r="O1349" i="1" a="1"/>
  <c r="S1363" i="1" a="1"/>
  <c r="O1236" i="1" a="1"/>
  <c r="O910" i="1" a="1"/>
  <c r="S268" i="1" a="1"/>
  <c r="O1450" i="1" a="1"/>
  <c r="S797" i="1" a="1"/>
  <c r="O145" i="1" a="1"/>
  <c r="S762" i="1" a="1"/>
  <c r="O996" i="1" a="1"/>
  <c r="S517" i="1" a="1"/>
  <c r="S993" i="1" a="1"/>
  <c r="S1203" i="1" a="1"/>
  <c r="S825" i="1" a="1"/>
  <c r="S667" i="1" a="1"/>
  <c r="O195" i="1" a="1"/>
  <c r="S701" i="1" a="1"/>
  <c r="S803" i="1" a="1"/>
  <c r="S505" i="1" a="1"/>
  <c r="O194" i="1" a="1"/>
  <c r="S496" i="1" a="1"/>
  <c r="S81" i="1" a="1"/>
  <c r="S415" i="1" a="1"/>
  <c r="O228" i="1" a="1"/>
  <c r="S748" i="1" a="1"/>
  <c r="S1026" i="1" a="1"/>
  <c r="S560" i="1" a="1"/>
  <c r="S267" i="1" a="1"/>
  <c r="S71" i="1" a="1"/>
  <c r="S289" i="1" a="1"/>
  <c r="S677" i="1" a="1"/>
  <c r="S150" i="1" a="1"/>
  <c r="S114" i="1" a="1"/>
  <c r="S1354" i="1" a="1"/>
  <c r="S229" i="1" a="1"/>
  <c r="S186" i="1" a="1"/>
  <c r="S1143" i="1" a="1"/>
  <c r="O1195" i="1" a="1"/>
  <c r="S85" i="1" a="1"/>
  <c r="S783" i="1" a="1"/>
  <c r="S6" i="1" a="1"/>
  <c r="S573" i="1" a="1"/>
  <c r="S583" i="1" a="1"/>
  <c r="S133" i="1" a="1"/>
  <c r="S1012" i="1" a="1"/>
  <c r="O1077" i="1" a="1"/>
  <c r="S1099" i="1" a="1"/>
  <c r="O20" i="1" a="1"/>
  <c r="O12" i="1" a="1"/>
  <c r="O1287" i="1" a="1"/>
  <c r="O1164" i="1" a="1"/>
  <c r="O1254" i="1" a="1"/>
  <c r="O1354" i="1" a="1"/>
  <c r="O994" i="1" a="1"/>
  <c r="S639" i="1" a="1"/>
  <c r="S255" i="1" a="1"/>
  <c r="S896" i="1" a="1"/>
  <c r="O1398" i="1" a="1"/>
  <c r="S168" i="1" a="1"/>
  <c r="O1182" i="1" a="1"/>
  <c r="S48" i="1" a="1"/>
  <c r="O1067" i="1" a="1"/>
  <c r="S371" i="1" a="1"/>
  <c r="O242" i="1" a="1"/>
  <c r="S279" i="1" a="1"/>
  <c r="O1073" i="1" a="1"/>
  <c r="S624" i="1" a="1"/>
  <c r="O1367" i="1" a="1"/>
  <c r="O227" i="1" a="1"/>
  <c r="S899" i="1" a="1"/>
  <c r="O139" i="1" a="1"/>
  <c r="S1273" i="1" a="1"/>
  <c r="O200" i="1" a="1"/>
  <c r="S744" i="1" a="1"/>
  <c r="O1090" i="1" a="1"/>
  <c r="S631" i="1" a="1"/>
  <c r="O1052" i="1" a="1"/>
  <c r="S819" i="1" a="1"/>
  <c r="O120" i="1" a="1"/>
  <c r="S761" i="1" a="1"/>
  <c r="O1054" i="1" a="1"/>
  <c r="S754" i="1" a="1"/>
  <c r="O1266" i="1" a="1"/>
  <c r="O1015" i="1" a="1"/>
  <c r="S1082" i="1" a="1"/>
  <c r="S1129" i="1" a="1"/>
  <c r="S125" i="1" a="1"/>
  <c r="S433" i="1" a="1"/>
  <c r="S1250" i="1" a="1"/>
  <c r="S455" i="1" a="1"/>
  <c r="S1345" i="1" a="1"/>
  <c r="S827" i="1" a="1"/>
  <c r="S67" i="1" a="1"/>
  <c r="S148" i="1" a="1"/>
  <c r="S3" i="1" a="1"/>
  <c r="O706" i="1" a="1"/>
  <c r="S113" i="1" a="1"/>
  <c r="O1276" i="1" a="1"/>
  <c r="S1005" i="1" a="1"/>
  <c r="O1355" i="1" a="1"/>
  <c r="S732" i="1" a="1"/>
  <c r="S1402" i="1" a="1"/>
  <c r="S798" i="1" a="1"/>
  <c r="O1351" i="1" a="1"/>
  <c r="S333" i="1" a="1"/>
  <c r="O1386" i="1" a="1"/>
  <c r="S918" i="1" a="1"/>
  <c r="O1093" i="1" a="1"/>
  <c r="S284" i="1" a="1"/>
  <c r="O1419" i="1" a="1"/>
  <c r="S767" i="1" a="1"/>
  <c r="O1180" i="1" a="1"/>
  <c r="S703" i="1" a="1"/>
  <c r="O662" i="1" a="1"/>
  <c r="O1014" i="1" a="1"/>
  <c r="O51" i="1" a="1"/>
  <c r="S1047" i="1" a="1"/>
  <c r="S951" i="1" a="1"/>
  <c r="S1024" i="1" a="1"/>
  <c r="O1379" i="1" a="1"/>
  <c r="S426" i="1" a="1"/>
  <c r="O1440" i="1" a="1"/>
  <c r="S858" i="1" a="1"/>
  <c r="O1352" i="1" a="1"/>
  <c r="S297" i="1" a="1"/>
  <c r="O124" i="1" a="1"/>
  <c r="S322" i="1" a="1"/>
  <c r="O1210" i="1" a="1"/>
  <c r="S246" i="1" a="1"/>
  <c r="O1118" i="1" a="1"/>
  <c r="S375" i="1" a="1"/>
  <c r="S1328" i="1" a="1"/>
  <c r="S1200" i="1" a="1"/>
  <c r="S598" i="1" a="1"/>
  <c r="S1406" i="1" a="1"/>
  <c r="O625" i="1" a="1"/>
  <c r="S1370" i="1" a="1"/>
  <c r="O634" i="1" a="1"/>
  <c r="S1011" i="1" a="1"/>
  <c r="S1163" i="1" a="1"/>
  <c r="S185" i="1" a="1"/>
  <c r="S1247" i="1" a="1"/>
  <c r="S202" i="1" a="1"/>
  <c r="S129" i="1" a="1"/>
  <c r="S1231" i="1" a="1"/>
  <c r="S1337" i="1" a="1"/>
  <c r="S1137" i="1" a="1"/>
  <c r="S1278" i="1" a="1"/>
  <c r="S423" i="1" a="1"/>
  <c r="S196" i="1" a="1"/>
  <c r="S675" i="1" a="1"/>
  <c r="S147" i="1" a="1"/>
  <c r="S1352" i="1" a="1"/>
  <c r="S1309" i="1" a="1"/>
  <c r="S110" i="1" a="1"/>
  <c r="S1124" i="1" a="1"/>
  <c r="S1236" i="1" a="1"/>
  <c r="S429" i="1" a="1"/>
  <c r="S1056" i="1" a="1"/>
  <c r="S194" i="1" a="1"/>
  <c r="S604" i="1" a="1"/>
  <c r="S399" i="1" a="1"/>
  <c r="S528" i="1" a="1"/>
  <c r="S247" i="1" a="1"/>
  <c r="O1448" i="1" a="1"/>
  <c r="S448" i="1" a="1"/>
  <c r="S596" i="1" a="1"/>
  <c r="S249" i="1" a="1"/>
  <c r="S821" i="1" a="1"/>
  <c r="S54" i="1" a="1"/>
  <c r="S1113" i="1" a="1"/>
  <c r="S538" i="1" a="1"/>
  <c r="O37" i="1" a="1"/>
  <c r="S1368" i="1" a="1"/>
  <c r="O188" i="1" a="1"/>
  <c r="O1453" i="1" a="1"/>
  <c r="O1124" i="1" a="1"/>
  <c r="O67" i="1" a="1"/>
  <c r="O26" i="1" a="1"/>
  <c r="O713" i="1" a="1"/>
  <c r="O747" i="1" a="1"/>
  <c r="S187" i="1" a="1"/>
  <c r="S920" i="1" a="1"/>
  <c r="S306" i="1" a="1"/>
  <c r="O1438" i="1" a="1"/>
  <c r="S308" i="1" a="1"/>
  <c r="O174" i="1" a="1"/>
  <c r="S1201" i="1" a="1"/>
  <c r="O1314" i="1" a="1"/>
  <c r="S82" i="1" a="1"/>
  <c r="O259" i="1" a="1"/>
  <c r="S103" i="1" a="1"/>
  <c r="O1383" i="1" a="1"/>
  <c r="S878" i="1" a="1"/>
  <c r="O233" i="1" a="1"/>
  <c r="S1306" i="1" a="1"/>
  <c r="S1437" i="1" a="1"/>
  <c r="S1191" i="1" a="1"/>
  <c r="S1022" i="1" a="1"/>
  <c r="S1153" i="1" a="1"/>
  <c r="S555" i="1" a="1"/>
  <c r="S1319" i="1" a="1"/>
  <c r="S365" i="1" a="1"/>
  <c r="S1338" i="1" a="1"/>
  <c r="S964" i="1" a="1"/>
  <c r="S1216" i="1" a="1"/>
  <c r="S443" i="1" a="1"/>
  <c r="S1054" i="1" a="1"/>
  <c r="O210" i="1" a="1"/>
  <c r="S63" i="1" a="1"/>
  <c r="O934" i="1" a="1"/>
  <c r="S660" i="1" a="1"/>
  <c r="S1030" i="1" a="1"/>
  <c r="S958" i="1" a="1"/>
  <c r="O398" i="1" a="1"/>
  <c r="S518" i="1" a="1"/>
  <c r="O185" i="1" a="1"/>
  <c r="S611" i="1" a="1"/>
  <c r="O146" i="1" a="1"/>
  <c r="S295" i="1" a="1"/>
  <c r="O1387" i="1" a="1"/>
  <c r="S523" i="1" a="1"/>
  <c r="O1087" i="1" a="1"/>
  <c r="S960" i="1" a="1"/>
  <c r="O1282" i="1" a="1"/>
  <c r="O1215" i="1" a="1"/>
  <c r="O1025" i="1" a="1"/>
  <c r="S629" i="1" a="1"/>
  <c r="S1331" i="1" a="1"/>
  <c r="S665" i="1" a="1"/>
  <c r="O183" i="1" a="1"/>
  <c r="S914" i="1" a="1"/>
  <c r="O1397" i="1" a="1"/>
  <c r="S826" i="1" a="1"/>
  <c r="O140" i="1" a="1"/>
  <c r="S551" i="1" a="1"/>
  <c r="O1395" i="1" a="1"/>
  <c r="S930" i="1" a="1"/>
  <c r="O1222" i="1" a="1"/>
  <c r="S851" i="1" a="1"/>
  <c r="O117" i="1" a="1"/>
  <c r="O314" i="1" a="1"/>
  <c r="O79" i="1" a="1"/>
  <c r="S358" i="1" a="1"/>
  <c r="S386" i="1" a="1"/>
  <c r="S31" i="1" a="1"/>
  <c r="O1417" i="1" a="1"/>
  <c r="S69" i="1" a="1"/>
  <c r="O1368" i="1" a="1"/>
  <c r="S84" i="1" a="1"/>
  <c r="O1075" i="1" a="1"/>
  <c r="S902" i="1" a="1"/>
  <c r="O136" i="1" a="1"/>
  <c r="S419" i="1" a="1"/>
  <c r="O1416" i="1" a="1"/>
  <c r="S301" i="1" a="1"/>
  <c r="O1120" i="1" a="1"/>
  <c r="S818" i="1" a="1"/>
  <c r="S625" i="1" a="1"/>
  <c r="S334" i="1" a="1"/>
  <c r="O1350" i="1" a="1"/>
  <c r="S342" i="1" a="1"/>
  <c r="O1218" i="1" a="1"/>
  <c r="S1202" i="1" a="1"/>
  <c r="O1269" i="1" a="1"/>
  <c r="S23" i="1" a="1"/>
  <c r="S1316" i="1" a="1"/>
  <c r="S166" i="1" a="1"/>
  <c r="S1253" i="1" a="1"/>
  <c r="S1349" i="1" a="1"/>
  <c r="S1117" i="1" a="1"/>
  <c r="S713" i="1" a="1"/>
  <c r="S1367" i="1" a="1"/>
  <c r="S397" i="1" a="1"/>
  <c r="S1059" i="1" a="1"/>
  <c r="S1300" i="1" a="1"/>
  <c r="S1382" i="1" a="1"/>
  <c r="S1412" i="1" a="1"/>
  <c r="S251" i="1" a="1"/>
  <c r="S1263" i="1" a="1"/>
  <c r="S1294" i="1" a="1"/>
  <c r="S434" i="1" a="1"/>
  <c r="S1150" i="1" a="1"/>
  <c r="S201" i="1" a="1"/>
  <c r="S232" i="1" a="1"/>
  <c r="S692" i="1" a="1"/>
  <c r="S1114" i="1" a="1"/>
  <c r="S668" i="1" a="1"/>
  <c r="S869" i="1" a="1"/>
  <c r="S823" i="1" a="1"/>
  <c r="S784" i="1" a="1"/>
  <c r="O257" i="1" a="1"/>
  <c r="S104" i="1" a="1"/>
  <c r="S392" i="1" a="1"/>
  <c r="S645" i="1" a="1"/>
  <c r="S669" i="1" a="1"/>
  <c r="S723" i="1" a="1"/>
  <c r="S476" i="1" a="1"/>
  <c r="S860" i="1" a="1"/>
  <c r="O1238" i="1" a="1"/>
  <c r="S340" i="1" a="1"/>
  <c r="O1239" i="1" a="1"/>
  <c r="O113" i="1" a="1"/>
  <c r="O202" i="1" a="1"/>
  <c r="O1105" i="1" a="1"/>
  <c r="O254" i="1" a="1"/>
  <c r="O727" i="1" a="1"/>
  <c r="O561" i="1" a="1"/>
  <c r="S1336" i="1" a="1"/>
  <c r="S430" i="1" a="1"/>
  <c r="S776" i="1" a="1"/>
  <c r="O1245" i="1" a="1"/>
  <c r="S961" i="1" a="1"/>
  <c r="O1452" i="1" a="1"/>
  <c r="S511" i="1" a="1"/>
  <c r="O215" i="1" a="1"/>
  <c r="S353" i="1" a="1"/>
  <c r="O95" i="1" a="1"/>
  <c r="S290" i="1" a="1"/>
  <c r="O1280" i="1" a="1"/>
  <c r="S666" i="1" a="1"/>
  <c r="O678" i="1" a="1"/>
  <c r="S327" i="1" a="1"/>
  <c r="S680" i="1" a="1"/>
  <c r="S95" i="1" a="1"/>
  <c r="O1131" i="1" a="1"/>
  <c r="S773" i="1" a="1"/>
  <c r="O1034" i="1" a="1"/>
  <c r="S771" i="1" a="1"/>
  <c r="O152" i="1" a="1"/>
  <c r="S544" i="1" a="1"/>
  <c r="O167" i="1" a="1"/>
  <c r="S395" i="1" a="1"/>
  <c r="O1436" i="1" a="1"/>
  <c r="S865" i="1" a="1"/>
  <c r="O1409" i="1" a="1"/>
  <c r="O1396" i="1" a="1"/>
  <c r="O452" i="1" a="1"/>
  <c r="S1340" i="1" a="1"/>
  <c r="S1401" i="1" a="1"/>
  <c r="S489" i="1" a="1"/>
  <c r="O1065" i="1" a="1"/>
  <c r="S839" i="1" a="1"/>
  <c r="O1430" i="1" a="1"/>
  <c r="S658" i="1" a="1"/>
  <c r="O1050" i="1" a="1"/>
  <c r="S1365" i="1" a="1"/>
  <c r="O1070" i="1" a="1"/>
  <c r="S698" i="1" a="1"/>
  <c r="O122" i="1" a="1"/>
  <c r="S25" i="1" a="1"/>
  <c r="O161" i="1" a="1"/>
  <c r="O824" i="1" a="1"/>
  <c r="O506" i="1" a="1"/>
  <c r="S257" i="1" a="1"/>
  <c r="S1211" i="1" a="1"/>
  <c r="S1034" i="1" a="1"/>
  <c r="O1251" i="1" a="1"/>
  <c r="S1025" i="1" a="1"/>
  <c r="O61" i="1" a="1"/>
  <c r="S309" i="1" a="1"/>
  <c r="O1187" i="1" a="1"/>
  <c r="S467" i="1" a="1"/>
  <c r="O1136" i="1" a="1"/>
  <c r="S935" i="1" a="1"/>
  <c r="O182" i="1" a="1"/>
  <c r="S684" i="1" a="1"/>
  <c r="O1172" i="1" a="1"/>
  <c r="O982" i="1" a="1"/>
  <c r="O542" i="1" a="1"/>
  <c r="S1350" i="1" a="1"/>
  <c r="S8" i="1" a="1"/>
  <c r="S657" i="1" a="1"/>
  <c r="O1228" i="1" a="1"/>
  <c r="S238" i="1" a="1"/>
  <c r="O214" i="1" a="1"/>
  <c r="S50" i="1" a="1"/>
  <c r="O1345" i="1" a="1"/>
  <c r="S435" i="1" a="1"/>
  <c r="O1439" i="1" a="1"/>
  <c r="S89" i="1" a="1"/>
  <c r="O198" i="1" a="1"/>
  <c r="S546" i="1" a="1"/>
  <c r="O172" i="1" a="1"/>
  <c r="S265" i="1" a="1"/>
  <c r="S138" i="1" a="1"/>
  <c r="S1205" i="1" a="1"/>
  <c r="O423" i="1" a="1"/>
  <c r="S875" i="1" a="1"/>
  <c r="O429" i="1" a="1"/>
  <c r="S557" i="1" a="1"/>
  <c r="O781" i="1" a="1"/>
  <c r="S978" i="1" a="1"/>
  <c r="S277" i="1" a="1"/>
  <c r="S457" i="1" a="1"/>
  <c r="S1379" i="1" a="1"/>
  <c r="S101" i="1" a="1"/>
  <c r="S1265" i="1" a="1"/>
  <c r="S362" i="1" a="1"/>
  <c r="S14" i="1" a="1"/>
  <c r="S957" i="1" a="1"/>
  <c r="S391" i="1" a="1"/>
  <c r="S562" i="1" a="1"/>
  <c r="S806" i="1" a="1"/>
  <c r="S484" i="1" a="1"/>
  <c r="S466" i="1" a="1"/>
  <c r="S770" i="1" a="1"/>
  <c r="S589" i="1" a="1"/>
  <c r="S339" i="1" a="1"/>
  <c r="S586" i="1" a="1"/>
  <c r="S927" i="1" a="1"/>
  <c r="S933" i="1" a="1"/>
  <c r="S1050" i="1" a="1"/>
  <c r="S480" i="1" a="1"/>
  <c r="S1168" i="1" a="1"/>
  <c r="S442" i="1" a="1"/>
  <c r="S485" i="1" a="1"/>
  <c r="S653" i="1" a="1"/>
  <c r="O1392" i="1" a="1"/>
  <c r="S1397" i="1" a="1"/>
  <c r="S46" i="1" a="1"/>
  <c r="S452" i="1" a="1"/>
  <c r="S359" i="1" a="1"/>
  <c r="S252" i="1" a="1"/>
  <c r="S808" i="1" a="1"/>
  <c r="S1003" i="1" a="1"/>
  <c r="O1263" i="1" a="1"/>
  <c r="O212" i="1" a="1"/>
  <c r="O1306" i="1" a="1"/>
  <c r="O1142" i="1" a="1"/>
  <c r="O1125" i="1" a="1"/>
  <c r="O154" i="1" a="1"/>
  <c r="O1200" i="1" a="1"/>
  <c r="O17" i="1" a="1"/>
  <c r="O796" i="1" a="1"/>
  <c r="S458" i="1" a="1"/>
  <c r="O1270" i="1" a="1"/>
  <c r="S316" i="1" a="1"/>
  <c r="O1149" i="1" a="1"/>
  <c r="S97" i="1" a="1"/>
  <c r="O1088" i="1" a="1"/>
  <c r="S1045" i="1" a="1"/>
  <c r="O1154" i="1" a="1"/>
  <c r="S464" i="1" a="1"/>
  <c r="O138" i="1" a="1"/>
  <c r="S534" i="1" a="1"/>
  <c r="O218" i="1" a="1"/>
  <c r="S909" i="1" a="1"/>
  <c r="O1101" i="1" a="1"/>
  <c r="S1038" i="1" a="1"/>
  <c r="S1107" i="1" a="1"/>
  <c r="S40" i="1" a="1"/>
  <c r="O1340" i="1" a="1"/>
  <c r="S440" i="1" a="1"/>
  <c r="O1348" i="1" a="1"/>
  <c r="S580" i="1" a="1"/>
  <c r="O256" i="1" a="1"/>
  <c r="S627" i="1" a="1"/>
  <c r="O1171" i="1" a="1"/>
  <c r="S1085" i="1" a="1"/>
  <c r="O144" i="1" a="1"/>
  <c r="S655" i="1" a="1"/>
  <c r="O260" i="1" a="1"/>
  <c r="O1163" i="1" a="1"/>
  <c r="O948" i="1" a="1"/>
  <c r="S736" i="1" a="1"/>
  <c r="S33" i="1" a="1"/>
  <c r="S831" i="1" a="1"/>
  <c r="O1196" i="1" a="1"/>
  <c r="S758" i="1" a="1"/>
  <c r="O160" i="1" a="1"/>
  <c r="S962" i="1" a="1"/>
  <c r="O1240" i="1" a="1"/>
  <c r="S690" i="1" a="1"/>
  <c r="O1315" i="1" a="1"/>
  <c r="S891" i="1" a="1"/>
  <c r="O1344" i="1" a="1"/>
  <c r="S304" i="1" a="1"/>
  <c r="O1290" i="1" a="1"/>
  <c r="O899" i="1" a="1"/>
  <c r="O943" i="1" a="1"/>
  <c r="S941" i="1" a="1"/>
  <c r="S977" i="1" a="1"/>
  <c r="S503" i="1" a="1"/>
  <c r="O1358" i="1" a="1"/>
  <c r="S406" i="1" a="1"/>
  <c r="O1123" i="1" a="1"/>
  <c r="S91" i="1" a="1"/>
  <c r="O1335" i="1" a="1"/>
  <c r="S952" i="1" a="1"/>
  <c r="O1369" i="1" a="1"/>
  <c r="S934" i="1" a="1"/>
  <c r="O1051" i="1" a="1"/>
  <c r="S425" i="1" a="1"/>
  <c r="O1106" i="1" a="1"/>
  <c r="O541" i="1" a="1"/>
  <c r="O787" i="1" a="1"/>
  <c r="S792" i="1" a="1"/>
  <c r="O1284" i="1" a="1"/>
  <c r="S843" i="1" a="1"/>
  <c r="O143" i="1" a="1"/>
  <c r="S369" i="1" a="1"/>
  <c r="O913" i="1" a="1"/>
  <c r="S280" i="1" a="1"/>
  <c r="O1078" i="1" a="1"/>
  <c r="S834" i="1" a="1"/>
  <c r="S1152" i="1" a="1"/>
  <c r="S708" i="1" a="1"/>
  <c r="S567" i="1" a="1"/>
  <c r="S487" i="1" a="1"/>
  <c r="S870" i="1" a="1"/>
  <c r="S571" i="1" a="1"/>
  <c r="S307" i="1" a="1"/>
  <c r="S637" i="1" a="1"/>
  <c r="O1095" i="1" a="1"/>
  <c r="S389" i="1" a="1"/>
  <c r="O1316" i="1" a="1"/>
  <c r="S417" i="1" a="1"/>
  <c r="O1177" i="1" a="1"/>
  <c r="S697" i="1" a="1"/>
  <c r="S276" i="1" a="1"/>
  <c r="S719" i="1" a="1"/>
  <c r="S898" i="1" a="1"/>
  <c r="S135" i="1" a="1"/>
  <c r="S949" i="1" a="1"/>
  <c r="S882" i="1" a="1"/>
  <c r="S324" i="1" a="1"/>
  <c r="S209" i="1" a="1"/>
  <c r="S847" i="1" a="1"/>
  <c r="S490" i="1" a="1"/>
  <c r="O740" i="1" a="1"/>
  <c r="S995" i="1" a="1"/>
  <c r="S1019" i="1" a="1"/>
  <c r="S325" i="1" a="1"/>
  <c r="S729" i="1" a="1"/>
  <c r="S319" i="1" a="1"/>
  <c r="S381" i="1" a="1"/>
  <c r="S563" i="1" a="1"/>
  <c r="S1131" i="1" a="1"/>
  <c r="S647" i="1" a="1"/>
  <c r="S374" i="1" a="1"/>
  <c r="S352" i="1" a="1"/>
  <c r="S1140" i="1" a="1"/>
  <c r="S384" i="1" a="1"/>
  <c r="S1112" i="1" a="1"/>
  <c r="S78" i="1" a="1"/>
  <c r="S1351" i="1" a="1"/>
  <c r="S341" i="1" a="1"/>
  <c r="O850" i="1" a="1"/>
  <c r="O1359" i="1" a="1"/>
  <c r="S734" i="1" a="1"/>
  <c r="S702" i="1" a="1"/>
  <c r="O1213" i="1" a="1"/>
  <c r="S1233" i="1" a="1"/>
  <c r="O308" i="1" a="1"/>
  <c r="S368" i="1" a="1"/>
  <c r="O794" i="1" a="1"/>
  <c r="O199" i="1" a="1"/>
  <c r="O362" i="1" a="1"/>
  <c r="S207" i="1" a="1"/>
  <c r="O770" i="1" a="1"/>
  <c r="O510" i="1" a="1"/>
  <c r="O430" i="1" a="1"/>
  <c r="O594" i="1" a="1"/>
  <c r="O269" i="1" a="1"/>
  <c r="O586" i="1" a="1"/>
  <c r="O863" i="1" a="1"/>
  <c r="O701" i="1" a="1"/>
  <c r="O404" i="1" a="1"/>
  <c r="O293" i="1" a="1"/>
  <c r="O1347" i="1" a="1"/>
  <c r="O370" i="1" a="1"/>
  <c r="O1055" i="1" a="1"/>
  <c r="O537" i="1" a="1"/>
  <c r="O1437" i="1" a="1"/>
  <c r="O1400" i="1" a="1"/>
  <c r="S722" i="1" a="1"/>
  <c r="O771" i="1" a="1"/>
  <c r="S814" i="1" a="1"/>
  <c r="O1202" i="1" a="1"/>
  <c r="S603" i="1" a="1"/>
  <c r="O34" i="1" a="1"/>
  <c r="O1401" i="1" a="1"/>
  <c r="O746" i="1" a="1"/>
  <c r="O175" i="1" a="1"/>
  <c r="O27" i="1" a="1"/>
  <c r="O1186" i="1" a="1"/>
  <c r="O663" i="1" a="1"/>
  <c r="O1404" i="1" a="1"/>
  <c r="O1231" i="1" a="1"/>
  <c r="O1133" i="1" a="1"/>
  <c r="O547" i="1" a="1"/>
  <c r="O592" i="1" a="1"/>
  <c r="O643" i="1" a="1"/>
  <c r="O893" i="1" a="1"/>
  <c r="O383" i="1" a="1"/>
  <c r="O960" i="1" a="1"/>
  <c r="O305" i="1" a="1"/>
  <c r="O93" i="1" a="1"/>
  <c r="O708" i="1" a="1"/>
  <c r="O573" i="1" a="1"/>
  <c r="O366" i="1" a="1"/>
  <c r="K1264" i="1" a="1"/>
  <c r="K1112" i="1" a="1"/>
  <c r="O170" i="1" a="1"/>
  <c r="O240" i="1" a="1"/>
  <c r="O361" i="1" a="1"/>
  <c r="O58" i="1" a="1"/>
  <c r="O760" i="1" a="1"/>
  <c r="O601" i="1" a="1"/>
  <c r="O581" i="1" a="1"/>
  <c r="O582" i="1" a="1"/>
  <c r="O388" i="1" a="1"/>
  <c r="O877" i="1" a="1"/>
  <c r="O952" i="1" a="1"/>
  <c r="O1042" i="1" a="1"/>
  <c r="O400" i="1" a="1"/>
  <c r="O258" i="1" a="1"/>
  <c r="K1329" i="1" a="1"/>
  <c r="O153" i="1" a="1"/>
  <c r="O892" i="1" a="1"/>
  <c r="O906" i="1" a="1"/>
  <c r="O630" i="1" a="1"/>
  <c r="O1081" i="1" a="1"/>
  <c r="O926" i="1" a="1"/>
  <c r="O967" i="1" a="1"/>
  <c r="O384" i="1" a="1"/>
  <c r="O1013" i="1" a="1"/>
  <c r="O96" i="1" a="1"/>
  <c r="O664" i="1" a="1"/>
  <c r="O32" i="1" a="1"/>
  <c r="O842" i="1" a="1"/>
  <c r="O1045" i="1" a="1"/>
  <c r="S549" i="1" a="1"/>
  <c r="O74" i="1" a="1"/>
  <c r="O939" i="1" a="1"/>
  <c r="O972" i="1" a="1"/>
  <c r="O733" i="1" a="1"/>
  <c r="O908" i="1" a="1"/>
  <c r="O1258" i="1" a="1"/>
  <c r="O1007" i="1" a="1"/>
  <c r="O675" i="1" a="1"/>
  <c r="O875" i="1" a="1"/>
  <c r="O1237" i="1" a="1"/>
  <c r="O466" i="1" a="1"/>
  <c r="O584" i="1" a="1"/>
  <c r="O173" i="1" a="1"/>
  <c r="O1356" i="1" a="1"/>
  <c r="O425" i="1" a="1"/>
  <c r="O401" i="1" a="1"/>
  <c r="O695" i="1" a="1"/>
  <c r="O497" i="1" a="1"/>
  <c r="O1382" i="1" a="1"/>
  <c r="O427" i="1" a="1"/>
  <c r="S1074" i="1" a="1"/>
  <c r="O53" i="1" a="1"/>
  <c r="S269" i="1" a="1"/>
  <c r="S1175" i="1" a="1"/>
  <c r="S1122" i="1" a="1"/>
  <c r="S1425" i="1" a="1"/>
  <c r="S1235" i="1" a="1"/>
  <c r="S1139" i="1" a="1"/>
  <c r="S829" i="1" a="1"/>
  <c r="S616" i="1" a="1"/>
  <c r="S1392" i="1" a="1"/>
  <c r="S779" i="1" a="1"/>
  <c r="S1280" i="1" a="1"/>
  <c r="O1155" i="1" a="1"/>
  <c r="O922" i="1" a="1"/>
  <c r="O897" i="1" a="1"/>
  <c r="O1246" i="1" a="1"/>
  <c r="S1071" i="1" a="1"/>
  <c r="S673" i="1" a="1"/>
  <c r="S699" i="1" a="1"/>
  <c r="S929" i="1" a="1"/>
  <c r="S76" i="1" a="1"/>
  <c r="S77" i="1" a="1"/>
  <c r="S335" i="1" a="1"/>
  <c r="S83" i="1" a="1"/>
  <c r="S197" i="1" a="1"/>
  <c r="S416" i="1" a="1"/>
  <c r="S932" i="1" a="1"/>
  <c r="S931" i="1" a="1"/>
  <c r="S473" i="1" a="1"/>
  <c r="O129" i="1" a="1"/>
  <c r="O1203" i="1" a="1"/>
  <c r="O1310" i="1" a="1"/>
  <c r="S92" i="1" a="1"/>
  <c r="S427" i="1" a="1"/>
  <c r="O1260" i="1" a="1"/>
  <c r="S383" i="1" a="1"/>
  <c r="O158" i="1" a="1"/>
  <c r="S628" i="1" a="1"/>
  <c r="O114" i="1" a="1"/>
  <c r="O1272" i="1" a="1"/>
  <c r="O836" i="1" a="1"/>
  <c r="S694" i="1" a="1"/>
  <c r="S999" i="1" a="1"/>
  <c r="O369" i="1" a="1"/>
  <c r="O595" i="1" a="1"/>
  <c r="O723" i="1" a="1"/>
  <c r="O1016" i="1" a="1"/>
  <c r="O693" i="1" a="1"/>
  <c r="O587" i="1" a="1"/>
  <c r="S367" i="1" a="1"/>
  <c r="O1008" i="1" a="1"/>
  <c r="S789" i="1" a="1"/>
  <c r="O59" i="1" a="1"/>
  <c r="S323" i="1" a="1"/>
  <c r="O57" i="1" a="1"/>
  <c r="O515" i="1" a="1"/>
  <c r="S377" i="1" a="1"/>
  <c r="S706" i="1" a="1"/>
  <c r="O181" i="1" a="1"/>
  <c r="O1083" i="1" a="1"/>
  <c r="O1286" i="1" a="1"/>
  <c r="O241" i="1" a="1"/>
  <c r="O1338" i="1" a="1"/>
  <c r="O674" i="1" a="1"/>
  <c r="O287" i="1" a="1"/>
  <c r="O802" i="1" a="1"/>
  <c r="O491" i="1" a="1"/>
  <c r="O628" i="1" a="1"/>
  <c r="O1044" i="1" a="1"/>
  <c r="O839" i="1" a="1"/>
  <c r="S36" i="1" a="1"/>
  <c r="O105" i="1" a="1"/>
  <c r="O1327" i="1" a="1"/>
  <c r="O9" i="1" a="1"/>
  <c r="O1061" i="1" a="1"/>
  <c r="O321" i="1" a="1"/>
  <c r="O82" i="1" a="1"/>
  <c r="O577" i="1" a="1"/>
  <c r="O1334" i="1" a="1"/>
  <c r="O280" i="1" a="1"/>
  <c r="O999" i="1" a="1"/>
  <c r="O356" i="1" a="1"/>
  <c r="O250" i="1" a="1"/>
  <c r="O292" i="1" a="1"/>
  <c r="K1231" i="1" a="1"/>
  <c r="K29" i="1" a="1"/>
  <c r="S696" i="1" a="1"/>
  <c r="O1143" i="1" a="1"/>
  <c r="O821" i="1" a="1"/>
  <c r="O818" i="1" a="1"/>
  <c r="O54" i="1" a="1"/>
  <c r="O517" i="1" a="1"/>
  <c r="O46" i="1" a="1"/>
  <c r="O502" i="1" a="1"/>
  <c r="O795" i="1" a="1"/>
  <c r="O864" i="1" a="1"/>
  <c r="O208" i="1" a="1"/>
  <c r="O896" i="1" a="1"/>
  <c r="O521" i="1" a="1"/>
  <c r="O1146" i="1" a="1"/>
  <c r="S1380" i="1" a="1"/>
  <c r="S874" i="1" a="1"/>
  <c r="O437" i="1" a="1"/>
  <c r="O2" i="1" a="1"/>
  <c r="O923" i="1" a="1"/>
  <c r="O989" i="1" a="1"/>
  <c r="O1040" i="1" a="1"/>
  <c r="O822" i="1" a="1"/>
  <c r="O1006" i="1" a="1"/>
  <c r="O1346" i="1" a="1"/>
  <c r="O597" i="1" a="1"/>
  <c r="O115" i="1" a="1"/>
  <c r="O819" i="1" a="1"/>
  <c r="O878" i="1" a="1"/>
  <c r="O638" i="1" a="1"/>
  <c r="O1366" i="1" a="1"/>
  <c r="O786" i="1" a="1"/>
  <c r="O4" i="1" a="1"/>
  <c r="O820" i="1" a="1"/>
  <c r="O1151" i="1" a="1"/>
  <c r="O931" i="1" a="1"/>
  <c r="O363" i="1" a="1"/>
  <c r="O942" i="1" a="1"/>
  <c r="O765" i="1" a="1"/>
  <c r="O933" i="1" a="1"/>
  <c r="O390" i="1" a="1"/>
  <c r="O381" i="1" a="1"/>
  <c r="O392" i="1" a="1"/>
  <c r="S718" i="1" a="1"/>
  <c r="S880" i="1" a="1"/>
  <c r="O668" i="1" a="1"/>
  <c r="O244" i="1" a="1"/>
  <c r="O823" i="1" a="1"/>
  <c r="O1021" i="1" a="1"/>
  <c r="S1069" i="1" a="1"/>
  <c r="O767" i="1" a="1"/>
  <c r="S16" i="1" a="1"/>
  <c r="O621" i="1" a="1"/>
  <c r="S1001" i="1" a="1"/>
  <c r="S997" i="1" a="1"/>
  <c r="S311" i="1" a="1"/>
  <c r="S1348" i="1" a="1"/>
  <c r="S608" i="1" a="1"/>
  <c r="S1194" i="1" a="1"/>
  <c r="S1323" i="1" a="1"/>
  <c r="S181" i="1" a="1"/>
  <c r="S450" i="1" a="1"/>
  <c r="S879" i="1" a="1"/>
  <c r="S1180" i="1" a="1"/>
  <c r="S263" i="1" a="1"/>
  <c r="S169" i="1" a="1"/>
  <c r="S1446" i="1" a="1"/>
  <c r="S314" i="1" a="1"/>
  <c r="O1252" i="1" a="1"/>
  <c r="O1407" i="1" a="1"/>
  <c r="O568" i="1" a="1"/>
  <c r="S1428" i="1" a="1"/>
  <c r="O1178" i="1" a="1"/>
  <c r="O52" i="1" a="1"/>
  <c r="O216" i="1" a="1"/>
  <c r="S942" i="1" a="1"/>
  <c r="O1103" i="1" a="1"/>
  <c r="O1271" i="1" a="1"/>
  <c r="O1449" i="1" a="1"/>
  <c r="S203" i="1" a="1"/>
  <c r="S1063" i="1" a="1"/>
  <c r="S721" i="1" a="1"/>
  <c r="O1445" i="1" a="1"/>
  <c r="O156" i="1" a="1"/>
  <c r="O1107" i="1" a="1"/>
  <c r="O128" i="1" a="1"/>
  <c r="S871" i="1" a="1"/>
  <c r="O1170" i="1" a="1"/>
  <c r="S403" i="1" a="1"/>
  <c r="O1384" i="1" a="1"/>
  <c r="O41" i="1" a="1"/>
  <c r="O870" i="1" a="1"/>
  <c r="S1324" i="1" a="1"/>
  <c r="O1259" i="1" a="1"/>
  <c r="S1398" i="1" a="1"/>
  <c r="O71" i="1" a="1"/>
  <c r="S248" i="1" a="1"/>
  <c r="O532" i="1" a="1"/>
  <c r="S626" i="1" a="1"/>
  <c r="O655" i="1" a="1"/>
  <c r="O336" i="1" a="1"/>
  <c r="O1275" i="1" a="1"/>
  <c r="O1442" i="1" a="1"/>
  <c r="O465" i="1" a="1"/>
  <c r="O1399" i="1" a="1"/>
  <c r="O566" i="1" a="1"/>
  <c r="O85" i="1" a="1"/>
  <c r="O728" i="1" a="1"/>
  <c r="O245" i="1" a="1"/>
  <c r="O56" i="1" a="1"/>
  <c r="O744" i="1" a="1"/>
  <c r="O1389" i="1" a="1"/>
  <c r="O564" i="1" a="1"/>
  <c r="O1084" i="1" a="1"/>
  <c r="O709" i="1" a="1"/>
  <c r="O514" i="1" a="1"/>
  <c r="O761" i="1" a="1"/>
  <c r="O880" i="1" a="1"/>
  <c r="O499" i="1" a="1"/>
  <c r="O633" i="1" a="1"/>
  <c r="O947" i="1" a="1"/>
  <c r="O1299" i="1" a="1"/>
  <c r="O451" i="1" a="1"/>
  <c r="O485" i="1" a="1"/>
  <c r="O774" i="1" a="1"/>
  <c r="O676" i="1" a="1"/>
  <c r="O310" i="1" a="1"/>
  <c r="O327" i="1" a="1"/>
  <c r="O995" i="1" a="1"/>
  <c r="O252" i="1" a="1"/>
  <c r="O689" i="1" a="1"/>
  <c r="O1303" i="1" a="1"/>
  <c r="O928" i="1" a="1"/>
  <c r="O529" i="1" a="1"/>
  <c r="O379" i="1" a="1"/>
  <c r="K544" i="1" a="1"/>
  <c r="K1282" i="1" a="1"/>
  <c r="O209" i="1" a="1"/>
  <c r="O1296" i="1" a="1"/>
  <c r="O1300" i="1" a="1"/>
  <c r="S146" i="1" a="1"/>
  <c r="S1268" i="1" a="1"/>
  <c r="S155" i="1" a="1"/>
  <c r="S1120" i="1" a="1"/>
  <c r="S976" i="1" a="1"/>
  <c r="S1134" i="1" a="1"/>
  <c r="S1170" i="1" a="1"/>
  <c r="S1136" i="1" a="1"/>
  <c r="S1135" i="1" a="1"/>
  <c r="S470" i="1" a="1"/>
  <c r="S996" i="1" a="1"/>
  <c r="S345" i="1" a="1"/>
  <c r="S854" i="1" a="1"/>
  <c r="S922" i="1" a="1"/>
  <c r="S152" i="1" a="1"/>
  <c r="O480" i="1" a="1"/>
  <c r="O1265" i="1" a="1"/>
  <c r="O1444" i="1" a="1"/>
  <c r="S863" i="1" a="1"/>
  <c r="O109" i="1" a="1"/>
  <c r="O1323" i="1" a="1"/>
  <c r="O118" i="1" a="1"/>
  <c r="O1253" i="1" a="1"/>
  <c r="O1138" i="1" a="1"/>
  <c r="O458" i="1" a="1"/>
  <c r="S68" i="1" a="1"/>
  <c r="S5" i="1" a="1"/>
  <c r="S894" i="1" a="1"/>
  <c r="S917" i="1" a="1"/>
  <c r="O35" i="1" a="1"/>
  <c r="O239" i="1" a="1"/>
  <c r="O1429" i="1" a="1"/>
  <c r="O201" i="1" a="1"/>
  <c r="S446" i="1" a="1"/>
  <c r="O171" i="1" a="1"/>
  <c r="S387" i="1" a="1"/>
  <c r="O1248" i="1" a="1"/>
  <c r="O1126" i="1" a="1"/>
  <c r="O992" i="1" a="1"/>
  <c r="S128" i="1" a="1"/>
  <c r="S559" i="1" a="1"/>
  <c r="S343" i="1" a="1"/>
  <c r="O1132" i="1" a="1"/>
  <c r="O309" i="1" a="1"/>
  <c r="O721" i="1" a="1"/>
  <c r="O1059" i="1" a="1"/>
  <c r="O64" i="1" a="1"/>
  <c r="O15" i="1" a="1"/>
  <c r="O1374" i="1" a="1"/>
  <c r="O1304" i="1" a="1"/>
  <c r="O607" i="1" a="1"/>
  <c r="O810" i="1" a="1"/>
  <c r="O394" i="1" a="1"/>
  <c r="O332" i="1" a="1"/>
  <c r="S766" i="1" a="1"/>
  <c r="O968" i="1" a="1"/>
  <c r="O33" i="1" a="1"/>
  <c r="O351" i="1" a="1"/>
  <c r="O862" i="1" a="1"/>
  <c r="O1378" i="1" a="1"/>
  <c r="O784" i="1" a="1"/>
  <c r="O100" i="1" a="1"/>
  <c r="O238" i="1" a="1"/>
  <c r="O973" i="1" a="1"/>
  <c r="O1091" i="1" a="1"/>
  <c r="O339" i="1" a="1"/>
  <c r="O1000" i="1" a="1"/>
  <c r="S670" i="1" a="1"/>
  <c r="S543" i="1" a="1"/>
  <c r="O735" i="1" a="1"/>
  <c r="O1267" i="1" a="1"/>
  <c r="O10" i="1" a="1"/>
  <c r="O841" i="1" a="1"/>
  <c r="O360" i="1" a="1"/>
  <c r="O1372" i="1" a="1"/>
  <c r="O748" i="1" a="1"/>
  <c r="O1243" i="1" a="1"/>
  <c r="O858" i="1" a="1"/>
  <c r="O197" i="1" a="1"/>
  <c r="O422" i="1" a="1"/>
  <c r="O959" i="1" a="1"/>
  <c r="O1219" i="1" a="1"/>
  <c r="K1347" i="1" a="1"/>
  <c r="S1208" i="1" a="1"/>
  <c r="S1377" i="1" a="1"/>
  <c r="O884" i="1" a="1"/>
  <c r="O1035" i="1" a="1"/>
  <c r="O271" i="1" a="1"/>
  <c r="O1411" i="1" a="1"/>
  <c r="O749" i="1" a="1"/>
  <c r="O468" i="1" a="1"/>
  <c r="O752" i="1" a="1"/>
  <c r="O1294" i="1" a="1"/>
  <c r="O925" i="1" a="1"/>
  <c r="O554" i="1" a="1"/>
  <c r="O729" i="1" a="1"/>
  <c r="O596" i="1" a="1"/>
  <c r="O665" i="1" a="1"/>
  <c r="S901" i="1" a="1"/>
  <c r="S846" i="1" a="1"/>
  <c r="O726" i="1" a="1"/>
  <c r="O1281" i="1" a="1"/>
  <c r="O813" i="1" a="1"/>
  <c r="O622" i="1" a="1"/>
  <c r="O504" i="1" a="1"/>
  <c r="O1062" i="1" a="1"/>
  <c r="S947" i="1" a="1"/>
  <c r="O522" i="1" a="1"/>
  <c r="S421" i="1" a="1"/>
  <c r="O1033" i="1" a="1"/>
  <c r="O1221" i="1" a="1"/>
  <c r="O692" i="1" a="1"/>
  <c r="S900" i="1" a="1"/>
  <c r="O1094" i="1" a="1"/>
  <c r="O955" i="1" a="1"/>
  <c r="O1032" i="1" a="1"/>
  <c r="O778" i="1" a="1"/>
  <c r="O759" i="1" a="1"/>
  <c r="O1023" i="1" a="1"/>
  <c r="O660" i="1" a="1"/>
  <c r="O63" i="1" a="1"/>
  <c r="O722" i="1" a="1"/>
  <c r="S1017" i="1" a="1"/>
  <c r="O940" i="1" a="1"/>
  <c r="S482" i="1" a="1"/>
  <c r="O1002" i="1" a="1"/>
  <c r="S373" i="1" a="1"/>
  <c r="S1031" i="1" a="1"/>
  <c r="S610" i="1" a="1"/>
  <c r="S889" i="1" a="1"/>
  <c r="S1125" i="1" a="1"/>
  <c r="S1407" i="1" a="1"/>
  <c r="S218" i="1" a="1"/>
  <c r="S1187" i="1" a="1"/>
  <c r="S224" i="1" a="1"/>
  <c r="S884" i="1" a="1"/>
  <c r="S836" i="1" a="1"/>
  <c r="S1277" i="1" a="1"/>
  <c r="S320" i="1" a="1"/>
  <c r="S872" i="1" a="1"/>
  <c r="S985" i="1" a="1"/>
  <c r="S72" i="1" a="1"/>
  <c r="S897" i="1" a="1"/>
  <c r="S87" i="1" a="1"/>
  <c r="O648" i="1" a="1"/>
  <c r="S331" i="1" a="1"/>
  <c r="S418" i="1" a="1"/>
  <c r="S271" i="1" a="1"/>
  <c r="O102" i="1" a="1"/>
  <c r="S835" i="1" a="1"/>
  <c r="S1361" i="1" a="1"/>
  <c r="S34" i="1" a="1"/>
  <c r="O782" i="1" a="1"/>
  <c r="S1226" i="1" a="1"/>
  <c r="O268" i="1" a="1"/>
  <c r="O677" i="1" a="1"/>
  <c r="S56" i="1" a="1"/>
  <c r="S877" i="1" a="1"/>
  <c r="S578" i="1" a="1"/>
  <c r="O1322" i="1" a="1"/>
  <c r="S943" i="1" a="1"/>
  <c r="O125" i="1" a="1"/>
  <c r="S853" i="1" a="1"/>
  <c r="O1127" i="1" a="1"/>
  <c r="O651" i="1" a="1"/>
  <c r="O304" i="1" a="1"/>
  <c r="O881" i="1" a="1"/>
  <c r="O1321" i="1" a="1"/>
  <c r="O276" i="1" a="1"/>
  <c r="O548" i="1" a="1"/>
  <c r="O178" i="1" a="1"/>
  <c r="O560" i="1" a="1"/>
  <c r="O641" i="1" a="1"/>
  <c r="O887" i="1" a="1"/>
  <c r="O552" i="1" a="1"/>
  <c r="O803" i="1" a="1"/>
  <c r="O134" i="1" a="1"/>
  <c r="O478" i="1" a="1"/>
  <c r="O574" i="1" a="1"/>
  <c r="O750" i="1" a="1"/>
  <c r="O696" i="1" a="1"/>
  <c r="O219" i="1" a="1"/>
  <c r="O954" i="1" a="1"/>
  <c r="O454" i="1" a="1"/>
  <c r="O1425" i="1" a="1"/>
  <c r="O730" i="1" a="1"/>
  <c r="O978" i="1" a="1"/>
  <c r="O1375" i="1" a="1"/>
  <c r="O91" i="1" a="1"/>
  <c r="O450" i="1" a="1"/>
  <c r="O387" i="1" a="1"/>
  <c r="O768" i="1" a="1"/>
  <c r="O725" i="1" a="1"/>
  <c r="O854" i="1" a="1"/>
  <c r="S38" i="1" a="1"/>
  <c r="O131" i="1" a="1"/>
  <c r="O984" i="1" a="1"/>
  <c r="O371" i="1" a="1"/>
  <c r="O809" i="1" a="1"/>
  <c r="O69" i="1" a="1"/>
  <c r="O758" i="1" a="1"/>
  <c r="O264" i="1" a="1"/>
  <c r="O606" i="1" a="1"/>
  <c r="O714" i="1" a="1"/>
  <c r="O523" i="1" a="1"/>
  <c r="O679" i="1" a="1"/>
  <c r="O476" i="1" a="1"/>
  <c r="O294" i="1" a="1"/>
  <c r="S554" i="1" a="1"/>
  <c r="K1150" i="1" a="1"/>
  <c r="S1245" i="1" a="1"/>
  <c r="O1241" i="1" a="1"/>
  <c r="O840" i="1" a="1"/>
  <c r="O1030" i="1" a="1"/>
  <c r="O358" i="1" a="1"/>
  <c r="O108" i="1" a="1"/>
  <c r="O297" i="1" a="1"/>
  <c r="O1370" i="1" a="1"/>
  <c r="O350" i="1" a="1"/>
  <c r="O1056" i="1" a="1"/>
  <c r="O205" i="1" a="1"/>
  <c r="O334" i="1" a="1"/>
  <c r="S1142" i="1" a="1"/>
  <c r="O917" i="1" a="1"/>
  <c r="O253" i="1" a="1"/>
  <c r="O62" i="1" a="1"/>
  <c r="O255" i="1" a="1"/>
  <c r="S530" i="1" a="1"/>
  <c r="O472" i="1" a="1"/>
  <c r="S892" i="1" a="1"/>
  <c r="O402" i="1" a="1"/>
  <c r="S431" i="1" a="1"/>
  <c r="O283" i="1" a="1"/>
  <c r="O112" i="1" a="1"/>
  <c r="O414" i="1" a="1"/>
  <c r="O944" i="1" a="1"/>
  <c r="O766" i="1" a="1"/>
  <c r="O945" i="1" a="1"/>
  <c r="O734" i="1" a="1"/>
  <c r="S351" i="1" a="1"/>
  <c r="S502" i="1" a="1"/>
  <c r="O924" i="1" a="1"/>
  <c r="O652" i="1" a="1"/>
  <c r="O644" i="1" a="1"/>
  <c r="O1406" i="1" a="1"/>
  <c r="O1003" i="1" a="1"/>
  <c r="O869" i="1" a="1"/>
  <c r="S370" i="1" a="1"/>
  <c r="O1137" i="1" a="1"/>
  <c r="O106" i="1" a="1"/>
  <c r="O825" i="1" a="1"/>
  <c r="O1185" i="1" a="1"/>
  <c r="O399" i="1" a="1"/>
  <c r="O1089" i="1" a="1"/>
  <c r="O1156" i="1" a="1"/>
  <c r="O600" i="1" a="1"/>
  <c r="O393" i="1" a="1"/>
  <c r="O1330" i="1" a="1"/>
  <c r="O707" i="1" a="1"/>
  <c r="O612" i="1" a="1"/>
  <c r="O872" i="1" a="1"/>
  <c r="O549" i="1" a="1"/>
  <c r="O1027" i="1" a="1"/>
  <c r="S908" i="1" a="1"/>
  <c r="S845" i="1" a="1"/>
  <c r="S96" i="1" a="1"/>
  <c r="S408" i="1" a="1"/>
  <c r="S310" i="1" a="1"/>
  <c r="S1192" i="1" a="1"/>
  <c r="S1357" i="1" a="1"/>
  <c r="S1384" i="1" a="1"/>
  <c r="S393" i="1" a="1"/>
  <c r="S405" i="1" a="1"/>
  <c r="S687" i="1" a="1"/>
  <c r="O326" i="1" a="1"/>
  <c r="O1217" i="1" a="1"/>
  <c r="O1339" i="1" a="1"/>
  <c r="S948" i="1" a="1"/>
  <c r="S439" i="1" a="1"/>
  <c r="S317" i="1" a="1"/>
  <c r="O21" i="1" a="1"/>
  <c r="S558" i="1" a="1"/>
  <c r="S47" i="1" a="1"/>
  <c r="S347" i="1" a="1"/>
  <c r="O1112" i="1" a="1"/>
  <c r="S630" i="1" a="1"/>
  <c r="S471" i="1" a="1"/>
  <c r="S346" i="1" a="1"/>
  <c r="O856" i="1" a="1"/>
  <c r="O1173" i="1" a="1"/>
  <c r="O1181" i="1" a="1"/>
  <c r="O1242" i="1" a="1"/>
  <c r="S967" i="1" a="1"/>
  <c r="S462" i="1" a="1"/>
  <c r="S382" i="1" a="1"/>
  <c r="O1268" i="1" a="1"/>
  <c r="S282" i="1" a="1"/>
  <c r="O1418" i="1" a="1"/>
  <c r="S510" i="1" a="1"/>
  <c r="O1079" i="1" a="1"/>
  <c r="O373" i="1" a="1"/>
  <c r="O301" i="1" a="1"/>
  <c r="S428" i="1" a="1"/>
  <c r="O1104" i="1" a="1"/>
  <c r="O617" i="1" a="1"/>
  <c r="O657" i="1" a="1"/>
  <c r="O736" i="1" a="1"/>
  <c r="O482" i="1" a="1"/>
  <c r="O670" i="1" a="1"/>
  <c r="O545" i="1" a="1"/>
  <c r="O1208" i="1" a="1"/>
  <c r="O274" i="1" a="1"/>
  <c r="O905" i="1" a="1"/>
  <c r="O389" i="1" a="1"/>
  <c r="O1332" i="1" a="1"/>
  <c r="O938" i="1" a="1"/>
  <c r="S315" i="1" a="1"/>
  <c r="S809" i="1" a="1"/>
  <c r="O1302" i="1" a="1"/>
  <c r="O1201" i="1" a="1"/>
  <c r="O1150" i="1" a="1"/>
  <c r="O508" i="1" a="1"/>
  <c r="O23" i="1" a="1"/>
  <c r="O186" i="1" a="1"/>
  <c r="O471" i="1" a="1"/>
  <c r="O711" i="1" a="1"/>
  <c r="O598" i="1" a="1"/>
  <c r="O525" i="1" a="1"/>
  <c r="O702" i="1" a="1"/>
  <c r="O951" i="1" a="1"/>
  <c r="S750" i="1" a="1"/>
  <c r="S10" i="1" a="1"/>
  <c r="O671" i="1" a="1"/>
  <c r="O36" i="1" a="1"/>
  <c r="O307" i="1" a="1"/>
  <c r="O1342" i="1" a="1"/>
  <c r="O623" i="1" a="1"/>
  <c r="O885" i="1" a="1"/>
  <c r="S288" i="1" a="1"/>
  <c r="O902" i="1" a="1"/>
  <c r="S963" i="1" a="1"/>
  <c r="O764" i="1" a="1"/>
  <c r="S272" i="1" a="1"/>
  <c r="O107" i="1" a="1"/>
  <c r="O1405" i="1" a="1"/>
  <c r="K783" i="1" a="1"/>
  <c r="S477" i="1" a="1"/>
  <c r="S447" i="1" a="1"/>
  <c r="O966" i="1" a="1"/>
  <c r="O1394" i="1" a="1"/>
  <c r="O551" i="1" a="1"/>
  <c r="O133" i="1" a="1"/>
  <c r="O330" i="1" a="1"/>
  <c r="O60" i="1" a="1"/>
  <c r="S53" i="1" a="1"/>
  <c r="O961" i="1" a="1"/>
  <c r="S1028" i="1" a="1"/>
  <c r="O1157" i="1" a="1"/>
  <c r="O998" i="1" a="1"/>
  <c r="O1317" i="1" a="1"/>
  <c r="O559" i="1" a="1"/>
  <c r="S601" i="1" a="1"/>
  <c r="S982" i="1" a="1"/>
  <c r="O130" i="1" a="1"/>
  <c r="O785" i="1" a="1"/>
  <c r="O111" i="1" a="1"/>
  <c r="O1100" i="1" a="1"/>
  <c r="O247" i="1" a="1"/>
  <c r="O903" i="1" a="1"/>
  <c r="O716" i="1" a="1"/>
  <c r="O724" i="1" a="1"/>
  <c r="O14" i="1" a="1"/>
  <c r="O487" i="1" a="1"/>
  <c r="O222" i="1" a="1"/>
  <c r="O683" i="1" a="1"/>
  <c r="O1441" i="1" a="1"/>
  <c r="O1422" i="1" a="1"/>
  <c r="S111" i="1" a="1"/>
  <c r="O530" i="1" a="1"/>
  <c r="S456" i="1" a="1"/>
  <c r="O991" i="1" a="1"/>
  <c r="S576" i="1" a="1"/>
  <c r="O1283" i="1" a="1"/>
  <c r="O30" i="1" a="1"/>
  <c r="O737" i="1" a="1"/>
  <c r="O1293" i="1" a="1"/>
  <c r="O348" i="1" a="1"/>
  <c r="O481" i="1" a="1"/>
  <c r="O895" i="1" a="1"/>
  <c r="S43" i="1" a="1"/>
  <c r="O673" i="1" a="1"/>
  <c r="O97" i="1" a="1"/>
  <c r="O1017" i="1" a="1"/>
  <c r="O501" i="1" a="1"/>
  <c r="O333" i="1" a="1"/>
  <c r="O588" i="1" a="1"/>
  <c r="O385" i="1" a="1"/>
  <c r="O1036" i="1" a="1"/>
  <c r="O89" i="1" a="1"/>
  <c r="S42" i="1" a="1"/>
  <c r="S200" i="1" a="1"/>
  <c r="S402" i="1" a="1"/>
  <c r="S1333" i="1" a="1"/>
  <c r="O243" i="1" a="1"/>
  <c r="O882" i="1" a="1"/>
  <c r="O1249" i="1" a="1"/>
  <c r="S1275" i="1" a="1"/>
  <c r="O1427" i="1" a="1"/>
  <c r="O611" i="1" a="1"/>
  <c r="O1165" i="1" a="1"/>
  <c r="O900" i="1" a="1"/>
  <c r="O474" i="1" a="1"/>
  <c r="O800" i="1" a="1"/>
  <c r="O894" i="1" a="1"/>
  <c r="O443" i="1" a="1"/>
  <c r="O324" i="1" a="1"/>
  <c r="O1447" i="1" a="1"/>
  <c r="O449" i="1" a="1"/>
  <c r="O3" i="1" a="1"/>
  <c r="O43" i="1" a="1"/>
  <c r="O193" i="1" a="1"/>
  <c r="O1256" i="1" a="1"/>
  <c r="O317" i="1" a="1"/>
  <c r="O1004" i="1" a="1"/>
  <c r="O31" i="1" a="1"/>
  <c r="O1199" i="1" a="1"/>
  <c r="O1121" i="1" a="1"/>
  <c r="O511" i="1" a="1"/>
  <c r="O1109" i="1" a="1"/>
  <c r="O1012" i="1" a="1"/>
  <c r="O608" i="1" a="1"/>
  <c r="O1179" i="1" a="1"/>
  <c r="O132" i="1" a="1"/>
  <c r="O372" i="1" a="1"/>
  <c r="O45" i="1" a="1"/>
  <c r="O1207" i="1" a="1"/>
  <c r="O312" i="1" a="1"/>
  <c r="O865" i="1" a="1"/>
  <c r="O290" i="1" a="1"/>
  <c r="O828" i="1" a="1"/>
  <c r="O1085" i="1" a="1"/>
  <c r="O169" i="1" a="1"/>
  <c r="O983" i="1" a="1"/>
  <c r="O229" i="1" a="1"/>
  <c r="O861" i="1" a="1"/>
  <c r="K942" i="1" a="1"/>
  <c r="S840" i="1" a="1"/>
  <c r="O974" i="1" a="1"/>
  <c r="K1361" i="1" a="1"/>
  <c r="K887" i="1" a="1"/>
  <c r="K748" i="1" a="1"/>
  <c r="K713" i="1" a="1"/>
  <c r="K180" i="1" a="1"/>
  <c r="O1391" i="1" a="1"/>
  <c r="K747" i="1" a="1"/>
  <c r="O488" i="1" a="1"/>
  <c r="K1130" i="1" a="1"/>
  <c r="O7" i="1" a="1"/>
  <c r="O788" i="1" a="1"/>
  <c r="K1424" i="1" a="1"/>
  <c r="O1115" i="1" a="1"/>
  <c r="K1091" i="1" a="1"/>
  <c r="K997" i="1" a="1"/>
  <c r="K176" i="1" a="1"/>
  <c r="K264" i="1" a="1"/>
  <c r="K532" i="1" a="1"/>
  <c r="K1280" i="1" a="1"/>
  <c r="K337" i="1" a="1"/>
  <c r="K1296" i="1" a="1"/>
  <c r="K1330" i="1" a="1"/>
  <c r="K766" i="1" a="1"/>
  <c r="K772" i="1" a="1"/>
  <c r="O669" i="1" a="1"/>
  <c r="O965" i="1" a="1"/>
  <c r="K1274" i="1" a="1"/>
  <c r="O1380" i="1" a="1"/>
  <c r="K1202" i="1" a="1"/>
  <c r="O632" i="1" a="1"/>
  <c r="K851" i="1" a="1"/>
  <c r="O48" i="1" a="1"/>
  <c r="K1287" i="1" a="1"/>
  <c r="K343" i="1" a="1"/>
  <c r="K133" i="1" a="1"/>
  <c r="K1429" i="1" a="1"/>
  <c r="K128" i="1" a="1"/>
  <c r="K28" i="1" a="1"/>
  <c r="K524" i="1" a="1"/>
  <c r="K1078" i="1" a="1"/>
  <c r="K579" i="1" a="1"/>
  <c r="K808" i="1" a="1"/>
  <c r="O438" i="1" a="1"/>
  <c r="O279" i="1" a="1"/>
  <c r="K1435" i="1" a="1"/>
  <c r="K476" i="1" a="1"/>
  <c r="K1403" i="1" a="1"/>
  <c r="K1390" i="1" a="1"/>
  <c r="K1163" i="1" a="1"/>
  <c r="K1351" i="1" a="1"/>
  <c r="O135" i="1" a="1"/>
  <c r="K536" i="1" a="1"/>
  <c r="O779" i="1" a="1"/>
  <c r="K978" i="1" a="1"/>
  <c r="O300" i="1" a="1"/>
  <c r="K132" i="1" a="1"/>
  <c r="K556" i="1" a="1"/>
  <c r="S794" i="1" a="1"/>
  <c r="O44" i="1" a="1"/>
  <c r="O337" i="1" a="1"/>
  <c r="K911" i="1" a="1"/>
  <c r="K446" i="1" a="1"/>
  <c r="K1090" i="1" a="1"/>
  <c r="K1334" i="1" a="1"/>
  <c r="K491" i="1" a="1"/>
  <c r="K369" i="1" a="1"/>
  <c r="O576" i="1" a="1"/>
  <c r="K101" i="1" a="1"/>
  <c r="O382" i="1" a="1"/>
  <c r="K316" i="1" a="1"/>
  <c r="O705" i="1" a="1"/>
  <c r="K1353" i="1" a="1"/>
  <c r="O699" i="1" a="1"/>
  <c r="O403" i="1" a="1"/>
  <c r="K973" i="1" a="1"/>
  <c r="K12" i="1" a="1"/>
  <c r="K90" i="1" a="1"/>
  <c r="K699" i="1" a="1"/>
  <c r="K199" i="1" a="1"/>
  <c r="S1049" i="1" a="1"/>
  <c r="S1404" i="1" a="1"/>
  <c r="S303" i="1" a="1"/>
  <c r="S521" i="1" a="1"/>
  <c r="O147" i="1" a="1"/>
  <c r="O1076" i="1" a="1"/>
  <c r="S175" i="1" a="1"/>
  <c r="S980" i="1" a="1"/>
  <c r="S1149" i="1" a="1"/>
  <c r="S491" i="1" a="1"/>
  <c r="O958" i="1" a="1"/>
  <c r="O538" i="1" a="1"/>
  <c r="O272" i="1" a="1"/>
  <c r="O380" i="1" a="1"/>
  <c r="O486" i="1" a="1"/>
  <c r="O285" i="1" a="1"/>
  <c r="O94" i="1" a="1"/>
  <c r="S321" i="1" a="1"/>
  <c r="O804" i="1" a="1"/>
  <c r="O846" i="1" a="1"/>
  <c r="O346" i="1" a="1"/>
  <c r="S946" i="1" a="1"/>
  <c r="O575" i="1" a="1"/>
  <c r="O1024" i="1" a="1"/>
  <c r="O266" i="1" a="1"/>
  <c r="O590" i="1" a="1"/>
  <c r="S725" i="1" a="1"/>
  <c r="O682" i="1" a="1"/>
  <c r="O837" i="1" a="1"/>
  <c r="O1043" i="1" a="1"/>
  <c r="O84" i="1" a="1"/>
  <c r="S1179" i="1" a="1"/>
  <c r="O101" i="1" a="1"/>
  <c r="O526" i="1" a="1"/>
  <c r="O684" i="1" a="1"/>
  <c r="O720" i="1" a="1"/>
  <c r="O87" i="1" a="1"/>
  <c r="O540" i="1" a="1"/>
  <c r="O349" i="1" a="1"/>
  <c r="O979" i="1" a="1"/>
  <c r="O5" i="1" a="1"/>
  <c r="O751" i="1" a="1"/>
  <c r="O1009" i="1" a="1"/>
  <c r="S800" i="1" a="1"/>
  <c r="O415" i="1" a="1"/>
  <c r="O700" i="1" a="1"/>
  <c r="K27" i="1" a="1"/>
  <c r="O306" i="1" a="1"/>
  <c r="O845" i="1" a="1"/>
  <c r="K145" i="1" a="1"/>
  <c r="S1258" i="1" a="1"/>
  <c r="K1152" i="1" a="1"/>
  <c r="O470" i="1" a="1"/>
  <c r="K1027" i="1" a="1"/>
  <c r="O957" i="1" a="1"/>
  <c r="K143" i="1" a="1"/>
  <c r="O890" i="1" a="1"/>
  <c r="K1227" i="1" a="1"/>
  <c r="O73" i="1" a="1"/>
  <c r="O1018" i="1" a="1"/>
  <c r="K853" i="1" a="1"/>
  <c r="K555" i="1" a="1"/>
  <c r="K435" i="1" a="1"/>
  <c r="K1120" i="1" a="1"/>
  <c r="K1194" i="1" a="1"/>
  <c r="K52" i="1" a="1"/>
  <c r="K1135" i="1" a="1"/>
  <c r="K776" i="1" a="1"/>
  <c r="K44" i="1" a="1"/>
  <c r="K1350" i="1" a="1"/>
  <c r="K640" i="1" a="1"/>
  <c r="K1166" i="1" a="1"/>
  <c r="K502" i="1" a="1"/>
  <c r="S188" i="1" a="1"/>
  <c r="O1188" i="1" a="1"/>
  <c r="K1217" i="1" a="1"/>
  <c r="O986" i="1" a="1"/>
  <c r="K87" i="1" a="1"/>
  <c r="O83" i="1" a="1"/>
  <c r="K1153" i="1" a="1"/>
  <c r="O580" i="1" a="1"/>
  <c r="K886" i="1" a="1"/>
  <c r="K1391" i="1" a="1"/>
  <c r="K194" i="1" a="1"/>
  <c r="K1444" i="1" a="1"/>
  <c r="K43" i="1" a="1"/>
  <c r="K462" i="1" a="1"/>
  <c r="K1187" i="1" a="1"/>
  <c r="K649" i="1" a="1"/>
  <c r="K1436" i="1" a="1"/>
  <c r="O110" i="1" a="1"/>
  <c r="O90" i="1" a="1"/>
  <c r="O929" i="1" a="1"/>
  <c r="K773" i="1" a="1"/>
  <c r="K1417" i="1" a="1"/>
  <c r="K1188" i="1" a="1"/>
  <c r="K827" i="1" a="1"/>
  <c r="K870" i="1" a="1"/>
  <c r="K1295" i="1" a="1"/>
  <c r="O690" i="1" a="1"/>
  <c r="K80" i="1" a="1"/>
  <c r="O81" i="1" a="1"/>
  <c r="K1137" i="1" a="1"/>
  <c r="O1412" i="1" a="1"/>
  <c r="K1026" i="1" a="1"/>
  <c r="K1413" i="1" a="1"/>
  <c r="S378" i="1" a="1"/>
  <c r="O39" i="1" a="1"/>
  <c r="K719" i="1" a="1"/>
  <c r="K730" i="1" a="1"/>
  <c r="K1442" i="1" a="1"/>
  <c r="O368" i="1" a="1"/>
  <c r="K874" i="1" a="1"/>
  <c r="O571" i="1" a="1"/>
  <c r="K1440" i="1" a="1"/>
  <c r="O631" i="1" a="1"/>
  <c r="K1416" i="1" a="1"/>
  <c r="O338" i="1" a="1"/>
  <c r="K1297" i="1" a="1"/>
  <c r="O656" i="1" a="1"/>
  <c r="K25" i="1" a="1"/>
  <c r="O99" i="1" a="1"/>
  <c r="O1190" i="1" a="1"/>
  <c r="K1022" i="1" a="1"/>
  <c r="K885" i="1" a="1"/>
  <c r="K833" i="1" a="1"/>
  <c r="K1362" i="1" a="1"/>
  <c r="S64" i="1" a="1"/>
  <c r="S20" i="1" a="1"/>
  <c r="S270" i="1" a="1"/>
  <c r="S414" i="1" a="1"/>
  <c r="O949" i="1" a="1"/>
  <c r="O618" i="1" a="1"/>
  <c r="S1297" i="1" a="1"/>
  <c r="S30" i="1" a="1"/>
  <c r="S605" i="1" a="1"/>
  <c r="O1331" i="1" a="1"/>
  <c r="O808" i="1" a="1"/>
  <c r="O789" i="1" a="1"/>
  <c r="O76" i="1" a="1"/>
  <c r="S144" i="1" a="1"/>
  <c r="O439" i="1" a="1"/>
  <c r="O762" i="1" a="1"/>
  <c r="O1047" i="1" a="1"/>
  <c r="S524" i="1" a="1"/>
  <c r="S44" i="1" a="1"/>
  <c r="O1167" i="1" a="1"/>
  <c r="O331" i="1" a="1"/>
  <c r="S971" i="1" a="1"/>
  <c r="O1026" i="1" a="1"/>
  <c r="O624" i="1" a="1"/>
  <c r="O1377" i="1" a="1"/>
  <c r="O78" i="1" a="1"/>
  <c r="O1297" i="1" a="1"/>
  <c r="O916" i="1" a="1"/>
  <c r="O585" i="1" a="1"/>
  <c r="O1086" i="1" a="1"/>
  <c r="O827" i="1" a="1"/>
  <c r="S777" i="1" a="1"/>
  <c r="O694" i="1" a="1"/>
  <c r="O654" i="1" a="1"/>
  <c r="O1235" i="1" a="1"/>
  <c r="O104" i="1" a="1"/>
  <c r="S1138" i="1" a="1"/>
  <c r="S864" i="1" a="1"/>
  <c r="S966" i="1" a="1"/>
  <c r="S1276" i="1" a="1"/>
  <c r="O1403" i="1" a="1"/>
  <c r="O1069" i="1" a="1"/>
  <c r="O325" i="1" a="1"/>
  <c r="O176" i="1" a="1"/>
  <c r="O165" i="1" a="1"/>
  <c r="O1308" i="1" a="1"/>
  <c r="K757" i="1" a="1"/>
  <c r="O1031" i="1" a="1"/>
  <c r="O1226" i="1" a="1"/>
  <c r="K698" i="1" a="1"/>
  <c r="O543" i="1" a="1"/>
  <c r="K606" i="1" a="1"/>
  <c r="O311" i="1" a="1"/>
  <c r="K883" i="1" a="1"/>
  <c r="O993" i="1" a="1"/>
  <c r="K1069" i="1" a="1"/>
  <c r="K1032" i="1" a="1"/>
  <c r="K1450" i="1" a="1"/>
  <c r="O441" i="1" a="1"/>
  <c r="O1211" i="1" a="1"/>
  <c r="K1197" i="1" a="1"/>
  <c r="K229" i="1" a="1"/>
  <c r="K137" i="1" a="1"/>
  <c r="K331" i="1" a="1"/>
  <c r="K743" i="1" a="1"/>
  <c r="K661" i="1" a="1"/>
  <c r="O1063" i="1" a="1"/>
  <c r="K191" i="1" a="1"/>
  <c r="O544" i="1" a="1"/>
  <c r="K238" i="1" a="1"/>
  <c r="O364" i="1" a="1"/>
  <c r="K319" i="1" a="1"/>
  <c r="K96" i="1" a="1"/>
  <c r="O946" i="1" a="1"/>
  <c r="O187" i="1" a="1"/>
  <c r="K1237" i="1" a="1"/>
  <c r="O964" i="1" a="1"/>
  <c r="K262" i="1" a="1"/>
  <c r="K303" i="1" a="1"/>
  <c r="K1310" i="1" a="1"/>
  <c r="K328" i="1" a="1"/>
  <c r="K186" i="1" a="1"/>
  <c r="K1432" i="1" a="1"/>
  <c r="K49" i="1" a="1"/>
  <c r="K420" i="1" a="1"/>
  <c r="K82" i="1" a="1"/>
  <c r="K1220" i="1" a="1"/>
  <c r="K872" i="1" a="1"/>
  <c r="K1253" i="1" a="1"/>
  <c r="K104" i="1" a="1"/>
  <c r="S1417" i="1" a="1"/>
  <c r="O25" i="1" a="1"/>
  <c r="K243" i="1" a="1"/>
  <c r="K478" i="1" a="1"/>
  <c r="K974" i="1" a="1"/>
  <c r="O639" i="1" a="1"/>
  <c r="K444" i="1" a="1"/>
  <c r="O1158" i="1" a="1"/>
  <c r="K383" i="1" a="1"/>
  <c r="O817" i="1" a="1"/>
  <c r="K632" i="1" a="1"/>
  <c r="O1019" i="1" a="1"/>
  <c r="K1146" i="1" a="1"/>
  <c r="O524" i="1" a="1"/>
  <c r="K716" i="1" a="1"/>
  <c r="K671" i="1" a="1"/>
  <c r="O263" i="1" a="1"/>
  <c r="O19" i="1" a="1"/>
  <c r="K208" i="1" a="1"/>
  <c r="O1064" i="1" a="1"/>
  <c r="K948" i="1" a="1"/>
  <c r="O484" i="1" a="1"/>
  <c r="K1427" i="1" a="1"/>
  <c r="O298" i="1" a="1"/>
  <c r="K479" i="1" a="1"/>
  <c r="O852" i="1" a="1"/>
  <c r="K1309" i="1" a="1"/>
  <c r="K1404" i="1" a="1"/>
  <c r="K641" i="1" a="1"/>
  <c r="K666" i="1" a="1"/>
  <c r="S1029" i="1" a="1"/>
  <c r="O756" i="1" a="1"/>
  <c r="O16" i="1" a="1"/>
  <c r="K564" i="1" a="1"/>
  <c r="K1056" i="1" a="1"/>
  <c r="K286" i="1" a="1"/>
  <c r="K329" i="1" a="1"/>
  <c r="S1173" i="1" a="1"/>
  <c r="S1097" i="1" a="1"/>
  <c r="S805" i="1" a="1"/>
  <c r="O1312" i="1" a="1"/>
  <c r="O1022" i="1" a="1"/>
  <c r="O1232" i="1" a="1"/>
  <c r="S100" i="1" a="1"/>
  <c r="S117" i="1" a="1"/>
  <c r="S938" i="1" a="1"/>
  <c r="O492" i="1" a="1"/>
  <c r="O1229" i="1" a="1"/>
  <c r="O918" i="1" a="1"/>
  <c r="O184" i="1" a="1"/>
  <c r="S454" i="1" a="1"/>
  <c r="O405" i="1" a="1"/>
  <c r="S587" i="1" a="1"/>
  <c r="S1411" i="1" a="1"/>
  <c r="O1230" i="1" a="1"/>
  <c r="O1161" i="1" a="1"/>
  <c r="O647" i="1" a="1"/>
  <c r="O776" i="1" a="1"/>
  <c r="O1319" i="1" a="1"/>
  <c r="O354" i="1" a="1"/>
  <c r="O1197" i="1" a="1"/>
  <c r="O853" i="1" a="1"/>
  <c r="O512" i="1" a="1"/>
  <c r="O1058" i="1" a="1"/>
  <c r="O1039" i="1" a="1"/>
  <c r="O22" i="1" a="1"/>
  <c r="O610" i="1" a="1"/>
  <c r="S975" i="1" a="1"/>
  <c r="O1426" i="1" a="1"/>
  <c r="O24" i="1" a="1"/>
  <c r="O930" i="1" a="1"/>
  <c r="O843" i="1" a="1"/>
  <c r="O1341" i="1" a="1"/>
  <c r="O1152" i="1" a="1"/>
  <c r="O1264" i="1" a="1"/>
  <c r="O410" i="1" a="1"/>
  <c r="O1117" i="1" a="1"/>
  <c r="O1048" i="1" a="1"/>
  <c r="O148" i="1" a="1"/>
  <c r="O460" i="1" a="1"/>
  <c r="O434" i="1" a="1"/>
  <c r="O473" i="1" a="1"/>
  <c r="S873" i="1" a="1"/>
  <c r="S220" i="1" a="1"/>
  <c r="S907" i="1" a="1"/>
  <c r="O1145" i="1" a="1"/>
  <c r="O141" i="1" a="1"/>
  <c r="O424" i="1" a="1"/>
  <c r="S1279" i="1" a="1"/>
  <c r="O192" i="1" a="1"/>
  <c r="O226" i="1" a="1"/>
  <c r="O296" i="1" a="1"/>
  <c r="O1373" i="1" a="1"/>
  <c r="O475" i="1" a="1"/>
  <c r="O605" i="1" a="1"/>
  <c r="O1289" i="1" a="1"/>
  <c r="O1110" i="1" a="1"/>
  <c r="O179" i="1" a="1"/>
  <c r="O196" i="1" a="1"/>
  <c r="O413" i="1" a="1"/>
  <c r="O546" i="1" a="1"/>
  <c r="O1113" i="1" a="1"/>
  <c r="K255" i="1" a="1"/>
  <c r="O970" i="1" a="1"/>
  <c r="O901" i="1" a="1"/>
  <c r="O1010" i="1" a="1"/>
  <c r="O500" i="1" a="1"/>
  <c r="O883" i="1" a="1"/>
  <c r="O1080" i="1" a="1"/>
  <c r="O783" i="1" a="1"/>
  <c r="O42" i="1" a="1"/>
  <c r="O792" i="1" a="1"/>
  <c r="O447" i="1" a="1"/>
  <c r="S988" i="1" a="1"/>
  <c r="O990" i="1" a="1"/>
  <c r="O1184" i="1" a="1"/>
  <c r="O866" i="1" a="1"/>
  <c r="O13" i="1" a="1"/>
  <c r="O277" i="1" a="1"/>
  <c r="O642" i="1" a="1"/>
  <c r="O539" i="1" a="1"/>
  <c r="O342" i="1" a="1"/>
  <c r="O645" i="1" a="1"/>
  <c r="O1273" i="1" a="1"/>
  <c r="O790" i="1" a="1"/>
  <c r="O557" i="1" a="1"/>
  <c r="O570" i="1" a="1"/>
  <c r="O1362" i="1" a="1"/>
  <c r="K490" i="1" a="1"/>
  <c r="O815" i="1" a="1"/>
  <c r="O86" i="1" a="1"/>
  <c r="K353" i="1" a="1"/>
  <c r="O741" i="1" a="1"/>
  <c r="K1382" i="1" a="1"/>
  <c r="O620" i="1" a="1"/>
  <c r="K65" i="1" a="1"/>
  <c r="K1201" i="1" a="1"/>
  <c r="K1262" i="1" a="1"/>
  <c r="K1411" i="1" a="1"/>
  <c r="S459" i="1" a="1"/>
  <c r="O704" i="1" a="1"/>
  <c r="K1161" i="1" a="1"/>
  <c r="K941" i="1" a="1"/>
  <c r="K474" i="1" a="1"/>
  <c r="K928" i="1" a="1"/>
  <c r="K950" i="1" a="1"/>
  <c r="O531" i="1" a="1"/>
  <c r="K213" i="1" a="1"/>
  <c r="O710" i="1" a="1"/>
  <c r="K938" i="1" a="1"/>
  <c r="O507" i="1" a="1"/>
  <c r="K51" i="1" a="1"/>
  <c r="O505" i="1" a="1"/>
  <c r="K842" i="1" a="1"/>
  <c r="K908" i="1" a="1"/>
  <c r="O1001" i="1" a="1"/>
  <c r="O155" i="1" a="1"/>
  <c r="K1211" i="1" a="1"/>
  <c r="K657" i="1" a="1"/>
  <c r="K1371" i="1" a="1"/>
  <c r="K664" i="1" a="1"/>
  <c r="K792" i="1" a="1"/>
  <c r="K297" i="1" a="1"/>
  <c r="O719" i="1" a="1"/>
  <c r="K1441" i="1" a="1"/>
  <c r="O375" i="1" a="1"/>
  <c r="K1445" i="1" a="1"/>
  <c r="O151" i="1" a="1"/>
  <c r="K375" i="1" a="1"/>
  <c r="K1342" i="1" a="1"/>
  <c r="K19" i="1" a="1"/>
  <c r="K1132" i="1" a="1"/>
  <c r="O407" i="1" a="1"/>
  <c r="O871" i="1" a="1"/>
  <c r="K445" i="1" a="1"/>
  <c r="O1385" i="1" a="1"/>
  <c r="K1012" i="1" a="1"/>
  <c r="O712" i="1" a="1"/>
  <c r="K1081" i="1" a="1"/>
  <c r="O614" i="1" a="1"/>
  <c r="K1266" i="1" a="1"/>
  <c r="K463" i="1" a="1"/>
  <c r="K873" i="1" a="1"/>
  <c r="K1363" i="1" a="1"/>
  <c r="K765" i="1" a="1"/>
  <c r="K372" i="1" a="1"/>
  <c r="K1189" i="1" a="1"/>
  <c r="K404" i="1" a="1"/>
  <c r="O1307" i="1" a="1"/>
  <c r="O70" i="1" a="1"/>
  <c r="K333" i="1" a="1"/>
  <c r="O907" i="1" a="1"/>
  <c r="K378" i="1" a="1"/>
  <c r="O303" i="1" a="1"/>
  <c r="K405" i="1" a="1"/>
  <c r="K1265" i="1" a="1"/>
  <c r="K909" i="1" a="1"/>
  <c r="K1400" i="1" a="1"/>
  <c r="K863" i="1" a="1"/>
  <c r="K1246" i="1" a="1"/>
  <c r="K68" i="1" a="1"/>
  <c r="K34" i="1" a="1"/>
  <c r="O738" i="1" a="1"/>
  <c r="O207" i="1" a="1"/>
  <c r="K1098" i="1" a="1"/>
  <c r="O464" i="1" a="1"/>
  <c r="K443" i="1" a="1"/>
  <c r="O956" i="1" a="1"/>
  <c r="K1164" i="1" a="1"/>
  <c r="O1274" i="1" a="1"/>
  <c r="S1409" i="1" a="1"/>
  <c r="S1182" i="1" a="1"/>
  <c r="S162" i="1" a="1"/>
  <c r="O166" i="1" a="1"/>
  <c r="O1421" i="1" a="1"/>
  <c r="O237" i="1" a="1"/>
  <c r="S700" i="1" a="1"/>
  <c r="O1160" i="1" a="1"/>
  <c r="S1189" i="1" a="1"/>
  <c r="S662" i="1" a="1"/>
  <c r="O1295" i="1" a="1"/>
  <c r="O1037" i="1" a="1"/>
  <c r="O270" i="1" a="1"/>
  <c r="S747" i="1" a="1"/>
  <c r="O374" i="1" a="1"/>
  <c r="O286" i="1" a="1"/>
  <c r="O988" i="1" a="1"/>
  <c r="O1381" i="1" a="1"/>
  <c r="O448" i="1" a="1"/>
  <c r="O629" i="1" a="1"/>
  <c r="K750" i="1" a="1"/>
  <c r="O1363" i="1" a="1"/>
  <c r="S105" i="1" a="1"/>
  <c r="O1320" i="1" a="1"/>
  <c r="O353" i="1" a="1"/>
  <c r="O1328" i="1" a="1"/>
  <c r="O462" i="1" a="1"/>
  <c r="O879" i="1" a="1"/>
  <c r="O997" i="1" a="1"/>
  <c r="S1308" i="1" a="1"/>
  <c r="O1277" i="1" a="1"/>
  <c r="S275" i="1" a="1"/>
  <c r="O909" i="1" a="1"/>
  <c r="O1214" i="1" a="1"/>
  <c r="O352" i="1" a="1"/>
  <c r="O516" i="1" a="1"/>
  <c r="S585" i="1" a="1"/>
  <c r="O739" i="1" a="1"/>
  <c r="O513" i="1" a="1"/>
  <c r="O1233" i="1" a="1"/>
  <c r="O686" i="1" a="1"/>
  <c r="O230" i="1" a="1"/>
  <c r="O355" i="1" a="1"/>
  <c r="O1291" i="1" a="1"/>
  <c r="O935" i="1" a="1"/>
  <c r="K1031" i="1" a="1"/>
  <c r="K962" i="1" a="1"/>
  <c r="O248" i="1" a="1"/>
  <c r="O518" i="1" a="1"/>
  <c r="K219" i="1" a="1"/>
  <c r="K4" i="1" a="1"/>
  <c r="K1178" i="1" a="1"/>
  <c r="K1060" i="1" a="1"/>
  <c r="K1083" i="1" a="1"/>
  <c r="K351" i="1" a="1"/>
  <c r="K522" i="1" a="1"/>
  <c r="K1228" i="1" a="1"/>
  <c r="O490" i="1" a="1"/>
  <c r="S509" i="1" a="1"/>
  <c r="K349" i="1" a="1"/>
  <c r="O1357" i="1" a="1"/>
  <c r="K1174" i="1" a="1"/>
  <c r="O1420" i="1" a="1"/>
  <c r="K54" i="1" a="1"/>
  <c r="O681" i="1" a="1"/>
  <c r="K48" i="1" a="1"/>
  <c r="O985" i="1" a="1"/>
  <c r="K6" i="1" a="1"/>
  <c r="K1114" i="1" a="1"/>
  <c r="K670" i="1" a="1"/>
  <c r="K105" i="1" a="1"/>
  <c r="K298" i="1" a="1"/>
  <c r="S283" i="1" a="1"/>
  <c r="O1147" i="1" a="1"/>
  <c r="O936" i="1" a="1"/>
  <c r="K1119" i="1" a="1"/>
  <c r="K155" i="1" a="1"/>
  <c r="K201" i="1" a="1"/>
  <c r="K1051" i="1" a="1"/>
  <c r="K573" i="1" a="1"/>
  <c r="K1071" i="1" a="1"/>
  <c r="O637" i="1" a="1"/>
  <c r="K700" i="1" a="1"/>
  <c r="O418" i="1" a="1"/>
  <c r="K1273" i="1" a="1"/>
  <c r="O432" i="1" a="1"/>
  <c r="K1419" i="1" a="1"/>
  <c r="K1336" i="1" a="1"/>
  <c r="K672" i="1" a="1"/>
  <c r="K895" i="1" a="1"/>
  <c r="S396" i="1" a="1"/>
  <c r="O519" i="1" a="1"/>
  <c r="K662" i="1" a="1"/>
  <c r="O273" i="1" a="1"/>
  <c r="K704" i="1" a="1"/>
  <c r="O562" i="1" a="1"/>
  <c r="K1420" i="1" a="1"/>
  <c r="O377" i="1" a="1"/>
  <c r="K818" i="1" a="1"/>
  <c r="K377" i="1" a="1"/>
  <c r="K470" i="1" a="1"/>
  <c r="K597" i="1" a="1"/>
  <c r="K1079" i="1" a="1"/>
  <c r="K1314" i="1" a="1"/>
  <c r="K112" i="1" a="1"/>
  <c r="K31" i="1" a="1"/>
  <c r="O386" i="1" a="1"/>
  <c r="O806" i="1" a="1"/>
  <c r="K644" i="1" a="1"/>
  <c r="O835" i="1" a="1"/>
  <c r="K1256" i="1" a="1"/>
  <c r="K1044" i="1" a="1"/>
  <c r="K1322" i="1" a="1"/>
  <c r="K697" i="1" a="1"/>
  <c r="K129" i="1" a="1"/>
  <c r="K89" i="1" a="1"/>
  <c r="K550" i="1" a="1"/>
  <c r="K84" i="1" a="1"/>
  <c r="K1393" i="1" a="1"/>
  <c r="K1099" i="1" a="1"/>
  <c r="O980" i="1" a="1"/>
  <c r="O889" i="1" a="1"/>
  <c r="K812" i="1" a="1"/>
  <c r="O718" i="1" a="1"/>
  <c r="K1015" i="1" a="1"/>
  <c r="O834" i="1" a="1"/>
  <c r="K1215" i="1" a="1"/>
  <c r="S881" i="1" a="1"/>
  <c r="O1247" i="1" a="1"/>
  <c r="S59" i="1" a="1"/>
  <c r="O498" i="1" a="1"/>
  <c r="O1278" i="1" a="1"/>
  <c r="O1189" i="1" a="1"/>
  <c r="O619" i="1" a="1"/>
  <c r="O615" i="1" a="1"/>
  <c r="O163" i="1" a="1"/>
  <c r="O262" i="1" a="1"/>
  <c r="O288" i="1" a="1"/>
  <c r="O855" i="1" a="1"/>
  <c r="O357" i="1" a="1"/>
  <c r="K1357" i="1" a="1"/>
  <c r="K156" i="1" a="1"/>
  <c r="K676" i="1" a="1"/>
  <c r="O1193" i="1" a="1"/>
  <c r="O1423" i="1" a="1"/>
  <c r="K1080" i="1" a="1"/>
  <c r="K257" i="1" a="1"/>
  <c r="K648" i="1" a="1"/>
  <c r="K1115" i="1" a="1"/>
  <c r="O1257" i="1" a="1"/>
  <c r="K1028" i="1" a="1"/>
  <c r="K397" i="1" a="1"/>
  <c r="O659" i="1" a="1"/>
  <c r="K318" i="1" a="1"/>
  <c r="S654" i="1" a="1"/>
  <c r="K947" i="1" a="1"/>
  <c r="K1216" i="1" a="1"/>
  <c r="O680" i="1" a="1"/>
  <c r="K350" i="1" a="1"/>
  <c r="K1235" i="1" a="1"/>
  <c r="K1377" i="1" a="1"/>
  <c r="K3" i="1" a="1"/>
  <c r="K457" i="1" a="1"/>
  <c r="O569" i="1" a="1"/>
  <c r="K100" i="1" a="1"/>
  <c r="O40" i="1" a="1"/>
  <c r="K263" i="1" a="1"/>
  <c r="O636" i="1" a="1"/>
  <c r="K557" i="1" a="1"/>
  <c r="K18" i="1" a="1"/>
  <c r="K8" i="1" a="1"/>
  <c r="O975" i="1" a="1"/>
  <c r="K428" i="1" a="1"/>
  <c r="O534" i="1" a="1"/>
  <c r="K441" i="1" a="1"/>
  <c r="O742" i="1" a="1"/>
  <c r="K252" i="1" a="1"/>
  <c r="K399" i="1" a="1"/>
  <c r="K1093" i="1" a="1"/>
  <c r="K37" i="1" a="1"/>
  <c r="O444" i="1" a="1"/>
  <c r="O780" i="1" a="1"/>
  <c r="K234" i="1" a="1"/>
  <c r="K963" i="1" a="1"/>
  <c r="K1034" i="1" a="1"/>
  <c r="K1035" i="1" a="1"/>
  <c r="K431" i="1" a="1"/>
  <c r="K1172" i="1" a="1"/>
  <c r="K1138" i="1" a="1"/>
  <c r="K1084" i="1" a="1"/>
  <c r="K1212" i="1" a="1"/>
  <c r="K1328" i="1" a="1"/>
  <c r="K1210" i="1" a="1"/>
  <c r="K975" i="1" a="1"/>
  <c r="K572" i="1" a="1"/>
  <c r="K237" i="1" a="1"/>
  <c r="K1425" i="1" a="1"/>
  <c r="K925" i="1" a="1"/>
  <c r="K1154" i="1" a="1"/>
  <c r="K715" i="1" a="1"/>
  <c r="K609" i="1" a="1"/>
  <c r="K24" i="1" a="1"/>
  <c r="K1321" i="1" a="1"/>
  <c r="K599" i="1" a="1"/>
  <c r="K439" i="1" a="1"/>
  <c r="K554" i="1" a="1"/>
  <c r="K456" i="1" a="1"/>
  <c r="K651" i="1" a="1"/>
  <c r="K744" i="1" a="1"/>
  <c r="K61" i="1" a="1"/>
  <c r="K1254" i="1" a="1"/>
  <c r="S619" i="1" a="1"/>
  <c r="K1169" i="1" a="1"/>
  <c r="K1190" i="1" a="1"/>
  <c r="K737" i="1" a="1"/>
  <c r="K1384" i="1" a="1"/>
  <c r="K196" i="1" a="1"/>
  <c r="K584" i="1" a="1"/>
  <c r="K709" i="1" a="1"/>
  <c r="K867" i="1" a="1"/>
  <c r="K407" i="1" a="1"/>
  <c r="K1339" i="1" a="1"/>
  <c r="K35" i="1" a="1"/>
  <c r="K979" i="1" a="1"/>
  <c r="K152" i="1" a="1"/>
  <c r="K140" i="1" a="1"/>
  <c r="O459" i="1" a="1"/>
  <c r="K1242" i="1" a="1"/>
  <c r="K1255" i="1" a="1"/>
  <c r="K1288" i="1" a="1"/>
  <c r="K1125" i="1" a="1"/>
  <c r="K94" i="1" a="1"/>
  <c r="K76" i="1" a="1"/>
  <c r="K415" i="1" a="1"/>
  <c r="K1395" i="1" a="1"/>
  <c r="K1428" i="1" a="1"/>
  <c r="K969" i="1" a="1"/>
  <c r="K953" i="1" a="1"/>
  <c r="K617" i="1" a="1"/>
  <c r="K807" i="1" a="1"/>
  <c r="K412" i="1" a="1"/>
  <c r="K118" i="1" a="1"/>
  <c r="K308" i="1" a="1"/>
  <c r="O816" i="1" a="1"/>
  <c r="K1082" i="1" a="1"/>
  <c r="K1305" i="1" a="1"/>
  <c r="K848" i="1" a="1"/>
  <c r="K454" i="1" a="1"/>
  <c r="K1029" i="1" a="1"/>
  <c r="K869" i="1" a="1"/>
  <c r="K210" i="1" a="1"/>
  <c r="K26" i="1" a="1"/>
  <c r="K1325" i="1" a="1"/>
  <c r="K988" i="1" a="1"/>
  <c r="K633" i="1" a="1"/>
  <c r="K681" i="1" a="1"/>
  <c r="K1332" i="1" a="1"/>
  <c r="K279" i="1" a="1"/>
  <c r="O299" i="1" a="1"/>
  <c r="K422" i="1" a="1"/>
  <c r="K170" i="1" a="1"/>
  <c r="K854" i="1" a="1"/>
  <c r="K427" i="1" a="1"/>
  <c r="K401" i="1" a="1"/>
  <c r="K261" i="1" a="1"/>
  <c r="K931" i="1" a="1"/>
  <c r="K467" i="1" a="1"/>
  <c r="K864" i="1" a="1"/>
  <c r="K1316" i="1" a="1"/>
  <c r="K394" i="1" a="1"/>
  <c r="K158" i="1" a="1"/>
  <c r="K1323" i="1" a="1"/>
  <c r="O343" i="1" a="1"/>
  <c r="K567" i="1" a="1"/>
  <c r="K506" i="1" a="1"/>
  <c r="K1389" i="1" a="1"/>
  <c r="K965" i="1" a="1"/>
  <c r="K106" i="1" a="1"/>
  <c r="K922" i="1" a="1"/>
  <c r="K610" i="1" a="1"/>
  <c r="K314" i="1" a="1"/>
  <c r="K113" i="1" a="1"/>
  <c r="K282" i="1" a="1"/>
  <c r="K1348" i="1" a="1"/>
  <c r="O1365" i="1" a="1"/>
  <c r="K452" i="1" a="1"/>
  <c r="K1449" i="1" a="1"/>
  <c r="K1367" i="1" a="1"/>
  <c r="K734" i="1" a="1"/>
  <c r="K787" i="1" a="1"/>
  <c r="K447" i="1" a="1"/>
  <c r="O555" i="1" a="1"/>
  <c r="K460" i="1" a="1"/>
  <c r="K1199" i="1" a="1"/>
  <c r="K222" i="1" a="1"/>
  <c r="K451" i="1" a="1"/>
  <c r="K923" i="1" a="1"/>
  <c r="K762" i="1" a="1"/>
  <c r="O395" i="1" a="1"/>
  <c r="K64" i="1" a="1"/>
  <c r="K673" i="1" a="1"/>
  <c r="K409" i="1" a="1"/>
  <c r="K1019" i="1" a="1"/>
  <c r="K489" i="1" a="1"/>
  <c r="K269" i="1" a="1"/>
  <c r="K791" i="1" a="1"/>
  <c r="K868" i="1" a="1"/>
  <c r="K1073" i="1" a="1"/>
  <c r="K1268" i="1" a="1"/>
  <c r="K185" i="1" a="1"/>
  <c r="K940" i="1" a="1"/>
  <c r="K83" i="1" a="1"/>
  <c r="K680" i="1" a="1"/>
  <c r="K801" i="1" a="1"/>
  <c r="K304" i="1" a="1"/>
  <c r="K731" i="1" a="1"/>
  <c r="K1241" i="1" a="1"/>
  <c r="K1214" i="1" a="1"/>
  <c r="K1259" i="1" a="1"/>
  <c r="K385" i="1" a="1"/>
  <c r="K578" i="1" a="1"/>
  <c r="K614" i="1" a="1"/>
  <c r="O315" i="1" a="1"/>
  <c r="K692" i="1" a="1"/>
  <c r="K364" i="1" a="1"/>
  <c r="K740" i="1" a="1"/>
  <c r="K300" i="1" a="1"/>
  <c r="K1145" i="1" a="1"/>
  <c r="K1170" i="1" a="1"/>
  <c r="K362" i="1" a="1"/>
  <c r="K1355" i="1" a="1"/>
  <c r="K720" i="1" a="1"/>
  <c r="K961" i="1" a="1"/>
  <c r="O527" i="1" a="1"/>
  <c r="O335" i="1" a="1"/>
  <c r="O848" i="1" a="1"/>
  <c r="K533" i="1" a="1"/>
  <c r="K1118" i="1" a="1"/>
  <c r="K206" i="1" a="1"/>
  <c r="K1053" i="1" a="1"/>
  <c r="K760" i="1" a="1"/>
  <c r="O1005" i="1" a="1"/>
  <c r="O1353" i="1" a="1"/>
  <c r="K469" i="1" a="1"/>
  <c r="K1343" i="1" a="1"/>
  <c r="K970" i="1" a="1"/>
  <c r="K575" i="1" a="1"/>
  <c r="K688" i="1" a="1"/>
  <c r="K924" i="1" a="1"/>
  <c r="K400" i="1" a="1"/>
  <c r="K116" i="1" a="1"/>
  <c r="K1299" i="1" a="1"/>
  <c r="K1426" i="1" a="1"/>
  <c r="K121" i="1" a="1"/>
  <c r="K346" i="1" a="1"/>
  <c r="S190" i="1" a="1"/>
  <c r="O1175" i="1" a="1"/>
  <c r="S356" i="1" a="1"/>
  <c r="O1371" i="1" a="1"/>
  <c r="S720" i="1" a="1"/>
  <c r="S987" i="1" a="1"/>
  <c r="O1324" i="1" a="1"/>
  <c r="O1038" i="1" a="1"/>
  <c r="O92" i="1" a="1"/>
  <c r="S638" i="1" a="1"/>
  <c r="O578" i="1" a="1"/>
  <c r="O477" i="1" a="1"/>
  <c r="O591" i="1" a="1"/>
  <c r="O616" i="1" a="1"/>
  <c r="K859" i="1" a="1"/>
  <c r="S837" i="1" a="1"/>
  <c r="S529" i="1" a="1"/>
  <c r="O528" i="1" a="1"/>
  <c r="K728" i="1" a="1"/>
  <c r="O1046" i="1" a="1"/>
  <c r="K1302" i="1" a="1"/>
  <c r="K1204" i="1" a="1"/>
  <c r="O421" i="1" a="1"/>
  <c r="K40" i="1" a="1"/>
  <c r="O461" i="1" a="1"/>
  <c r="K1144" i="1" a="1"/>
  <c r="K69" i="1" a="1"/>
  <c r="K258" i="1" a="1"/>
  <c r="S594" i="1" a="1"/>
  <c r="K1092" i="1" a="1"/>
  <c r="K246" i="1" a="1"/>
  <c r="K495" i="1" a="1"/>
  <c r="S855" i="1" a="1"/>
  <c r="K217" i="1" a="1"/>
  <c r="O814" i="1" a="1"/>
  <c r="K1421" i="1" a="1"/>
  <c r="K1260" i="1" a="1"/>
  <c r="K1271" i="1" a="1"/>
  <c r="O536" i="1" a="1"/>
  <c r="K1139" i="1" a="1"/>
  <c r="K539" i="1" a="1"/>
  <c r="K419" i="1" a="1"/>
  <c r="S936" i="1" a="1"/>
  <c r="K850" i="1" a="1"/>
  <c r="O344" i="1" a="1"/>
  <c r="K77" i="1" a="1"/>
  <c r="O556" i="1" a="1"/>
  <c r="K919" i="1" a="1"/>
  <c r="O697" i="1" a="1"/>
  <c r="K1140" i="1" a="1"/>
  <c r="K1284" i="1" a="1"/>
  <c r="K794" i="1" a="1"/>
  <c r="K228" i="1" a="1"/>
  <c r="O1376" i="1" a="1"/>
  <c r="O323" i="1" a="1"/>
  <c r="K1239" i="1" a="1"/>
  <c r="K1303" i="1" a="1"/>
  <c r="K1048" i="1" a="1"/>
  <c r="K1100" i="1" a="1"/>
  <c r="K391" i="1" a="1"/>
  <c r="K486" i="1" a="1"/>
  <c r="K1226" i="1" a="1"/>
  <c r="K1278" i="1" a="1"/>
  <c r="O520" i="1" a="1"/>
  <c r="K1294" i="1" a="1"/>
  <c r="O969" i="1" a="1"/>
  <c r="K541" i="1" a="1"/>
  <c r="K154" i="1" a="1"/>
  <c r="K473" i="1" a="1"/>
  <c r="O971" i="1" a="1"/>
  <c r="K639" i="1" a="1"/>
  <c r="K1388" i="1" a="1"/>
  <c r="K588" i="1" a="1"/>
  <c r="K653" i="1" a="1"/>
  <c r="K784" i="1" a="1"/>
  <c r="K1167" i="1" a="1"/>
  <c r="K1010" i="1" a="1"/>
  <c r="K598" i="1" a="1"/>
  <c r="K1110" i="1" a="1"/>
  <c r="K1184" i="1" a="1"/>
  <c r="K892" i="1" a="1"/>
  <c r="K592" i="1" a="1"/>
  <c r="K280" i="1" a="1"/>
  <c r="K1452" i="1" a="1"/>
  <c r="O168" i="1" a="1"/>
  <c r="O8" i="1" a="1"/>
  <c r="K249" i="1" a="1"/>
  <c r="K689" i="1" a="1"/>
  <c r="K1126" i="1" a="1"/>
  <c r="K306" i="1" a="1"/>
  <c r="K240" i="1" a="1"/>
  <c r="K1213" i="1" a="1"/>
  <c r="K1358" i="1" a="1"/>
  <c r="K1360" i="1" a="1"/>
  <c r="K856" i="1" a="1"/>
  <c r="K526" i="1" a="1"/>
  <c r="K92" i="1" a="1"/>
  <c r="K402" i="1" a="1"/>
  <c r="K508" i="1" a="1"/>
  <c r="O98" i="1" a="1"/>
  <c r="O455" i="1" a="1"/>
  <c r="K1375" i="1" a="1"/>
  <c r="K1103" i="1" a="1"/>
  <c r="K459" i="1" a="1"/>
  <c r="K852" i="1" a="1"/>
  <c r="K654" i="1" a="1"/>
  <c r="K1061" i="1" a="1"/>
  <c r="K602" i="1" a="1"/>
  <c r="K211" i="1" a="1"/>
  <c r="K66" i="1" a="1"/>
  <c r="K159" i="1" a="1"/>
  <c r="K341" i="1" a="1"/>
  <c r="K1176" i="1" a="1"/>
  <c r="K1224" i="1" a="1"/>
  <c r="K1059" i="1" a="1"/>
  <c r="O116" i="1" a="1"/>
  <c r="O347" i="1" a="1"/>
  <c r="K1315" i="1" a="1"/>
  <c r="K1418" i="1" a="1"/>
  <c r="K311" i="1" a="1"/>
  <c r="K271" i="1" a="1"/>
  <c r="K679" i="1" a="1"/>
  <c r="K127" i="1" a="1"/>
  <c r="K1232" i="1" a="1"/>
  <c r="K1300" i="1" a="1"/>
  <c r="K667" i="1" a="1"/>
  <c r="K966" i="1" a="1"/>
  <c r="K984" i="1" a="1"/>
  <c r="K1397" i="1" a="1"/>
  <c r="K326" i="1" a="1"/>
  <c r="K1219" i="1" a="1"/>
  <c r="K981" i="1" a="1"/>
  <c r="K115" i="1" a="1"/>
  <c r="K468" i="1" a="1"/>
  <c r="K1002" i="1" a="1"/>
  <c r="K565" i="1" a="1"/>
  <c r="K1074" i="1" a="1"/>
  <c r="K951" i="1" a="1"/>
  <c r="K563" i="1" a="1"/>
  <c r="K917" i="1" a="1"/>
  <c r="K233" i="1" a="1"/>
  <c r="O717" i="1" a="1"/>
  <c r="K706" i="1" a="1"/>
  <c r="K387" i="1" a="1"/>
  <c r="K793" i="1" a="1"/>
  <c r="K711" i="1" a="1"/>
  <c r="K1045" i="1" a="1"/>
  <c r="K1301" i="1" a="1"/>
  <c r="O282" i="1" a="1"/>
  <c r="K312" i="1" a="1"/>
  <c r="K1307" i="1" a="1"/>
  <c r="O593" i="1" a="1"/>
  <c r="K168" i="1" a="1"/>
  <c r="K130" i="1" a="1"/>
  <c r="K531" i="1" a="1"/>
  <c r="O1020" i="1" a="1"/>
  <c r="K520" i="1" a="1"/>
  <c r="K218" i="1" a="1"/>
  <c r="K1340" i="1" a="1"/>
  <c r="K325" i="1" a="1"/>
  <c r="K530" i="1" a="1"/>
  <c r="K1438" i="1" a="1"/>
  <c r="O213" i="1" a="1"/>
  <c r="K958" i="1" a="1"/>
  <c r="K656" i="1" a="1"/>
  <c r="K835" i="1" a="1"/>
  <c r="K110" i="1" a="1"/>
  <c r="K78" i="1" a="1"/>
  <c r="K751" i="1" a="1"/>
  <c r="O950" i="1" a="1"/>
  <c r="K752" i="1" a="1"/>
  <c r="K1052" i="1" a="1"/>
  <c r="K1050" i="1" a="1"/>
  <c r="K581" i="1" a="1"/>
  <c r="K549" i="1" a="1"/>
  <c r="K1238" i="1" a="1"/>
  <c r="K1398" i="1" a="1"/>
  <c r="O1364" i="1" a="1"/>
  <c r="K901" i="1" a="1"/>
  <c r="O775" i="1" a="1"/>
  <c r="K167" i="1" a="1"/>
  <c r="K723" i="1" a="1"/>
  <c r="K995" i="1" a="1"/>
  <c r="K582" i="1" a="1"/>
  <c r="K315" i="1" a="1"/>
  <c r="K785" i="1" a="1"/>
  <c r="K1233" i="1" a="1"/>
  <c r="K755" i="1" a="1"/>
  <c r="K251" i="1" a="1"/>
  <c r="O876" i="1" a="1"/>
  <c r="O745" i="1" a="1"/>
  <c r="K583" i="1" a="1"/>
  <c r="K1313" i="1" a="1"/>
  <c r="K485" i="1" a="1"/>
  <c r="S1320" i="1" a="1"/>
  <c r="K165" i="1" a="1"/>
  <c r="K1117" i="1" a="1"/>
  <c r="O921" i="1" a="1"/>
  <c r="K390" i="1" a="1"/>
  <c r="O685" i="1" a="1"/>
  <c r="O857" i="1" a="1"/>
  <c r="K1277" i="1" a="1"/>
  <c r="K123" i="1" a="1"/>
  <c r="K321" i="1" a="1"/>
  <c r="O533" i="1" a="1"/>
  <c r="K769" i="1" a="1"/>
  <c r="O603" i="1" a="1"/>
  <c r="K624" i="1" a="1"/>
  <c r="K540" i="1" a="1"/>
  <c r="K897" i="1" a="1"/>
  <c r="K937" i="1" a="1"/>
  <c r="O1028" i="1" a="1"/>
  <c r="K497" i="1" a="1"/>
  <c r="K163" i="1" a="1"/>
  <c r="K336" i="1" a="1"/>
  <c r="K147" i="1" a="1"/>
  <c r="K356" i="1" a="1"/>
  <c r="K248" i="1" a="1"/>
  <c r="K1369" i="1" a="1"/>
  <c r="K1064" i="1" a="1"/>
  <c r="K504" i="1" a="1"/>
  <c r="K71" i="1" a="1"/>
  <c r="K1129" i="1" a="1"/>
  <c r="K741" i="1" a="1"/>
  <c r="K498" i="1" a="1"/>
  <c r="K967" i="1" a="1"/>
  <c r="O811" i="1" a="1"/>
  <c r="K946" i="1" a="1"/>
  <c r="K759" i="1" a="1"/>
  <c r="K687" i="1" a="1"/>
  <c r="O1092" i="1" a="1"/>
  <c r="K875" i="1" a="1"/>
  <c r="O291" i="1" a="1"/>
  <c r="K1258" i="1" a="1"/>
  <c r="K1193" i="1" a="1"/>
  <c r="O391" i="1" a="1"/>
  <c r="O1343" i="1" a="1"/>
  <c r="K900" i="1" a="1"/>
  <c r="O1041" i="1" a="1"/>
  <c r="K1352" i="1" a="1"/>
  <c r="K1245" i="1" a="1"/>
  <c r="K1102" i="1" a="1"/>
  <c r="K202" i="1" a="1"/>
  <c r="O1066" i="1" a="1"/>
  <c r="K1209" i="1" a="1"/>
  <c r="K1234" i="1" a="1"/>
  <c r="K1095" i="1" a="1"/>
  <c r="K455" i="1" a="1"/>
  <c r="K14" i="1" a="1"/>
  <c r="K501" i="1" a="1"/>
  <c r="O832" i="1" a="1"/>
  <c r="S1267" i="1" a="1"/>
  <c r="O583" i="1" a="1"/>
  <c r="O150" i="1" a="1"/>
  <c r="O805" i="1" a="1"/>
  <c r="S775" i="1" a="1"/>
  <c r="O359" i="1" a="1"/>
  <c r="O1174" i="1" a="1"/>
  <c r="O503" i="1" a="1"/>
  <c r="O661" i="1" a="1"/>
  <c r="O731" i="1" a="1"/>
  <c r="O772" i="1" a="1"/>
  <c r="O431" i="1" a="1"/>
  <c r="O563" i="1" a="1"/>
  <c r="K1168" i="1" a="1"/>
  <c r="K393" i="1" a="1"/>
  <c r="O316" i="1" a="1"/>
  <c r="O757" i="1" a="1"/>
  <c r="K707" i="1" a="1"/>
  <c r="K1171" i="1" a="1"/>
  <c r="K235" i="1" a="1"/>
  <c r="K1009" i="1" a="1"/>
  <c r="K714" i="1" a="1"/>
  <c r="K352" i="1" a="1"/>
  <c r="K1272" i="1" a="1"/>
  <c r="O463" i="1" a="1"/>
  <c r="K296" i="1" a="1"/>
  <c r="K788" i="1" a="1"/>
  <c r="K293" i="1" a="1"/>
  <c r="O915" i="1" a="1"/>
  <c r="O687" i="1" a="1"/>
  <c r="K408" i="1" a="1"/>
  <c r="K1401" i="1" a="1"/>
  <c r="K849" i="1" a="1"/>
  <c r="K1024" i="1" a="1"/>
  <c r="O550" i="1" a="1"/>
  <c r="O341" i="1" a="1"/>
  <c r="K1017" i="1" a="1"/>
  <c r="K120" i="1" a="1"/>
  <c r="K860" i="1" a="1"/>
  <c r="K151" i="1" a="1"/>
  <c r="K1165" i="1" a="1"/>
  <c r="O1225" i="1" a="1"/>
  <c r="O494" i="1" a="1"/>
  <c r="K1407" i="1" a="1"/>
  <c r="K1218" i="1" a="1"/>
  <c r="K1065" i="1" a="1"/>
  <c r="K1311" i="1" a="1"/>
  <c r="K1008" i="1" a="1"/>
  <c r="K2" i="1" a="1"/>
  <c r="K693" i="1" a="1"/>
  <c r="K825" i="1" a="1"/>
  <c r="K1037" i="1" a="1"/>
  <c r="K131" i="1" a="1"/>
  <c r="O302" i="1" a="1"/>
  <c r="O457" i="1" a="1"/>
  <c r="K1261" i="1" a="1"/>
  <c r="K1275" i="1" a="1"/>
  <c r="K171" i="1" a="1"/>
  <c r="K620" i="1" a="1"/>
  <c r="K458" i="1" a="1"/>
  <c r="K1365" i="1" a="1"/>
  <c r="O558" i="1" a="1"/>
  <c r="K416" i="1" a="1"/>
  <c r="O932" i="1" a="1"/>
  <c r="K1318" i="1" a="1"/>
  <c r="O791" i="1" a="1"/>
  <c r="K365" i="1" a="1"/>
  <c r="K1185" i="1" a="1"/>
  <c r="K935" i="1" a="1"/>
  <c r="K1379" i="1" a="1"/>
  <c r="K1331" i="1" a="1"/>
  <c r="O469" i="1" a="1"/>
  <c r="K496" i="1" a="1"/>
  <c r="K223" i="1" a="1"/>
  <c r="K642" i="1" a="1"/>
  <c r="K1434" i="1" a="1"/>
  <c r="K360" i="1" a="1"/>
  <c r="K348" i="1" a="1"/>
  <c r="K1223" i="1" a="1"/>
  <c r="K41" i="1" a="1"/>
  <c r="O433" i="1" a="1"/>
  <c r="K1338" i="1" a="1"/>
  <c r="K586" i="1" a="1"/>
  <c r="O873" i="1" a="1"/>
  <c r="K23" i="1" a="1"/>
  <c r="K11" i="1" a="1"/>
  <c r="K819" i="1" a="1"/>
  <c r="K817" i="1" a="1"/>
  <c r="K1383" i="1" a="1"/>
  <c r="K434" i="1" a="1"/>
  <c r="K685" i="1" a="1"/>
  <c r="K480" i="1" a="1"/>
  <c r="K182" i="1" a="1"/>
  <c r="K1011" i="1" a="1"/>
  <c r="K1001" i="1" a="1"/>
  <c r="K1122" i="1" a="1"/>
  <c r="K1128" i="1" a="1"/>
  <c r="K569" i="1" a="1"/>
  <c r="K820" i="1" a="1"/>
  <c r="K1229" i="1" a="1"/>
  <c r="K102" i="1" a="1"/>
  <c r="K139" i="1" a="1"/>
  <c r="K1160" i="1" a="1"/>
  <c r="K236" i="1" a="1"/>
  <c r="K95" i="1" a="1"/>
  <c r="K1016" i="1" a="1"/>
  <c r="K718" i="1" a="1"/>
  <c r="K891" i="1" a="1"/>
  <c r="K832" i="1" a="1"/>
  <c r="K893" i="1" a="1"/>
  <c r="K188" i="1" a="1"/>
  <c r="K551" i="1" a="1"/>
  <c r="K9" i="1" a="1"/>
  <c r="K753" i="1" a="1"/>
  <c r="K449" i="1" a="1"/>
  <c r="K603" i="1" a="1"/>
  <c r="K1156" i="1" a="1"/>
  <c r="K1086" i="1" a="1"/>
  <c r="K703" i="1" a="1"/>
  <c r="K607" i="1" a="1"/>
  <c r="K277" i="1" a="1"/>
  <c r="K330" i="1" a="1"/>
  <c r="K822" i="1" a="1"/>
  <c r="K1181" i="1" a="1"/>
  <c r="K72" i="1" a="1"/>
  <c r="K79" i="1" a="1"/>
  <c r="K682" i="1" a="1"/>
  <c r="K574" i="1" a="1"/>
  <c r="K373" i="1" a="1"/>
  <c r="K1104" i="1" a="1"/>
  <c r="K448" i="1" a="1"/>
  <c r="K1373" i="1" a="1"/>
  <c r="O483" i="1" a="1"/>
  <c r="K577" i="1" a="1"/>
  <c r="K1040" i="1" a="1"/>
  <c r="K876" i="1" a="1"/>
  <c r="K146" i="1" a="1"/>
  <c r="K481" i="1" a="1"/>
  <c r="K230" i="1" a="1"/>
  <c r="O891" i="1" a="1"/>
  <c r="K1038" i="1" a="1"/>
  <c r="K645" i="1" a="1"/>
  <c r="K552" i="1" a="1"/>
  <c r="K512" i="1" a="1"/>
  <c r="K626" i="1" a="1"/>
  <c r="K192" i="1" a="1"/>
  <c r="O157" i="1" a="1"/>
  <c r="K877" i="1" a="1"/>
  <c r="K212" i="1" a="1"/>
  <c r="K774" i="1" a="1"/>
  <c r="K798" i="1" a="1"/>
  <c r="K806" i="1" a="1"/>
  <c r="K1066" i="1" a="1"/>
  <c r="O435" i="1" a="1"/>
  <c r="K976" i="1" a="1"/>
  <c r="K918" i="1" a="1"/>
  <c r="K482" i="1" a="1"/>
  <c r="K956" i="1" a="1"/>
  <c r="K45" i="1" a="1"/>
  <c r="K309" i="1" a="1"/>
  <c r="K150" i="1" a="1"/>
  <c r="K22" i="1" a="1"/>
  <c r="O777" i="1" a="1"/>
  <c r="K58" i="1" a="1"/>
  <c r="K344" i="1" a="1"/>
  <c r="K93" i="1" a="1"/>
  <c r="K795" i="1" a="1"/>
  <c r="O408" i="1" a="1"/>
  <c r="K1409" i="1" a="1"/>
  <c r="K780" i="1" a="1"/>
  <c r="K659" i="1" a="1"/>
  <c r="K1058" i="1" a="1"/>
  <c r="K727" i="1" a="1"/>
  <c r="K957" i="1" a="1"/>
  <c r="K1337" i="1" a="1"/>
  <c r="K324" i="1" a="1"/>
  <c r="K1097" i="1" a="1"/>
  <c r="K425" i="1" a="1"/>
  <c r="K1448" i="1" a="1"/>
  <c r="O1434" i="1" a="1"/>
  <c r="O844" i="1" a="1"/>
  <c r="K668" i="1" a="1"/>
  <c r="K1030" i="1" a="1"/>
  <c r="K472" i="1" a="1"/>
  <c r="K553" i="1" a="1"/>
  <c r="K1437" i="1" a="1"/>
  <c r="K487" i="1" a="1"/>
  <c r="K786" i="1" a="1"/>
  <c r="K954" i="1" a="1"/>
  <c r="K144" i="1" a="1"/>
  <c r="K164" i="1" a="1"/>
  <c r="O509" i="1" a="1"/>
  <c r="K821" i="1" a="1"/>
  <c r="K507" i="1" a="1"/>
  <c r="K134" i="1" a="1"/>
  <c r="K215" i="1" a="1"/>
  <c r="K929" i="1" a="1"/>
  <c r="K595" i="1" a="1"/>
  <c r="K837" i="1" a="1"/>
  <c r="K338" i="1" a="1"/>
  <c r="O833" i="1" a="1"/>
  <c r="K299" i="1" a="1"/>
  <c r="K1062" i="1" a="1"/>
  <c r="K535" i="1" a="1"/>
  <c r="K652" i="1" a="1"/>
  <c r="K290" i="1" a="1"/>
  <c r="K1335" i="1" a="1"/>
  <c r="O420" i="1" a="1"/>
  <c r="K977" i="1" a="1"/>
  <c r="K73" i="1" a="1"/>
  <c r="O1148" i="1" a="1"/>
  <c r="K830" i="1" a="1"/>
  <c r="K220" i="1" a="1"/>
  <c r="K103" i="1" a="1"/>
  <c r="K1236" i="1" a="1"/>
  <c r="K332" i="1" a="1"/>
  <c r="K809" i="1" a="1"/>
  <c r="S1433" i="1" a="1"/>
  <c r="O1301" i="1" a="1"/>
  <c r="S1372" i="1" a="1"/>
  <c r="O914" i="1" a="1"/>
  <c r="O137" i="1" a="1"/>
  <c r="S287" i="1" a="1"/>
  <c r="S278" i="1" a="1"/>
  <c r="O249" i="1" a="1"/>
  <c r="O411" i="1" a="1"/>
  <c r="O773" i="1" a="1"/>
  <c r="O1169" i="1" a="1"/>
  <c r="K386" i="1" a="1"/>
  <c r="O635" i="1" a="1"/>
  <c r="K254" i="1" a="1"/>
  <c r="K1451" i="1" a="1"/>
  <c r="K1025" i="1" a="1"/>
  <c r="S912" i="1" a="1"/>
  <c r="K99" i="1" a="1"/>
  <c r="K227" i="1" a="1"/>
  <c r="K108" i="1" a="1"/>
  <c r="K739" i="1" a="1"/>
  <c r="K160" i="1" a="1"/>
  <c r="K189" i="1" a="1"/>
  <c r="S1303" i="1" a="1"/>
  <c r="K1143" i="1" a="1"/>
  <c r="K161" i="1" a="1"/>
  <c r="O1116" i="1" a="1"/>
  <c r="K932" i="1" a="1"/>
  <c r="O1128" i="1" a="1"/>
  <c r="O442" i="1" a="1"/>
  <c r="K1326" i="1" a="1"/>
  <c r="K256" i="1" a="1"/>
  <c r="K543" i="1" a="1"/>
  <c r="K153" i="1" a="1"/>
  <c r="O627" i="1" a="1"/>
  <c r="K717" i="1" a="1"/>
  <c r="K1121" i="1" a="1"/>
  <c r="O812" i="1" a="1"/>
  <c r="K547" i="1" a="1"/>
  <c r="O553" i="1" a="1"/>
  <c r="K1207" i="1" a="1"/>
  <c r="O440" i="1" a="1"/>
  <c r="O295" i="1" a="1"/>
  <c r="K638" i="1" a="1"/>
  <c r="K724" i="1" a="1"/>
  <c r="K675" i="1" a="1"/>
  <c r="K1381" i="1" a="1"/>
  <c r="K615" i="1" a="1"/>
  <c r="K637" i="1" a="1"/>
  <c r="K288" i="1" a="1"/>
  <c r="K86" i="1" a="1"/>
  <c r="K888" i="1" a="1"/>
  <c r="S1414" i="1" a="1"/>
  <c r="O646" i="1" a="1"/>
  <c r="O860" i="1" a="1"/>
  <c r="K117" i="1" a="1"/>
  <c r="K943" i="1" a="1"/>
  <c r="K224" i="1" a="1"/>
  <c r="K548" i="1" a="1"/>
  <c r="O126" i="1" a="1"/>
  <c r="K379" i="1" a="1"/>
  <c r="O797" i="1" a="1"/>
  <c r="K623" i="1" a="1"/>
  <c r="O419" i="1" a="1"/>
  <c r="K67" i="1" a="1"/>
  <c r="O763" i="1" a="1"/>
  <c r="K1198" i="1" a="1"/>
  <c r="K729" i="1" a="1"/>
  <c r="K157" i="1" a="1"/>
  <c r="K763" i="1" a="1"/>
  <c r="K198" i="1" a="1"/>
  <c r="K505" i="1" a="1"/>
  <c r="K175" i="1" a="1"/>
  <c r="K305" i="1" a="1"/>
  <c r="K983" i="1" a="1"/>
  <c r="K195" i="1" a="1"/>
  <c r="K340" i="1" a="1"/>
  <c r="K247" i="1" a="1"/>
  <c r="K982" i="1" a="1"/>
  <c r="K1279" i="1" a="1"/>
  <c r="K529" i="1" a="1"/>
  <c r="K342" i="1" a="1"/>
  <c r="K643" i="1" a="1"/>
  <c r="K1414" i="1" a="1"/>
  <c r="K162" i="1" a="1"/>
  <c r="O1072" i="1" a="1"/>
  <c r="K57" i="1" a="1"/>
  <c r="K742" i="1" a="1"/>
  <c r="K781" i="1" a="1"/>
  <c r="K1292" i="1" a="1"/>
  <c r="K200" i="1" a="1"/>
  <c r="K221" i="1" a="1"/>
  <c r="K1222" i="1" a="1"/>
  <c r="K789" i="1" a="1"/>
  <c r="K327" i="1" a="1"/>
  <c r="K790" i="1" a="1"/>
  <c r="K1370" i="1" a="1"/>
  <c r="K571" i="1" a="1"/>
  <c r="K912" i="1" a="1"/>
  <c r="O313" i="1" a="1"/>
  <c r="O495" i="1" a="1"/>
  <c r="K1155" i="1" a="1"/>
  <c r="K802" i="1" a="1"/>
  <c r="K683" i="1" a="1"/>
  <c r="K1036" i="1" a="1"/>
  <c r="K636" i="1" a="1"/>
  <c r="K613" i="1" a="1"/>
  <c r="K245" i="1" a="1"/>
  <c r="K430" i="1" a="1"/>
  <c r="K294" i="1" a="1"/>
  <c r="K403" i="1" a="1"/>
  <c r="K335" i="1" a="1"/>
  <c r="K823" i="1" a="1"/>
  <c r="K736" i="1" a="1"/>
  <c r="K616" i="1" a="1"/>
  <c r="K570" i="1" a="1"/>
  <c r="O77" i="1" a="1"/>
  <c r="O340" i="1" a="1"/>
  <c r="K295" i="1" a="1"/>
  <c r="K960" i="1" a="1"/>
  <c r="K75" i="1" a="1"/>
  <c r="K732" i="1" a="1"/>
  <c r="K831" i="1" a="1"/>
  <c r="K889" i="1" a="1"/>
  <c r="K559" i="1" a="1"/>
  <c r="K398" i="1" a="1"/>
  <c r="K32" i="1" a="1"/>
  <c r="K13" i="1" a="1"/>
  <c r="K63" i="1" a="1"/>
  <c r="K871" i="1" a="1"/>
  <c r="O55" i="1" a="1"/>
  <c r="K933" i="1" a="1"/>
  <c r="K1158" i="1" a="1"/>
  <c r="K987" i="1" a="1"/>
  <c r="K813" i="1" a="1"/>
  <c r="K471" i="1" a="1"/>
  <c r="K283" i="1" a="1"/>
  <c r="K354" i="1" a="1"/>
  <c r="K865" i="1" a="1"/>
  <c r="K370" i="1" a="1"/>
  <c r="K841" i="1" a="1"/>
  <c r="K363" i="1" a="1"/>
  <c r="K989" i="1" a="1"/>
  <c r="K1191" i="1" a="1"/>
  <c r="K694" i="1" a="1"/>
  <c r="K244" i="1" a="1"/>
  <c r="O703" i="1" a="1"/>
  <c r="K1157" i="1" a="1"/>
  <c r="K1013" i="1" a="1"/>
  <c r="K347" i="1" a="1"/>
  <c r="K142" i="1" a="1"/>
  <c r="O658" i="1" a="1"/>
  <c r="K477" i="1" a="1"/>
  <c r="K1453" i="1" a="1"/>
  <c r="K1094" i="1" a="1"/>
  <c r="K1248" i="1" a="1"/>
  <c r="K779" i="1" a="1"/>
  <c r="K628" i="1" a="1"/>
  <c r="K829" i="1" a="1"/>
  <c r="K1433" i="1" a="1"/>
  <c r="K796" i="1" a="1"/>
  <c r="K518" i="1" a="1"/>
  <c r="K1293" i="1" a="1"/>
  <c r="K913" i="1" a="1"/>
  <c r="K847" i="1" a="1"/>
  <c r="K374" i="1" a="1"/>
  <c r="K625" i="1" a="1"/>
  <c r="K926" i="1" a="1"/>
  <c r="K855" i="1" a="1"/>
  <c r="K1208" i="1" a="1"/>
  <c r="K712" i="1" a="1"/>
  <c r="K684" i="1" a="1"/>
  <c r="K1276" i="1" a="1"/>
  <c r="K313" i="1" a="1"/>
  <c r="K1257" i="1" a="1"/>
  <c r="K30" i="1" a="1"/>
  <c r="K450" i="1" a="1"/>
  <c r="O613" i="1" a="1"/>
  <c r="K1312" i="1" a="1"/>
  <c r="K797" i="1" a="1"/>
  <c r="O397" i="1" a="1"/>
  <c r="K345" i="1" a="1"/>
  <c r="K239" i="1" a="1"/>
  <c r="K944" i="1" a="1"/>
  <c r="S883" i="1" a="1"/>
  <c r="O75" i="1" a="1"/>
  <c r="O453" i="1" a="1"/>
  <c r="K406" i="1" a="1"/>
  <c r="O426" i="1" a="1"/>
  <c r="K1225" i="1" a="1"/>
  <c r="K389" i="1" a="1"/>
  <c r="K259" i="1" a="1"/>
  <c r="K322" i="1" a="1"/>
  <c r="K1124" i="1" a="1"/>
  <c r="K1186" i="1" a="1"/>
  <c r="K10" i="1" a="1"/>
  <c r="O851" i="1" a="1"/>
  <c r="O66" i="1" a="1"/>
  <c r="K1007" i="1" a="1"/>
  <c r="K804" i="1" a="1"/>
  <c r="K56" i="1" a="1"/>
  <c r="K861" i="1" a="1"/>
  <c r="K972" i="1" a="1"/>
  <c r="K172" i="1" a="1"/>
  <c r="O446" i="1" a="1"/>
  <c r="K1392" i="1" a="1"/>
  <c r="K21" i="1" a="1"/>
  <c r="K273" i="1" a="1"/>
  <c r="K424" i="1" a="1"/>
  <c r="K816" i="1" a="1"/>
  <c r="K768" i="1" a="1"/>
  <c r="K619" i="1" a="1"/>
  <c r="K902" i="1" a="1"/>
  <c r="K500" i="1" a="1"/>
  <c r="K274" i="1" a="1"/>
  <c r="K1042" i="1" a="1"/>
  <c r="K1148" i="1" a="1"/>
  <c r="K600" i="1" a="1"/>
  <c r="K265" i="1" a="1"/>
  <c r="K16" i="1" a="1"/>
  <c r="K413" i="1" a="1"/>
  <c r="K761" i="1" a="1"/>
  <c r="K216" i="1" a="1"/>
  <c r="K945" i="1" a="1"/>
  <c r="K782" i="1" a="1"/>
  <c r="K635" i="1" a="1"/>
  <c r="K317" i="1" a="1"/>
  <c r="K1359" i="1" a="1"/>
  <c r="K907" i="1" a="1"/>
  <c r="K674" i="1" a="1"/>
  <c r="O1068" i="1" a="1"/>
  <c r="O798" i="1" a="1"/>
  <c r="O1451" i="1" a="1"/>
  <c r="K357" i="1" a="1"/>
  <c r="O320" i="1" a="1"/>
  <c r="O666" i="1" a="1"/>
  <c r="K696" i="1" a="1"/>
  <c r="K810" i="1" a="1"/>
  <c r="K905" i="1" a="1"/>
  <c r="K1324" i="1" a="1"/>
  <c r="K631" i="1" a="1"/>
  <c r="K646" i="1" a="1"/>
  <c r="K622" i="1" a="1"/>
  <c r="K417" i="1" a="1"/>
  <c r="K992" i="1" a="1"/>
  <c r="K604" i="1" a="1"/>
  <c r="K906" i="1" a="1"/>
  <c r="O456" i="1" a="1"/>
  <c r="K1180" i="1" a="1"/>
  <c r="K1283" i="1" a="1"/>
  <c r="O47" i="1" a="1"/>
  <c r="K1356" i="1" a="1"/>
  <c r="S1126" i="1" a="1"/>
  <c r="S759" i="1" a="1"/>
  <c r="O1168" i="1" a="1"/>
  <c r="O467" i="1" a="1"/>
  <c r="O732" i="1" a="1"/>
  <c r="O1191" i="1" a="1"/>
  <c r="O604" i="1" a="1"/>
  <c r="O18" i="1" a="1"/>
  <c r="O579" i="1" a="1"/>
  <c r="O1414" i="1" a="1"/>
  <c r="O911" i="1" a="1"/>
  <c r="K775" i="1" a="1"/>
  <c r="O49" i="1" a="1"/>
  <c r="K197" i="1" a="1"/>
  <c r="K701" i="1" a="1"/>
  <c r="K1364" i="1" a="1"/>
  <c r="O898" i="1" a="1"/>
  <c r="K964" i="1" a="1"/>
  <c r="O826" i="1" a="1"/>
  <c r="K1192" i="1" a="1"/>
  <c r="K1182" i="1" a="1"/>
  <c r="S849" i="1" a="1"/>
  <c r="K1006" i="1" a="1"/>
  <c r="O493" i="1" a="1"/>
  <c r="K1252" i="1" a="1"/>
  <c r="K1133" i="1" a="1"/>
  <c r="K537" i="1" a="1"/>
  <c r="K1147" i="1" a="1"/>
  <c r="O1435" i="1" a="1"/>
  <c r="K111" i="1" a="1"/>
  <c r="K60" i="1" a="1"/>
  <c r="O267" i="1" a="1"/>
  <c r="K442" i="1" a="1"/>
  <c r="K181" i="1" a="1"/>
  <c r="O987" i="1" a="1"/>
  <c r="K1173" i="1" a="1"/>
  <c r="K839" i="1" a="1"/>
  <c r="K367" i="1" a="1"/>
  <c r="K368" i="1" a="1"/>
  <c r="O962" i="1" a="1"/>
  <c r="K396" i="1" a="1"/>
  <c r="K1109" i="1" a="1"/>
  <c r="K1430" i="1" a="1"/>
  <c r="K527" i="1" a="1"/>
  <c r="K91" i="1" a="1"/>
  <c r="K510" i="1" a="1"/>
  <c r="K605" i="1" a="1"/>
  <c r="K1041" i="1" a="1"/>
  <c r="K1230" i="1" a="1"/>
  <c r="K183" i="1" a="1"/>
  <c r="K949" i="1" a="1"/>
  <c r="K1111" i="1" a="1"/>
  <c r="O72" i="1" a="1"/>
  <c r="O281" i="1" a="1"/>
  <c r="K1085" i="1" a="1"/>
  <c r="K177" i="1" a="1"/>
  <c r="K1055" i="1" a="1"/>
  <c r="O1244" i="1" a="1"/>
  <c r="K241" i="1" a="1"/>
  <c r="O904" i="1" a="1"/>
  <c r="K546" i="1" a="1"/>
  <c r="O941" i="1" a="1"/>
  <c r="K1304" i="1" a="1"/>
  <c r="O847" i="1" a="1"/>
  <c r="K1320" i="1" a="1"/>
  <c r="O328" i="1" a="1"/>
  <c r="K1004" i="1" a="1"/>
  <c r="K46" i="1" a="1"/>
  <c r="K1134" i="1" a="1"/>
  <c r="K590" i="1" a="1"/>
  <c r="K580" i="1" a="1"/>
  <c r="K959" i="1" a="1"/>
  <c r="K184" i="1" a="1"/>
  <c r="K690" i="1" a="1"/>
  <c r="K1289" i="1" a="1"/>
  <c r="K994" i="1" a="1"/>
  <c r="K986" i="1" a="1"/>
  <c r="K1447" i="1" a="1"/>
  <c r="K1089" i="1" a="1"/>
  <c r="K514" i="1" a="1"/>
  <c r="K169" i="1" a="1"/>
  <c r="K521" i="1" a="1"/>
  <c r="K1023" i="1" a="1"/>
  <c r="O322" i="1" a="1"/>
  <c r="K187" i="1" a="1"/>
  <c r="K778" i="1" a="1"/>
  <c r="K1244" i="1" a="1"/>
  <c r="K464" i="1" a="1"/>
  <c r="K767" i="1" a="1"/>
  <c r="K1067" i="1" a="1"/>
  <c r="K738" i="1" a="1"/>
  <c r="K846" i="1" a="1"/>
  <c r="K601" i="1" a="1"/>
  <c r="K432" i="1" a="1"/>
  <c r="K647" i="1" a="1"/>
  <c r="K1049" i="1" a="1"/>
  <c r="K1206" i="1" a="1"/>
  <c r="K125" i="1" a="1"/>
  <c r="K1240" i="1" a="1"/>
  <c r="K1317" i="1" a="1"/>
  <c r="K927" i="1" a="1"/>
  <c r="K225" i="1" a="1"/>
  <c r="K1127" i="1" a="1"/>
  <c r="K1286" i="1" a="1"/>
  <c r="K1394" i="1" a="1"/>
  <c r="K517" i="1" a="1"/>
  <c r="K1136" i="1" a="1"/>
  <c r="K733" i="1" a="1"/>
  <c r="K985" i="1" a="1"/>
  <c r="K655" i="1" a="1"/>
  <c r="K702" i="1" a="1"/>
  <c r="K433" i="1" a="1"/>
  <c r="K677" i="1" a="1"/>
  <c r="K453" i="1" a="1"/>
  <c r="K660" i="1" a="1"/>
  <c r="K1087" i="1" a="1"/>
  <c r="K1072" i="1" a="1"/>
  <c r="K618" i="1" a="1"/>
  <c r="K725" i="1" a="1"/>
  <c r="K289" i="1" a="1"/>
  <c r="K936" i="1" a="1"/>
  <c r="K1298" i="1" a="1"/>
  <c r="K272" i="1" a="1"/>
  <c r="K756" i="1" a="1"/>
  <c r="K395" i="1" a="1"/>
  <c r="K1205" i="1" a="1"/>
  <c r="K930" i="1" a="1"/>
  <c r="K253" i="1" a="1"/>
  <c r="K1063" i="1" a="1"/>
  <c r="K561" i="1" a="1"/>
  <c r="O191" i="1" a="1"/>
  <c r="K749" i="1" a="1"/>
  <c r="K436" i="1" a="1"/>
  <c r="K97" i="1" a="1"/>
  <c r="K519" i="1" a="1"/>
  <c r="O232" i="1" a="1"/>
  <c r="K910" i="1" a="1"/>
  <c r="K663" i="1" a="1"/>
  <c r="K1088" i="1" a="1"/>
  <c r="K1251" i="1" a="1"/>
  <c r="K1000" i="1" a="1"/>
  <c r="K669" i="1" a="1"/>
  <c r="K991" i="1" a="1"/>
  <c r="K107" i="1" a="1"/>
  <c r="K594" i="1" a="1"/>
  <c r="K589" i="1" a="1"/>
  <c r="K148" i="1" a="1"/>
  <c r="K1306" i="1" a="1"/>
  <c r="K1344" i="1" a="1"/>
  <c r="K423" i="1" a="1"/>
  <c r="K50" i="1" a="1"/>
  <c r="K231" i="1" a="1"/>
  <c r="K20" i="1" a="1"/>
  <c r="K585" i="1" a="1"/>
  <c r="K629" i="1" a="1"/>
  <c r="K1291" i="1" a="1"/>
  <c r="K380" i="1" a="1"/>
  <c r="K36" i="1" a="1"/>
  <c r="K955" i="1" a="1"/>
  <c r="K914" i="1" a="1"/>
  <c r="K1327" i="1" a="1"/>
  <c r="K361" i="1" a="1"/>
  <c r="K980" i="1" a="1"/>
  <c r="O396" i="1" a="1"/>
  <c r="O874" i="1" a="1"/>
  <c r="K996" i="1" a="1"/>
  <c r="K764" i="1" a="1"/>
  <c r="K1131" i="1" a="1"/>
  <c r="K1113" i="1" a="1"/>
  <c r="K47" i="1" a="1"/>
  <c r="K1014" i="1" a="1"/>
  <c r="K15" i="1" a="1"/>
  <c r="K310" i="1" a="1"/>
  <c r="K1366" i="1" a="1"/>
  <c r="K898" i="1" a="1"/>
  <c r="K721" i="1" a="1"/>
  <c r="K903" i="1" a="1"/>
  <c r="K1378" i="1" a="1"/>
  <c r="K190" i="1" a="1"/>
  <c r="K494" i="1" a="1"/>
  <c r="K840" i="1" a="1"/>
  <c r="K771" i="1" a="1"/>
  <c r="K1077" i="1" a="1"/>
  <c r="K1243" i="1" a="1"/>
  <c r="K1270" i="1" a="1"/>
  <c r="O119" i="1" a="1"/>
  <c r="O920" i="1" a="1"/>
  <c r="O1198" i="1" a="1"/>
  <c r="K824" i="1" a="1"/>
  <c r="O743" i="1" a="1"/>
  <c r="K323" i="1" a="1"/>
  <c r="O28" i="1" a="1"/>
  <c r="K534" i="1" a="1"/>
  <c r="O1029" i="1" a="1"/>
  <c r="K1179" i="1" a="1"/>
  <c r="O319" i="1" a="1"/>
  <c r="O1206" i="1" a="1"/>
  <c r="K292" i="1" a="1"/>
  <c r="K545" i="1" a="1"/>
  <c r="O698" i="1" a="1"/>
  <c r="K1039" i="1" a="1"/>
  <c r="O626" i="1" a="1"/>
  <c r="O867" i="1" a="1"/>
  <c r="K437" i="1" a="1"/>
  <c r="K1439" i="1" a="1"/>
  <c r="O937" i="1" a="1"/>
  <c r="K915" i="1" a="1"/>
  <c r="K1142" i="1" a="1"/>
  <c r="K513" i="1" a="1"/>
  <c r="K1346" i="1" a="1"/>
  <c r="K1285" i="1" a="1"/>
  <c r="K119" i="1" a="1"/>
  <c r="K1021" i="1" a="1"/>
  <c r="K1076" i="1" a="1"/>
  <c r="K691" i="1" a="1"/>
  <c r="K1075" i="1" a="1"/>
  <c r="K1107" i="1" a="1"/>
  <c r="K287" i="1" a="1"/>
  <c r="K59" i="1" a="1"/>
  <c r="K921" i="1" a="1"/>
  <c r="K141" i="1" a="1"/>
  <c r="K1057" i="1" a="1"/>
  <c r="K203" i="1" a="1"/>
  <c r="K484" i="1" a="1"/>
  <c r="K814" i="1" a="1"/>
  <c r="K611" i="1" a="1"/>
  <c r="K1101" i="1" a="1"/>
  <c r="K993" i="1" a="1"/>
  <c r="K1151" i="1" a="1"/>
  <c r="K1221" i="1" a="1"/>
  <c r="K710" i="1" a="1"/>
  <c r="S749" i="1" a="1"/>
  <c r="O275" i="1" a="1"/>
  <c r="O376" i="1" a="1"/>
  <c r="S1186" i="1" a="1"/>
  <c r="K686" i="1" a="1"/>
  <c r="O206" i="1" a="1"/>
  <c r="K878" i="1" a="1"/>
  <c r="S1008" i="1" a="1"/>
  <c r="K1054" i="1" a="1"/>
  <c r="K250" i="1" a="1"/>
  <c r="K1385" i="1" a="1"/>
  <c r="O409" i="1" a="1"/>
  <c r="K558" i="1" a="1"/>
  <c r="K85" i="1" a="1"/>
  <c r="K149" i="1" a="1"/>
  <c r="K284" i="1" a="1"/>
  <c r="K1046" i="1" a="1"/>
  <c r="K746" i="1" a="1"/>
  <c r="K1043" i="1" a="1"/>
  <c r="K1005" i="1" a="1"/>
  <c r="K634" i="1" a="1"/>
  <c r="K826" i="1" a="1"/>
  <c r="O793" i="1" a="1"/>
  <c r="K411" i="1" a="1"/>
  <c r="S671" i="1" a="1"/>
  <c r="S955" i="1" a="1"/>
  <c r="O50" i="1" a="1"/>
  <c r="O406" i="1" a="1"/>
  <c r="O123" i="1" a="1"/>
  <c r="O6" i="1" a="1"/>
  <c r="O80" i="1" a="1"/>
  <c r="O436" i="1" a="1"/>
  <c r="O650" i="1" a="1"/>
  <c r="O755" i="1" a="1"/>
  <c r="O489" i="1" a="1"/>
  <c r="K384" i="1" a="1"/>
  <c r="O829" i="1" a="1"/>
  <c r="K509" i="1" a="1"/>
  <c r="O838" i="1" a="1"/>
  <c r="K266" i="1" a="1"/>
  <c r="K612" i="1" a="1"/>
  <c r="K207" i="1" a="1"/>
  <c r="O417" i="1" a="1"/>
  <c r="K74" i="1" a="1"/>
  <c r="O963" i="1" a="1"/>
  <c r="O235" i="1" a="1"/>
  <c r="K178" i="1" a="1"/>
  <c r="K421" i="1" a="1"/>
  <c r="K952" i="1" a="1"/>
  <c r="O378" i="1" a="1"/>
  <c r="K381" i="1" a="1"/>
  <c r="K722" i="1" a="1"/>
  <c r="O565" i="1" a="1"/>
  <c r="K1033" i="1" a="1"/>
  <c r="K492" i="1" a="1"/>
  <c r="K1349" i="1" a="1"/>
  <c r="K708" i="1" a="1"/>
  <c r="O1326" i="1" a="1"/>
  <c r="O981" i="1" a="1"/>
  <c r="K1443" i="1" a="1"/>
  <c r="K1354" i="1" a="1"/>
  <c r="K884" i="1" a="1"/>
  <c r="K880" i="1" a="1"/>
  <c r="O1099" i="1" a="1"/>
  <c r="O318" i="1" a="1"/>
  <c r="K858" i="1" a="1"/>
  <c r="K1431" i="1" a="1"/>
  <c r="K815" i="1" a="1"/>
  <c r="K438" i="1" a="1"/>
  <c r="K1003" i="1" a="1"/>
  <c r="K542" i="1" a="1"/>
  <c r="K1368" i="1" a="1"/>
  <c r="K1162" i="1" a="1"/>
  <c r="K627" i="1" a="1"/>
  <c r="K281" i="1" a="1"/>
  <c r="O365" i="1" a="1"/>
  <c r="O830" i="1" a="1"/>
  <c r="O496" i="1" a="1"/>
  <c r="K136" i="1" a="1"/>
  <c r="O88" i="1" a="1"/>
  <c r="K1399" i="1" a="1"/>
  <c r="O609" i="1" a="1"/>
  <c r="K382" i="1" a="1"/>
  <c r="O667" i="1" a="1"/>
  <c r="K1405" i="1" a="1"/>
  <c r="K1333" i="1" a="1"/>
  <c r="K1159" i="1" a="1"/>
  <c r="K828" i="1" a="1"/>
  <c r="K1250" i="1" a="1"/>
  <c r="K1372" i="1" a="1"/>
  <c r="K920" i="1" a="1"/>
  <c r="S707" i="1" a="1"/>
  <c r="K320" i="1" a="1"/>
  <c r="O859" i="1" a="1"/>
  <c r="K608" i="1" a="1"/>
  <c r="K1096" i="1" a="1"/>
  <c r="K114" i="1" a="1"/>
  <c r="K562" i="1" a="1"/>
  <c r="K1070" i="1" a="1"/>
  <c r="K1105" i="1" a="1"/>
  <c r="K1108" i="1" a="1"/>
  <c r="K904" i="1" a="1"/>
  <c r="K429" i="1" a="1"/>
  <c r="K881" i="1" a="1"/>
  <c r="K135" i="1" a="1"/>
  <c r="K488" i="1" a="1"/>
  <c r="K440" i="1" a="1"/>
  <c r="K998" i="1" a="1"/>
  <c r="O1329" i="1" a="1"/>
  <c r="K339" i="1" a="1"/>
  <c r="K1203" i="1" a="1"/>
  <c r="O416" i="1" a="1"/>
  <c r="K226" i="1" a="1"/>
  <c r="K838" i="1" a="1"/>
  <c r="K1308" i="1" a="1"/>
  <c r="K1290" i="1" a="1"/>
  <c r="K726" i="1" a="1"/>
  <c r="K596" i="1" a="1"/>
  <c r="K799" i="1" a="1"/>
  <c r="K1402" i="1" a="1"/>
  <c r="O1060" i="1" a="1"/>
  <c r="K745" i="1" a="1"/>
  <c r="K414" i="1" a="1"/>
  <c r="O284" i="1" a="1"/>
  <c r="K1341" i="1" a="1"/>
  <c r="K1068" i="1" a="1"/>
  <c r="K33" i="1" a="1"/>
  <c r="K1149" i="1" a="1"/>
  <c r="K843" i="1" a="1"/>
  <c r="K621" i="1" a="1"/>
  <c r="K174" i="1" a="1"/>
  <c r="K392" i="1" a="1"/>
  <c r="K359" i="1" a="1"/>
  <c r="K990" i="1" a="1"/>
  <c r="K276" i="1" a="1"/>
  <c r="K1376" i="1" a="1"/>
  <c r="K516" i="1" a="1"/>
  <c r="K845" i="1" a="1"/>
  <c r="O672" i="1" a="1"/>
  <c r="O831" i="1" a="1"/>
  <c r="O589" i="1" a="1"/>
  <c r="K882" i="1" a="1"/>
  <c r="K214" i="1" a="1"/>
  <c r="K971" i="1" a="1"/>
  <c r="K62" i="1" a="1"/>
  <c r="K587" i="1" a="1"/>
  <c r="K1183" i="1" a="1"/>
  <c r="K916" i="1" a="1"/>
  <c r="K1446" i="1" a="1"/>
  <c r="K1141" i="1" a="1"/>
  <c r="K1247" i="1" a="1"/>
  <c r="K55" i="1" a="1"/>
  <c r="K1177" i="1" a="1"/>
  <c r="K138" i="1" a="1"/>
  <c r="K1116" i="1" a="1"/>
  <c r="K1281" i="1" a="1"/>
  <c r="K1406" i="1" a="1"/>
  <c r="K568" i="1" a="1"/>
  <c r="K39" i="1" a="1"/>
  <c r="K475" i="1" a="1"/>
  <c r="K866" i="1" a="1"/>
  <c r="K1263" i="1" a="1"/>
  <c r="K275" i="1" a="1"/>
  <c r="K302" i="1" a="1"/>
  <c r="K934" i="1" a="1"/>
  <c r="K1408" i="1" a="1"/>
  <c r="K1387" i="1" a="1"/>
  <c r="K461" i="1" a="1"/>
  <c r="K260" i="1" a="1"/>
  <c r="K1249" i="1" a="1"/>
  <c r="O799" i="1" a="1"/>
  <c r="O769" i="1" a="1"/>
  <c r="O1361" i="1" a="1"/>
  <c r="K528" i="1" a="1"/>
  <c r="K525" i="1" a="1"/>
  <c r="K1020" i="1" a="1"/>
  <c r="K376" i="1" a="1"/>
  <c r="K1415" i="1" a="1"/>
  <c r="K894" i="1" a="1"/>
  <c r="K1269" i="1" a="1"/>
  <c r="K499" i="1" a="1"/>
  <c r="K70" i="1" a="1"/>
  <c r="K857" i="1" a="1"/>
  <c r="K566" i="1" a="1"/>
  <c r="K88" i="1" a="1"/>
  <c r="K705" i="1" a="1"/>
  <c r="K242" i="1" a="1"/>
  <c r="K1374" i="1" a="1"/>
  <c r="K1345" i="1" a="1"/>
  <c r="K205" i="1" a="1"/>
  <c r="K560" i="1" a="1"/>
  <c r="K1412" i="1" a="1"/>
  <c r="K98" i="1" a="1"/>
  <c r="K232" i="1" a="1"/>
  <c r="K591" i="1" a="1"/>
  <c r="K122" i="1" a="1"/>
  <c r="K53" i="1" a="1"/>
  <c r="K7" i="1" a="1"/>
  <c r="K483" i="1" a="1"/>
  <c r="K124" i="1" a="1"/>
  <c r="O912" i="1" a="1"/>
  <c r="K278" i="1" a="1"/>
  <c r="K42" i="1" a="1"/>
  <c r="K939" i="1" a="1"/>
  <c r="K268" i="1" a="1"/>
  <c r="K307" i="1" a="1"/>
  <c r="K366" i="1" a="1"/>
  <c r="O1309" i="1" a="1"/>
  <c r="O572" i="1" a="1"/>
  <c r="K301" i="1" a="1"/>
  <c r="K38" i="1" a="1"/>
  <c r="K811" i="1" a="1"/>
  <c r="K593" i="1" a="1"/>
  <c r="K1319" i="1" a="1"/>
  <c r="K803" i="1" a="1"/>
  <c r="S623" i="1" a="1"/>
  <c r="O691" i="1" a="1"/>
  <c r="K879" i="1" a="1"/>
  <c r="K465" i="1" a="1"/>
  <c r="K665" i="1" a="1"/>
  <c r="K999" i="1" a="1"/>
  <c r="O1098" i="1" a="1"/>
  <c r="O868" i="1" a="1"/>
  <c r="K862" i="1" a="1"/>
  <c r="O289" i="1" a="1"/>
  <c r="K538" i="1" a="1"/>
  <c r="K493" i="1" a="1"/>
  <c r="K770" i="1" a="1"/>
  <c r="K503" i="1" a="1"/>
  <c r="K418" i="1" a="1"/>
  <c r="K777" i="1" a="1"/>
  <c r="O1108" i="1" a="1"/>
  <c r="K126" i="1" a="1"/>
  <c r="K511" i="1" a="1"/>
  <c r="K805" i="1" a="1"/>
  <c r="K285" i="1" a="1"/>
  <c r="K426" i="1" a="1"/>
  <c r="K204" i="1" a="1"/>
  <c r="K1410" i="1" a="1"/>
  <c r="K1047" i="1" a="1"/>
  <c r="K1267" i="1" a="1"/>
  <c r="K1123" i="1" a="1"/>
  <c r="K836" i="1" a="1"/>
  <c r="K5" i="1" a="1"/>
  <c r="K658" i="1" a="1"/>
  <c r="K291" i="1" a="1"/>
  <c r="K890" i="1" a="1"/>
  <c r="K650" i="1" a="1"/>
  <c r="K355" i="1" a="1"/>
  <c r="K735" i="1" a="1"/>
  <c r="K1196" i="1" a="1"/>
  <c r="K968" i="1" a="1"/>
  <c r="K754" i="1" a="1"/>
  <c r="K834" i="1" a="1"/>
  <c r="K109" i="1" a="1"/>
  <c r="K1195" i="1" a="1"/>
  <c r="K270" i="1" a="1"/>
  <c r="K17" i="1" a="1"/>
  <c r="K334" i="1" a="1"/>
  <c r="K523" i="1" a="1"/>
  <c r="K678" i="1" a="1"/>
  <c r="K1175" i="1" a="1"/>
  <c r="K1396" i="1" a="1"/>
  <c r="K466" i="1" a="1"/>
  <c r="K899" i="1" a="1"/>
  <c r="K695" i="1" a="1"/>
  <c r="K844" i="1" a="1"/>
  <c r="K758" i="1" a="1"/>
  <c r="K630" i="1" a="1"/>
  <c r="K209" i="1" a="1"/>
  <c r="K1018" i="1" a="1"/>
  <c r="K173" i="1" a="1"/>
  <c r="K1422" i="1" a="1"/>
  <c r="K193" i="1" a="1"/>
  <c r="O927" i="1" a="1"/>
  <c r="K1386" i="1" a="1"/>
  <c r="K267" i="1" a="1"/>
  <c r="K371" i="1" a="1"/>
  <c r="K81" i="1" a="1"/>
  <c r="K166" i="1" a="1"/>
  <c r="K515" i="1" a="1"/>
  <c r="K179" i="1" a="1"/>
  <c r="K800" i="1" a="1"/>
  <c r="K1106" i="1" a="1"/>
  <c r="K1200" i="1" a="1"/>
  <c r="K896" i="1" a="1"/>
  <c r="K576" i="1" a="1"/>
  <c r="K410" i="1" a="1"/>
  <c r="K1423" i="1" a="1"/>
  <c r="K1380" i="1" a="1"/>
  <c r="K358" i="1" a="1"/>
  <c r="K388" i="1" a="1"/>
  <c r="K388" i="1"/>
  <c r="K358" i="1"/>
  <c r="K1380" i="1"/>
  <c r="K1423" i="1"/>
  <c r="K410" i="1"/>
  <c r="K576" i="1"/>
  <c r="K896" i="1"/>
  <c r="K1200" i="1"/>
  <c r="K1106" i="1"/>
  <c r="K800" i="1"/>
  <c r="K179" i="1"/>
  <c r="K515" i="1"/>
  <c r="K166" i="1"/>
  <c r="K81" i="1"/>
  <c r="K371" i="1"/>
  <c r="K267" i="1"/>
  <c r="K1386" i="1"/>
  <c r="O927" i="1"/>
  <c r="K193" i="1"/>
  <c r="K1422" i="1"/>
  <c r="K173" i="1"/>
  <c r="K1018" i="1"/>
  <c r="K209" i="1"/>
  <c r="K630" i="1"/>
  <c r="K758" i="1"/>
  <c r="K844" i="1"/>
  <c r="K695" i="1"/>
  <c r="K899" i="1"/>
  <c r="K466" i="1"/>
  <c r="K1396" i="1"/>
  <c r="K1175" i="1"/>
  <c r="K678" i="1"/>
  <c r="K523" i="1"/>
  <c r="K334" i="1"/>
  <c r="K17" i="1"/>
  <c r="K270" i="1"/>
  <c r="K1195" i="1"/>
  <c r="K109" i="1"/>
  <c r="K834" i="1"/>
  <c r="K754" i="1"/>
  <c r="K968" i="1"/>
  <c r="K1196" i="1"/>
  <c r="K735" i="1"/>
  <c r="K355" i="1"/>
  <c r="K650" i="1"/>
  <c r="K890" i="1"/>
  <c r="K291" i="1"/>
  <c r="K658" i="1"/>
  <c r="K5" i="1"/>
  <c r="K836" i="1"/>
  <c r="K1123" i="1"/>
  <c r="K1267" i="1"/>
  <c r="K1047" i="1"/>
  <c r="K1410" i="1"/>
  <c r="K204" i="1"/>
  <c r="K426" i="1"/>
  <c r="K285" i="1"/>
  <c r="K805" i="1"/>
  <c r="K511" i="1"/>
  <c r="K126" i="1"/>
  <c r="O1108" i="1"/>
  <c r="K777" i="1"/>
  <c r="K418" i="1"/>
  <c r="K503" i="1"/>
  <c r="K770" i="1"/>
  <c r="K493" i="1"/>
  <c r="K538" i="1"/>
  <c r="O289" i="1"/>
  <c r="K862" i="1"/>
  <c r="O868" i="1"/>
  <c r="O1098" i="1"/>
  <c r="K999" i="1"/>
  <c r="K665" i="1"/>
  <c r="K465" i="1"/>
  <c r="K879" i="1"/>
  <c r="O691" i="1"/>
  <c r="S623" i="1"/>
  <c r="K803" i="1"/>
  <c r="K1319" i="1"/>
  <c r="K593" i="1"/>
  <c r="K811" i="1"/>
  <c r="K38" i="1"/>
  <c r="K301" i="1"/>
  <c r="O572" i="1"/>
  <c r="O1309" i="1"/>
  <c r="K366" i="1"/>
  <c r="K307" i="1"/>
  <c r="K268" i="1"/>
  <c r="K939" i="1"/>
  <c r="K42" i="1"/>
  <c r="K278" i="1"/>
  <c r="O912" i="1"/>
  <c r="K124" i="1"/>
  <c r="K483" i="1"/>
  <c r="K7" i="1"/>
  <c r="K53" i="1"/>
  <c r="K122" i="1"/>
  <c r="K591" i="1"/>
  <c r="K232" i="1"/>
  <c r="K98" i="1"/>
  <c r="K1412" i="1"/>
  <c r="K560" i="1"/>
  <c r="K205" i="1"/>
  <c r="K1345" i="1"/>
  <c r="K1374" i="1"/>
  <c r="K242" i="1"/>
  <c r="K705" i="1"/>
  <c r="K88" i="1"/>
  <c r="K566" i="1"/>
  <c r="K857" i="1"/>
  <c r="K70" i="1"/>
  <c r="K499" i="1"/>
  <c r="K1269" i="1"/>
  <c r="K894" i="1"/>
  <c r="K1415" i="1"/>
  <c r="K376" i="1"/>
  <c r="K1020" i="1"/>
  <c r="K525" i="1"/>
  <c r="K528" i="1"/>
  <c r="O1361" i="1"/>
  <c r="O769" i="1"/>
  <c r="O799" i="1"/>
  <c r="K1249" i="1"/>
  <c r="K260" i="1"/>
  <c r="K461" i="1"/>
  <c r="K1387" i="1"/>
  <c r="K1408" i="1"/>
  <c r="K934" i="1"/>
  <c r="K302" i="1"/>
  <c r="K275" i="1"/>
  <c r="K1263" i="1"/>
  <c r="K866" i="1"/>
  <c r="K475" i="1"/>
  <c r="K39" i="1"/>
  <c r="K568" i="1"/>
  <c r="K1406" i="1"/>
  <c r="K1281" i="1"/>
  <c r="K1116" i="1"/>
  <c r="K138" i="1"/>
  <c r="K1177" i="1"/>
  <c r="K55" i="1"/>
  <c r="K1247" i="1"/>
  <c r="K1141" i="1"/>
  <c r="K1446" i="1"/>
  <c r="K916" i="1"/>
  <c r="K1183" i="1"/>
  <c r="K587" i="1"/>
  <c r="K62" i="1"/>
  <c r="K971" i="1"/>
  <c r="K214" i="1"/>
  <c r="K882" i="1"/>
  <c r="O589" i="1"/>
  <c r="O831" i="1"/>
  <c r="O672" i="1"/>
  <c r="K845" i="1"/>
  <c r="K516" i="1"/>
  <c r="K1376" i="1"/>
  <c r="K276" i="1"/>
  <c r="K990" i="1"/>
  <c r="K359" i="1"/>
  <c r="K392" i="1"/>
  <c r="K174" i="1"/>
  <c r="K621" i="1"/>
  <c r="K843" i="1"/>
  <c r="K1149" i="1"/>
  <c r="K33" i="1"/>
  <c r="K1068" i="1"/>
  <c r="K1341" i="1"/>
  <c r="O284" i="1"/>
  <c r="K414" i="1"/>
  <c r="K745" i="1"/>
  <c r="O1060" i="1"/>
  <c r="K1402" i="1"/>
  <c r="K799" i="1"/>
  <c r="K596" i="1"/>
  <c r="K726" i="1"/>
  <c r="K1290" i="1"/>
  <c r="K1308" i="1"/>
  <c r="K838" i="1"/>
  <c r="K226" i="1"/>
  <c r="O416" i="1"/>
  <c r="K1203" i="1"/>
  <c r="K339" i="1"/>
  <c r="O1329" i="1"/>
  <c r="K998" i="1"/>
  <c r="K440" i="1"/>
  <c r="K488" i="1"/>
  <c r="K135" i="1"/>
  <c r="K881" i="1"/>
  <c r="K429" i="1"/>
  <c r="K904" i="1"/>
  <c r="K1108" i="1"/>
  <c r="K1105" i="1"/>
  <c r="K1070" i="1"/>
  <c r="K562" i="1"/>
  <c r="K114" i="1"/>
  <c r="K1096" i="1"/>
  <c r="K608" i="1"/>
  <c r="O859" i="1"/>
  <c r="K320" i="1"/>
  <c r="S707" i="1"/>
  <c r="K920" i="1"/>
  <c r="K1372" i="1"/>
  <c r="K1250" i="1"/>
  <c r="K828" i="1"/>
  <c r="K1159" i="1"/>
  <c r="K1333" i="1"/>
  <c r="K1405" i="1"/>
  <c r="O667" i="1"/>
  <c r="K382" i="1"/>
  <c r="O609" i="1"/>
  <c r="K1399" i="1"/>
  <c r="O88" i="1"/>
  <c r="K136" i="1"/>
  <c r="O496" i="1"/>
  <c r="O830" i="1"/>
  <c r="O365" i="1"/>
  <c r="K281" i="1"/>
  <c r="K627" i="1"/>
  <c r="K1162" i="1"/>
  <c r="K1368" i="1"/>
  <c r="K542" i="1"/>
  <c r="K1003" i="1"/>
  <c r="K438" i="1"/>
  <c r="K815" i="1"/>
  <c r="K1431" i="1"/>
  <c r="K858" i="1"/>
  <c r="O318" i="1"/>
  <c r="O1099" i="1"/>
  <c r="K880" i="1"/>
  <c r="K884" i="1"/>
  <c r="K1354" i="1"/>
  <c r="K1443" i="1"/>
  <c r="O981" i="1"/>
  <c r="O1326" i="1"/>
  <c r="K708" i="1"/>
  <c r="K1349" i="1"/>
  <c r="K492" i="1"/>
  <c r="K1033" i="1"/>
  <c r="O565" i="1"/>
  <c r="K722" i="1"/>
  <c r="K381" i="1"/>
  <c r="O378" i="1"/>
  <c r="K952" i="1"/>
  <c r="K421" i="1"/>
  <c r="K178" i="1"/>
  <c r="O235" i="1"/>
  <c r="O963" i="1"/>
  <c r="K74" i="1"/>
  <c r="O417" i="1"/>
  <c r="K207" i="1"/>
  <c r="K612" i="1"/>
  <c r="K266" i="1"/>
  <c r="O838" i="1"/>
  <c r="K509" i="1"/>
  <c r="O829" i="1"/>
  <c r="K384" i="1"/>
  <c r="O489" i="1"/>
  <c r="O755" i="1"/>
  <c r="O650" i="1"/>
  <c r="O436" i="1"/>
  <c r="O80" i="1"/>
  <c r="O6" i="1"/>
  <c r="O123" i="1"/>
  <c r="O406" i="1"/>
  <c r="O50" i="1"/>
  <c r="S955" i="1"/>
  <c r="S671" i="1"/>
  <c r="K411" i="1"/>
  <c r="O793" i="1"/>
  <c r="K826" i="1"/>
  <c r="K634" i="1"/>
  <c r="K1005" i="1"/>
  <c r="K1043" i="1"/>
  <c r="K746" i="1"/>
  <c r="K1046" i="1"/>
  <c r="K284" i="1"/>
  <c r="K149" i="1"/>
  <c r="K85" i="1"/>
  <c r="K558" i="1"/>
  <c r="O409" i="1"/>
  <c r="K1385" i="1"/>
  <c r="K250" i="1"/>
  <c r="K1054" i="1"/>
  <c r="S1008" i="1"/>
  <c r="K878" i="1"/>
  <c r="O206" i="1"/>
  <c r="K686" i="1"/>
  <c r="S1186" i="1"/>
  <c r="O376" i="1"/>
  <c r="O275" i="1"/>
  <c r="S749" i="1"/>
  <c r="K710" i="1"/>
  <c r="K1221" i="1"/>
  <c r="K1151" i="1"/>
  <c r="K993" i="1"/>
  <c r="K1101" i="1"/>
  <c r="K611" i="1"/>
  <c r="K814" i="1"/>
  <c r="K484" i="1"/>
  <c r="K203" i="1"/>
  <c r="K1057" i="1"/>
  <c r="K141" i="1"/>
  <c r="K921" i="1"/>
  <c r="K59" i="1"/>
  <c r="K287" i="1"/>
  <c r="K1107" i="1"/>
  <c r="K1075" i="1"/>
  <c r="K691" i="1"/>
  <c r="K1076" i="1"/>
  <c r="K1021" i="1"/>
  <c r="K119" i="1"/>
  <c r="K1285" i="1"/>
  <c r="K1346" i="1"/>
  <c r="K513" i="1"/>
  <c r="K1142" i="1"/>
  <c r="K915" i="1"/>
  <c r="O937" i="1"/>
  <c r="K1439" i="1"/>
  <c r="K437" i="1"/>
  <c r="O867" i="1"/>
  <c r="O626" i="1"/>
  <c r="K1039" i="1"/>
  <c r="O698" i="1"/>
  <c r="K545" i="1"/>
  <c r="K292" i="1"/>
  <c r="O1206" i="1"/>
  <c r="O319" i="1"/>
  <c r="K1179" i="1"/>
  <c r="O1029" i="1"/>
  <c r="K534" i="1"/>
  <c r="O28" i="1"/>
  <c r="K323" i="1"/>
  <c r="O743" i="1"/>
  <c r="K824" i="1"/>
  <c r="O1198" i="1"/>
  <c r="O920" i="1"/>
  <c r="O119" i="1"/>
  <c r="K1270" i="1"/>
  <c r="K1243" i="1"/>
  <c r="K1077" i="1"/>
  <c r="K771" i="1"/>
  <c r="K840" i="1"/>
  <c r="K494" i="1"/>
  <c r="K190" i="1"/>
  <c r="K1378" i="1"/>
  <c r="K903" i="1"/>
  <c r="K721" i="1"/>
  <c r="K898" i="1"/>
  <c r="K1366" i="1"/>
  <c r="K310" i="1"/>
  <c r="K15" i="1"/>
  <c r="K1014" i="1"/>
  <c r="K47" i="1"/>
  <c r="K1113" i="1"/>
  <c r="K1131" i="1"/>
  <c r="K764" i="1"/>
  <c r="K996" i="1"/>
  <c r="O874" i="1"/>
  <c r="O396" i="1"/>
  <c r="K980" i="1"/>
  <c r="K361" i="1"/>
  <c r="K1327" i="1"/>
  <c r="K914" i="1"/>
  <c r="K955" i="1"/>
  <c r="K36" i="1"/>
  <c r="K380" i="1"/>
  <c r="K1291" i="1"/>
  <c r="K629" i="1"/>
  <c r="K585" i="1"/>
  <c r="K20" i="1"/>
  <c r="K231" i="1"/>
  <c r="K50" i="1"/>
  <c r="K423" i="1"/>
  <c r="K1344" i="1"/>
  <c r="K1306" i="1"/>
  <c r="K148" i="1"/>
  <c r="K589" i="1"/>
  <c r="K594" i="1"/>
  <c r="K107" i="1"/>
  <c r="K991" i="1"/>
  <c r="K669" i="1"/>
  <c r="K1000" i="1"/>
  <c r="K1251" i="1"/>
  <c r="K1088" i="1"/>
  <c r="K663" i="1"/>
  <c r="K910" i="1"/>
  <c r="O232" i="1"/>
  <c r="K519" i="1"/>
  <c r="K97" i="1"/>
  <c r="K436" i="1"/>
  <c r="K749" i="1"/>
  <c r="O191" i="1"/>
  <c r="K561" i="1"/>
  <c r="K1063" i="1"/>
  <c r="K253" i="1"/>
  <c r="K930" i="1"/>
  <c r="K1205" i="1"/>
  <c r="K395" i="1"/>
  <c r="K756" i="1"/>
  <c r="K272" i="1"/>
  <c r="K1298" i="1"/>
  <c r="K936" i="1"/>
  <c r="K289" i="1"/>
  <c r="K725" i="1"/>
  <c r="K618" i="1"/>
  <c r="K1072" i="1"/>
  <c r="K1087" i="1"/>
  <c r="K660" i="1"/>
  <c r="K453" i="1"/>
  <c r="K677" i="1"/>
  <c r="K433" i="1"/>
  <c r="K702" i="1"/>
  <c r="K655" i="1"/>
  <c r="K985" i="1"/>
  <c r="K733" i="1"/>
  <c r="K1136" i="1"/>
  <c r="K517" i="1"/>
  <c r="K1394" i="1"/>
  <c r="K1286" i="1"/>
  <c r="K1127" i="1"/>
  <c r="K225" i="1"/>
  <c r="K927" i="1"/>
  <c r="K1317" i="1"/>
  <c r="K1240" i="1"/>
  <c r="K125" i="1"/>
  <c r="K1206" i="1"/>
  <c r="K1049" i="1"/>
  <c r="K647" i="1"/>
  <c r="K432" i="1"/>
  <c r="K601" i="1"/>
  <c r="K846" i="1"/>
  <c r="K738" i="1"/>
  <c r="K1067" i="1"/>
  <c r="K767" i="1"/>
  <c r="K464" i="1"/>
  <c r="K1244" i="1"/>
  <c r="K778" i="1"/>
  <c r="K187" i="1"/>
  <c r="O322" i="1"/>
  <c r="K1023" i="1"/>
  <c r="K521" i="1"/>
  <c r="K169" i="1"/>
  <c r="K514" i="1"/>
  <c r="K1089" i="1"/>
  <c r="K1447" i="1"/>
  <c r="K986" i="1"/>
  <c r="K994" i="1"/>
  <c r="K1289" i="1"/>
  <c r="K690" i="1"/>
  <c r="K184" i="1"/>
  <c r="K959" i="1"/>
  <c r="K580" i="1"/>
  <c r="K590" i="1"/>
  <c r="K1134" i="1"/>
  <c r="K46" i="1"/>
  <c r="K1004" i="1"/>
  <c r="O328" i="1"/>
  <c r="K1320" i="1"/>
  <c r="O847" i="1"/>
  <c r="K1304" i="1"/>
  <c r="O941" i="1"/>
  <c r="K546" i="1"/>
  <c r="O904" i="1"/>
  <c r="K241" i="1"/>
  <c r="O1244" i="1"/>
  <c r="K1055" i="1"/>
  <c r="K177" i="1"/>
  <c r="K1085" i="1"/>
  <c r="O281" i="1"/>
  <c r="O72" i="1"/>
  <c r="K1111" i="1"/>
  <c r="K949" i="1"/>
  <c r="K183" i="1"/>
  <c r="K1230" i="1"/>
  <c r="K1041" i="1"/>
  <c r="K605" i="1"/>
  <c r="K510" i="1"/>
  <c r="K91" i="1"/>
  <c r="K527" i="1"/>
  <c r="K1430" i="1"/>
  <c r="K1109" i="1"/>
  <c r="K396" i="1"/>
  <c r="O962" i="1"/>
  <c r="K368" i="1"/>
  <c r="K367" i="1"/>
  <c r="K839" i="1"/>
  <c r="K1173" i="1"/>
  <c r="O987" i="1"/>
  <c r="K181" i="1"/>
  <c r="K442" i="1"/>
  <c r="O267" i="1"/>
  <c r="K60" i="1"/>
  <c r="K111" i="1"/>
  <c r="O1435" i="1"/>
  <c r="K1147" i="1"/>
  <c r="K537" i="1"/>
  <c r="K1133" i="1"/>
  <c r="K1252" i="1"/>
  <c r="O493" i="1"/>
  <c r="K1006" i="1"/>
  <c r="S849" i="1"/>
  <c r="K1182" i="1"/>
  <c r="K1192" i="1"/>
  <c r="O826" i="1"/>
  <c r="K964" i="1"/>
  <c r="O898" i="1"/>
  <c r="K1364" i="1"/>
  <c r="K701" i="1"/>
  <c r="K197" i="1"/>
  <c r="O49" i="1"/>
  <c r="K775" i="1"/>
  <c r="O911" i="1"/>
  <c r="O1414" i="1"/>
  <c r="O579" i="1"/>
  <c r="O18" i="1"/>
  <c r="O604" i="1"/>
  <c r="O1191" i="1"/>
  <c r="O732" i="1"/>
  <c r="O467" i="1"/>
  <c r="O1168" i="1"/>
  <c r="S759" i="1"/>
  <c r="S1126" i="1"/>
  <c r="K1356" i="1"/>
  <c r="O47" i="1"/>
  <c r="K1283" i="1"/>
  <c r="K1180" i="1"/>
  <c r="O456" i="1"/>
  <c r="K906" i="1"/>
  <c r="K604" i="1"/>
  <c r="K992" i="1"/>
  <c r="K417" i="1"/>
  <c r="K622" i="1"/>
  <c r="K646" i="1"/>
  <c r="K631" i="1"/>
  <c r="K1324" i="1"/>
  <c r="K905" i="1"/>
  <c r="K810" i="1"/>
  <c r="K696" i="1"/>
  <c r="O666" i="1"/>
  <c r="O320" i="1"/>
  <c r="K357" i="1"/>
  <c r="O1451" i="1"/>
  <c r="O798" i="1"/>
  <c r="O1068" i="1"/>
  <c r="K674" i="1"/>
  <c r="K907" i="1"/>
  <c r="K1359" i="1"/>
  <c r="K317" i="1"/>
  <c r="K635" i="1"/>
  <c r="K782" i="1"/>
  <c r="K945" i="1"/>
  <c r="K216" i="1"/>
  <c r="K761" i="1"/>
  <c r="K413" i="1"/>
  <c r="K16" i="1"/>
  <c r="K265" i="1"/>
  <c r="K600" i="1"/>
  <c r="K1148" i="1"/>
  <c r="K1042" i="1"/>
  <c r="K274" i="1"/>
  <c r="K500" i="1"/>
  <c r="K902" i="1"/>
  <c r="K619" i="1"/>
  <c r="K768" i="1"/>
  <c r="K816" i="1"/>
  <c r="K424" i="1"/>
  <c r="K273" i="1"/>
  <c r="K21" i="1"/>
  <c r="K1392" i="1"/>
  <c r="O446" i="1"/>
  <c r="K172" i="1"/>
  <c r="K972" i="1"/>
  <c r="K861" i="1"/>
  <c r="K56" i="1"/>
  <c r="K804" i="1"/>
  <c r="K1007" i="1"/>
  <c r="O66" i="1"/>
  <c r="O851" i="1"/>
  <c r="K10" i="1"/>
  <c r="K1186" i="1"/>
  <c r="K1124" i="1"/>
  <c r="K322" i="1"/>
  <c r="K259" i="1"/>
  <c r="K389" i="1"/>
  <c r="K1225" i="1"/>
  <c r="O426" i="1"/>
  <c r="K406" i="1"/>
  <c r="O453" i="1"/>
  <c r="O75" i="1"/>
  <c r="S883" i="1"/>
  <c r="K944" i="1"/>
  <c r="K239" i="1"/>
  <c r="K345" i="1"/>
  <c r="O397" i="1"/>
  <c r="K797" i="1"/>
  <c r="K1312" i="1"/>
  <c r="O613" i="1"/>
  <c r="K450" i="1"/>
  <c r="K30" i="1"/>
  <c r="K1257" i="1"/>
  <c r="K313" i="1"/>
  <c r="K1276" i="1"/>
  <c r="K684" i="1"/>
  <c r="K712" i="1"/>
  <c r="K1208" i="1"/>
  <c r="K855" i="1"/>
  <c r="K926" i="1"/>
  <c r="K625" i="1"/>
  <c r="K374" i="1"/>
  <c r="K847" i="1"/>
  <c r="K913" i="1"/>
  <c r="K1293" i="1"/>
  <c r="K518" i="1"/>
  <c r="K796" i="1"/>
  <c r="K1433" i="1"/>
  <c r="K829" i="1"/>
  <c r="K628" i="1"/>
  <c r="K779" i="1"/>
  <c r="K1248" i="1"/>
  <c r="K1094" i="1"/>
  <c r="K1453" i="1"/>
  <c r="K477" i="1"/>
  <c r="O658" i="1"/>
  <c r="K142" i="1"/>
  <c r="K347" i="1"/>
  <c r="K1013" i="1"/>
  <c r="K1157" i="1"/>
  <c r="O703" i="1"/>
  <c r="K244" i="1"/>
  <c r="K694" i="1"/>
  <c r="K1191" i="1"/>
  <c r="K989" i="1"/>
  <c r="K363" i="1"/>
  <c r="K841" i="1"/>
  <c r="K370" i="1"/>
  <c r="K865" i="1"/>
  <c r="K354" i="1"/>
  <c r="K283" i="1"/>
  <c r="K471" i="1"/>
  <c r="K813" i="1"/>
  <c r="K987" i="1"/>
  <c r="K1158" i="1"/>
  <c r="K933" i="1"/>
  <c r="O55" i="1"/>
  <c r="K871" i="1"/>
  <c r="K63" i="1"/>
  <c r="K13" i="1"/>
  <c r="K32" i="1"/>
  <c r="K398" i="1"/>
  <c r="K559" i="1"/>
  <c r="K889" i="1"/>
  <c r="K831" i="1"/>
  <c r="K732" i="1"/>
  <c r="K75" i="1"/>
  <c r="K960" i="1"/>
  <c r="K295" i="1"/>
  <c r="O340" i="1"/>
  <c r="O77" i="1"/>
  <c r="K570" i="1"/>
  <c r="K616" i="1"/>
  <c r="K736" i="1"/>
  <c r="K823" i="1"/>
  <c r="K335" i="1"/>
  <c r="K403" i="1"/>
  <c r="K294" i="1"/>
  <c r="K430" i="1"/>
  <c r="K245" i="1"/>
  <c r="K613" i="1"/>
  <c r="K636" i="1"/>
  <c r="K1036" i="1"/>
  <c r="K683" i="1"/>
  <c r="K802" i="1"/>
  <c r="K1155" i="1"/>
  <c r="O495" i="1"/>
  <c r="O313" i="1"/>
  <c r="K912" i="1"/>
  <c r="K571" i="1"/>
  <c r="K1370" i="1"/>
  <c r="K790" i="1"/>
  <c r="K327" i="1"/>
  <c r="K789" i="1"/>
  <c r="K1222" i="1"/>
  <c r="K221" i="1"/>
  <c r="K200" i="1"/>
  <c r="K1292" i="1"/>
  <c r="K781" i="1"/>
  <c r="K742" i="1"/>
  <c r="K57" i="1"/>
  <c r="O1072" i="1"/>
  <c r="K162" i="1"/>
  <c r="K1414" i="1"/>
  <c r="S1414" i="1"/>
  <c r="T1414" i="1"/>
  <c r="K643" i="1"/>
  <c r="K342" i="1"/>
  <c r="K529" i="1"/>
  <c r="K1279" i="1"/>
  <c r="K982" i="1"/>
  <c r="K247" i="1"/>
  <c r="K340" i="1"/>
  <c r="K195" i="1"/>
  <c r="K983" i="1"/>
  <c r="K305" i="1"/>
  <c r="K175" i="1"/>
  <c r="K505" i="1"/>
  <c r="K198" i="1"/>
  <c r="K763" i="1"/>
  <c r="K157" i="1"/>
  <c r="K729" i="1"/>
  <c r="K1198" i="1"/>
  <c r="O763" i="1"/>
  <c r="K67" i="1"/>
  <c r="O419" i="1"/>
  <c r="K623" i="1"/>
  <c r="O797" i="1"/>
  <c r="K379" i="1"/>
  <c r="O126" i="1"/>
  <c r="K548" i="1"/>
  <c r="K224" i="1"/>
  <c r="K943" i="1"/>
  <c r="K117" i="1"/>
  <c r="O860" i="1"/>
  <c r="O646" i="1"/>
  <c r="K888" i="1"/>
  <c r="K86" i="1"/>
  <c r="K288" i="1"/>
  <c r="K637" i="1"/>
  <c r="K615" i="1"/>
  <c r="K1381" i="1"/>
  <c r="K675" i="1"/>
  <c r="K724" i="1"/>
  <c r="K638" i="1"/>
  <c r="O638" i="1"/>
  <c r="S638" i="1"/>
  <c r="T638" i="1"/>
  <c r="O295" i="1"/>
  <c r="O440" i="1"/>
  <c r="K1207" i="1"/>
  <c r="O553" i="1"/>
  <c r="K547" i="1"/>
  <c r="O812" i="1"/>
  <c r="K1121" i="1"/>
  <c r="K717" i="1"/>
  <c r="O627" i="1"/>
  <c r="K153" i="1"/>
  <c r="K543" i="1"/>
  <c r="K256" i="1"/>
  <c r="K1326" i="1"/>
  <c r="O442" i="1"/>
  <c r="O1128" i="1"/>
  <c r="K932" i="1"/>
  <c r="O932" i="1"/>
  <c r="S932" i="1"/>
  <c r="T932" i="1"/>
  <c r="O1116" i="1"/>
  <c r="K161" i="1"/>
  <c r="K1143" i="1"/>
  <c r="S1303" i="1"/>
  <c r="K189" i="1"/>
  <c r="K160" i="1"/>
  <c r="K739" i="1"/>
  <c r="K108" i="1"/>
  <c r="K227" i="1"/>
  <c r="K99" i="1"/>
  <c r="S912" i="1"/>
  <c r="K1025" i="1"/>
  <c r="K1451" i="1"/>
  <c r="K254" i="1"/>
  <c r="O635" i="1"/>
  <c r="K386" i="1"/>
  <c r="O1169" i="1"/>
  <c r="O773" i="1"/>
  <c r="O411" i="1"/>
  <c r="O249" i="1"/>
  <c r="S278" i="1"/>
  <c r="S287" i="1"/>
  <c r="O137" i="1"/>
  <c r="O914" i="1"/>
  <c r="S1372" i="1"/>
  <c r="O1301" i="1"/>
  <c r="S1433" i="1"/>
  <c r="K809" i="1"/>
  <c r="K332" i="1"/>
  <c r="K1236" i="1"/>
  <c r="K103" i="1"/>
  <c r="K220" i="1"/>
  <c r="K830" i="1"/>
  <c r="O1148" i="1"/>
  <c r="K73" i="1"/>
  <c r="K977" i="1"/>
  <c r="O420" i="1"/>
  <c r="K1335" i="1"/>
  <c r="K290" i="1"/>
  <c r="K652" i="1"/>
  <c r="K535" i="1"/>
  <c r="K1062" i="1"/>
  <c r="K299" i="1"/>
  <c r="O833" i="1"/>
  <c r="K338" i="1"/>
  <c r="K837" i="1"/>
  <c r="K595" i="1"/>
  <c r="K929" i="1"/>
  <c r="K215" i="1"/>
  <c r="K134" i="1"/>
  <c r="K507" i="1"/>
  <c r="K821" i="1"/>
  <c r="O509" i="1"/>
  <c r="K164" i="1"/>
  <c r="K144" i="1"/>
  <c r="K954" i="1"/>
  <c r="K786" i="1"/>
  <c r="K487" i="1"/>
  <c r="K1437" i="1"/>
  <c r="K553" i="1"/>
  <c r="K472" i="1"/>
  <c r="K1030" i="1"/>
  <c r="K668" i="1"/>
  <c r="O844" i="1"/>
  <c r="O1434" i="1"/>
  <c r="K1448" i="1"/>
  <c r="K425" i="1"/>
  <c r="K1097" i="1"/>
  <c r="K324" i="1"/>
  <c r="K1337" i="1"/>
  <c r="K957" i="1"/>
  <c r="K727" i="1"/>
  <c r="K1058" i="1"/>
  <c r="K659" i="1"/>
  <c r="K780" i="1"/>
  <c r="K1409" i="1"/>
  <c r="O408" i="1"/>
  <c r="K795" i="1"/>
  <c r="K93" i="1"/>
  <c r="K344" i="1"/>
  <c r="K58" i="1"/>
  <c r="O777" i="1"/>
  <c r="K22" i="1"/>
  <c r="K150" i="1"/>
  <c r="K309" i="1"/>
  <c r="K45" i="1"/>
  <c r="K956" i="1"/>
  <c r="K482" i="1"/>
  <c r="K918" i="1"/>
  <c r="K976" i="1"/>
  <c r="O435" i="1"/>
  <c r="K1066" i="1"/>
  <c r="K806" i="1"/>
  <c r="K798" i="1"/>
  <c r="K774" i="1"/>
  <c r="K212" i="1"/>
  <c r="K877" i="1"/>
  <c r="O157" i="1"/>
  <c r="K192" i="1"/>
  <c r="K626" i="1"/>
  <c r="K512" i="1"/>
  <c r="K552" i="1"/>
  <c r="K645" i="1"/>
  <c r="K1038" i="1"/>
  <c r="O891" i="1"/>
  <c r="K230" i="1"/>
  <c r="K481" i="1"/>
  <c r="K146" i="1"/>
  <c r="K876" i="1"/>
  <c r="K1040" i="1"/>
  <c r="K577" i="1"/>
  <c r="O483" i="1"/>
  <c r="K1373" i="1"/>
  <c r="K448" i="1"/>
  <c r="K1104" i="1"/>
  <c r="K373" i="1"/>
  <c r="K574" i="1"/>
  <c r="K682" i="1"/>
  <c r="K79" i="1"/>
  <c r="K72" i="1"/>
  <c r="S72" i="1"/>
  <c r="T72" i="1"/>
  <c r="K1181" i="1"/>
  <c r="K822" i="1"/>
  <c r="K330" i="1"/>
  <c r="K277" i="1"/>
  <c r="K607" i="1"/>
  <c r="K703" i="1"/>
  <c r="K1086" i="1"/>
  <c r="K1156" i="1"/>
  <c r="K603" i="1"/>
  <c r="K449" i="1"/>
  <c r="K753" i="1"/>
  <c r="K9" i="1"/>
  <c r="K551" i="1"/>
  <c r="K188" i="1"/>
  <c r="K893" i="1"/>
  <c r="K832" i="1"/>
  <c r="K891" i="1"/>
  <c r="K718" i="1"/>
  <c r="K1016" i="1"/>
  <c r="K95" i="1"/>
  <c r="K236" i="1"/>
  <c r="K1160" i="1"/>
  <c r="K139" i="1"/>
  <c r="K102" i="1"/>
  <c r="K1229" i="1"/>
  <c r="K820" i="1"/>
  <c r="K569" i="1"/>
  <c r="K1128" i="1"/>
  <c r="K1122" i="1"/>
  <c r="K1001" i="1"/>
  <c r="K1011" i="1"/>
  <c r="K182" i="1"/>
  <c r="K480" i="1"/>
  <c r="K685" i="1"/>
  <c r="K434" i="1"/>
  <c r="K1383" i="1"/>
  <c r="K817" i="1"/>
  <c r="K819" i="1"/>
  <c r="K11" i="1"/>
  <c r="K23" i="1"/>
  <c r="O873" i="1"/>
  <c r="K586" i="1"/>
  <c r="K1338" i="1"/>
  <c r="O433" i="1"/>
  <c r="K41" i="1"/>
  <c r="K1223" i="1"/>
  <c r="K348" i="1"/>
  <c r="K360" i="1"/>
  <c r="K1434" i="1"/>
  <c r="K642" i="1"/>
  <c r="K223" i="1"/>
  <c r="K496" i="1"/>
  <c r="O469" i="1"/>
  <c r="K1331" i="1"/>
  <c r="K1379" i="1"/>
  <c r="K935" i="1"/>
  <c r="K1185" i="1"/>
  <c r="K365" i="1"/>
  <c r="O791" i="1"/>
  <c r="K1318" i="1"/>
  <c r="K416" i="1"/>
  <c r="O558" i="1"/>
  <c r="K1365" i="1"/>
  <c r="K458" i="1"/>
  <c r="K620" i="1"/>
  <c r="K171" i="1"/>
  <c r="K1275" i="1"/>
  <c r="K1261" i="1"/>
  <c r="O457" i="1"/>
  <c r="O302" i="1"/>
  <c r="K131" i="1"/>
  <c r="K1037" i="1"/>
  <c r="K825" i="1"/>
  <c r="K693" i="1"/>
  <c r="K2" i="1"/>
  <c r="K1008" i="1"/>
  <c r="K1311" i="1"/>
  <c r="K1065" i="1"/>
  <c r="K1218" i="1"/>
  <c r="K1407" i="1"/>
  <c r="O494" i="1"/>
  <c r="O1225" i="1"/>
  <c r="K1165" i="1"/>
  <c r="K151" i="1"/>
  <c r="K860" i="1"/>
  <c r="K120" i="1"/>
  <c r="K1017" i="1"/>
  <c r="O341" i="1"/>
  <c r="O550" i="1"/>
  <c r="K1024" i="1"/>
  <c r="K849" i="1"/>
  <c r="K1401" i="1"/>
  <c r="K408" i="1"/>
  <c r="O687" i="1"/>
  <c r="O915" i="1"/>
  <c r="K293" i="1"/>
  <c r="K788" i="1"/>
  <c r="K296" i="1"/>
  <c r="O463" i="1"/>
  <c r="K1272" i="1"/>
  <c r="K352" i="1"/>
  <c r="K714" i="1"/>
  <c r="K1009" i="1"/>
  <c r="O1009" i="1"/>
  <c r="S1009" i="1"/>
  <c r="T1009" i="1"/>
  <c r="K235" i="1"/>
  <c r="K1171" i="1"/>
  <c r="K707" i="1"/>
  <c r="O757" i="1"/>
  <c r="O316" i="1"/>
  <c r="K393" i="1"/>
  <c r="K1168" i="1"/>
  <c r="O563" i="1"/>
  <c r="O431" i="1"/>
  <c r="O772" i="1"/>
  <c r="O731" i="1"/>
  <c r="O661" i="1"/>
  <c r="O503" i="1"/>
  <c r="O1174" i="1"/>
  <c r="O359" i="1"/>
  <c r="S775" i="1"/>
  <c r="O805" i="1"/>
  <c r="O150" i="1"/>
  <c r="O583" i="1"/>
  <c r="S1267" i="1"/>
  <c r="O832" i="1"/>
  <c r="K501" i="1"/>
  <c r="K14" i="1"/>
  <c r="K455" i="1"/>
  <c r="O455" i="1"/>
  <c r="S455" i="1"/>
  <c r="T455" i="1"/>
  <c r="K1095" i="1"/>
  <c r="K1234" i="1"/>
  <c r="K1209" i="1"/>
  <c r="O1066" i="1"/>
  <c r="K202" i="1"/>
  <c r="K1102" i="1"/>
  <c r="K1245" i="1"/>
  <c r="K1352" i="1"/>
  <c r="O1041" i="1"/>
  <c r="K900" i="1"/>
  <c r="O1343" i="1"/>
  <c r="O391" i="1"/>
  <c r="K1193" i="1"/>
  <c r="K1258" i="1"/>
  <c r="O291" i="1"/>
  <c r="K875" i="1"/>
  <c r="O1092" i="1"/>
  <c r="K687" i="1"/>
  <c r="K759" i="1"/>
  <c r="K946" i="1"/>
  <c r="O811" i="1"/>
  <c r="K967" i="1"/>
  <c r="K498" i="1"/>
  <c r="K741" i="1"/>
  <c r="K1129" i="1"/>
  <c r="K71" i="1"/>
  <c r="K504" i="1"/>
  <c r="K1064" i="1"/>
  <c r="K1369" i="1"/>
  <c r="K248" i="1"/>
  <c r="K356" i="1"/>
  <c r="K147" i="1"/>
  <c r="K336" i="1"/>
  <c r="K163" i="1"/>
  <c r="K497" i="1"/>
  <c r="O1028" i="1"/>
  <c r="K937" i="1"/>
  <c r="K897" i="1"/>
  <c r="K540" i="1"/>
  <c r="K624" i="1"/>
  <c r="O603" i="1"/>
  <c r="K769" i="1"/>
  <c r="O533" i="1"/>
  <c r="K321" i="1"/>
  <c r="K123" i="1"/>
  <c r="K1277" i="1"/>
  <c r="O857" i="1"/>
  <c r="O685" i="1"/>
  <c r="K390" i="1"/>
  <c r="O921" i="1"/>
  <c r="K1117" i="1"/>
  <c r="K165" i="1"/>
  <c r="S1320" i="1"/>
  <c r="K485" i="1"/>
  <c r="K1313" i="1"/>
  <c r="K583" i="1"/>
  <c r="O745" i="1"/>
  <c r="O876" i="1"/>
  <c r="K251" i="1"/>
  <c r="K755" i="1"/>
  <c r="K1233" i="1"/>
  <c r="K785" i="1"/>
  <c r="K315" i="1"/>
  <c r="K582" i="1"/>
  <c r="K995" i="1"/>
  <c r="K723" i="1"/>
  <c r="K167" i="1"/>
  <c r="O775" i="1"/>
  <c r="K901" i="1"/>
  <c r="O1364" i="1"/>
  <c r="K1398" i="1"/>
  <c r="K1238" i="1"/>
  <c r="K549" i="1"/>
  <c r="K581" i="1"/>
  <c r="K1050" i="1"/>
  <c r="K1052" i="1"/>
  <c r="K752" i="1"/>
  <c r="O950" i="1"/>
  <c r="K751" i="1"/>
  <c r="K78" i="1"/>
  <c r="O78" i="1"/>
  <c r="S78" i="1"/>
  <c r="T78" i="1"/>
  <c r="K110" i="1"/>
  <c r="K835" i="1"/>
  <c r="K656" i="1"/>
  <c r="K958" i="1"/>
  <c r="O213" i="1"/>
  <c r="K1438" i="1"/>
  <c r="K530" i="1"/>
  <c r="K325" i="1"/>
  <c r="O325" i="1"/>
  <c r="S325" i="1"/>
  <c r="T325" i="1"/>
  <c r="K1340" i="1"/>
  <c r="K218" i="1"/>
  <c r="K520" i="1"/>
  <c r="O1020" i="1"/>
  <c r="K531" i="1"/>
  <c r="K130" i="1"/>
  <c r="K168" i="1"/>
  <c r="O593" i="1"/>
  <c r="K1307" i="1"/>
  <c r="K312" i="1"/>
  <c r="O282" i="1"/>
  <c r="K1301" i="1"/>
  <c r="K1045" i="1"/>
  <c r="K711" i="1"/>
  <c r="K793" i="1"/>
  <c r="K387" i="1"/>
  <c r="K706" i="1"/>
  <c r="O717" i="1"/>
  <c r="K233" i="1"/>
  <c r="K917" i="1"/>
  <c r="K563" i="1"/>
  <c r="K951" i="1"/>
  <c r="K1074" i="1"/>
  <c r="K565" i="1"/>
  <c r="K1002" i="1"/>
  <c r="K468" i="1"/>
  <c r="K115" i="1"/>
  <c r="K981" i="1"/>
  <c r="K1219" i="1"/>
  <c r="K326" i="1"/>
  <c r="K1397" i="1"/>
  <c r="K984" i="1"/>
  <c r="K966" i="1"/>
  <c r="K667" i="1"/>
  <c r="K1300" i="1"/>
  <c r="K1232" i="1"/>
  <c r="K127" i="1"/>
  <c r="K679" i="1"/>
  <c r="K271" i="1"/>
  <c r="K311" i="1"/>
  <c r="K1418" i="1"/>
  <c r="K1315" i="1"/>
  <c r="O347" i="1"/>
  <c r="O116" i="1"/>
  <c r="K1059" i="1"/>
  <c r="K1224" i="1"/>
  <c r="K1176" i="1"/>
  <c r="K341" i="1"/>
  <c r="K159" i="1"/>
  <c r="K66" i="1"/>
  <c r="K211" i="1"/>
  <c r="K602" i="1"/>
  <c r="K1061" i="1"/>
  <c r="K654" i="1"/>
  <c r="K852" i="1"/>
  <c r="K459" i="1"/>
  <c r="K1103" i="1"/>
  <c r="K1375" i="1"/>
  <c r="O98" i="1"/>
  <c r="K508" i="1"/>
  <c r="K402" i="1"/>
  <c r="K92" i="1"/>
  <c r="K526" i="1"/>
  <c r="K856" i="1"/>
  <c r="K1360" i="1"/>
  <c r="K1358" i="1"/>
  <c r="K1213" i="1"/>
  <c r="K240" i="1"/>
  <c r="K306" i="1"/>
  <c r="K1126" i="1"/>
  <c r="K689" i="1"/>
  <c r="O689" i="1"/>
  <c r="S689" i="1"/>
  <c r="T689" i="1"/>
  <c r="K249" i="1"/>
  <c r="O8" i="1"/>
  <c r="O168" i="1"/>
  <c r="K1452" i="1"/>
  <c r="K280" i="1"/>
  <c r="K592" i="1"/>
  <c r="K892" i="1"/>
  <c r="K1184" i="1"/>
  <c r="K1110" i="1"/>
  <c r="K598" i="1"/>
  <c r="K1010" i="1"/>
  <c r="K1167" i="1"/>
  <c r="K784" i="1"/>
  <c r="K653" i="1"/>
  <c r="K588" i="1"/>
  <c r="K1388" i="1"/>
  <c r="K639" i="1"/>
  <c r="O971" i="1"/>
  <c r="K473" i="1"/>
  <c r="K154" i="1"/>
  <c r="K541" i="1"/>
  <c r="O969" i="1"/>
  <c r="K1294" i="1"/>
  <c r="O520" i="1"/>
  <c r="K1278" i="1"/>
  <c r="K1226" i="1"/>
  <c r="K486" i="1"/>
  <c r="K391" i="1"/>
  <c r="K1100" i="1"/>
  <c r="K1048" i="1"/>
  <c r="K1303" i="1"/>
  <c r="K1239" i="1"/>
  <c r="O323" i="1"/>
  <c r="O1376" i="1"/>
  <c r="K228" i="1"/>
  <c r="K794" i="1"/>
  <c r="K1284" i="1"/>
  <c r="K1140" i="1"/>
  <c r="O697" i="1"/>
  <c r="K919" i="1"/>
  <c r="O556" i="1"/>
  <c r="K77" i="1"/>
  <c r="O344" i="1"/>
  <c r="K850" i="1"/>
  <c r="S936" i="1"/>
  <c r="K419" i="1"/>
  <c r="K539" i="1"/>
  <c r="K1139" i="1"/>
  <c r="O1139" i="1"/>
  <c r="S1139" i="1"/>
  <c r="T1139" i="1"/>
  <c r="O536" i="1"/>
  <c r="K1271" i="1"/>
  <c r="K1260" i="1"/>
  <c r="K1421" i="1"/>
  <c r="O814" i="1"/>
  <c r="K217" i="1"/>
  <c r="S855" i="1"/>
  <c r="K495" i="1"/>
  <c r="K246" i="1"/>
  <c r="K1092" i="1"/>
  <c r="S594" i="1"/>
  <c r="K258" i="1"/>
  <c r="K69" i="1"/>
  <c r="K1144" i="1"/>
  <c r="O461" i="1"/>
  <c r="K40" i="1"/>
  <c r="O421" i="1"/>
  <c r="K1204" i="1"/>
  <c r="K1302" i="1"/>
  <c r="O1046" i="1"/>
  <c r="K728" i="1"/>
  <c r="O528" i="1"/>
  <c r="S529" i="1"/>
  <c r="S837" i="1"/>
  <c r="K859" i="1"/>
  <c r="O616" i="1"/>
  <c r="O591" i="1"/>
  <c r="O477" i="1"/>
  <c r="O578" i="1"/>
  <c r="O92" i="1"/>
  <c r="O1038" i="1"/>
  <c r="O1324" i="1"/>
  <c r="S987" i="1"/>
  <c r="S720" i="1"/>
  <c r="O1371" i="1"/>
  <c r="S356" i="1"/>
  <c r="O1175" i="1"/>
  <c r="S190" i="1"/>
  <c r="K346" i="1"/>
  <c r="O346" i="1"/>
  <c r="S346" i="1"/>
  <c r="T346" i="1"/>
  <c r="K121" i="1"/>
  <c r="K1426" i="1"/>
  <c r="K1299" i="1"/>
  <c r="K116" i="1"/>
  <c r="K400" i="1"/>
  <c r="K924" i="1"/>
  <c r="K688" i="1"/>
  <c r="K575" i="1"/>
  <c r="O575" i="1"/>
  <c r="S575" i="1"/>
  <c r="T575" i="1"/>
  <c r="K970" i="1"/>
  <c r="K1343" i="1"/>
  <c r="K469" i="1"/>
  <c r="O1353" i="1"/>
  <c r="O1005" i="1"/>
  <c r="K760" i="1"/>
  <c r="K1053" i="1"/>
  <c r="K206" i="1"/>
  <c r="K1118" i="1"/>
  <c r="K533" i="1"/>
  <c r="O848" i="1"/>
  <c r="O335" i="1"/>
  <c r="O527" i="1"/>
  <c r="K961" i="1"/>
  <c r="K720" i="1"/>
  <c r="K1355" i="1"/>
  <c r="K362" i="1"/>
  <c r="K1170" i="1"/>
  <c r="K1145" i="1"/>
  <c r="K300" i="1"/>
  <c r="K740" i="1"/>
  <c r="K364" i="1"/>
  <c r="K692" i="1"/>
  <c r="O315" i="1"/>
  <c r="K614" i="1"/>
  <c r="K578" i="1"/>
  <c r="K385" i="1"/>
  <c r="K1259" i="1"/>
  <c r="K1214" i="1"/>
  <c r="K1241" i="1"/>
  <c r="K731" i="1"/>
  <c r="K304" i="1"/>
  <c r="O304" i="1"/>
  <c r="S304" i="1"/>
  <c r="T304" i="1"/>
  <c r="K801" i="1"/>
  <c r="K680" i="1"/>
  <c r="K83" i="1"/>
  <c r="K940" i="1"/>
  <c r="K185" i="1"/>
  <c r="K1268" i="1"/>
  <c r="K1073" i="1"/>
  <c r="K868" i="1"/>
  <c r="K791" i="1"/>
  <c r="K269" i="1"/>
  <c r="K489" i="1"/>
  <c r="K1019" i="1"/>
  <c r="K409" i="1"/>
  <c r="K673" i="1"/>
  <c r="K64" i="1"/>
  <c r="O395" i="1"/>
  <c r="K762" i="1"/>
  <c r="K923" i="1"/>
  <c r="K451" i="1"/>
  <c r="K222" i="1"/>
  <c r="K1199" i="1"/>
  <c r="K460" i="1"/>
  <c r="O555" i="1"/>
  <c r="K447" i="1"/>
  <c r="O447" i="1"/>
  <c r="S447" i="1"/>
  <c r="T447" i="1"/>
  <c r="K787" i="1"/>
  <c r="K734" i="1"/>
  <c r="K1367" i="1"/>
  <c r="K1449" i="1"/>
  <c r="K452" i="1"/>
  <c r="O1365" i="1"/>
  <c r="K1348" i="1"/>
  <c r="K282" i="1"/>
  <c r="S282" i="1"/>
  <c r="T282" i="1"/>
  <c r="K113" i="1"/>
  <c r="K314" i="1"/>
  <c r="K610" i="1"/>
  <c r="K922" i="1"/>
  <c r="K106" i="1"/>
  <c r="K965" i="1"/>
  <c r="K1389" i="1"/>
  <c r="K506" i="1"/>
  <c r="K567" i="1"/>
  <c r="O343" i="1"/>
  <c r="K1323" i="1"/>
  <c r="K158" i="1"/>
  <c r="K394" i="1"/>
  <c r="K1316" i="1"/>
  <c r="K864" i="1"/>
  <c r="K467" i="1"/>
  <c r="K931" i="1"/>
  <c r="K261" i="1"/>
  <c r="K401" i="1"/>
  <c r="K427" i="1"/>
  <c r="K854" i="1"/>
  <c r="K170" i="1"/>
  <c r="K422" i="1"/>
  <c r="O299" i="1"/>
  <c r="K279" i="1"/>
  <c r="K1332" i="1"/>
  <c r="K681" i="1"/>
  <c r="K633" i="1"/>
  <c r="K988" i="1"/>
  <c r="K1325" i="1"/>
  <c r="K26" i="1"/>
  <c r="K210" i="1"/>
  <c r="K869" i="1"/>
  <c r="K1029" i="1"/>
  <c r="K454" i="1"/>
  <c r="K848" i="1"/>
  <c r="K1305" i="1"/>
  <c r="K1082" i="1"/>
  <c r="O816" i="1"/>
  <c r="K308" i="1"/>
  <c r="K118" i="1"/>
  <c r="K412" i="1"/>
  <c r="K807" i="1"/>
  <c r="K617" i="1"/>
  <c r="K953" i="1"/>
  <c r="K969" i="1"/>
  <c r="K1428" i="1"/>
  <c r="K1395" i="1"/>
  <c r="K415" i="1"/>
  <c r="K76" i="1"/>
  <c r="K94" i="1"/>
  <c r="K1125" i="1"/>
  <c r="K1288" i="1"/>
  <c r="K1255" i="1"/>
  <c r="K1242" i="1"/>
  <c r="O459" i="1"/>
  <c r="K140" i="1"/>
  <c r="K152" i="1"/>
  <c r="K979" i="1"/>
  <c r="K35" i="1"/>
  <c r="K1339" i="1"/>
  <c r="K407" i="1"/>
  <c r="K867" i="1"/>
  <c r="K709" i="1"/>
  <c r="K584" i="1"/>
  <c r="K196" i="1"/>
  <c r="K1384" i="1"/>
  <c r="K737" i="1"/>
  <c r="K1190" i="1"/>
  <c r="K1169" i="1"/>
  <c r="S619" i="1"/>
  <c r="K1254" i="1"/>
  <c r="K61" i="1"/>
  <c r="K744" i="1"/>
  <c r="K651" i="1"/>
  <c r="K456" i="1"/>
  <c r="K554" i="1"/>
  <c r="K439" i="1"/>
  <c r="K599" i="1"/>
  <c r="K1321" i="1"/>
  <c r="K24" i="1"/>
  <c r="K609" i="1"/>
  <c r="K715" i="1"/>
  <c r="K1154" i="1"/>
  <c r="K925" i="1"/>
  <c r="K1425" i="1"/>
  <c r="K237" i="1"/>
  <c r="K572" i="1"/>
  <c r="K975" i="1"/>
  <c r="K1210" i="1"/>
  <c r="K1328" i="1"/>
  <c r="K1212" i="1"/>
  <c r="K1084" i="1"/>
  <c r="K1138" i="1"/>
  <c r="K1172" i="1"/>
  <c r="K431" i="1"/>
  <c r="S431" i="1"/>
  <c r="T431" i="1"/>
  <c r="K1035" i="1"/>
  <c r="K1034" i="1"/>
  <c r="K963" i="1"/>
  <c r="K234" i="1"/>
  <c r="O780" i="1"/>
  <c r="O444" i="1"/>
  <c r="K37" i="1"/>
  <c r="K1093" i="1"/>
  <c r="K399" i="1"/>
  <c r="K252" i="1"/>
  <c r="O742" i="1"/>
  <c r="K441" i="1"/>
  <c r="O534" i="1"/>
  <c r="K428" i="1"/>
  <c r="O975" i="1"/>
  <c r="K8" i="1"/>
  <c r="K18" i="1"/>
  <c r="K557" i="1"/>
  <c r="O636" i="1"/>
  <c r="K263" i="1"/>
  <c r="O40" i="1"/>
  <c r="K100" i="1"/>
  <c r="O569" i="1"/>
  <c r="K457" i="1"/>
  <c r="K3" i="1"/>
  <c r="K1377" i="1"/>
  <c r="K1235" i="1"/>
  <c r="K350" i="1"/>
  <c r="O680" i="1"/>
  <c r="K1216" i="1"/>
  <c r="K947" i="1"/>
  <c r="S654" i="1"/>
  <c r="K318" i="1"/>
  <c r="O659" i="1"/>
  <c r="K397" i="1"/>
  <c r="K1028" i="1"/>
  <c r="O1257" i="1"/>
  <c r="K1115" i="1"/>
  <c r="K648" i="1"/>
  <c r="K257" i="1"/>
  <c r="K1080" i="1"/>
  <c r="O1423" i="1"/>
  <c r="O1193" i="1"/>
  <c r="K676" i="1"/>
  <c r="K156" i="1"/>
  <c r="K1357" i="1"/>
  <c r="O357" i="1"/>
  <c r="O855" i="1"/>
  <c r="O288" i="1"/>
  <c r="O262" i="1"/>
  <c r="O163" i="1"/>
  <c r="O615" i="1"/>
  <c r="O619" i="1"/>
  <c r="O1189" i="1"/>
  <c r="O1278" i="1"/>
  <c r="O498" i="1"/>
  <c r="S59" i="1"/>
  <c r="O1247" i="1"/>
  <c r="S881" i="1"/>
  <c r="K1215" i="1"/>
  <c r="O834" i="1"/>
  <c r="K1015" i="1"/>
  <c r="O718" i="1"/>
  <c r="K812" i="1"/>
  <c r="O889" i="1"/>
  <c r="O980" i="1"/>
  <c r="K1099" i="1"/>
  <c r="K1393" i="1"/>
  <c r="K84" i="1"/>
  <c r="K550" i="1"/>
  <c r="K89" i="1"/>
  <c r="K129" i="1"/>
  <c r="K697" i="1"/>
  <c r="K1322" i="1"/>
  <c r="K1044" i="1"/>
  <c r="K1256" i="1"/>
  <c r="O835" i="1"/>
  <c r="K644" i="1"/>
  <c r="O806" i="1"/>
  <c r="O386" i="1"/>
  <c r="K31" i="1"/>
  <c r="K112" i="1"/>
  <c r="K1314" i="1"/>
  <c r="K1079" i="1"/>
  <c r="K597" i="1"/>
  <c r="K470" i="1"/>
  <c r="K377" i="1"/>
  <c r="K818" i="1"/>
  <c r="O818" i="1"/>
  <c r="S818" i="1"/>
  <c r="T818" i="1"/>
  <c r="O377" i="1"/>
  <c r="K1420" i="1"/>
  <c r="O562" i="1"/>
  <c r="K704" i="1"/>
  <c r="O273" i="1"/>
  <c r="K662" i="1"/>
  <c r="O519" i="1"/>
  <c r="S396" i="1"/>
  <c r="K895" i="1"/>
  <c r="K672" i="1"/>
  <c r="K1336" i="1"/>
  <c r="K1419" i="1"/>
  <c r="O432" i="1"/>
  <c r="K1273" i="1"/>
  <c r="O418" i="1"/>
  <c r="K700" i="1"/>
  <c r="O637" i="1"/>
  <c r="K1071" i="1"/>
  <c r="K573" i="1"/>
  <c r="K1051" i="1"/>
  <c r="K201" i="1"/>
  <c r="K155" i="1"/>
  <c r="K1119" i="1"/>
  <c r="O936" i="1"/>
  <c r="O1147" i="1"/>
  <c r="S283" i="1"/>
  <c r="K298" i="1"/>
  <c r="K105" i="1"/>
  <c r="K670" i="1"/>
  <c r="K1114" i="1"/>
  <c r="K6" i="1"/>
  <c r="O985" i="1"/>
  <c r="K48" i="1"/>
  <c r="O681" i="1"/>
  <c r="K54" i="1"/>
  <c r="O1420" i="1"/>
  <c r="K1174" i="1"/>
  <c r="O1357" i="1"/>
  <c r="K349" i="1"/>
  <c r="S509" i="1"/>
  <c r="O490" i="1"/>
  <c r="K1228" i="1"/>
  <c r="K522" i="1"/>
  <c r="K351" i="1"/>
  <c r="K1083" i="1"/>
  <c r="K1060" i="1"/>
  <c r="K1178" i="1"/>
  <c r="K4" i="1"/>
  <c r="K219" i="1"/>
  <c r="O518" i="1"/>
  <c r="O248" i="1"/>
  <c r="K962" i="1"/>
  <c r="K1031" i="1"/>
  <c r="O935" i="1"/>
  <c r="O1291" i="1"/>
  <c r="O355" i="1"/>
  <c r="O230" i="1"/>
  <c r="O686" i="1"/>
  <c r="O1233" i="1"/>
  <c r="O513" i="1"/>
  <c r="O739" i="1"/>
  <c r="S585" i="1"/>
  <c r="O516" i="1"/>
  <c r="O352" i="1"/>
  <c r="O1214" i="1"/>
  <c r="O909" i="1"/>
  <c r="S275" i="1"/>
  <c r="O1277" i="1"/>
  <c r="S1308" i="1"/>
  <c r="O997" i="1"/>
  <c r="O879" i="1"/>
  <c r="O462" i="1"/>
  <c r="O1328" i="1"/>
  <c r="O353" i="1"/>
  <c r="O1320" i="1"/>
  <c r="S105" i="1"/>
  <c r="O1363" i="1"/>
  <c r="K750" i="1"/>
  <c r="O629" i="1"/>
  <c r="O448" i="1"/>
  <c r="O1381" i="1"/>
  <c r="O988" i="1"/>
  <c r="O286" i="1"/>
  <c r="O374" i="1"/>
  <c r="S747" i="1"/>
  <c r="O270" i="1"/>
  <c r="O1037" i="1"/>
  <c r="O1295" i="1"/>
  <c r="S662" i="1"/>
  <c r="S1189" i="1"/>
  <c r="O1160" i="1"/>
  <c r="S700" i="1"/>
  <c r="O237" i="1"/>
  <c r="O1421" i="1"/>
  <c r="O166" i="1"/>
  <c r="S162" i="1"/>
  <c r="S1182" i="1"/>
  <c r="S1409" i="1"/>
  <c r="O1274" i="1"/>
  <c r="K1164" i="1"/>
  <c r="O956" i="1"/>
  <c r="K443" i="1"/>
  <c r="O464" i="1"/>
  <c r="K1098" i="1"/>
  <c r="O207" i="1"/>
  <c r="O738" i="1"/>
  <c r="K34" i="1"/>
  <c r="K68" i="1"/>
  <c r="K1246" i="1"/>
  <c r="K863" i="1"/>
  <c r="K1400" i="1"/>
  <c r="K909" i="1"/>
  <c r="S909" i="1"/>
  <c r="T909" i="1"/>
  <c r="K1265" i="1"/>
  <c r="K405" i="1"/>
  <c r="O303" i="1"/>
  <c r="K378" i="1"/>
  <c r="S378" i="1"/>
  <c r="T378" i="1"/>
  <c r="O907" i="1"/>
  <c r="K333" i="1"/>
  <c r="O70" i="1"/>
  <c r="O1307" i="1"/>
  <c r="K404" i="1"/>
  <c r="K1189" i="1"/>
  <c r="T1189" i="1"/>
  <c r="K372" i="1"/>
  <c r="K765" i="1"/>
  <c r="K1363" i="1"/>
  <c r="K873" i="1"/>
  <c r="K463" i="1"/>
  <c r="K1266" i="1"/>
  <c r="O614" i="1"/>
  <c r="K1081" i="1"/>
  <c r="O1081" i="1"/>
  <c r="S1081" i="1"/>
  <c r="T1081" i="1"/>
  <c r="O712" i="1"/>
  <c r="K1012" i="1"/>
  <c r="O1385" i="1"/>
  <c r="K445" i="1"/>
  <c r="O871" i="1"/>
  <c r="O407" i="1"/>
  <c r="K1132" i="1"/>
  <c r="K19" i="1"/>
  <c r="O19" i="1"/>
  <c r="S19" i="1"/>
  <c r="T19" i="1"/>
  <c r="K1342" i="1"/>
  <c r="K375" i="1"/>
  <c r="O151" i="1"/>
  <c r="K1445" i="1"/>
  <c r="O375" i="1"/>
  <c r="K1441" i="1"/>
  <c r="O719" i="1"/>
  <c r="K297" i="1"/>
  <c r="K792" i="1"/>
  <c r="K664" i="1"/>
  <c r="O664" i="1"/>
  <c r="S664" i="1"/>
  <c r="T664" i="1"/>
  <c r="K1371" i="1"/>
  <c r="K657" i="1"/>
  <c r="K1211" i="1"/>
  <c r="O155" i="1"/>
  <c r="O1001" i="1"/>
  <c r="K908" i="1"/>
  <c r="O908" i="1"/>
  <c r="S908" i="1"/>
  <c r="T908" i="1"/>
  <c r="K842" i="1"/>
  <c r="O505" i="1"/>
  <c r="K51" i="1"/>
  <c r="O507" i="1"/>
  <c r="K938" i="1"/>
  <c r="O710" i="1"/>
  <c r="K213" i="1"/>
  <c r="O531" i="1"/>
  <c r="K950" i="1"/>
  <c r="K928" i="1"/>
  <c r="K474" i="1"/>
  <c r="K941" i="1"/>
  <c r="K1161" i="1"/>
  <c r="O704" i="1"/>
  <c r="S459" i="1"/>
  <c r="K1411" i="1"/>
  <c r="K1262" i="1"/>
  <c r="K1201" i="1"/>
  <c r="K65" i="1"/>
  <c r="O620" i="1"/>
  <c r="K1382" i="1"/>
  <c r="O741" i="1"/>
  <c r="K353" i="1"/>
  <c r="O86" i="1"/>
  <c r="O815" i="1"/>
  <c r="K490" i="1"/>
  <c r="S490" i="1"/>
  <c r="T490" i="1"/>
  <c r="O1362" i="1"/>
  <c r="O570" i="1"/>
  <c r="O557" i="1"/>
  <c r="O790" i="1"/>
  <c r="O1273" i="1"/>
  <c r="O645" i="1"/>
  <c r="O342" i="1"/>
  <c r="O539" i="1"/>
  <c r="O642" i="1"/>
  <c r="O277" i="1"/>
  <c r="O13" i="1"/>
  <c r="O866" i="1"/>
  <c r="O1184" i="1"/>
  <c r="O990" i="1"/>
  <c r="S988" i="1"/>
  <c r="O792" i="1"/>
  <c r="O42" i="1"/>
  <c r="O783" i="1"/>
  <c r="O1080" i="1"/>
  <c r="O883" i="1"/>
  <c r="O500" i="1"/>
  <c r="O1010" i="1"/>
  <c r="O901" i="1"/>
  <c r="O970" i="1"/>
  <c r="K255" i="1"/>
  <c r="O1113" i="1"/>
  <c r="O546" i="1"/>
  <c r="O413" i="1"/>
  <c r="O196" i="1"/>
  <c r="O179" i="1"/>
  <c r="O1110" i="1"/>
  <c r="O1289" i="1"/>
  <c r="O605" i="1"/>
  <c r="O475" i="1"/>
  <c r="O1373" i="1"/>
  <c r="O296" i="1"/>
  <c r="O226" i="1"/>
  <c r="O192" i="1"/>
  <c r="S1279" i="1"/>
  <c r="O424" i="1"/>
  <c r="O141" i="1"/>
  <c r="O1145" i="1"/>
  <c r="S907" i="1"/>
  <c r="S220" i="1"/>
  <c r="S873" i="1"/>
  <c r="O473" i="1"/>
  <c r="O434" i="1"/>
  <c r="O460" i="1"/>
  <c r="O148" i="1"/>
  <c r="O1048" i="1"/>
  <c r="O1117" i="1"/>
  <c r="O410" i="1"/>
  <c r="O1264" i="1"/>
  <c r="O1152" i="1"/>
  <c r="O1341" i="1"/>
  <c r="O843" i="1"/>
  <c r="O930" i="1"/>
  <c r="O24" i="1"/>
  <c r="O1426" i="1"/>
  <c r="S975" i="1"/>
  <c r="O610" i="1"/>
  <c r="O22" i="1"/>
  <c r="O1039" i="1"/>
  <c r="O1058" i="1"/>
  <c r="O512" i="1"/>
  <c r="O853" i="1"/>
  <c r="O1197" i="1"/>
  <c r="O354" i="1"/>
  <c r="O1319" i="1"/>
  <c r="O776" i="1"/>
  <c r="O647" i="1"/>
  <c r="O1161" i="1"/>
  <c r="O1230" i="1"/>
  <c r="S1411" i="1"/>
  <c r="S587" i="1"/>
  <c r="O405" i="1"/>
  <c r="S454" i="1"/>
  <c r="O184" i="1"/>
  <c r="O918" i="1"/>
  <c r="O1229" i="1"/>
  <c r="O492" i="1"/>
  <c r="S938" i="1"/>
  <c r="S117" i="1"/>
  <c r="S100" i="1"/>
  <c r="O1232" i="1"/>
  <c r="O1022" i="1"/>
  <c r="O1312" i="1"/>
  <c r="S805" i="1"/>
  <c r="S1097" i="1"/>
  <c r="S1173" i="1"/>
  <c r="K329" i="1"/>
  <c r="K286" i="1"/>
  <c r="K1056" i="1"/>
  <c r="K564" i="1"/>
  <c r="O16" i="1"/>
  <c r="O756" i="1"/>
  <c r="S1029" i="1"/>
  <c r="K666" i="1"/>
  <c r="K641" i="1"/>
  <c r="K1404" i="1"/>
  <c r="K1309" i="1"/>
  <c r="S1309" i="1"/>
  <c r="T1309" i="1"/>
  <c r="O852" i="1"/>
  <c r="K479" i="1"/>
  <c r="O298" i="1"/>
  <c r="K1427" i="1"/>
  <c r="O484" i="1"/>
  <c r="K948" i="1"/>
  <c r="O948" i="1"/>
  <c r="S948" i="1"/>
  <c r="T948" i="1"/>
  <c r="O1064" i="1"/>
  <c r="K208" i="1"/>
  <c r="O263" i="1"/>
  <c r="K671" i="1"/>
  <c r="K716" i="1"/>
  <c r="O524" i="1"/>
  <c r="K1146" i="1"/>
  <c r="O1019" i="1"/>
  <c r="K632" i="1"/>
  <c r="O632" i="1"/>
  <c r="S632" i="1"/>
  <c r="T632" i="1"/>
  <c r="O817" i="1"/>
  <c r="K383" i="1"/>
  <c r="O1158" i="1"/>
  <c r="K444" i="1"/>
  <c r="O639" i="1"/>
  <c r="K974" i="1"/>
  <c r="O974" i="1"/>
  <c r="S974" i="1"/>
  <c r="T974" i="1"/>
  <c r="K478" i="1"/>
  <c r="K243" i="1"/>
  <c r="O25" i="1"/>
  <c r="S1417" i="1"/>
  <c r="K104" i="1"/>
  <c r="K1253" i="1"/>
  <c r="K872" i="1"/>
  <c r="K1220" i="1"/>
  <c r="K82" i="1"/>
  <c r="K420" i="1"/>
  <c r="S420" i="1"/>
  <c r="T420" i="1"/>
  <c r="K49" i="1"/>
  <c r="K1432" i="1"/>
  <c r="K186" i="1"/>
  <c r="K328" i="1"/>
  <c r="K1310" i="1"/>
  <c r="K303" i="1"/>
  <c r="S303" i="1"/>
  <c r="T303" i="1"/>
  <c r="K262" i="1"/>
  <c r="O964" i="1"/>
  <c r="K1237" i="1"/>
  <c r="O187" i="1"/>
  <c r="O946" i="1"/>
  <c r="K96" i="1"/>
  <c r="K319" i="1"/>
  <c r="O364" i="1"/>
  <c r="K238" i="1"/>
  <c r="O544" i="1"/>
  <c r="K191" i="1"/>
  <c r="O1063" i="1"/>
  <c r="K661" i="1"/>
  <c r="K743" i="1"/>
  <c r="K331" i="1"/>
  <c r="K137" i="1"/>
  <c r="S137" i="1"/>
  <c r="T137" i="1"/>
  <c r="K229" i="1"/>
  <c r="K1197" i="1"/>
  <c r="O1211" i="1"/>
  <c r="O441" i="1"/>
  <c r="K1450" i="1"/>
  <c r="K1032" i="1"/>
  <c r="K1069" i="1"/>
  <c r="O993" i="1"/>
  <c r="K883" i="1"/>
  <c r="T883" i="1"/>
  <c r="O311" i="1"/>
  <c r="K606" i="1"/>
  <c r="O543" i="1"/>
  <c r="K698" i="1"/>
  <c r="O1226" i="1"/>
  <c r="O1031" i="1"/>
  <c r="K757" i="1"/>
  <c r="S757" i="1"/>
  <c r="T757" i="1"/>
  <c r="O1308" i="1"/>
  <c r="O165" i="1"/>
  <c r="O176" i="1"/>
  <c r="O1069" i="1"/>
  <c r="O1403" i="1"/>
  <c r="S1276" i="1"/>
  <c r="S966" i="1"/>
  <c r="S864" i="1"/>
  <c r="S1138" i="1"/>
  <c r="O104" i="1"/>
  <c r="O1235" i="1"/>
  <c r="O654" i="1"/>
  <c r="O694" i="1"/>
  <c r="S777" i="1"/>
  <c r="O827" i="1"/>
  <c r="O1086" i="1"/>
  <c r="O585" i="1"/>
  <c r="O916" i="1"/>
  <c r="O1297" i="1"/>
  <c r="O1377" i="1"/>
  <c r="O624" i="1"/>
  <c r="O1026" i="1"/>
  <c r="S971" i="1"/>
  <c r="O331" i="1"/>
  <c r="O1167" i="1"/>
  <c r="S44" i="1"/>
  <c r="S524" i="1"/>
  <c r="O1047" i="1"/>
  <c r="O762" i="1"/>
  <c r="O439" i="1"/>
  <c r="S144" i="1"/>
  <c r="O76" i="1"/>
  <c r="O789" i="1"/>
  <c r="O808" i="1"/>
  <c r="O1331" i="1"/>
  <c r="S605" i="1"/>
  <c r="S30" i="1"/>
  <c r="S1297" i="1"/>
  <c r="O618" i="1"/>
  <c r="O949" i="1"/>
  <c r="S414" i="1"/>
  <c r="S270" i="1"/>
  <c r="S20" i="1"/>
  <c r="S64" i="1"/>
  <c r="K1362" i="1"/>
  <c r="K833" i="1"/>
  <c r="S833" i="1"/>
  <c r="T833" i="1"/>
  <c r="K885" i="1"/>
  <c r="O885" i="1"/>
  <c r="S885" i="1"/>
  <c r="T885" i="1"/>
  <c r="K1022" i="1"/>
  <c r="S1022" i="1"/>
  <c r="T1022" i="1"/>
  <c r="O1190" i="1"/>
  <c r="O99" i="1"/>
  <c r="K25" i="1"/>
  <c r="O656" i="1"/>
  <c r="K1297" i="1"/>
  <c r="O338" i="1"/>
  <c r="K1416" i="1"/>
  <c r="O631" i="1"/>
  <c r="K1440" i="1"/>
  <c r="O571" i="1"/>
  <c r="K874" i="1"/>
  <c r="O368" i="1"/>
  <c r="K1442" i="1"/>
  <c r="K730" i="1"/>
  <c r="O730" i="1"/>
  <c r="S730" i="1"/>
  <c r="T730" i="1"/>
  <c r="K719" i="1"/>
  <c r="S719" i="1"/>
  <c r="T719" i="1"/>
  <c r="O39" i="1"/>
  <c r="K1413" i="1"/>
  <c r="K1026" i="1"/>
  <c r="O1412" i="1"/>
  <c r="K1137" i="1"/>
  <c r="O81" i="1"/>
  <c r="K80" i="1"/>
  <c r="O690" i="1"/>
  <c r="K1295" i="1"/>
  <c r="K870" i="1"/>
  <c r="K827" i="1"/>
  <c r="K1188" i="1"/>
  <c r="K1417" i="1"/>
  <c r="K773" i="1"/>
  <c r="S773" i="1"/>
  <c r="T773" i="1"/>
  <c r="O929" i="1"/>
  <c r="O90" i="1"/>
  <c r="O110" i="1"/>
  <c r="K1436" i="1"/>
  <c r="K649" i="1"/>
  <c r="K1187" i="1"/>
  <c r="K462" i="1"/>
  <c r="K43" i="1"/>
  <c r="O43" i="1"/>
  <c r="S43" i="1"/>
  <c r="T43" i="1"/>
  <c r="K1444" i="1"/>
  <c r="O1444" i="1"/>
  <c r="S1444" i="1"/>
  <c r="T1444" i="1"/>
  <c r="K194" i="1"/>
  <c r="K1391" i="1"/>
  <c r="K886" i="1"/>
  <c r="O580" i="1"/>
  <c r="K1153" i="1"/>
  <c r="O83" i="1"/>
  <c r="K87" i="1"/>
  <c r="O87" i="1"/>
  <c r="S87" i="1"/>
  <c r="T87" i="1"/>
  <c r="O986" i="1"/>
  <c r="K1217" i="1"/>
  <c r="O1217" i="1"/>
  <c r="S1217" i="1"/>
  <c r="T1217" i="1"/>
  <c r="O1188" i="1"/>
  <c r="S188" i="1"/>
  <c r="K502" i="1"/>
  <c r="K1166" i="1"/>
  <c r="K640" i="1"/>
  <c r="K1350" i="1"/>
  <c r="K44" i="1"/>
  <c r="K776" i="1"/>
  <c r="S776" i="1"/>
  <c r="T776" i="1"/>
  <c r="K1135" i="1"/>
  <c r="K52" i="1"/>
  <c r="K1194" i="1"/>
  <c r="K1120" i="1"/>
  <c r="K435" i="1"/>
  <c r="K555" i="1"/>
  <c r="S555" i="1"/>
  <c r="T555" i="1"/>
  <c r="K853" i="1"/>
  <c r="O1018" i="1"/>
  <c r="O73" i="1"/>
  <c r="K1227" i="1"/>
  <c r="O890" i="1"/>
  <c r="K143" i="1"/>
  <c r="O957" i="1"/>
  <c r="K1027" i="1"/>
  <c r="O1027" i="1"/>
  <c r="S1027" i="1"/>
  <c r="T1027" i="1"/>
  <c r="O470" i="1"/>
  <c r="K1152" i="1"/>
  <c r="S1258" i="1"/>
  <c r="K145" i="1"/>
  <c r="O845" i="1"/>
  <c r="O306" i="1"/>
  <c r="K27" i="1"/>
  <c r="O700" i="1"/>
  <c r="O415" i="1"/>
  <c r="S800" i="1"/>
  <c r="O751" i="1"/>
  <c r="O5" i="1"/>
  <c r="O979" i="1"/>
  <c r="O349" i="1"/>
  <c r="O540" i="1"/>
  <c r="O720" i="1"/>
  <c r="O684" i="1"/>
  <c r="O526" i="1"/>
  <c r="O101" i="1"/>
  <c r="S1179" i="1"/>
  <c r="O84" i="1"/>
  <c r="O1043" i="1"/>
  <c r="O837" i="1"/>
  <c r="O682" i="1"/>
  <c r="S725" i="1"/>
  <c r="O590" i="1"/>
  <c r="O266" i="1"/>
  <c r="O1024" i="1"/>
  <c r="S946" i="1"/>
  <c r="O846" i="1"/>
  <c r="O804" i="1"/>
  <c r="S321" i="1"/>
  <c r="O94" i="1"/>
  <c r="O285" i="1"/>
  <c r="O486" i="1"/>
  <c r="O380" i="1"/>
  <c r="O272" i="1"/>
  <c r="O538" i="1"/>
  <c r="O958" i="1"/>
  <c r="S491" i="1"/>
  <c r="S1149" i="1"/>
  <c r="S980" i="1"/>
  <c r="S175" i="1"/>
  <c r="O1076" i="1"/>
  <c r="O147" i="1"/>
  <c r="S521" i="1"/>
  <c r="S1404" i="1"/>
  <c r="S1049" i="1"/>
  <c r="K199" i="1"/>
  <c r="K699" i="1"/>
  <c r="K90" i="1"/>
  <c r="S90" i="1"/>
  <c r="T90" i="1"/>
  <c r="K12" i="1"/>
  <c r="K973" i="1"/>
  <c r="O403" i="1"/>
  <c r="O699" i="1"/>
  <c r="K1353" i="1"/>
  <c r="O705" i="1"/>
  <c r="K316" i="1"/>
  <c r="O382" i="1"/>
  <c r="K101" i="1"/>
  <c r="O576" i="1"/>
  <c r="K369" i="1"/>
  <c r="K491" i="1"/>
  <c r="O491" i="1"/>
  <c r="T491" i="1"/>
  <c r="K1334" i="1"/>
  <c r="K1090" i="1"/>
  <c r="K446" i="1"/>
  <c r="K911" i="1"/>
  <c r="S911" i="1"/>
  <c r="T911" i="1"/>
  <c r="O337" i="1"/>
  <c r="O44" i="1"/>
  <c r="S794" i="1"/>
  <c r="K556" i="1"/>
  <c r="S556" i="1"/>
  <c r="T556" i="1"/>
  <c r="K132" i="1"/>
  <c r="O300" i="1"/>
  <c r="K978" i="1"/>
  <c r="O779" i="1"/>
  <c r="K536" i="1"/>
  <c r="O135" i="1"/>
  <c r="K1351" i="1"/>
  <c r="K1163" i="1"/>
  <c r="K1390" i="1"/>
  <c r="K1403" i="1"/>
  <c r="K476" i="1"/>
  <c r="K1435" i="1"/>
  <c r="S1435" i="1"/>
  <c r="T1435" i="1"/>
  <c r="O279" i="1"/>
  <c r="O438" i="1"/>
  <c r="K808" i="1"/>
  <c r="K579" i="1"/>
  <c r="S579" i="1"/>
  <c r="T579" i="1"/>
  <c r="K1078" i="1"/>
  <c r="K524" i="1"/>
  <c r="T524" i="1"/>
  <c r="K28" i="1"/>
  <c r="K128" i="1"/>
  <c r="O128" i="1"/>
  <c r="S128" i="1"/>
  <c r="T128" i="1"/>
  <c r="K1429" i="1"/>
  <c r="K133" i="1"/>
  <c r="K343" i="1"/>
  <c r="K1287" i="1"/>
  <c r="O1287" i="1"/>
  <c r="S1287" i="1"/>
  <c r="T1287" i="1"/>
  <c r="O48" i="1"/>
  <c r="K851" i="1"/>
  <c r="S851" i="1"/>
  <c r="T851" i="1"/>
  <c r="K1202" i="1"/>
  <c r="O1202" i="1"/>
  <c r="S1202" i="1"/>
  <c r="T1202" i="1"/>
  <c r="O1380" i="1"/>
  <c r="K1274" i="1"/>
  <c r="S1274" i="1"/>
  <c r="T1274" i="1"/>
  <c r="O965" i="1"/>
  <c r="O669" i="1"/>
  <c r="K772" i="1"/>
  <c r="K766" i="1"/>
  <c r="K1330" i="1"/>
  <c r="K1296" i="1"/>
  <c r="O1296" i="1"/>
  <c r="S1296" i="1"/>
  <c r="T1296" i="1"/>
  <c r="K337" i="1"/>
  <c r="K1280" i="1"/>
  <c r="K532" i="1"/>
  <c r="K264" i="1"/>
  <c r="K176" i="1"/>
  <c r="K997" i="1"/>
  <c r="K1091" i="1"/>
  <c r="O1115" i="1"/>
  <c r="K1424" i="1"/>
  <c r="O788" i="1"/>
  <c r="O7" i="1"/>
  <c r="K1130" i="1"/>
  <c r="O488" i="1"/>
  <c r="K747" i="1"/>
  <c r="O1391" i="1"/>
  <c r="K180" i="1"/>
  <c r="K713" i="1"/>
  <c r="K748" i="1"/>
  <c r="O748" i="1"/>
  <c r="S748" i="1"/>
  <c r="T748" i="1"/>
  <c r="K887" i="1"/>
  <c r="K1361" i="1"/>
  <c r="S1361" i="1"/>
  <c r="T1361" i="1"/>
  <c r="S840" i="1"/>
  <c r="K942" i="1"/>
  <c r="O861" i="1"/>
  <c r="O229" i="1"/>
  <c r="O983" i="1"/>
  <c r="O169" i="1"/>
  <c r="O1085" i="1"/>
  <c r="O828" i="1"/>
  <c r="O290" i="1"/>
  <c r="O865" i="1"/>
  <c r="O312" i="1"/>
  <c r="O1207" i="1"/>
  <c r="O45" i="1"/>
  <c r="O372" i="1"/>
  <c r="O132" i="1"/>
  <c r="O1179" i="1"/>
  <c r="O608" i="1"/>
  <c r="O1012" i="1"/>
  <c r="O1109" i="1"/>
  <c r="O511" i="1"/>
  <c r="O1121" i="1"/>
  <c r="O1199" i="1"/>
  <c r="O31" i="1"/>
  <c r="O1004" i="1"/>
  <c r="O317" i="1"/>
  <c r="O1256" i="1"/>
  <c r="O193" i="1"/>
  <c r="O3" i="1"/>
  <c r="O449" i="1"/>
  <c r="O1447" i="1"/>
  <c r="O324" i="1"/>
  <c r="O443" i="1"/>
  <c r="O894" i="1"/>
  <c r="O800" i="1"/>
  <c r="O474" i="1"/>
  <c r="O900" i="1"/>
  <c r="O1165" i="1"/>
  <c r="O611" i="1"/>
  <c r="O1427" i="1"/>
  <c r="S1275" i="1"/>
  <c r="O1249" i="1"/>
  <c r="O882" i="1"/>
  <c r="O243" i="1"/>
  <c r="S1333" i="1"/>
  <c r="S402" i="1"/>
  <c r="S200" i="1"/>
  <c r="S42" i="1"/>
  <c r="O89" i="1"/>
  <c r="O1036" i="1"/>
  <c r="O385" i="1"/>
  <c r="O588" i="1"/>
  <c r="O333" i="1"/>
  <c r="O501" i="1"/>
  <c r="O1017" i="1"/>
  <c r="O97" i="1"/>
  <c r="O673" i="1"/>
  <c r="O895" i="1"/>
  <c r="O481" i="1"/>
  <c r="O348" i="1"/>
  <c r="O1293" i="1"/>
  <c r="O737" i="1"/>
  <c r="O30" i="1"/>
  <c r="O1283" i="1"/>
  <c r="S576" i="1"/>
  <c r="O991" i="1"/>
  <c r="S456" i="1"/>
  <c r="O530" i="1"/>
  <c r="S111" i="1"/>
  <c r="O1422" i="1"/>
  <c r="O1441" i="1"/>
  <c r="O683" i="1"/>
  <c r="O222" i="1"/>
  <c r="O487" i="1"/>
  <c r="O14" i="1"/>
  <c r="O724" i="1"/>
  <c r="O716" i="1"/>
  <c r="O903" i="1"/>
  <c r="O247" i="1"/>
  <c r="O1100" i="1"/>
  <c r="O111" i="1"/>
  <c r="O785" i="1"/>
  <c r="O130" i="1"/>
  <c r="S982" i="1"/>
  <c r="S601" i="1"/>
  <c r="O559" i="1"/>
  <c r="O1317" i="1"/>
  <c r="O998" i="1"/>
  <c r="O1157" i="1"/>
  <c r="S1028" i="1"/>
  <c r="O961" i="1"/>
  <c r="S53" i="1"/>
  <c r="O60" i="1"/>
  <c r="O330" i="1"/>
  <c r="O133" i="1"/>
  <c r="O551" i="1"/>
  <c r="O1394" i="1"/>
  <c r="O966" i="1"/>
  <c r="S477" i="1"/>
  <c r="K783" i="1"/>
  <c r="O1405" i="1"/>
  <c r="O107" i="1"/>
  <c r="S272" i="1"/>
  <c r="O764" i="1"/>
  <c r="S963" i="1"/>
  <c r="O902" i="1"/>
  <c r="S288" i="1"/>
  <c r="O623" i="1"/>
  <c r="O1342" i="1"/>
  <c r="O307" i="1"/>
  <c r="O36" i="1"/>
  <c r="O671" i="1"/>
  <c r="S10" i="1"/>
  <c r="S750" i="1"/>
  <c r="O951" i="1"/>
  <c r="O702" i="1"/>
  <c r="O525" i="1"/>
  <c r="O598" i="1"/>
  <c r="O711" i="1"/>
  <c r="O471" i="1"/>
  <c r="O186" i="1"/>
  <c r="O23" i="1"/>
  <c r="O508" i="1"/>
  <c r="O1150" i="1"/>
  <c r="O1201" i="1"/>
  <c r="O1302" i="1"/>
  <c r="S809" i="1"/>
  <c r="S315" i="1"/>
  <c r="O938" i="1"/>
  <c r="O1332" i="1"/>
  <c r="O389" i="1"/>
  <c r="O905" i="1"/>
  <c r="O274" i="1"/>
  <c r="O1208" i="1"/>
  <c r="O545" i="1"/>
  <c r="O670" i="1"/>
  <c r="O482" i="1"/>
  <c r="O736" i="1"/>
  <c r="O657" i="1"/>
  <c r="O617" i="1"/>
  <c r="O1104" i="1"/>
  <c r="S428" i="1"/>
  <c r="O301" i="1"/>
  <c r="O373" i="1"/>
  <c r="O1079" i="1"/>
  <c r="S510" i="1"/>
  <c r="O1418" i="1"/>
  <c r="O1268" i="1"/>
  <c r="S382" i="1"/>
  <c r="S462" i="1"/>
  <c r="S967" i="1"/>
  <c r="O1242" i="1"/>
  <c r="O1181" i="1"/>
  <c r="O1173" i="1"/>
  <c r="O856" i="1"/>
  <c r="S471" i="1"/>
  <c r="S630" i="1"/>
  <c r="O1112" i="1"/>
  <c r="S347" i="1"/>
  <c r="S47" i="1"/>
  <c r="S558" i="1"/>
  <c r="O21" i="1"/>
  <c r="S317" i="1"/>
  <c r="S439" i="1"/>
  <c r="O1339" i="1"/>
  <c r="O326" i="1"/>
  <c r="S687" i="1"/>
  <c r="S405" i="1"/>
  <c r="S393" i="1"/>
  <c r="S1384" i="1"/>
  <c r="S1357" i="1"/>
  <c r="S1192" i="1"/>
  <c r="S310" i="1"/>
  <c r="S408" i="1"/>
  <c r="S96" i="1"/>
  <c r="S845" i="1"/>
  <c r="O549" i="1"/>
  <c r="O872" i="1"/>
  <c r="O612" i="1"/>
  <c r="O707" i="1"/>
  <c r="O1330" i="1"/>
  <c r="O393" i="1"/>
  <c r="O600" i="1"/>
  <c r="O1156" i="1"/>
  <c r="O1089" i="1"/>
  <c r="O399" i="1"/>
  <c r="O1185" i="1"/>
  <c r="O825" i="1"/>
  <c r="O106" i="1"/>
  <c r="O1137" i="1"/>
  <c r="S370" i="1"/>
  <c r="O869" i="1"/>
  <c r="O1003" i="1"/>
  <c r="O1406" i="1"/>
  <c r="O644" i="1"/>
  <c r="O652" i="1"/>
  <c r="O924" i="1"/>
  <c r="S502" i="1"/>
  <c r="S351" i="1"/>
  <c r="O734" i="1"/>
  <c r="O945" i="1"/>
  <c r="O766" i="1"/>
  <c r="O944" i="1"/>
  <c r="O414" i="1"/>
  <c r="O112" i="1"/>
  <c r="O283" i="1"/>
  <c r="O402" i="1"/>
  <c r="S892" i="1"/>
  <c r="O472" i="1"/>
  <c r="S530" i="1"/>
  <c r="O255" i="1"/>
  <c r="O62" i="1"/>
  <c r="O253" i="1"/>
  <c r="O917" i="1"/>
  <c r="S1142" i="1"/>
  <c r="O334" i="1"/>
  <c r="O205" i="1"/>
  <c r="O1056" i="1"/>
  <c r="O350" i="1"/>
  <c r="O1370" i="1"/>
  <c r="O297" i="1"/>
  <c r="O108" i="1"/>
  <c r="O358" i="1"/>
  <c r="O1030" i="1"/>
  <c r="O840" i="1"/>
  <c r="O1241" i="1"/>
  <c r="S1245" i="1"/>
  <c r="K1150" i="1"/>
  <c r="S554" i="1"/>
  <c r="O294" i="1"/>
  <c r="O476" i="1"/>
  <c r="O679" i="1"/>
  <c r="O523" i="1"/>
  <c r="O714" i="1"/>
  <c r="O606" i="1"/>
  <c r="O264" i="1"/>
  <c r="O758" i="1"/>
  <c r="O69" i="1"/>
  <c r="O809" i="1"/>
  <c r="O371" i="1"/>
  <c r="O984" i="1"/>
  <c r="O131" i="1"/>
  <c r="S38" i="1"/>
  <c r="O854" i="1"/>
  <c r="O725" i="1"/>
  <c r="O768" i="1"/>
  <c r="O387" i="1"/>
  <c r="O450" i="1"/>
  <c r="O91" i="1"/>
  <c r="O1375" i="1"/>
  <c r="O978" i="1"/>
  <c r="O1425" i="1"/>
  <c r="O454" i="1"/>
  <c r="O954" i="1"/>
  <c r="O219" i="1"/>
  <c r="O696" i="1"/>
  <c r="O750" i="1"/>
  <c r="O574" i="1"/>
  <c r="O478" i="1"/>
  <c r="O134" i="1"/>
  <c r="O803" i="1"/>
  <c r="O552" i="1"/>
  <c r="O887" i="1"/>
  <c r="O641" i="1"/>
  <c r="O560" i="1"/>
  <c r="O178" i="1"/>
  <c r="O548" i="1"/>
  <c r="O276" i="1"/>
  <c r="O1321" i="1"/>
  <c r="O881" i="1"/>
  <c r="O651" i="1"/>
  <c r="O1127" i="1"/>
  <c r="S853" i="1"/>
  <c r="O125" i="1"/>
  <c r="S943" i="1"/>
  <c r="O1322" i="1"/>
  <c r="S578" i="1"/>
  <c r="S877" i="1"/>
  <c r="S56" i="1"/>
  <c r="O677" i="1"/>
  <c r="O268" i="1"/>
  <c r="S1226" i="1"/>
  <c r="O782" i="1"/>
  <c r="S34" i="1"/>
  <c r="S835" i="1"/>
  <c r="O102" i="1"/>
  <c r="S271" i="1"/>
  <c r="S418" i="1"/>
  <c r="S331" i="1"/>
  <c r="O648" i="1"/>
  <c r="S897" i="1"/>
  <c r="S985" i="1"/>
  <c r="S872" i="1"/>
  <c r="S320" i="1"/>
  <c r="S1277" i="1"/>
  <c r="S836" i="1"/>
  <c r="S884" i="1"/>
  <c r="S224" i="1"/>
  <c r="S1187" i="1"/>
  <c r="S218" i="1"/>
  <c r="S1407" i="1"/>
  <c r="S1125" i="1"/>
  <c r="S889" i="1"/>
  <c r="S610" i="1"/>
  <c r="S1031" i="1"/>
  <c r="S373" i="1"/>
  <c r="O1002" i="1"/>
  <c r="S482" i="1"/>
  <c r="O940" i="1"/>
  <c r="S1017" i="1"/>
  <c r="O722" i="1"/>
  <c r="O63" i="1"/>
  <c r="O660" i="1"/>
  <c r="O1023" i="1"/>
  <c r="O759" i="1"/>
  <c r="O778" i="1"/>
  <c r="O1032" i="1"/>
  <c r="O955" i="1"/>
  <c r="O1094" i="1"/>
  <c r="S900" i="1"/>
  <c r="O692" i="1"/>
  <c r="O1221" i="1"/>
  <c r="O1033" i="1"/>
  <c r="S421" i="1"/>
  <c r="O522" i="1"/>
  <c r="S947" i="1"/>
  <c r="O1062" i="1"/>
  <c r="O504" i="1"/>
  <c r="O622" i="1"/>
  <c r="O813" i="1"/>
  <c r="O1281" i="1"/>
  <c r="O726" i="1"/>
  <c r="S846" i="1"/>
  <c r="S901" i="1"/>
  <c r="O665" i="1"/>
  <c r="O596" i="1"/>
  <c r="O729" i="1"/>
  <c r="O554" i="1"/>
  <c r="O925" i="1"/>
  <c r="O1294" i="1"/>
  <c r="O752" i="1"/>
  <c r="O468" i="1"/>
  <c r="O749" i="1"/>
  <c r="O1411" i="1"/>
  <c r="O271" i="1"/>
  <c r="O1035" i="1"/>
  <c r="O884" i="1"/>
  <c r="S1377" i="1"/>
  <c r="S1208" i="1"/>
  <c r="K1347" i="1"/>
  <c r="O1219" i="1"/>
  <c r="O959" i="1"/>
  <c r="O422" i="1"/>
  <c r="O197" i="1"/>
  <c r="O858" i="1"/>
  <c r="O1243" i="1"/>
  <c r="O1372" i="1"/>
  <c r="O360" i="1"/>
  <c r="O841" i="1"/>
  <c r="O10" i="1"/>
  <c r="O1267" i="1"/>
  <c r="O735" i="1"/>
  <c r="S543" i="1"/>
  <c r="S670" i="1"/>
  <c r="O1000" i="1"/>
  <c r="O339" i="1"/>
  <c r="O1091" i="1"/>
  <c r="O973" i="1"/>
  <c r="O238" i="1"/>
  <c r="O100" i="1"/>
  <c r="O784" i="1"/>
  <c r="O1378" i="1"/>
  <c r="O862" i="1"/>
  <c r="O351" i="1"/>
  <c r="O33" i="1"/>
  <c r="O968" i="1"/>
  <c r="S766" i="1"/>
  <c r="O332" i="1"/>
  <c r="O394" i="1"/>
  <c r="O810" i="1"/>
  <c r="O607" i="1"/>
  <c r="O1304" i="1"/>
  <c r="O1374" i="1"/>
  <c r="O15" i="1"/>
  <c r="O64" i="1"/>
  <c r="O1059" i="1"/>
  <c r="O721" i="1"/>
  <c r="O309" i="1"/>
  <c r="O1132" i="1"/>
  <c r="S343" i="1"/>
  <c r="S559" i="1"/>
  <c r="O992" i="1"/>
  <c r="O1126" i="1"/>
  <c r="O1248" i="1"/>
  <c r="S387" i="1"/>
  <c r="O171" i="1"/>
  <c r="S446" i="1"/>
  <c r="O201" i="1"/>
  <c r="O1429" i="1"/>
  <c r="O239" i="1"/>
  <c r="O35" i="1"/>
  <c r="S917" i="1"/>
  <c r="S894" i="1"/>
  <c r="S5" i="1"/>
  <c r="S68" i="1"/>
  <c r="O458" i="1"/>
  <c r="O1138" i="1"/>
  <c r="O1253" i="1"/>
  <c r="O118" i="1"/>
  <c r="O1323" i="1"/>
  <c r="O109" i="1"/>
  <c r="S863" i="1"/>
  <c r="O1265" i="1"/>
  <c r="O480" i="1"/>
  <c r="S152" i="1"/>
  <c r="S922" i="1"/>
  <c r="S854" i="1"/>
  <c r="S345" i="1"/>
  <c r="S996" i="1"/>
  <c r="S470" i="1"/>
  <c r="S1135" i="1"/>
  <c r="S1136" i="1"/>
  <c r="S1170" i="1"/>
  <c r="S1134" i="1"/>
  <c r="S976" i="1"/>
  <c r="S1120" i="1"/>
  <c r="S155" i="1"/>
  <c r="S1268" i="1"/>
  <c r="S146" i="1"/>
  <c r="O1300" i="1"/>
  <c r="O209" i="1"/>
  <c r="K1282" i="1"/>
  <c r="K544" i="1"/>
  <c r="O379" i="1"/>
  <c r="O529" i="1"/>
  <c r="O928" i="1"/>
  <c r="O1303" i="1"/>
  <c r="O252" i="1"/>
  <c r="O995" i="1"/>
  <c r="O327" i="1"/>
  <c r="O310" i="1"/>
  <c r="O676" i="1"/>
  <c r="O774" i="1"/>
  <c r="O485" i="1"/>
  <c r="O451" i="1"/>
  <c r="O1299" i="1"/>
  <c r="O947" i="1"/>
  <c r="O633" i="1"/>
  <c r="O499" i="1"/>
  <c r="O880" i="1"/>
  <c r="O761" i="1"/>
  <c r="O514" i="1"/>
  <c r="O709" i="1"/>
  <c r="O1084" i="1"/>
  <c r="O564" i="1"/>
  <c r="O1389" i="1"/>
  <c r="O744" i="1"/>
  <c r="O56" i="1"/>
  <c r="O245" i="1"/>
  <c r="O728" i="1"/>
  <c r="O85" i="1"/>
  <c r="O566" i="1"/>
  <c r="O1399" i="1"/>
  <c r="O465" i="1"/>
  <c r="O1442" i="1"/>
  <c r="O1275" i="1"/>
  <c r="O336" i="1"/>
  <c r="O655" i="1"/>
  <c r="S626" i="1"/>
  <c r="O532" i="1"/>
  <c r="S248" i="1"/>
  <c r="O71" i="1"/>
  <c r="S1398" i="1"/>
  <c r="O1259" i="1"/>
  <c r="S1324" i="1"/>
  <c r="O870" i="1"/>
  <c r="O41" i="1"/>
  <c r="O1384" i="1"/>
  <c r="S403" i="1"/>
  <c r="O1170" i="1"/>
  <c r="S871" i="1"/>
  <c r="O1107" i="1"/>
  <c r="O156" i="1"/>
  <c r="O1445" i="1"/>
  <c r="S721" i="1"/>
  <c r="S1063" i="1"/>
  <c r="S203" i="1"/>
  <c r="O1449" i="1"/>
  <c r="O1271" i="1"/>
  <c r="O1103" i="1"/>
  <c r="S942" i="1"/>
  <c r="O216" i="1"/>
  <c r="O52" i="1"/>
  <c r="O1178" i="1"/>
  <c r="S1428" i="1"/>
  <c r="O568" i="1"/>
  <c r="O1407" i="1"/>
  <c r="O1252" i="1"/>
  <c r="S314" i="1"/>
  <c r="S1446" i="1"/>
  <c r="S169" i="1"/>
  <c r="S263" i="1"/>
  <c r="S1180" i="1"/>
  <c r="S879" i="1"/>
  <c r="S450" i="1"/>
  <c r="S181" i="1"/>
  <c r="S1323" i="1"/>
  <c r="S1194" i="1"/>
  <c r="S608" i="1"/>
  <c r="S1348" i="1"/>
  <c r="S311" i="1"/>
  <c r="S997" i="1"/>
  <c r="S1001" i="1"/>
  <c r="O621" i="1"/>
  <c r="S16" i="1"/>
  <c r="O767" i="1"/>
  <c r="S1069" i="1"/>
  <c r="O1021" i="1"/>
  <c r="O823" i="1"/>
  <c r="O244" i="1"/>
  <c r="O668" i="1"/>
  <c r="S880" i="1"/>
  <c r="S718" i="1"/>
  <c r="O392" i="1"/>
  <c r="O381" i="1"/>
  <c r="O390" i="1"/>
  <c r="O933" i="1"/>
  <c r="O765" i="1"/>
  <c r="O942" i="1"/>
  <c r="O363" i="1"/>
  <c r="O931" i="1"/>
  <c r="O1151" i="1"/>
  <c r="O820" i="1"/>
  <c r="O4" i="1"/>
  <c r="O786" i="1"/>
  <c r="O1366" i="1"/>
  <c r="O878" i="1"/>
  <c r="O819" i="1"/>
  <c r="O115" i="1"/>
  <c r="O597" i="1"/>
  <c r="O1346" i="1"/>
  <c r="O1006" i="1"/>
  <c r="O822" i="1"/>
  <c r="O1040" i="1"/>
  <c r="O989" i="1"/>
  <c r="O923" i="1"/>
  <c r="O2" i="1"/>
  <c r="O437" i="1"/>
  <c r="S874" i="1"/>
  <c r="S1380" i="1"/>
  <c r="O1146" i="1"/>
  <c r="O521" i="1"/>
  <c r="O896" i="1"/>
  <c r="O208" i="1"/>
  <c r="O864" i="1"/>
  <c r="O795" i="1"/>
  <c r="O502" i="1"/>
  <c r="O46" i="1"/>
  <c r="O517" i="1"/>
  <c r="O54" i="1"/>
  <c r="O821" i="1"/>
  <c r="O1143" i="1"/>
  <c r="S696" i="1"/>
  <c r="K29" i="1"/>
  <c r="O29" i="1"/>
  <c r="S29" i="1"/>
  <c r="T29" i="1"/>
  <c r="K1231" i="1"/>
  <c r="O292" i="1"/>
  <c r="O250" i="1"/>
  <c r="O356" i="1"/>
  <c r="O999" i="1"/>
  <c r="O280" i="1"/>
  <c r="O1334" i="1"/>
  <c r="O577" i="1"/>
  <c r="O82" i="1"/>
  <c r="O321" i="1"/>
  <c r="O1061" i="1"/>
  <c r="O9" i="1"/>
  <c r="O1327" i="1"/>
  <c r="O105" i="1"/>
  <c r="S36" i="1"/>
  <c r="O839" i="1"/>
  <c r="O1044" i="1"/>
  <c r="O628" i="1"/>
  <c r="O802" i="1"/>
  <c r="O287" i="1"/>
  <c r="O674" i="1"/>
  <c r="O1338" i="1"/>
  <c r="O241" i="1"/>
  <c r="O1286" i="1"/>
  <c r="O1083" i="1"/>
  <c r="O181" i="1"/>
  <c r="S706" i="1"/>
  <c r="S377" i="1"/>
  <c r="O515" i="1"/>
  <c r="O57" i="1"/>
  <c r="S323" i="1"/>
  <c r="O59" i="1"/>
  <c r="S789" i="1"/>
  <c r="O1008" i="1"/>
  <c r="S367" i="1"/>
  <c r="O587" i="1"/>
  <c r="O693" i="1"/>
  <c r="O1016" i="1"/>
  <c r="O723" i="1"/>
  <c r="O595" i="1"/>
  <c r="O369" i="1"/>
  <c r="S999" i="1"/>
  <c r="S694" i="1"/>
  <c r="O836" i="1"/>
  <c r="O1272" i="1"/>
  <c r="O114" i="1"/>
  <c r="S628" i="1"/>
  <c r="O158" i="1"/>
  <c r="S383" i="1"/>
  <c r="O1260" i="1"/>
  <c r="S427" i="1"/>
  <c r="S92" i="1"/>
  <c r="O1310" i="1"/>
  <c r="O1203" i="1"/>
  <c r="O129" i="1"/>
  <c r="S473" i="1"/>
  <c r="S931" i="1"/>
  <c r="S416" i="1"/>
  <c r="S197" i="1"/>
  <c r="S83" i="1"/>
  <c r="S335" i="1"/>
  <c r="S77" i="1"/>
  <c r="S76" i="1"/>
  <c r="S929" i="1"/>
  <c r="S699" i="1"/>
  <c r="S673" i="1"/>
  <c r="S1071" i="1"/>
  <c r="O1246" i="1"/>
  <c r="O897" i="1"/>
  <c r="O922" i="1"/>
  <c r="O1155" i="1"/>
  <c r="S1280" i="1"/>
  <c r="S779" i="1"/>
  <c r="S1392" i="1"/>
  <c r="S616" i="1"/>
  <c r="S829" i="1"/>
  <c r="S1235" i="1"/>
  <c r="S1425" i="1"/>
  <c r="S1122" i="1"/>
  <c r="S1175" i="1"/>
  <c r="S269" i="1"/>
  <c r="O53" i="1"/>
  <c r="S1074" i="1"/>
  <c r="O427" i="1"/>
  <c r="O1382" i="1"/>
  <c r="O497" i="1"/>
  <c r="O695" i="1"/>
  <c r="O401" i="1"/>
  <c r="O425" i="1"/>
  <c r="O1356" i="1"/>
  <c r="O173" i="1"/>
  <c r="O584" i="1"/>
  <c r="O466" i="1"/>
  <c r="O1237" i="1"/>
  <c r="O875" i="1"/>
  <c r="O675" i="1"/>
  <c r="O1007" i="1"/>
  <c r="O1258" i="1"/>
  <c r="O733" i="1"/>
  <c r="O972" i="1"/>
  <c r="O939" i="1"/>
  <c r="O74" i="1"/>
  <c r="S549" i="1"/>
  <c r="O1045" i="1"/>
  <c r="O842" i="1"/>
  <c r="O32" i="1"/>
  <c r="O96" i="1"/>
  <c r="O1013" i="1"/>
  <c r="O384" i="1"/>
  <c r="O967" i="1"/>
  <c r="O926" i="1"/>
  <c r="O630" i="1"/>
  <c r="O906" i="1"/>
  <c r="O892" i="1"/>
  <c r="O153" i="1"/>
  <c r="K1329" i="1"/>
  <c r="S1329" i="1"/>
  <c r="T1329" i="1"/>
  <c r="O258" i="1"/>
  <c r="O400" i="1"/>
  <c r="O1042" i="1"/>
  <c r="O952" i="1"/>
  <c r="O877" i="1"/>
  <c r="O388" i="1"/>
  <c r="O582" i="1"/>
  <c r="O581" i="1"/>
  <c r="O601" i="1"/>
  <c r="O760" i="1"/>
  <c r="O58" i="1"/>
  <c r="O361" i="1"/>
  <c r="O240" i="1"/>
  <c r="O170" i="1"/>
  <c r="K1112" i="1"/>
  <c r="K1264" i="1"/>
  <c r="O366" i="1"/>
  <c r="O573" i="1"/>
  <c r="O708" i="1"/>
  <c r="O93" i="1"/>
  <c r="O305" i="1"/>
  <c r="O960" i="1"/>
  <c r="O383" i="1"/>
  <c r="O893" i="1"/>
  <c r="O643" i="1"/>
  <c r="O592" i="1"/>
  <c r="O547" i="1"/>
  <c r="O1133" i="1"/>
  <c r="O1231" i="1"/>
  <c r="O1404" i="1"/>
  <c r="O663" i="1"/>
  <c r="O1186" i="1"/>
  <c r="O27" i="1"/>
  <c r="O175" i="1"/>
  <c r="O746" i="1"/>
  <c r="O1401" i="1"/>
  <c r="O34" i="1"/>
  <c r="S603" i="1"/>
  <c r="S814" i="1"/>
  <c r="O771" i="1"/>
  <c r="S722" i="1"/>
  <c r="O1400" i="1"/>
  <c r="O1437" i="1"/>
  <c r="O537" i="1"/>
  <c r="O1055" i="1"/>
  <c r="O370" i="1"/>
  <c r="O1347" i="1"/>
  <c r="O293" i="1"/>
  <c r="O404" i="1"/>
  <c r="O701" i="1"/>
  <c r="O863" i="1"/>
  <c r="O586" i="1"/>
  <c r="O269" i="1"/>
  <c r="O594" i="1"/>
  <c r="O430" i="1"/>
  <c r="O510" i="1"/>
  <c r="O770" i="1"/>
  <c r="S207" i="1"/>
  <c r="O362" i="1"/>
  <c r="O199" i="1"/>
  <c r="O794" i="1"/>
  <c r="S368" i="1"/>
  <c r="O308" i="1"/>
  <c r="S1233" i="1"/>
  <c r="O1213" i="1"/>
  <c r="S702" i="1"/>
  <c r="S734" i="1"/>
  <c r="O1359" i="1"/>
  <c r="O850" i="1"/>
  <c r="S341" i="1"/>
  <c r="S1351" i="1"/>
  <c r="S1112" i="1"/>
  <c r="S384" i="1"/>
  <c r="S1140" i="1"/>
  <c r="S352" i="1"/>
  <c r="S374" i="1"/>
  <c r="S647" i="1"/>
  <c r="S1131" i="1"/>
  <c r="S563" i="1"/>
  <c r="S381" i="1"/>
  <c r="S319" i="1"/>
  <c r="S729" i="1"/>
  <c r="S1019" i="1"/>
  <c r="S995" i="1"/>
  <c r="O740" i="1"/>
  <c r="S847" i="1"/>
  <c r="S209" i="1"/>
  <c r="S324" i="1"/>
  <c r="S882" i="1"/>
  <c r="S949" i="1"/>
  <c r="S135" i="1"/>
  <c r="S898" i="1"/>
  <c r="S276" i="1"/>
  <c r="S697" i="1"/>
  <c r="O1177" i="1"/>
  <c r="S417" i="1"/>
  <c r="O1316" i="1"/>
  <c r="S389" i="1"/>
  <c r="O1095" i="1"/>
  <c r="S637" i="1"/>
  <c r="S307" i="1"/>
  <c r="S571" i="1"/>
  <c r="S870" i="1"/>
  <c r="S487" i="1"/>
  <c r="S567" i="1"/>
  <c r="S708" i="1"/>
  <c r="S1152" i="1"/>
  <c r="S834" i="1"/>
  <c r="O1078" i="1"/>
  <c r="S280" i="1"/>
  <c r="O913" i="1"/>
  <c r="S369" i="1"/>
  <c r="O143" i="1"/>
  <c r="S843" i="1"/>
  <c r="O1284" i="1"/>
  <c r="S792" i="1"/>
  <c r="O787" i="1"/>
  <c r="O541" i="1"/>
  <c r="O1106" i="1"/>
  <c r="S425" i="1"/>
  <c r="O1051" i="1"/>
  <c r="S934" i="1"/>
  <c r="O1369" i="1"/>
  <c r="S952" i="1"/>
  <c r="O1335" i="1"/>
  <c r="S91" i="1"/>
  <c r="O1123" i="1"/>
  <c r="S406" i="1"/>
  <c r="O1358" i="1"/>
  <c r="S503" i="1"/>
  <c r="S977" i="1"/>
  <c r="S941" i="1"/>
  <c r="O943" i="1"/>
  <c r="O899" i="1"/>
  <c r="O1290" i="1"/>
  <c r="O1344" i="1"/>
  <c r="S891" i="1"/>
  <c r="O1315" i="1"/>
  <c r="S690" i="1"/>
  <c r="O1240" i="1"/>
  <c r="S962" i="1"/>
  <c r="O160" i="1"/>
  <c r="S758" i="1"/>
  <c r="O1196" i="1"/>
  <c r="S831" i="1"/>
  <c r="S33" i="1"/>
  <c r="S736" i="1"/>
  <c r="O1163" i="1"/>
  <c r="O260" i="1"/>
  <c r="S655" i="1"/>
  <c r="O144" i="1"/>
  <c r="S1085" i="1"/>
  <c r="O1171" i="1"/>
  <c r="S627" i="1"/>
  <c r="O256" i="1"/>
  <c r="S580" i="1"/>
  <c r="O1348" i="1"/>
  <c r="S440" i="1"/>
  <c r="O1340" i="1"/>
  <c r="S40" i="1"/>
  <c r="S1107" i="1"/>
  <c r="S1038" i="1"/>
  <c r="O1101" i="1"/>
  <c r="O218" i="1"/>
  <c r="S534" i="1"/>
  <c r="O138" i="1"/>
  <c r="S464" i="1"/>
  <c r="O1154" i="1"/>
  <c r="S1045" i="1"/>
  <c r="O1088" i="1"/>
  <c r="S97" i="1"/>
  <c r="O1149" i="1"/>
  <c r="S316" i="1"/>
  <c r="O1270" i="1"/>
  <c r="S458" i="1"/>
  <c r="O796" i="1"/>
  <c r="O17" i="1"/>
  <c r="O1200" i="1"/>
  <c r="O154" i="1"/>
  <c r="O1125" i="1"/>
  <c r="O1142" i="1"/>
  <c r="O1306" i="1"/>
  <c r="O212" i="1"/>
  <c r="O1263" i="1"/>
  <c r="S1003" i="1"/>
  <c r="S808" i="1"/>
  <c r="S252" i="1"/>
  <c r="S359" i="1"/>
  <c r="S452" i="1"/>
  <c r="S46" i="1"/>
  <c r="S1397" i="1"/>
  <c r="O1392" i="1"/>
  <c r="S653" i="1"/>
  <c r="S485" i="1"/>
  <c r="S442" i="1"/>
  <c r="S1168" i="1"/>
  <c r="S480" i="1"/>
  <c r="S1050" i="1"/>
  <c r="S933" i="1"/>
  <c r="S927" i="1"/>
  <c r="S586" i="1"/>
  <c r="S339" i="1"/>
  <c r="S589" i="1"/>
  <c r="S770" i="1"/>
  <c r="S466" i="1"/>
  <c r="S484" i="1"/>
  <c r="S806" i="1"/>
  <c r="S562" i="1"/>
  <c r="S391" i="1"/>
  <c r="S957" i="1"/>
  <c r="S14" i="1"/>
  <c r="S362" i="1"/>
  <c r="S1265" i="1"/>
  <c r="S101" i="1"/>
  <c r="S1379" i="1"/>
  <c r="S457" i="1"/>
  <c r="S277" i="1"/>
  <c r="S978" i="1"/>
  <c r="O781" i="1"/>
  <c r="S557" i="1"/>
  <c r="O429" i="1"/>
  <c r="S875" i="1"/>
  <c r="O423" i="1"/>
  <c r="S1205" i="1"/>
  <c r="S138" i="1"/>
  <c r="S265" i="1"/>
  <c r="O172" i="1"/>
  <c r="S546" i="1"/>
  <c r="O198" i="1"/>
  <c r="S89" i="1"/>
  <c r="O1439" i="1"/>
  <c r="S435" i="1"/>
  <c r="O1345" i="1"/>
  <c r="S50" i="1"/>
  <c r="O214" i="1"/>
  <c r="S238" i="1"/>
  <c r="O1228" i="1"/>
  <c r="S657" i="1"/>
  <c r="S8" i="1"/>
  <c r="S1350" i="1"/>
  <c r="O542" i="1"/>
  <c r="O982" i="1"/>
  <c r="O1172" i="1"/>
  <c r="S684" i="1"/>
  <c r="O182" i="1"/>
  <c r="S935" i="1"/>
  <c r="O1136" i="1"/>
  <c r="S467" i="1"/>
  <c r="O1187" i="1"/>
  <c r="S309" i="1"/>
  <c r="O61" i="1"/>
  <c r="S1025" i="1"/>
  <c r="O1251" i="1"/>
  <c r="S1034" i="1"/>
  <c r="S1211" i="1"/>
  <c r="S257" i="1"/>
  <c r="O506" i="1"/>
  <c r="O824" i="1"/>
  <c r="O161" i="1"/>
  <c r="S25" i="1"/>
  <c r="O122" i="1"/>
  <c r="S698" i="1"/>
  <c r="O1070" i="1"/>
  <c r="S1365" i="1"/>
  <c r="O1050" i="1"/>
  <c r="S658" i="1"/>
  <c r="O1430" i="1"/>
  <c r="S839" i="1"/>
  <c r="O1065" i="1"/>
  <c r="S489" i="1"/>
  <c r="S1401" i="1"/>
  <c r="S1340" i="1"/>
  <c r="O452" i="1"/>
  <c r="O1396" i="1"/>
  <c r="O1409" i="1"/>
  <c r="S865" i="1"/>
  <c r="O1436" i="1"/>
  <c r="S395" i="1"/>
  <c r="O167" i="1"/>
  <c r="S544" i="1"/>
  <c r="O152" i="1"/>
  <c r="S771" i="1"/>
  <c r="O1034" i="1"/>
  <c r="O1131" i="1"/>
  <c r="S95" i="1"/>
  <c r="S680" i="1"/>
  <c r="S327" i="1"/>
  <c r="O678" i="1"/>
  <c r="S666" i="1"/>
  <c r="O1280" i="1"/>
  <c r="S290" i="1"/>
  <c r="O95" i="1"/>
  <c r="S353" i="1"/>
  <c r="O215" i="1"/>
  <c r="S511" i="1"/>
  <c r="O1452" i="1"/>
  <c r="S961" i="1"/>
  <c r="O1245" i="1"/>
  <c r="S430" i="1"/>
  <c r="S1336" i="1"/>
  <c r="O561" i="1"/>
  <c r="O727" i="1"/>
  <c r="O254" i="1"/>
  <c r="O1105" i="1"/>
  <c r="O202" i="1"/>
  <c r="O113" i="1"/>
  <c r="O1239" i="1"/>
  <c r="S340" i="1"/>
  <c r="O1238" i="1"/>
  <c r="S860" i="1"/>
  <c r="S476" i="1"/>
  <c r="S723" i="1"/>
  <c r="S669" i="1"/>
  <c r="S645" i="1"/>
  <c r="S392" i="1"/>
  <c r="S104" i="1"/>
  <c r="O257" i="1"/>
  <c r="S784" i="1"/>
  <c r="S823" i="1"/>
  <c r="S869" i="1"/>
  <c r="S668" i="1"/>
  <c r="S1114" i="1"/>
  <c r="S692" i="1"/>
  <c r="S232" i="1"/>
  <c r="S201" i="1"/>
  <c r="S1150" i="1"/>
  <c r="S434" i="1"/>
  <c r="S1294" i="1"/>
  <c r="S1263" i="1"/>
  <c r="S251" i="1"/>
  <c r="S1412" i="1"/>
  <c r="S1382" i="1"/>
  <c r="S1300" i="1"/>
  <c r="S1059" i="1"/>
  <c r="S397" i="1"/>
  <c r="S1367" i="1"/>
  <c r="S713" i="1"/>
  <c r="S1117" i="1"/>
  <c r="S1349" i="1"/>
  <c r="S1253" i="1"/>
  <c r="S166" i="1"/>
  <c r="S1316" i="1"/>
  <c r="S23" i="1"/>
  <c r="O1269" i="1"/>
  <c r="O1218" i="1"/>
  <c r="S342" i="1"/>
  <c r="O1350" i="1"/>
  <c r="S334" i="1"/>
  <c r="S625" i="1"/>
  <c r="O1120" i="1"/>
  <c r="S301" i="1"/>
  <c r="O1416" i="1"/>
  <c r="S419" i="1"/>
  <c r="O136" i="1"/>
  <c r="S902" i="1"/>
  <c r="O1075" i="1"/>
  <c r="S84" i="1"/>
  <c r="O1368" i="1"/>
  <c r="S69" i="1"/>
  <c r="O1417" i="1"/>
  <c r="S31" i="1"/>
  <c r="S386" i="1"/>
  <c r="S358" i="1"/>
  <c r="O79" i="1"/>
  <c r="O314" i="1"/>
  <c r="O117" i="1"/>
  <c r="O1222" i="1"/>
  <c r="S930" i="1"/>
  <c r="O1395" i="1"/>
  <c r="S551" i="1"/>
  <c r="O140" i="1"/>
  <c r="S826" i="1"/>
  <c r="O1397" i="1"/>
  <c r="S914" i="1"/>
  <c r="O183" i="1"/>
  <c r="S665" i="1"/>
  <c r="S1331" i="1"/>
  <c r="S629" i="1"/>
  <c r="O1025" i="1"/>
  <c r="O1215" i="1"/>
  <c r="O1282" i="1"/>
  <c r="S960" i="1"/>
  <c r="O1087" i="1"/>
  <c r="S523" i="1"/>
  <c r="O1387" i="1"/>
  <c r="S295" i="1"/>
  <c r="O146" i="1"/>
  <c r="S611" i="1"/>
  <c r="O185" i="1"/>
  <c r="S518" i="1"/>
  <c r="O398" i="1"/>
  <c r="S958" i="1"/>
  <c r="S1030" i="1"/>
  <c r="S660" i="1"/>
  <c r="O934" i="1"/>
  <c r="S63" i="1"/>
  <c r="O210" i="1"/>
  <c r="S1054" i="1"/>
  <c r="S443" i="1"/>
  <c r="S1216" i="1"/>
  <c r="S964" i="1"/>
  <c r="S1338" i="1"/>
  <c r="S365" i="1"/>
  <c r="S1319" i="1"/>
  <c r="S1153" i="1"/>
  <c r="S1191" i="1"/>
  <c r="S1437" i="1"/>
  <c r="S1306" i="1"/>
  <c r="O233" i="1"/>
  <c r="S878" i="1"/>
  <c r="O1383" i="1"/>
  <c r="S103" i="1"/>
  <c r="O259" i="1"/>
  <c r="S82" i="1"/>
  <c r="O1314" i="1"/>
  <c r="S1201" i="1"/>
  <c r="O174" i="1"/>
  <c r="S308" i="1"/>
  <c r="O1438" i="1"/>
  <c r="S306" i="1"/>
  <c r="S920" i="1"/>
  <c r="S187" i="1"/>
  <c r="O747" i="1"/>
  <c r="O713" i="1"/>
  <c r="O26" i="1"/>
  <c r="O67" i="1"/>
  <c r="O1124" i="1"/>
  <c r="O1453" i="1"/>
  <c r="O188" i="1"/>
  <c r="S1368" i="1"/>
  <c r="O37" i="1"/>
  <c r="S538" i="1"/>
  <c r="S1113" i="1"/>
  <c r="S54" i="1"/>
  <c r="S821" i="1"/>
  <c r="S249" i="1"/>
  <c r="S596" i="1"/>
  <c r="S448" i="1"/>
  <c r="O1448" i="1"/>
  <c r="S247" i="1"/>
  <c r="S528" i="1"/>
  <c r="S399" i="1"/>
  <c r="S604" i="1"/>
  <c r="S194" i="1"/>
  <c r="S1056" i="1"/>
  <c r="S429" i="1"/>
  <c r="S1236" i="1"/>
  <c r="S1124" i="1"/>
  <c r="S110" i="1"/>
  <c r="S1352" i="1"/>
  <c r="S147" i="1"/>
  <c r="S675" i="1"/>
  <c r="S196" i="1"/>
  <c r="S423" i="1"/>
  <c r="S1278" i="1"/>
  <c r="S1137" i="1"/>
  <c r="S1337" i="1"/>
  <c r="S1231" i="1"/>
  <c r="S129" i="1"/>
  <c r="S202" i="1"/>
  <c r="S1247" i="1"/>
  <c r="S185" i="1"/>
  <c r="S1163" i="1"/>
  <c r="S1011" i="1"/>
  <c r="O634" i="1"/>
  <c r="S1370" i="1"/>
  <c r="O625" i="1"/>
  <c r="S1406" i="1"/>
  <c r="S598" i="1"/>
  <c r="S1200" i="1"/>
  <c r="S1328" i="1"/>
  <c r="S375" i="1"/>
  <c r="O1118" i="1"/>
  <c r="S246" i="1"/>
  <c r="O1210" i="1"/>
  <c r="S322" i="1"/>
  <c r="O124" i="1"/>
  <c r="S297" i="1"/>
  <c r="O1352" i="1"/>
  <c r="S858" i="1"/>
  <c r="O1440" i="1"/>
  <c r="S426" i="1"/>
  <c r="O1379" i="1"/>
  <c r="S1024" i="1"/>
  <c r="S951" i="1"/>
  <c r="S1047" i="1"/>
  <c r="O51" i="1"/>
  <c r="O1014" i="1"/>
  <c r="O662" i="1"/>
  <c r="S703" i="1"/>
  <c r="O1180" i="1"/>
  <c r="S767" i="1"/>
  <c r="O1419" i="1"/>
  <c r="S284" i="1"/>
  <c r="O1093" i="1"/>
  <c r="S918" i="1"/>
  <c r="O1386" i="1"/>
  <c r="S333" i="1"/>
  <c r="O1351" i="1"/>
  <c r="S798" i="1"/>
  <c r="S1402" i="1"/>
  <c r="S732" i="1"/>
  <c r="O1355" i="1"/>
  <c r="S1005" i="1"/>
  <c r="O1276" i="1"/>
  <c r="S113" i="1"/>
  <c r="O706" i="1"/>
  <c r="S3" i="1"/>
  <c r="S148" i="1"/>
  <c r="S67" i="1"/>
  <c r="S827" i="1"/>
  <c r="S1345" i="1"/>
  <c r="S1250" i="1"/>
  <c r="S433" i="1"/>
  <c r="S125" i="1"/>
  <c r="S1129" i="1"/>
  <c r="S1082" i="1"/>
  <c r="O1015" i="1"/>
  <c r="O1266" i="1"/>
  <c r="S754" i="1"/>
  <c r="O1054" i="1"/>
  <c r="S761" i="1"/>
  <c r="O120" i="1"/>
  <c r="S819" i="1"/>
  <c r="O1052" i="1"/>
  <c r="S631" i="1"/>
  <c r="O1090" i="1"/>
  <c r="S744" i="1"/>
  <c r="O200" i="1"/>
  <c r="S1273" i="1"/>
  <c r="O139" i="1"/>
  <c r="S899" i="1"/>
  <c r="O227" i="1"/>
  <c r="O1367" i="1"/>
  <c r="S624" i="1"/>
  <c r="O1073" i="1"/>
  <c r="S279" i="1"/>
  <c r="O242" i="1"/>
  <c r="S371" i="1"/>
  <c r="O1067" i="1"/>
  <c r="S48" i="1"/>
  <c r="O1182" i="1"/>
  <c r="S168" i="1"/>
  <c r="O1398" i="1"/>
  <c r="S896" i="1"/>
  <c r="S255" i="1"/>
  <c r="S639" i="1"/>
  <c r="O994" i="1"/>
  <c r="O1354" i="1"/>
  <c r="O1254" i="1"/>
  <c r="O1164" i="1"/>
  <c r="O12" i="1"/>
  <c r="O20" i="1"/>
  <c r="S1099" i="1"/>
  <c r="O1077" i="1"/>
  <c r="S1012" i="1"/>
  <c r="S133" i="1"/>
  <c r="S583" i="1"/>
  <c r="S573" i="1"/>
  <c r="S6" i="1"/>
  <c r="S783" i="1"/>
  <c r="S85" i="1"/>
  <c r="O1195" i="1"/>
  <c r="S1143" i="1"/>
  <c r="S186" i="1"/>
  <c r="S229" i="1"/>
  <c r="S1354" i="1"/>
  <c r="S114" i="1"/>
  <c r="S150" i="1"/>
  <c r="S677" i="1"/>
  <c r="S289" i="1"/>
  <c r="S71" i="1"/>
  <c r="S267" i="1"/>
  <c r="S560" i="1"/>
  <c r="S1026" i="1"/>
  <c r="O228" i="1"/>
  <c r="S415" i="1"/>
  <c r="S81" i="1"/>
  <c r="S496" i="1"/>
  <c r="O194" i="1"/>
  <c r="S505" i="1"/>
  <c r="S803" i="1"/>
  <c r="S701" i="1"/>
  <c r="O195" i="1"/>
  <c r="S667" i="1"/>
  <c r="S825" i="1"/>
  <c r="S1203" i="1"/>
  <c r="S993" i="1"/>
  <c r="S517" i="1"/>
  <c r="O996" i="1"/>
  <c r="S762" i="1"/>
  <c r="O145" i="1"/>
  <c r="S797" i="1"/>
  <c r="O1450" i="1"/>
  <c r="S268" i="1"/>
  <c r="O910" i="1"/>
  <c r="O1236" i="1"/>
  <c r="S1363" i="1"/>
  <c r="O1349" i="1"/>
  <c r="S328" i="1"/>
  <c r="O164" i="1"/>
  <c r="S305" i="1"/>
  <c r="O1234" i="1"/>
  <c r="S731" i="1"/>
  <c r="O1220" i="1"/>
  <c r="O1192" i="1"/>
  <c r="S867" i="1"/>
  <c r="S296" i="1"/>
  <c r="S500" i="1"/>
  <c r="O953" i="1"/>
  <c r="O919" i="1"/>
  <c r="O1325" i="1"/>
  <c r="S787" i="1"/>
  <c r="O412" i="1"/>
  <c r="S646" i="1"/>
  <c r="O1424" i="1"/>
  <c r="S828" i="1"/>
  <c r="O1410" i="1"/>
  <c r="S813" i="1"/>
  <c r="O159" i="1"/>
  <c r="S57" i="1"/>
  <c r="O220" i="1"/>
  <c r="S1374" i="1"/>
  <c r="S686" i="1"/>
  <c r="S890" i="1"/>
  <c r="O977" i="1"/>
  <c r="S1322" i="1"/>
  <c r="O1388" i="1"/>
  <c r="S1004" i="1"/>
  <c r="S926" i="1"/>
  <c r="O428" i="1"/>
  <c r="S868" i="1"/>
  <c r="O177" i="1"/>
  <c r="S695" i="1"/>
  <c r="O1049" i="1"/>
  <c r="S338" i="1"/>
  <c r="O1433" i="1"/>
  <c r="S590" i="1"/>
  <c r="O367" i="1"/>
  <c r="O234" i="1"/>
  <c r="O1074" i="1"/>
  <c r="S102" i="1"/>
  <c r="O65" i="1"/>
  <c r="S527" i="1"/>
  <c r="O1227" i="1"/>
  <c r="S924" i="1"/>
  <c r="O688" i="1"/>
  <c r="S299" i="1"/>
  <c r="O162" i="1"/>
  <c r="S910" i="1"/>
  <c r="O1223" i="1"/>
  <c r="S536" i="1"/>
  <c r="S298" i="1"/>
  <c r="S1213" i="1"/>
  <c r="O103" i="1"/>
  <c r="O1393" i="1"/>
  <c r="S842" i="1"/>
  <c r="O1053" i="1"/>
  <c r="S394" i="1"/>
  <c r="O1313" i="1"/>
  <c r="S548" i="1"/>
  <c r="O127" i="1"/>
  <c r="S609" i="1"/>
  <c r="O602" i="1"/>
  <c r="S970" i="1"/>
  <c r="O649" i="1"/>
  <c r="S39" i="1"/>
  <c r="S542" i="1"/>
  <c r="S93" i="1"/>
  <c r="O479" i="1"/>
  <c r="S925" i="1"/>
  <c r="S711" i="1"/>
  <c r="S778" i="1"/>
  <c r="S475" i="1"/>
  <c r="S959" i="1"/>
  <c r="S600" i="1"/>
  <c r="S219" i="1"/>
  <c r="S228" i="1"/>
  <c r="S550" i="1"/>
  <c r="S75" i="1"/>
  <c r="S1346" i="1"/>
  <c r="S1400" i="1"/>
  <c r="S70" i="1"/>
  <c r="S1225" i="1"/>
  <c r="S781" i="1"/>
  <c r="S158" i="1"/>
  <c r="S178" i="1"/>
  <c r="S170" i="1"/>
  <c r="S1141" i="1"/>
  <c r="S318" i="1"/>
  <c r="S1039" i="1"/>
  <c r="O223" i="1"/>
  <c r="S582" i="1"/>
  <c r="S606" i="1"/>
  <c r="S540" i="1"/>
  <c r="O1390" i="1"/>
  <c r="S292" i="1"/>
  <c r="S385" i="1"/>
  <c r="S492" i="1"/>
  <c r="O221" i="1"/>
  <c r="S572" i="1"/>
  <c r="S55" i="1"/>
  <c r="S411" i="1"/>
  <c r="O329" i="1"/>
  <c r="S134" i="1"/>
  <c r="S1249" i="1"/>
  <c r="O1153" i="1"/>
  <c r="S9" i="1"/>
  <c r="O1413" i="1"/>
  <c r="O1224" i="1"/>
  <c r="S1342" i="1"/>
  <c r="S1041" i="1"/>
  <c r="S1341" i="1"/>
  <c r="O888" i="1"/>
  <c r="O1337" i="1"/>
  <c r="S990" i="1"/>
  <c r="S286" i="1"/>
  <c r="O1292" i="1"/>
  <c r="S565" i="1"/>
  <c r="O68" i="1"/>
  <c r="S1098" i="1"/>
  <c r="O1119" i="1"/>
  <c r="S1396" i="1"/>
  <c r="O149" i="1"/>
  <c r="S691" i="1"/>
  <c r="S106" i="1"/>
  <c r="O1057" i="1"/>
  <c r="O801" i="1"/>
  <c r="O1011" i="1"/>
  <c r="S240" i="1"/>
  <c r="O1288" i="1"/>
  <c r="S1266" i="1"/>
  <c r="O599" i="1"/>
  <c r="S1299" i="1"/>
  <c r="S107" i="1"/>
  <c r="S1255" i="1"/>
  <c r="S123" i="1"/>
  <c r="S1193" i="1"/>
  <c r="S357" i="1"/>
  <c r="S1115" i="1"/>
  <c r="S1224" i="1"/>
  <c r="S163" i="1"/>
  <c r="O278" i="1"/>
  <c r="O217" i="1"/>
  <c r="S1304" i="1"/>
  <c r="O203" i="1"/>
  <c r="S903" i="1"/>
  <c r="O976" i="1"/>
  <c r="O1446" i="1"/>
  <c r="S850" i="1"/>
  <c r="O180" i="1"/>
  <c r="S506" i="1"/>
  <c r="O38" i="1"/>
  <c r="S179" i="1"/>
  <c r="S236" i="1"/>
  <c r="O849" i="1"/>
  <c r="O1102" i="1"/>
  <c r="O246" i="1"/>
  <c r="S972" i="1"/>
  <c r="O1432" i="1"/>
  <c r="S488" i="1"/>
  <c r="O1166" i="1"/>
  <c r="S1272" i="1"/>
  <c r="O567" i="1"/>
  <c r="S99" i="1"/>
  <c r="O1285" i="1"/>
  <c r="S812" i="1"/>
  <c r="O121" i="1"/>
  <c r="S535" i="1"/>
  <c r="S388" i="1"/>
  <c r="S1371" i="1"/>
  <c r="O886" i="1"/>
  <c r="O1162" i="1"/>
  <c r="S191" i="1"/>
  <c r="O1122" i="1"/>
  <c r="S685" i="1"/>
  <c r="O142" i="1"/>
  <c r="S979" i="1"/>
  <c r="O1114" i="1"/>
  <c r="S796" i="1"/>
  <c r="O236" i="1"/>
  <c r="S788" i="1"/>
  <c r="O1336" i="1"/>
  <c r="S682" i="1"/>
  <c r="S198" i="1"/>
  <c r="S1096" i="1"/>
  <c r="O1318" i="1"/>
  <c r="S618" i="1"/>
  <c r="S507" i="1"/>
  <c r="S981" i="1"/>
  <c r="S413" i="1"/>
  <c r="S643" i="1"/>
  <c r="S1095" i="1"/>
  <c r="S989" i="1"/>
  <c r="S1078" i="1"/>
  <c r="S1431" i="1"/>
  <c r="S1105" i="1"/>
  <c r="S1076" i="1"/>
  <c r="S1452" i="1"/>
  <c r="S1197" i="1"/>
  <c r="S1176" i="1"/>
  <c r="S681" i="1"/>
  <c r="S174" i="1"/>
  <c r="S177" i="1"/>
  <c r="S1160" i="1"/>
  <c r="S493" i="1"/>
  <c r="S1042" i="1"/>
  <c r="S237" i="1"/>
  <c r="S1310" i="1"/>
  <c r="S1432" i="1"/>
  <c r="S984" i="1"/>
  <c r="S213" i="1"/>
  <c r="S1256" i="1"/>
  <c r="S1060" i="1"/>
  <c r="S741" i="1"/>
  <c r="S622" i="1"/>
  <c r="S376" i="1"/>
  <c r="S939" i="1"/>
  <c r="S953" i="1"/>
  <c r="S592" i="1"/>
  <c r="S1161" i="1"/>
  <c r="S1284" i="1"/>
  <c r="S577" i="1"/>
  <c r="S1146" i="1"/>
  <c r="S1311" i="1"/>
  <c r="S537" i="1"/>
  <c r="S1410" i="1"/>
  <c r="O753" i="1"/>
  <c r="O1111" i="1"/>
  <c r="O1262" i="1"/>
  <c r="S950" i="1"/>
  <c r="O1071" i="1"/>
  <c r="S613" i="1"/>
  <c r="O189" i="1"/>
  <c r="S838" i="1"/>
  <c r="O1443" i="1"/>
  <c r="S916" i="1"/>
  <c r="O1129" i="1"/>
  <c r="S886" i="1"/>
  <c r="O261" i="1"/>
  <c r="S636" i="1"/>
  <c r="S1314" i="1"/>
  <c r="S230" i="1"/>
  <c r="O1135" i="1"/>
  <c r="S986" i="1"/>
  <c r="S73" i="1"/>
  <c r="S1128" i="1"/>
  <c r="S1108" i="1"/>
  <c r="S1214" i="1"/>
  <c r="S1403" i="1"/>
  <c r="S1418" i="1"/>
  <c r="S764" i="1"/>
  <c r="S1165" i="1"/>
  <c r="S2" i="1"/>
  <c r="S109" i="1"/>
  <c r="S649" i="1"/>
  <c r="S1196" i="1"/>
  <c r="S1052" i="1"/>
  <c r="S160" i="1"/>
  <c r="S231" i="1"/>
  <c r="S1090" i="1"/>
  <c r="S151" i="1"/>
  <c r="S291" i="1"/>
  <c r="S1155" i="1"/>
  <c r="S1259" i="1"/>
  <c r="S1198" i="1"/>
  <c r="S514" i="1"/>
  <c r="S1264" i="1"/>
  <c r="S795" i="1"/>
  <c r="S223" i="1"/>
  <c r="S983" i="1"/>
  <c r="S1305" i="1"/>
  <c r="S94" i="1"/>
  <c r="S256" i="1"/>
  <c r="O1305" i="1"/>
  <c r="S300" i="1"/>
  <c r="S472" i="1"/>
  <c r="S641" i="1"/>
  <c r="S348" i="1"/>
  <c r="S913" i="1"/>
  <c r="S678" i="1"/>
  <c r="S206" i="1"/>
  <c r="S752" i="1"/>
  <c r="S807" i="1"/>
  <c r="S1343" i="1"/>
  <c r="S241" i="1"/>
  <c r="S1007" i="1"/>
  <c r="S1436" i="1"/>
  <c r="S607" i="1"/>
  <c r="S1048" i="1"/>
  <c r="O1183" i="1"/>
  <c r="S790" i="1"/>
  <c r="S760" i="1"/>
  <c r="S37" i="1"/>
  <c r="S445" i="1"/>
  <c r="S1440" i="1"/>
  <c r="S422" i="1"/>
  <c r="S1388" i="1"/>
  <c r="S533" i="1"/>
  <c r="S998" i="1"/>
  <c r="S330" i="1"/>
  <c r="S1442" i="1"/>
  <c r="S994" i="1"/>
  <c r="S1091" i="1"/>
  <c r="S992" i="1"/>
  <c r="S212" i="1"/>
  <c r="O1134" i="1"/>
  <c r="S799" i="1"/>
  <c r="S739" i="1"/>
  <c r="S1127" i="1"/>
  <c r="S738" i="1"/>
  <c r="S1344" i="1"/>
  <c r="S661" i="1"/>
  <c r="S1240" i="1"/>
  <c r="S460" i="1"/>
  <c r="S1164" i="1"/>
  <c r="S1084" i="1"/>
  <c r="S1073" i="1"/>
  <c r="S1416" i="1"/>
  <c r="S121" i="1"/>
  <c r="S1036" i="1"/>
  <c r="S1451" i="1"/>
  <c r="O1261" i="1"/>
  <c r="S793" i="1"/>
  <c r="S1109" i="1"/>
  <c r="S1230" i="1"/>
  <c r="S1094" i="1"/>
  <c r="S136" i="1"/>
  <c r="S1362" i="1"/>
  <c r="S1330" i="1"/>
  <c r="S65" i="1"/>
  <c r="S1195" i="1"/>
  <c r="S1000" i="1"/>
  <c r="S1292" i="1"/>
  <c r="S663" i="1"/>
  <c r="S172" i="1"/>
  <c r="S539" i="1"/>
  <c r="S1178" i="1"/>
  <c r="O1194" i="1"/>
  <c r="S474" i="1"/>
  <c r="S302" i="1"/>
  <c r="S51" i="1"/>
  <c r="S189" i="1"/>
  <c r="S1087" i="1"/>
  <c r="S1283" i="1"/>
  <c r="S1378" i="1"/>
  <c r="S259" i="1"/>
  <c r="S756" i="1"/>
  <c r="S1177" i="1"/>
  <c r="S991" i="1"/>
  <c r="S195" i="1"/>
  <c r="S1055" i="1"/>
  <c r="S1356" i="1"/>
  <c r="O11" i="1"/>
  <c r="O1408" i="1"/>
  <c r="O1255" i="1"/>
  <c r="S822" i="1"/>
  <c r="O1212" i="1"/>
  <c r="S728" i="1"/>
  <c r="O1130" i="1"/>
  <c r="S364" i="1"/>
  <c r="O1204" i="1"/>
  <c r="S74" i="1"/>
  <c r="O265" i="1"/>
  <c r="S354" i="1"/>
  <c r="O1205" i="1"/>
  <c r="S772" i="1"/>
  <c r="S1067" i="1"/>
  <c r="S1376" i="1"/>
  <c r="S1254" i="1"/>
  <c r="S495" i="1"/>
  <c r="S1010" i="1"/>
  <c r="S424" i="1"/>
  <c r="S852" i="1"/>
  <c r="S599" i="1"/>
  <c r="S182" i="1"/>
  <c r="S199" i="1"/>
  <c r="S516" i="1"/>
  <c r="S651" i="1"/>
  <c r="S1257" i="1"/>
  <c r="S1334" i="1"/>
  <c r="S726" i="1"/>
  <c r="O1431" i="1"/>
  <c r="S791" i="1"/>
  <c r="S1086" i="1"/>
  <c r="S566" i="1"/>
  <c r="S483" i="1"/>
  <c r="S184" i="1"/>
  <c r="S350" i="1"/>
  <c r="S1355" i="1"/>
  <c r="S273" i="1"/>
  <c r="S1327" i="1"/>
  <c r="S709" i="1"/>
  <c r="S1053" i="1"/>
  <c r="S921" i="1"/>
  <c r="S1415" i="1"/>
  <c r="S501" i="1"/>
  <c r="S1353" i="1"/>
  <c r="O1428" i="1"/>
  <c r="S407" i="1"/>
  <c r="S893" i="1"/>
  <c r="S1066" i="1"/>
  <c r="S17" i="1"/>
  <c r="S183" i="1"/>
  <c r="S1218" i="1"/>
  <c r="S1190" i="1"/>
  <c r="S360" i="1"/>
  <c r="S139" i="1"/>
  <c r="S60" i="1"/>
  <c r="S1270" i="1"/>
  <c r="S801" i="1"/>
  <c r="S1443" i="1"/>
  <c r="S1110" i="1"/>
  <c r="S1058" i="1"/>
  <c r="O251" i="1"/>
  <c r="S597" i="1"/>
  <c r="S804" i="1"/>
  <c r="S239" i="1"/>
  <c r="S285" i="1"/>
  <c r="S167" i="1"/>
  <c r="S404" i="1"/>
  <c r="S216" i="1"/>
  <c r="S465" i="1"/>
  <c r="S1325" i="1"/>
  <c r="S595" i="1"/>
  <c r="S1427" i="1"/>
  <c r="S588" i="1"/>
  <c r="S1181" i="1"/>
  <c r="S355" i="1"/>
  <c r="S1234" i="1"/>
  <c r="O1082" i="1"/>
  <c r="S937" i="1"/>
  <c r="S683" i="1"/>
  <c r="S1183" i="1"/>
  <c r="S361" i="1"/>
  <c r="S1445" i="1"/>
  <c r="S574" i="1"/>
  <c r="S253" i="1"/>
  <c r="S765" i="1"/>
  <c r="S171" i="1"/>
  <c r="S816" i="1"/>
  <c r="S118" i="1"/>
  <c r="S714" i="1"/>
  <c r="S1393" i="1"/>
  <c r="S1100" i="1"/>
  <c r="S1289" i="1"/>
  <c r="O1140" i="1"/>
  <c r="S774" i="1"/>
  <c r="S1244" i="1"/>
  <c r="S1103" i="1"/>
  <c r="S679" i="1"/>
  <c r="S1116" i="1"/>
  <c r="S782" i="1"/>
  <c r="S1394" i="1"/>
  <c r="S222" i="1"/>
  <c r="S1075" i="1"/>
  <c r="S832" i="1"/>
  <c r="S1080" i="1"/>
  <c r="S409" i="1"/>
  <c r="S1206" i="1"/>
  <c r="S22" i="1"/>
  <c r="S1288" i="1"/>
  <c r="O1141" i="1"/>
  <c r="S564" i="1"/>
  <c r="S165" i="1"/>
  <c r="S1281" i="1"/>
  <c r="S965" i="1"/>
  <c r="S1360" i="1"/>
  <c r="S525" i="1"/>
  <c r="S1221" i="1"/>
  <c r="S1229" i="1"/>
  <c r="S1158" i="1"/>
  <c r="S593" i="1"/>
  <c r="S1422" i="1"/>
  <c r="S235" i="1"/>
  <c r="S1104" i="1"/>
  <c r="S244" i="1"/>
  <c r="S1157" i="1"/>
  <c r="O445" i="1"/>
  <c r="S1018" i="1"/>
  <c r="S1162" i="1"/>
  <c r="S1434" i="1"/>
  <c r="S379" i="1"/>
  <c r="S1118" i="1"/>
  <c r="S780" i="1"/>
  <c r="S1154" i="1"/>
  <c r="S923" i="1"/>
  <c r="S221" i="1"/>
  <c r="S861" i="1"/>
  <c r="S1070" i="1"/>
  <c r="S802" i="1"/>
  <c r="O807" i="1"/>
  <c r="S242" i="1"/>
  <c r="S856" i="1"/>
  <c r="S844" i="1"/>
  <c r="S786" i="1"/>
  <c r="S35" i="1"/>
  <c r="S444" i="1"/>
  <c r="S888" i="1"/>
  <c r="S656" i="1"/>
  <c r="S26" i="1"/>
  <c r="S887" i="1"/>
  <c r="S876" i="1"/>
  <c r="S180" i="1"/>
  <c r="S526" i="1"/>
  <c r="S1145" i="1"/>
  <c r="S281" i="1"/>
  <c r="S1260" i="1"/>
  <c r="O1144" i="1"/>
  <c r="S644" i="1"/>
  <c r="S49" i="1"/>
  <c r="S520" i="1"/>
  <c r="S519" i="1"/>
  <c r="S108" i="1"/>
  <c r="S32" i="1"/>
  <c r="S336" i="1"/>
  <c r="S1169" i="1"/>
  <c r="S944" i="1"/>
  <c r="S1046" i="1"/>
  <c r="S743" i="1"/>
  <c r="S1375" i="1"/>
  <c r="S260" i="1"/>
  <c r="S820" i="1"/>
  <c r="S1321" i="1"/>
  <c r="O640" i="1"/>
  <c r="S1318" i="1"/>
  <c r="S157" i="1"/>
  <c r="S1282" i="1"/>
  <c r="S11" i="1"/>
  <c r="S650" i="1"/>
  <c r="S66" i="1"/>
  <c r="S688" i="1"/>
  <c r="S1102" i="1"/>
  <c r="S1450" i="1"/>
  <c r="S712" i="1"/>
  <c r="S1093" i="1"/>
  <c r="S1232" i="1"/>
  <c r="S1051" i="1"/>
  <c r="S633" i="1"/>
  <c r="S211" i="1"/>
  <c r="O1279" i="1"/>
  <c r="S928" i="1"/>
  <c r="S173" i="1"/>
  <c r="S1064" i="1"/>
  <c r="S88" i="1"/>
  <c r="S112" i="1"/>
  <c r="S1421" i="1"/>
  <c r="S498" i="1"/>
  <c r="S161" i="1"/>
  <c r="S811" i="1"/>
  <c r="S1290" i="1"/>
  <c r="S80" i="1"/>
  <c r="S233" i="1"/>
  <c r="S672" i="1"/>
  <c r="S1426" i="1"/>
  <c r="O345" i="1"/>
  <c r="S648" i="1"/>
  <c r="S1405" i="1"/>
  <c r="S1210" i="1"/>
  <c r="S1184" i="1"/>
  <c r="S1251" i="1"/>
  <c r="S727" i="1"/>
  <c r="S1119" i="1"/>
  <c r="S531" i="1"/>
  <c r="S1430" i="1"/>
  <c r="S486" i="1"/>
  <c r="S1335" i="1"/>
  <c r="S1385" i="1"/>
  <c r="S1089" i="1"/>
  <c r="S41" i="1"/>
  <c r="S1242" i="1"/>
  <c r="O1096" i="1"/>
  <c r="S293" i="1"/>
  <c r="S1044" i="1"/>
  <c r="S1447" i="1"/>
  <c r="S481" i="1"/>
  <c r="S119" i="1"/>
  <c r="S906" i="1"/>
  <c r="S131" i="1"/>
  <c r="S1243" i="1"/>
  <c r="S568" i="1"/>
  <c r="S21" i="1"/>
  <c r="S52" i="1"/>
  <c r="S401" i="1"/>
  <c r="S1241" i="1"/>
  <c r="S1423" i="1"/>
  <c r="S1159" i="1"/>
  <c r="S1174" i="1"/>
  <c r="S1083" i="1"/>
  <c r="S617" i="1"/>
  <c r="S1413" i="1"/>
  <c r="S841" i="1"/>
  <c r="S1151" i="1"/>
  <c r="S250" i="1"/>
  <c r="S561" i="1"/>
  <c r="S468" i="1"/>
  <c r="S569" i="1"/>
  <c r="S326" i="1"/>
  <c r="S1220" i="1"/>
  <c r="S602" i="1"/>
  <c r="S824" i="1"/>
  <c r="S940" i="1"/>
  <c r="S1222" i="1"/>
  <c r="S693" i="1"/>
  <c r="S1386" i="1"/>
  <c r="O225" i="1"/>
  <c r="S716" i="1"/>
  <c r="S1057" i="1"/>
  <c r="S204" i="1"/>
  <c r="S1204" i="1"/>
  <c r="S1313" i="1"/>
  <c r="S810" i="1"/>
  <c r="S225" i="1"/>
  <c r="S234" i="1"/>
  <c r="S1237" i="1"/>
  <c r="S1016" i="1"/>
  <c r="S1383" i="1"/>
  <c r="S830" i="1"/>
  <c r="S1419" i="1"/>
  <c r="S904" i="1"/>
  <c r="S266" i="1"/>
  <c r="O1402" i="1"/>
  <c r="S705" i="1"/>
  <c r="S1013" i="1"/>
  <c r="S192" i="1"/>
  <c r="S815" i="1"/>
  <c r="S1369" i="1"/>
  <c r="S522" i="1"/>
  <c r="S261" i="1"/>
  <c r="S494" i="1"/>
  <c r="S857" i="1"/>
  <c r="S755" i="1"/>
  <c r="S1301" i="1"/>
  <c r="S848" i="1"/>
  <c r="S130" i="1"/>
  <c r="S769" i="1"/>
  <c r="S1215" i="1"/>
  <c r="O1415" i="1"/>
  <c r="S208" i="1"/>
  <c r="S1043" i="1"/>
  <c r="S1424" i="1"/>
  <c r="S45" i="1"/>
  <c r="S1223" i="1"/>
  <c r="S745" i="1"/>
  <c r="S1271" i="1"/>
  <c r="S436" i="1"/>
  <c r="S1147" i="1"/>
  <c r="S1171" i="1"/>
  <c r="S1185" i="1"/>
  <c r="S497" i="1"/>
  <c r="S143" i="1"/>
  <c r="S1132" i="1"/>
  <c r="S258" i="1"/>
  <c r="O1250" i="1"/>
  <c r="S1227" i="1"/>
  <c r="S1106" i="1"/>
  <c r="S1212" i="1"/>
  <c r="S768" i="1"/>
  <c r="S504" i="1"/>
  <c r="S1188" i="1"/>
  <c r="S954" i="1"/>
  <c r="S451" i="1"/>
  <c r="S412" i="1"/>
  <c r="S1364" i="1"/>
  <c r="S1037" i="1"/>
  <c r="S1228" i="1"/>
  <c r="S1366" i="1"/>
  <c r="S1438" i="1"/>
  <c r="S570" i="1"/>
  <c r="S968" i="1"/>
  <c r="S254" i="1"/>
  <c r="S513" i="1"/>
  <c r="S1092" i="1"/>
  <c r="S1373" i="1"/>
  <c r="S612" i="1"/>
  <c r="S156" i="1"/>
  <c r="S1312" i="1"/>
  <c r="S432" i="1"/>
  <c r="S715" i="1"/>
  <c r="S724" i="1"/>
  <c r="S1307" i="1"/>
  <c r="S1199" i="1"/>
  <c r="S1065" i="1"/>
  <c r="S547" i="1"/>
  <c r="S1315" i="1"/>
  <c r="S862" i="1"/>
  <c r="S1121" i="1"/>
  <c r="S674" i="1"/>
  <c r="S140" i="1"/>
  <c r="O1333" i="1"/>
  <c r="S1040" i="1"/>
  <c r="S13" i="1"/>
  <c r="S640" i="1"/>
  <c r="S1021" i="1"/>
  <c r="S1148" i="1"/>
  <c r="S915" i="1"/>
  <c r="S122" i="1"/>
  <c r="S479" i="1"/>
  <c r="S149" i="1"/>
  <c r="S956" i="1"/>
  <c r="S1252" i="1"/>
  <c r="S363" i="1"/>
  <c r="S1207" i="1"/>
  <c r="S12" i="1"/>
  <c r="S1395" i="1"/>
  <c r="O224" i="1"/>
  <c r="S463" i="1"/>
  <c r="S584" i="1"/>
  <c r="S245" i="1"/>
  <c r="S1101" i="1"/>
  <c r="S126" i="1"/>
  <c r="S515" i="1"/>
  <c r="S1239" i="1"/>
  <c r="S642" i="1"/>
  <c r="S159" i="1"/>
  <c r="S866" i="1"/>
  <c r="S217" i="1"/>
  <c r="S1298" i="1"/>
  <c r="S1429" i="1"/>
  <c r="S1219" i="1"/>
  <c r="S1269" i="1"/>
  <c r="O754" i="1"/>
  <c r="S1449" i="1"/>
  <c r="S1068" i="1"/>
  <c r="S141" i="1"/>
  <c r="S61" i="1"/>
  <c r="S1246" i="1"/>
  <c r="S1035" i="1"/>
  <c r="S193" i="1"/>
  <c r="S785" i="1"/>
  <c r="S366" i="1"/>
  <c r="S1062" i="1"/>
  <c r="S1167" i="1"/>
  <c r="S1347" i="1"/>
  <c r="S1111" i="1"/>
  <c r="S380" i="1"/>
  <c r="S859" i="1"/>
  <c r="S7" i="1"/>
  <c r="S1391" i="1"/>
  <c r="S98" i="1"/>
  <c r="S1248" i="1"/>
  <c r="S27" i="1"/>
  <c r="S227" i="1"/>
  <c r="S344" i="1"/>
  <c r="S1032" i="1"/>
  <c r="S1172" i="1"/>
  <c r="S581" i="1"/>
  <c r="S763" i="1"/>
  <c r="S86" i="1"/>
  <c r="S512" i="1"/>
  <c r="S410" i="1"/>
  <c r="O1298" i="1"/>
  <c r="S1302" i="1"/>
  <c r="S742" i="1"/>
  <c r="S145" i="1"/>
  <c r="S717" i="1"/>
  <c r="S469" i="1"/>
  <c r="S905" i="1"/>
  <c r="S973" i="1"/>
  <c r="S441" i="1"/>
  <c r="S1002" i="1"/>
  <c r="S621" i="1"/>
  <c r="S740" i="1"/>
  <c r="S969" i="1"/>
  <c r="S1020" i="1"/>
  <c r="S1079" i="1"/>
  <c r="O653" i="1"/>
  <c r="O715" i="1"/>
  <c r="O1216" i="1"/>
  <c r="S337" i="1"/>
  <c r="O204" i="1"/>
  <c r="S634" i="1"/>
  <c r="O1097" i="1"/>
  <c r="S895" i="1"/>
  <c r="O1311" i="1"/>
  <c r="S329" i="1"/>
  <c r="O1176" i="1"/>
  <c r="S615" i="1"/>
  <c r="O1209" i="1"/>
  <c r="S349" i="1"/>
  <c r="S737" i="1"/>
  <c r="S312" i="1"/>
  <c r="O190" i="1"/>
  <c r="S553" i="1"/>
  <c r="S313" i="1"/>
  <c r="S243" i="1"/>
  <c r="S1133" i="1"/>
  <c r="S1123" i="1"/>
  <c r="S24" i="1"/>
  <c r="S1387" i="1"/>
  <c r="S746" i="1"/>
  <c r="S164" i="1"/>
  <c r="S591" i="1"/>
  <c r="S1381" i="1"/>
  <c r="S132" i="1"/>
  <c r="S205" i="1"/>
  <c r="S28" i="1"/>
  <c r="S1359" i="1"/>
  <c r="O231" i="1"/>
  <c r="S635" i="1"/>
  <c r="S1317" i="1"/>
  <c r="S124" i="1"/>
  <c r="S1441" i="1"/>
  <c r="S1339" i="1"/>
  <c r="S400" i="1"/>
  <c r="S1088" i="1"/>
  <c r="S735" i="1"/>
  <c r="S1453" i="1"/>
  <c r="S398" i="1"/>
  <c r="S1408" i="1"/>
  <c r="S1033" i="1"/>
  <c r="S733" i="1"/>
  <c r="S262" i="1"/>
  <c r="O1360" i="1"/>
  <c r="S751" i="1"/>
  <c r="S1061" i="1"/>
  <c r="S1293" i="1"/>
  <c r="S214" i="1"/>
  <c r="S1420" i="1"/>
  <c r="S614" i="1"/>
  <c r="S1295" i="1"/>
  <c r="S79" i="1"/>
  <c r="S1390" i="1"/>
  <c r="S1389" i="1"/>
  <c r="S176" i="1"/>
  <c r="S153" i="1"/>
  <c r="S1261" i="1"/>
  <c r="S438" i="1"/>
  <c r="S753" i="1"/>
  <c r="O535" i="1"/>
  <c r="S1399" i="1"/>
  <c r="S461" i="1"/>
  <c r="S1285" i="1"/>
  <c r="S215" i="1"/>
  <c r="S116" i="1"/>
  <c r="S1358" i="1"/>
  <c r="S127" i="1"/>
  <c r="S154" i="1"/>
  <c r="S1238" i="1"/>
  <c r="S1015" i="1"/>
  <c r="S1023" i="1"/>
  <c r="S945" i="1"/>
  <c r="S1166" i="1"/>
  <c r="S1291" i="1"/>
  <c r="S1332" i="1"/>
  <c r="S274" i="1"/>
  <c r="S210" i="1"/>
  <c r="S264" i="1"/>
  <c r="S652" i="1"/>
  <c r="S1077" i="1"/>
  <c r="S390" i="1"/>
  <c r="S1286" i="1"/>
  <c r="S4" i="1"/>
  <c r="S1262" i="1"/>
  <c r="S115" i="1"/>
  <c r="S620" i="1"/>
  <c r="S552" i="1"/>
  <c r="S1006" i="1"/>
  <c r="S676" i="1"/>
  <c r="O1159" i="1"/>
  <c r="S437" i="1"/>
  <c r="S817" i="1"/>
  <c r="S508" i="1"/>
  <c r="S499" i="1"/>
  <c r="S1326" i="1"/>
  <c r="S659" i="1"/>
  <c r="S1448" i="1"/>
  <c r="S478" i="1"/>
  <c r="S1439" i="1"/>
  <c r="S58" i="1"/>
  <c r="S1014" i="1"/>
  <c r="S294" i="1"/>
  <c r="S226" i="1"/>
  <c r="S15" i="1"/>
  <c r="O211" i="1"/>
  <c r="S532" i="1"/>
  <c r="S332" i="1"/>
  <c r="S1130" i="1"/>
  <c r="S372" i="1"/>
  <c r="S453" i="1"/>
  <c r="S545" i="1"/>
  <c r="S1144" i="1"/>
  <c r="S541" i="1"/>
  <c r="S120" i="1"/>
  <c r="S710" i="1"/>
  <c r="S1156" i="1"/>
  <c r="S449" i="1"/>
  <c r="S1072" i="1"/>
  <c r="S18" i="1"/>
  <c r="S142" i="1"/>
  <c r="S704" i="1"/>
  <c r="S62" i="1"/>
  <c r="S919" i="1"/>
  <c r="S1209" i="1"/>
  <c r="T1130" i="1"/>
  <c r="T1163" i="1"/>
  <c r="T1227" i="1"/>
  <c r="T870" i="1"/>
  <c r="T1201" i="1"/>
  <c r="T928" i="1"/>
  <c r="T68" i="1"/>
  <c r="T1164" i="1"/>
  <c r="T962" i="1"/>
  <c r="T351" i="1"/>
  <c r="T105" i="1"/>
  <c r="T1051" i="1"/>
  <c r="T1419" i="1"/>
  <c r="T704" i="1"/>
  <c r="T1079" i="1"/>
  <c r="T1256" i="1"/>
  <c r="T1393" i="1"/>
  <c r="T1215" i="1"/>
  <c r="T676" i="1"/>
  <c r="T1028" i="1"/>
  <c r="T350" i="1"/>
  <c r="T263" i="1"/>
  <c r="T441" i="1"/>
  <c r="T234" i="1"/>
  <c r="T1212" i="1"/>
  <c r="T1154" i="1"/>
  <c r="T456" i="1"/>
  <c r="T737" i="1"/>
  <c r="T35" i="1"/>
  <c r="T1125" i="1"/>
  <c r="T617" i="1"/>
  <c r="T848" i="1"/>
  <c r="T633" i="1"/>
  <c r="T427" i="1"/>
  <c r="T158" i="1"/>
  <c r="T922" i="1"/>
  <c r="T1449" i="1"/>
  <c r="T222" i="1"/>
  <c r="T1019" i="1"/>
  <c r="T940" i="1"/>
  <c r="T1259" i="1"/>
  <c r="T300" i="1"/>
  <c r="T116" i="1"/>
  <c r="T258" i="1"/>
  <c r="T1421" i="1"/>
  <c r="T850" i="1"/>
  <c r="T794" i="1"/>
  <c r="T391" i="1"/>
  <c r="T154" i="1"/>
  <c r="T1167" i="1"/>
  <c r="T1452" i="1"/>
  <c r="T1213" i="1"/>
  <c r="T602" i="1"/>
  <c r="T1232" i="1"/>
  <c r="T981" i="1"/>
  <c r="T917" i="1"/>
  <c r="T1301" i="1"/>
  <c r="T958" i="1"/>
  <c r="T1052" i="1"/>
  <c r="T755" i="1"/>
  <c r="T165" i="1"/>
  <c r="T321" i="1"/>
  <c r="T1064" i="1"/>
  <c r="T946" i="1"/>
  <c r="T849" i="1"/>
  <c r="T1165" i="1"/>
  <c r="T2" i="1"/>
  <c r="T1275" i="1"/>
  <c r="T1318" i="1"/>
  <c r="T496" i="1"/>
  <c r="T1383" i="1"/>
  <c r="T1128" i="1"/>
  <c r="T95" i="1"/>
  <c r="T9" i="1"/>
  <c r="T277" i="1"/>
  <c r="T373" i="1"/>
  <c r="T146" i="1"/>
  <c r="T626" i="1"/>
  <c r="T1066" i="1"/>
  <c r="T150" i="1"/>
  <c r="T1409" i="1"/>
  <c r="T1097" i="1"/>
  <c r="T553" i="1"/>
  <c r="T821" i="1"/>
  <c r="T977" i="1"/>
  <c r="T809" i="1"/>
  <c r="T1025" i="1"/>
  <c r="T256" i="1"/>
  <c r="T615" i="1"/>
  <c r="T117" i="1"/>
  <c r="T505" i="1"/>
  <c r="T1279" i="1"/>
  <c r="T742" i="1"/>
  <c r="T790" i="1"/>
  <c r="T683" i="1"/>
  <c r="T335" i="1"/>
  <c r="T960" i="1"/>
  <c r="T13" i="1"/>
  <c r="T471" i="1"/>
  <c r="T1191" i="1"/>
  <c r="T1433" i="1"/>
  <c r="T926" i="1"/>
  <c r="T30" i="1"/>
  <c r="T944" i="1"/>
  <c r="T259" i="1"/>
  <c r="T804" i="1"/>
  <c r="T273" i="1"/>
  <c r="T1042" i="1"/>
  <c r="T945" i="1"/>
  <c r="T1324" i="1"/>
  <c r="T775" i="1"/>
  <c r="T1192" i="1"/>
  <c r="T1147" i="1"/>
  <c r="T1173" i="1"/>
  <c r="T527" i="1"/>
  <c r="T1111" i="1"/>
  <c r="T46" i="1"/>
  <c r="T994" i="1"/>
  <c r="T846" i="1"/>
  <c r="T1317" i="1"/>
  <c r="T733" i="1"/>
  <c r="T1087" i="1"/>
  <c r="T756" i="1"/>
  <c r="T749" i="1"/>
  <c r="T1251" i="1"/>
  <c r="T1306" i="1"/>
  <c r="T1291" i="1"/>
  <c r="T15" i="1"/>
  <c r="T494" i="1"/>
  <c r="T437" i="1"/>
  <c r="T119" i="1"/>
  <c r="T921" i="1"/>
  <c r="T993" i="1"/>
  <c r="T686" i="1"/>
  <c r="T558" i="1"/>
  <c r="T634" i="1"/>
  <c r="T1354" i="1"/>
  <c r="T438" i="1"/>
  <c r="T1405" i="1"/>
  <c r="T320" i="1"/>
  <c r="T1108" i="1"/>
  <c r="T726" i="1"/>
  <c r="T1341" i="1"/>
  <c r="T359" i="1"/>
  <c r="T1446" i="1"/>
  <c r="T1406" i="1"/>
  <c r="T934" i="1"/>
  <c r="T499" i="1"/>
  <c r="T1345" i="1"/>
  <c r="T53" i="1"/>
  <c r="T268" i="1"/>
  <c r="T593" i="1"/>
  <c r="T999" i="1"/>
  <c r="T503" i="1"/>
  <c r="T426" i="1"/>
  <c r="T658" i="1"/>
  <c r="T754" i="1"/>
  <c r="T678" i="1"/>
  <c r="T630" i="1"/>
  <c r="T267" i="1"/>
  <c r="T1200" i="1"/>
  <c r="T264" i="1"/>
  <c r="T145" i="1"/>
  <c r="T52" i="1"/>
  <c r="T886" i="1"/>
  <c r="T1436" i="1"/>
  <c r="T1413" i="1"/>
  <c r="T1432" i="1"/>
  <c r="T383" i="1"/>
  <c r="T479" i="1"/>
  <c r="T375" i="1"/>
  <c r="T1012" i="1"/>
  <c r="T765" i="1"/>
  <c r="T1150" i="1"/>
  <c r="T783" i="1"/>
  <c r="T887" i="1"/>
  <c r="T532" i="1"/>
  <c r="T343" i="1"/>
  <c r="T808" i="1"/>
  <c r="T1351" i="1"/>
  <c r="T369" i="1"/>
  <c r="T1135" i="1"/>
  <c r="T1391" i="1"/>
  <c r="T1295" i="1"/>
  <c r="T1440" i="1"/>
  <c r="T606" i="1"/>
  <c r="T191" i="1"/>
  <c r="T1237" i="1"/>
  <c r="T49" i="1"/>
  <c r="T564" i="1"/>
  <c r="T1262" i="1"/>
  <c r="T950" i="1"/>
  <c r="T842" i="1"/>
  <c r="T792" i="1"/>
  <c r="T1342" i="1"/>
  <c r="T372" i="1"/>
  <c r="T34" i="1"/>
  <c r="T522" i="1"/>
  <c r="T54" i="1"/>
  <c r="T298" i="1"/>
  <c r="T573" i="1"/>
  <c r="T1336" i="1"/>
  <c r="T1314" i="1"/>
  <c r="T1044" i="1"/>
  <c r="T1099" i="1"/>
  <c r="T397" i="1"/>
  <c r="T1235" i="1"/>
  <c r="T963" i="1"/>
  <c r="T1328" i="1"/>
  <c r="T715" i="1"/>
  <c r="T651" i="1"/>
  <c r="T1384" i="1"/>
  <c r="T979" i="1"/>
  <c r="T94" i="1"/>
  <c r="T807" i="1"/>
  <c r="T454" i="1"/>
  <c r="T681" i="1"/>
  <c r="T401" i="1"/>
  <c r="T1323" i="1"/>
  <c r="T610" i="1"/>
  <c r="T1367" i="1"/>
  <c r="T451" i="1"/>
  <c r="T489" i="1"/>
  <c r="T83" i="1"/>
  <c r="T385" i="1"/>
  <c r="T1145" i="1"/>
  <c r="T469" i="1"/>
  <c r="T1299" i="1"/>
  <c r="T1302" i="1"/>
  <c r="T1260" i="1"/>
  <c r="T228" i="1"/>
  <c r="T486" i="1"/>
  <c r="T473" i="1"/>
  <c r="T1010" i="1"/>
  <c r="T1358" i="1"/>
  <c r="T211" i="1"/>
  <c r="T1300" i="1"/>
  <c r="T115" i="1"/>
  <c r="T233" i="1"/>
  <c r="T520" i="1"/>
  <c r="T656" i="1"/>
  <c r="T1050" i="1"/>
  <c r="T167" i="1"/>
  <c r="T251" i="1"/>
  <c r="T1117" i="1"/>
  <c r="T497" i="1"/>
  <c r="T504" i="1"/>
  <c r="T759" i="1"/>
  <c r="T1209" i="1"/>
  <c r="T707" i="1"/>
  <c r="T296" i="1"/>
  <c r="T1024" i="1"/>
  <c r="T693" i="1"/>
  <c r="T171" i="1"/>
  <c r="T223" i="1"/>
  <c r="T1338" i="1"/>
  <c r="T434" i="1"/>
  <c r="T569" i="1"/>
  <c r="T1016" i="1"/>
  <c r="T753" i="1"/>
  <c r="T330" i="1"/>
  <c r="T1104" i="1"/>
  <c r="T481" i="1"/>
  <c r="T192" i="1"/>
  <c r="T22" i="1"/>
  <c r="T780" i="1"/>
  <c r="T425" i="1"/>
  <c r="T1437" i="1"/>
  <c r="T507" i="1"/>
  <c r="T299" i="1"/>
  <c r="T73" i="1"/>
  <c r="T1143" i="1"/>
  <c r="T543" i="1"/>
  <c r="T1207" i="1"/>
  <c r="T637" i="1"/>
  <c r="T943" i="1"/>
  <c r="T67" i="1"/>
  <c r="T175" i="1"/>
  <c r="T529" i="1"/>
  <c r="T781" i="1"/>
  <c r="T1370" i="1"/>
  <c r="T1036" i="1"/>
  <c r="T823" i="1"/>
  <c r="T75" i="1"/>
  <c r="T63" i="1"/>
  <c r="T283" i="1"/>
  <c r="T694" i="1"/>
  <c r="T477" i="1"/>
  <c r="T796" i="1"/>
  <c r="T855" i="1"/>
  <c r="T450" i="1"/>
  <c r="T322" i="1"/>
  <c r="T56" i="1"/>
  <c r="T424" i="1"/>
  <c r="T1148" i="1"/>
  <c r="T782" i="1"/>
  <c r="T631" i="1"/>
  <c r="T1180" i="1"/>
  <c r="T1182" i="1"/>
  <c r="T839" i="1"/>
  <c r="T91" i="1"/>
  <c r="T546" i="1"/>
  <c r="T1134" i="1"/>
  <c r="T986" i="1"/>
  <c r="T187" i="1"/>
  <c r="T601" i="1"/>
  <c r="T927" i="1"/>
  <c r="T985" i="1"/>
  <c r="T1072" i="1"/>
  <c r="T395" i="1"/>
  <c r="T436" i="1"/>
  <c r="T1000" i="1"/>
  <c r="T1344" i="1"/>
  <c r="T380" i="1"/>
  <c r="T310" i="1"/>
  <c r="T840" i="1"/>
  <c r="T824" i="1"/>
  <c r="T1439" i="1"/>
  <c r="T1021" i="1"/>
  <c r="T141" i="1"/>
  <c r="T1151" i="1"/>
  <c r="T85" i="1"/>
  <c r="T826" i="1"/>
  <c r="T509" i="1"/>
  <c r="T1033" i="1"/>
  <c r="T884" i="1"/>
  <c r="T1003" i="1"/>
  <c r="T1333" i="1"/>
  <c r="T904" i="1"/>
  <c r="T339" i="1"/>
  <c r="T596" i="1"/>
  <c r="T1068" i="1"/>
  <c r="T990" i="1"/>
  <c r="T882" i="1"/>
  <c r="T1141" i="1"/>
  <c r="T568" i="1"/>
  <c r="T1408" i="1"/>
  <c r="T528" i="1"/>
  <c r="T70" i="1"/>
  <c r="T205" i="1"/>
  <c r="T7" i="1"/>
  <c r="T307" i="1"/>
  <c r="T1319" i="1"/>
  <c r="T418" i="1"/>
  <c r="T204" i="1"/>
  <c r="T291" i="1"/>
  <c r="T834" i="1"/>
  <c r="T1175" i="1"/>
  <c r="T209" i="1"/>
  <c r="T371" i="1"/>
  <c r="T896" i="1"/>
  <c r="T1264" i="1"/>
  <c r="T1347" i="1"/>
  <c r="T1280" i="1"/>
  <c r="T133" i="1"/>
  <c r="T973" i="1"/>
  <c r="T1152" i="1"/>
  <c r="T194" i="1"/>
  <c r="T1197" i="1"/>
  <c r="T243" i="1"/>
  <c r="T208" i="1"/>
  <c r="T1056" i="1"/>
  <c r="T1411" i="1"/>
  <c r="T297" i="1"/>
  <c r="T405" i="1"/>
  <c r="T1228" i="1"/>
  <c r="T1071" i="1"/>
  <c r="T672" i="1"/>
  <c r="T1420" i="1"/>
  <c r="T112" i="1"/>
  <c r="T1322" i="1"/>
  <c r="T1377" i="1"/>
  <c r="T557" i="1"/>
  <c r="T252" i="1"/>
  <c r="T1034" i="1"/>
  <c r="T1210" i="1"/>
  <c r="T609" i="1"/>
  <c r="T744" i="1"/>
  <c r="T196" i="1"/>
  <c r="T152" i="1"/>
  <c r="T76" i="1"/>
  <c r="T412" i="1"/>
  <c r="T1029" i="1"/>
  <c r="T1332" i="1"/>
  <c r="T261" i="1"/>
  <c r="T314" i="1"/>
  <c r="T734" i="1"/>
  <c r="T923" i="1"/>
  <c r="T269" i="1"/>
  <c r="T680" i="1"/>
  <c r="T578" i="1"/>
  <c r="T1170" i="1"/>
  <c r="T533" i="1"/>
  <c r="T1343" i="1"/>
  <c r="T1426" i="1"/>
  <c r="T1204" i="1"/>
  <c r="T1092" i="1"/>
  <c r="T1271" i="1"/>
  <c r="T77" i="1"/>
  <c r="T1226" i="1"/>
  <c r="T598" i="1"/>
  <c r="T1360" i="1"/>
  <c r="T1375" i="1"/>
  <c r="T66" i="1"/>
  <c r="T1315" i="1"/>
  <c r="T667" i="1"/>
  <c r="T468" i="1"/>
  <c r="T312" i="1"/>
  <c r="T218" i="1"/>
  <c r="T835" i="1"/>
  <c r="T581" i="1"/>
  <c r="T723" i="1"/>
  <c r="T769" i="1"/>
  <c r="T163" i="1"/>
  <c r="T71" i="1"/>
  <c r="T687" i="1"/>
  <c r="T900" i="1"/>
  <c r="T1234" i="1"/>
  <c r="T1171" i="1"/>
  <c r="T788" i="1"/>
  <c r="T825" i="1"/>
  <c r="T620" i="1"/>
  <c r="T365" i="1"/>
  <c r="T642" i="1"/>
  <c r="T586" i="1"/>
  <c r="T685" i="1"/>
  <c r="T820" i="1"/>
  <c r="T718" i="1"/>
  <c r="T449" i="1"/>
  <c r="T822" i="1"/>
  <c r="T448" i="1"/>
  <c r="T230" i="1"/>
  <c r="T976" i="1"/>
  <c r="T659" i="1"/>
  <c r="T1448" i="1"/>
  <c r="T487" i="1"/>
  <c r="T134" i="1"/>
  <c r="T1062" i="1"/>
  <c r="T99" i="1"/>
  <c r="T161" i="1"/>
  <c r="T153" i="1"/>
  <c r="T288" i="1"/>
  <c r="T224" i="1"/>
  <c r="T305" i="1"/>
  <c r="T342" i="1"/>
  <c r="T1292" i="1"/>
  <c r="T571" i="1"/>
  <c r="T636" i="1"/>
  <c r="T736" i="1"/>
  <c r="T732" i="1"/>
  <c r="T871" i="1"/>
  <c r="T354" i="1"/>
  <c r="T244" i="1"/>
  <c r="T1453" i="1"/>
  <c r="T518" i="1"/>
  <c r="T1208" i="1"/>
  <c r="T1124" i="1"/>
  <c r="T861" i="1"/>
  <c r="T816" i="1"/>
  <c r="T600" i="1"/>
  <c r="T635" i="1"/>
  <c r="T357" i="1"/>
  <c r="T646" i="1"/>
  <c r="T1283" i="1"/>
  <c r="T197" i="1"/>
  <c r="T111" i="1"/>
  <c r="T367" i="1"/>
  <c r="T510" i="1"/>
  <c r="T590" i="1"/>
  <c r="T1447" i="1"/>
  <c r="T778" i="1"/>
  <c r="T432" i="1"/>
  <c r="T225" i="1"/>
  <c r="T655" i="1"/>
  <c r="T618" i="1"/>
  <c r="T1205" i="1"/>
  <c r="T97" i="1"/>
  <c r="T669" i="1"/>
  <c r="T423" i="1"/>
  <c r="T36" i="1"/>
  <c r="T996" i="1"/>
  <c r="T1366" i="1"/>
  <c r="T771" i="1"/>
  <c r="T292" i="1"/>
  <c r="T1076" i="1"/>
  <c r="T1057" i="1"/>
  <c r="T1221" i="1"/>
  <c r="T878" i="1"/>
  <c r="T149" i="1"/>
  <c r="T178" i="1"/>
  <c r="T492" i="1"/>
  <c r="T880" i="1"/>
  <c r="T542" i="1"/>
  <c r="T136" i="1"/>
  <c r="T1159" i="1"/>
  <c r="T608" i="1"/>
  <c r="T429" i="1"/>
  <c r="T1203" i="1"/>
  <c r="T799" i="1"/>
  <c r="T33" i="1"/>
  <c r="T276" i="1"/>
  <c r="T214" i="1"/>
  <c r="T1247" i="1"/>
  <c r="T39" i="1"/>
  <c r="T1387" i="1"/>
  <c r="T525" i="1"/>
  <c r="T857" i="1"/>
  <c r="T560" i="1"/>
  <c r="T483" i="1"/>
  <c r="T366" i="1"/>
  <c r="T803" i="1"/>
  <c r="T777" i="1"/>
  <c r="T1410" i="1"/>
  <c r="T890" i="1"/>
  <c r="T109" i="1"/>
  <c r="T1396" i="1"/>
  <c r="T1018" i="1"/>
  <c r="T81" i="1"/>
  <c r="T576" i="1"/>
  <c r="T1112" i="1"/>
  <c r="T1231" i="1"/>
  <c r="T544" i="1"/>
  <c r="T713" i="1"/>
  <c r="T1424" i="1"/>
  <c r="T337" i="1"/>
  <c r="T1429" i="1"/>
  <c r="T536" i="1"/>
  <c r="T101" i="1"/>
  <c r="T12" i="1"/>
  <c r="T853" i="1"/>
  <c r="T44" i="1"/>
  <c r="T80" i="1"/>
  <c r="T1416" i="1"/>
  <c r="T229" i="1"/>
  <c r="T238" i="1"/>
  <c r="T262" i="1"/>
  <c r="T82" i="1"/>
  <c r="T478" i="1"/>
  <c r="T1404" i="1"/>
  <c r="T286" i="1"/>
  <c r="T353" i="1"/>
  <c r="T213" i="1"/>
  <c r="T1132" i="1"/>
  <c r="T404" i="1"/>
  <c r="T1265" i="1"/>
  <c r="T219" i="1"/>
  <c r="T48" i="1"/>
  <c r="T895" i="1"/>
  <c r="T31" i="1"/>
  <c r="T697" i="1"/>
  <c r="T1080" i="1"/>
  <c r="T318" i="1"/>
  <c r="T3" i="1"/>
  <c r="T18" i="1"/>
  <c r="T399" i="1"/>
  <c r="T1035" i="1"/>
  <c r="T975" i="1"/>
  <c r="T24" i="1"/>
  <c r="T61" i="1"/>
  <c r="T584" i="1"/>
  <c r="T140" i="1"/>
  <c r="T415" i="1"/>
  <c r="T118" i="1"/>
  <c r="T869" i="1"/>
  <c r="T279" i="1"/>
  <c r="T931" i="1"/>
  <c r="T567" i="1"/>
  <c r="T113" i="1"/>
  <c r="T787" i="1"/>
  <c r="T762" i="1"/>
  <c r="T791" i="1"/>
  <c r="T801" i="1"/>
  <c r="T614" i="1"/>
  <c r="T362" i="1"/>
  <c r="T1118" i="1"/>
  <c r="T970" i="1"/>
  <c r="T121" i="1"/>
  <c r="T859" i="1"/>
  <c r="T246" i="1"/>
  <c r="T1278" i="1"/>
  <c r="T639" i="1"/>
  <c r="T1110" i="1"/>
  <c r="T249" i="1"/>
  <c r="T856" i="1"/>
  <c r="T1103" i="1"/>
  <c r="T159" i="1"/>
  <c r="T1418" i="1"/>
  <c r="T966" i="1"/>
  <c r="T1002" i="1"/>
  <c r="T706" i="1"/>
  <c r="T1307" i="1"/>
  <c r="T1340" i="1"/>
  <c r="T110" i="1"/>
  <c r="T549" i="1"/>
  <c r="T995" i="1"/>
  <c r="T390" i="1"/>
  <c r="T336" i="1"/>
  <c r="T1129" i="1"/>
  <c r="T1095" i="1"/>
  <c r="T235" i="1"/>
  <c r="T293" i="1"/>
  <c r="T1407" i="1"/>
  <c r="T1037" i="1"/>
  <c r="T458" i="1"/>
  <c r="T1185" i="1"/>
  <c r="T1434" i="1"/>
  <c r="T480" i="1"/>
  <c r="T1229" i="1"/>
  <c r="T891" i="1"/>
  <c r="T603" i="1"/>
  <c r="T1181" i="1"/>
  <c r="T1373" i="1"/>
  <c r="T877" i="1"/>
  <c r="T918" i="1"/>
  <c r="T58" i="1"/>
  <c r="T1058" i="1"/>
  <c r="T786" i="1"/>
  <c r="T215" i="1"/>
  <c r="T535" i="1"/>
  <c r="T830" i="1"/>
  <c r="T227" i="1"/>
  <c r="T86" i="1"/>
  <c r="T548" i="1"/>
  <c r="T1198" i="1"/>
  <c r="T983" i="1"/>
  <c r="T643" i="1"/>
  <c r="T200" i="1"/>
  <c r="T912" i="1"/>
  <c r="T613" i="1"/>
  <c r="T616" i="1"/>
  <c r="T831" i="1"/>
  <c r="T865" i="1"/>
  <c r="T1094" i="1"/>
  <c r="T1293" i="1"/>
  <c r="T712" i="1"/>
  <c r="T1312" i="1"/>
  <c r="T1186" i="1"/>
  <c r="T972" i="1"/>
  <c r="T768" i="1"/>
  <c r="T265" i="1"/>
  <c r="T317" i="1"/>
  <c r="T622" i="1"/>
  <c r="T701" i="1"/>
  <c r="T1006" i="1"/>
  <c r="T60" i="1"/>
  <c r="T368" i="1"/>
  <c r="T605" i="1"/>
  <c r="T1085" i="1"/>
  <c r="T1304" i="1"/>
  <c r="T580" i="1"/>
  <c r="T1089" i="1"/>
  <c r="T1244" i="1"/>
  <c r="T647" i="1"/>
  <c r="T1127" i="1"/>
  <c r="T702" i="1"/>
  <c r="T725" i="1"/>
  <c r="T930" i="1"/>
  <c r="T519" i="1"/>
  <c r="T991" i="1"/>
  <c r="T50" i="1"/>
  <c r="T955" i="1"/>
  <c r="T764" i="1"/>
  <c r="T898" i="1"/>
  <c r="T1077" i="1"/>
  <c r="T323" i="1"/>
  <c r="T545" i="1"/>
  <c r="T915" i="1"/>
  <c r="T691" i="1"/>
  <c r="T203" i="1"/>
  <c r="T710" i="1"/>
  <c r="T284" i="1"/>
  <c r="T411" i="1"/>
  <c r="T266" i="1"/>
  <c r="T421" i="1"/>
  <c r="T1349" i="1"/>
  <c r="T1368" i="1"/>
  <c r="T828" i="1"/>
  <c r="T1096" i="1"/>
  <c r="T881" i="1"/>
  <c r="T1402" i="1"/>
  <c r="T1149" i="1"/>
  <c r="T1376" i="1"/>
  <c r="T971" i="1"/>
  <c r="T55" i="1"/>
  <c r="T475" i="1"/>
  <c r="T461" i="1"/>
  <c r="T1020" i="1"/>
  <c r="T566" i="1"/>
  <c r="T1412" i="1"/>
  <c r="T124" i="1"/>
  <c r="T862" i="1"/>
  <c r="T1047" i="1"/>
  <c r="T650" i="1"/>
  <c r="T1195" i="1"/>
  <c r="T466" i="1"/>
  <c r="T173" i="1"/>
  <c r="T166" i="1"/>
  <c r="T410" i="1"/>
  <c r="T1282" i="1"/>
  <c r="T180" i="1"/>
  <c r="T1220" i="1"/>
  <c r="T1146" i="1"/>
  <c r="T641" i="1"/>
  <c r="T4" i="1"/>
  <c r="T129" i="1"/>
  <c r="T257" i="1"/>
  <c r="T8" i="1"/>
  <c r="T1093" i="1"/>
  <c r="T572" i="1"/>
  <c r="T1254" i="1"/>
  <c r="T308" i="1"/>
  <c r="T467" i="1"/>
  <c r="T206" i="1"/>
  <c r="T495" i="1"/>
  <c r="T919" i="1"/>
  <c r="T1388" i="1"/>
  <c r="T459" i="1"/>
  <c r="T311" i="1"/>
  <c r="T565" i="1"/>
  <c r="T1238" i="1"/>
  <c r="T583" i="1"/>
  <c r="T147" i="1"/>
  <c r="T1352" i="1"/>
  <c r="T1218" i="1"/>
  <c r="T1365" i="1"/>
  <c r="T360" i="1"/>
  <c r="T182" i="1"/>
  <c r="T832" i="1"/>
  <c r="T1156" i="1"/>
  <c r="T1038" i="1"/>
  <c r="T482" i="1"/>
  <c r="T727" i="1"/>
  <c r="T929" i="1"/>
  <c r="T220" i="1"/>
  <c r="T108" i="1"/>
  <c r="T717" i="1"/>
  <c r="T221" i="1"/>
  <c r="T245" i="1"/>
  <c r="T570" i="1"/>
  <c r="T889" i="1"/>
  <c r="T933" i="1"/>
  <c r="T370" i="1"/>
  <c r="T1157" i="1"/>
  <c r="T1248" i="1"/>
  <c r="T913" i="1"/>
  <c r="T684" i="1"/>
  <c r="T797" i="1"/>
  <c r="T406" i="1"/>
  <c r="T10" i="1"/>
  <c r="T172" i="1"/>
  <c r="T619" i="1"/>
  <c r="T16" i="1"/>
  <c r="T1359" i="1"/>
  <c r="T417" i="1"/>
  <c r="T1356" i="1"/>
  <c r="T1364" i="1"/>
  <c r="T1041" i="1"/>
  <c r="T177" i="1"/>
  <c r="T959" i="1"/>
  <c r="T514" i="1"/>
  <c r="T464" i="1"/>
  <c r="T1049" i="1"/>
  <c r="T1286" i="1"/>
  <c r="T433" i="1"/>
  <c r="T289" i="1"/>
  <c r="T253" i="1"/>
  <c r="T107" i="1"/>
  <c r="T231" i="1"/>
  <c r="T914" i="1"/>
  <c r="T1131" i="1"/>
  <c r="T721" i="1"/>
  <c r="T1243" i="1"/>
  <c r="T1142" i="1"/>
  <c r="T1075" i="1"/>
  <c r="T484" i="1"/>
  <c r="T1054" i="1"/>
  <c r="T1046" i="1"/>
  <c r="T612" i="1"/>
  <c r="T952" i="1"/>
  <c r="T708" i="1"/>
  <c r="T1162" i="1"/>
  <c r="T1399" i="1"/>
  <c r="T1250" i="1"/>
  <c r="T114" i="1"/>
  <c r="T135" i="1"/>
  <c r="T226" i="1"/>
  <c r="T843" i="1"/>
  <c r="T516" i="1"/>
  <c r="T62" i="1"/>
  <c r="T1177" i="1"/>
  <c r="T866" i="1"/>
  <c r="T260" i="1"/>
  <c r="T376" i="1"/>
  <c r="T88" i="1"/>
  <c r="T98" i="1"/>
  <c r="T126" i="1"/>
  <c r="T1267" i="1"/>
  <c r="T355" i="1"/>
  <c r="T270" i="1"/>
  <c r="T899" i="1"/>
  <c r="T1422" i="1"/>
  <c r="T515" i="1"/>
  <c r="T1423" i="1"/>
  <c r="T1350" i="1"/>
  <c r="T329" i="1"/>
  <c r="T1441" i="1"/>
  <c r="T1266" i="1"/>
  <c r="T1098" i="1"/>
  <c r="T700" i="1"/>
  <c r="T812" i="1"/>
  <c r="T457" i="1"/>
  <c r="T1321" i="1"/>
  <c r="T709" i="1"/>
  <c r="T1395" i="1"/>
  <c r="T210" i="1"/>
  <c r="T506" i="1"/>
  <c r="T868" i="1"/>
  <c r="T1355" i="1"/>
  <c r="T40" i="1"/>
  <c r="T1239" i="1"/>
  <c r="T1184" i="1"/>
  <c r="T526" i="1"/>
  <c r="T341" i="1"/>
  <c r="T984" i="1"/>
  <c r="T387" i="1"/>
  <c r="T582" i="1"/>
  <c r="T624" i="1"/>
  <c r="T741" i="1"/>
  <c r="T875" i="1"/>
  <c r="T1017" i="1"/>
  <c r="T131" i="1"/>
  <c r="T935" i="1"/>
  <c r="T23" i="1"/>
  <c r="T102" i="1"/>
  <c r="T212" i="1"/>
  <c r="T344" i="1"/>
  <c r="T954" i="1"/>
  <c r="T652" i="1"/>
  <c r="T386" i="1"/>
  <c r="T888" i="1"/>
  <c r="T729" i="1"/>
  <c r="T195" i="1"/>
  <c r="T942" i="1"/>
  <c r="T1091" i="1"/>
  <c r="T1330" i="1"/>
  <c r="T28" i="1"/>
  <c r="T476" i="1"/>
  <c r="T978" i="1"/>
  <c r="T446" i="1"/>
  <c r="T316" i="1"/>
  <c r="T699" i="1"/>
  <c r="T27" i="1"/>
  <c r="T435" i="1"/>
  <c r="T640" i="1"/>
  <c r="T462" i="1"/>
  <c r="T1417" i="1"/>
  <c r="T1137" i="1"/>
  <c r="T1442" i="1"/>
  <c r="T1297" i="1"/>
  <c r="T1362" i="1"/>
  <c r="T1069" i="1"/>
  <c r="T331" i="1"/>
  <c r="T319" i="1"/>
  <c r="T1310" i="1"/>
  <c r="T872" i="1"/>
  <c r="T666" i="1"/>
  <c r="T1382" i="1"/>
  <c r="T1161" i="1"/>
  <c r="T938" i="1"/>
  <c r="T1211" i="1"/>
  <c r="T463" i="1"/>
  <c r="T1400" i="1"/>
  <c r="T1178" i="1"/>
  <c r="T349" i="1"/>
  <c r="T6" i="1"/>
  <c r="T1119" i="1"/>
  <c r="T377" i="1"/>
  <c r="T89" i="1"/>
  <c r="T648" i="1"/>
  <c r="T947" i="1"/>
  <c r="T37" i="1"/>
  <c r="T1172" i="1"/>
  <c r="T237" i="1"/>
  <c r="T599" i="1"/>
  <c r="T867" i="1"/>
  <c r="T1242" i="1"/>
  <c r="T1428" i="1"/>
  <c r="T26" i="1"/>
  <c r="T422" i="1"/>
  <c r="T864" i="1"/>
  <c r="T1389" i="1"/>
  <c r="T1348" i="1"/>
  <c r="T64" i="1"/>
  <c r="T1073" i="1"/>
  <c r="T731" i="1"/>
  <c r="T692" i="1"/>
  <c r="T720" i="1"/>
  <c r="T1053" i="1"/>
  <c r="T688" i="1"/>
  <c r="T539" i="1"/>
  <c r="T1303" i="1"/>
  <c r="T1294" i="1"/>
  <c r="T588" i="1"/>
  <c r="T892" i="1"/>
  <c r="T1126" i="1"/>
  <c r="T92" i="1"/>
  <c r="T852" i="1"/>
  <c r="T1176" i="1"/>
  <c r="T271" i="1"/>
  <c r="T1397" i="1"/>
  <c r="T1074" i="1"/>
  <c r="T793" i="1"/>
  <c r="T168" i="1"/>
  <c r="T530" i="1"/>
  <c r="T751" i="1"/>
  <c r="T1398" i="1"/>
  <c r="T315" i="1"/>
  <c r="T1313" i="1"/>
  <c r="T540" i="1"/>
  <c r="T356" i="1"/>
  <c r="T498" i="1"/>
  <c r="T1245" i="1"/>
  <c r="T14" i="1"/>
  <c r="T1168" i="1"/>
  <c r="T714" i="1"/>
  <c r="T120" i="1"/>
  <c r="T1065" i="1"/>
  <c r="T1379" i="1"/>
  <c r="T348" i="1"/>
  <c r="T11" i="1"/>
  <c r="T1011" i="1"/>
  <c r="T139" i="1"/>
  <c r="T893" i="1"/>
  <c r="T1086" i="1"/>
  <c r="T79" i="1"/>
  <c r="T577" i="1"/>
  <c r="T645" i="1"/>
  <c r="T774" i="1"/>
  <c r="T956" i="1"/>
  <c r="T93" i="1"/>
  <c r="T957" i="1"/>
  <c r="T668" i="1"/>
  <c r="T144" i="1"/>
  <c r="T595" i="1"/>
  <c r="T290" i="1"/>
  <c r="T103" i="1"/>
  <c r="T739" i="1"/>
  <c r="T1121" i="1"/>
  <c r="T724" i="1"/>
  <c r="T379" i="1"/>
  <c r="T157" i="1"/>
  <c r="T340" i="1"/>
  <c r="T162" i="1"/>
  <c r="T1222" i="1"/>
  <c r="T430" i="1"/>
  <c r="T559" i="1"/>
  <c r="T1158" i="1"/>
  <c r="T841" i="1"/>
  <c r="T1013" i="1"/>
  <c r="T779" i="1"/>
  <c r="T847" i="1"/>
  <c r="T1276" i="1"/>
  <c r="T902" i="1"/>
  <c r="T413" i="1"/>
  <c r="T907" i="1"/>
  <c r="T696" i="1"/>
  <c r="T992" i="1"/>
  <c r="T1252" i="1"/>
  <c r="T442" i="1"/>
  <c r="T396" i="1"/>
  <c r="T1230" i="1"/>
  <c r="T1055" i="1"/>
  <c r="T1320" i="1"/>
  <c r="T184" i="1"/>
  <c r="T169" i="1"/>
  <c r="T767" i="1"/>
  <c r="T1206" i="1"/>
  <c r="T1394" i="1"/>
  <c r="T677" i="1"/>
  <c r="T936" i="1"/>
  <c r="T1063" i="1"/>
  <c r="T910" i="1"/>
  <c r="T594" i="1"/>
  <c r="T20" i="1"/>
  <c r="T1327" i="1"/>
  <c r="T1113" i="1"/>
  <c r="T903" i="1"/>
  <c r="T1270" i="1"/>
  <c r="T534" i="1"/>
  <c r="T1039" i="1"/>
  <c r="T513" i="1"/>
  <c r="T1107" i="1"/>
  <c r="T814" i="1"/>
  <c r="T250" i="1"/>
  <c r="T746" i="1"/>
  <c r="T207" i="1"/>
  <c r="T858" i="1"/>
  <c r="T627" i="1"/>
  <c r="T1372" i="1"/>
  <c r="T562" i="1"/>
  <c r="T488" i="1"/>
  <c r="T838" i="1"/>
  <c r="T745" i="1"/>
  <c r="T621" i="1"/>
  <c r="T845" i="1"/>
  <c r="T587" i="1"/>
  <c r="T138" i="1"/>
  <c r="T1263" i="1"/>
  <c r="T1249" i="1"/>
  <c r="T1415" i="1"/>
  <c r="T705" i="1"/>
  <c r="T232" i="1"/>
  <c r="T278" i="1"/>
  <c r="T301" i="1"/>
  <c r="T879" i="1"/>
  <c r="T538" i="1"/>
  <c r="T511" i="1"/>
  <c r="T1123" i="1"/>
  <c r="T735" i="1"/>
  <c r="T17" i="1"/>
  <c r="T695" i="1"/>
  <c r="T193" i="1"/>
  <c r="T179" i="1"/>
  <c r="T1380" i="1"/>
  <c r="T747" i="1"/>
  <c r="T997" i="1"/>
  <c r="T766" i="1"/>
  <c r="T1403" i="1"/>
  <c r="T1090" i="1"/>
  <c r="T199" i="1"/>
  <c r="T143" i="1"/>
  <c r="T1120" i="1"/>
  <c r="T1166" i="1"/>
  <c r="T1153" i="1"/>
  <c r="T1187" i="1"/>
  <c r="T1188" i="1"/>
  <c r="T1032" i="1"/>
  <c r="T743" i="1"/>
  <c r="T96" i="1"/>
  <c r="T328" i="1"/>
  <c r="T1253" i="1"/>
  <c r="T444" i="1"/>
  <c r="T716" i="1"/>
  <c r="T1427" i="1"/>
  <c r="T255" i="1"/>
  <c r="T941" i="1"/>
  <c r="T657" i="1"/>
  <c r="T1445" i="1"/>
  <c r="T445" i="1"/>
  <c r="T873" i="1"/>
  <c r="T333" i="1"/>
  <c r="T863" i="1"/>
  <c r="T443" i="1"/>
  <c r="T750" i="1"/>
  <c r="T1060" i="1"/>
  <c r="T1114" i="1"/>
  <c r="T155" i="1"/>
  <c r="T1273" i="1"/>
  <c r="T662" i="1"/>
  <c r="T470" i="1"/>
  <c r="T644" i="1"/>
  <c r="T550" i="1"/>
  <c r="T1015" i="1"/>
  <c r="T1357" i="1"/>
  <c r="T1115" i="1"/>
  <c r="T1216" i="1"/>
  <c r="T100" i="1"/>
  <c r="T428" i="1"/>
  <c r="T1138" i="1"/>
  <c r="T1425" i="1"/>
  <c r="T439" i="1"/>
  <c r="T1169" i="1"/>
  <c r="T407" i="1"/>
  <c r="T1255" i="1"/>
  <c r="T969" i="1"/>
  <c r="T1082" i="1"/>
  <c r="T1325" i="1"/>
  <c r="T170" i="1"/>
  <c r="T1316" i="1"/>
  <c r="T965" i="1"/>
  <c r="T460" i="1"/>
  <c r="T673" i="1"/>
  <c r="T1268" i="1"/>
  <c r="T1241" i="1"/>
  <c r="T364" i="1"/>
  <c r="T961" i="1"/>
  <c r="T760" i="1"/>
  <c r="T924" i="1"/>
  <c r="T1144" i="1"/>
  <c r="T217" i="1"/>
  <c r="T419" i="1"/>
  <c r="T1140" i="1"/>
  <c r="T1048" i="1"/>
  <c r="T653" i="1"/>
  <c r="T592" i="1"/>
  <c r="T306" i="1"/>
  <c r="T402" i="1"/>
  <c r="T654" i="1"/>
  <c r="T1224" i="1"/>
  <c r="T679" i="1"/>
  <c r="T326" i="1"/>
  <c r="T951" i="1"/>
  <c r="T711" i="1"/>
  <c r="T130" i="1"/>
  <c r="T1438" i="1"/>
  <c r="T785" i="1"/>
  <c r="T485" i="1"/>
  <c r="T1277" i="1"/>
  <c r="T897" i="1"/>
  <c r="T248" i="1"/>
  <c r="T967" i="1"/>
  <c r="T1258" i="1"/>
  <c r="T1102" i="1"/>
  <c r="T501" i="1"/>
  <c r="T393" i="1"/>
  <c r="T352" i="1"/>
  <c r="T408" i="1"/>
  <c r="T860" i="1"/>
  <c r="T1311" i="1"/>
  <c r="T416" i="1"/>
  <c r="T1331" i="1"/>
  <c r="T1223" i="1"/>
  <c r="T819" i="1"/>
  <c r="T1001" i="1"/>
  <c r="T1160" i="1"/>
  <c r="T188" i="1"/>
  <c r="T703" i="1"/>
  <c r="T682" i="1"/>
  <c r="T1040" i="1"/>
  <c r="T552" i="1"/>
  <c r="T798" i="1"/>
  <c r="T45" i="1"/>
  <c r="T795" i="1"/>
  <c r="T1337" i="1"/>
  <c r="T1030" i="1"/>
  <c r="T164" i="1"/>
  <c r="T837" i="1"/>
  <c r="T1335" i="1"/>
  <c r="T1236" i="1"/>
  <c r="T254" i="1"/>
  <c r="T160" i="1"/>
  <c r="T675" i="1"/>
  <c r="T763" i="1"/>
  <c r="T247" i="1"/>
  <c r="T789" i="1"/>
  <c r="T1155" i="1"/>
  <c r="T294" i="1"/>
  <c r="T398" i="1"/>
  <c r="T987" i="1"/>
  <c r="T363" i="1"/>
  <c r="T347" i="1"/>
  <c r="T628" i="1"/>
  <c r="T374" i="1"/>
  <c r="T313" i="1"/>
  <c r="T345" i="1"/>
  <c r="T1225" i="1"/>
  <c r="T1392" i="1"/>
  <c r="T500" i="1"/>
  <c r="T761" i="1"/>
  <c r="T674" i="1"/>
  <c r="T810" i="1"/>
  <c r="T604" i="1"/>
  <c r="T964" i="1"/>
  <c r="T1133" i="1"/>
  <c r="T181" i="1"/>
  <c r="T1109" i="1"/>
  <c r="T183" i="1"/>
  <c r="T690" i="1"/>
  <c r="T521" i="1"/>
  <c r="T1067" i="1"/>
  <c r="T125" i="1"/>
  <c r="T517" i="1"/>
  <c r="T453" i="1"/>
  <c r="T1298" i="1"/>
  <c r="T561" i="1"/>
  <c r="T663" i="1"/>
  <c r="T589" i="1"/>
  <c r="T585" i="1"/>
  <c r="T361" i="1"/>
  <c r="T47" i="1"/>
  <c r="T1378" i="1"/>
  <c r="T1346" i="1"/>
  <c r="T287" i="1"/>
  <c r="T611" i="1"/>
  <c r="T1385" i="1"/>
  <c r="T1043" i="1"/>
  <c r="T381" i="1"/>
  <c r="T1431" i="1"/>
  <c r="T281" i="1"/>
  <c r="T382" i="1"/>
  <c r="T920" i="1"/>
  <c r="T1070" i="1"/>
  <c r="T440" i="1"/>
  <c r="T1308" i="1"/>
  <c r="T414" i="1"/>
  <c r="T174" i="1"/>
  <c r="T1183" i="1"/>
  <c r="T1116" i="1"/>
  <c r="T275" i="1"/>
  <c r="T894" i="1"/>
  <c r="T242" i="1"/>
  <c r="T591" i="1"/>
  <c r="T42" i="1"/>
  <c r="T38" i="1"/>
  <c r="T465" i="1"/>
  <c r="T493" i="1"/>
  <c r="T805" i="1"/>
  <c r="T836" i="1"/>
  <c r="T1196" i="1"/>
  <c r="T334" i="1"/>
  <c r="T844" i="1"/>
  <c r="T800" i="1"/>
  <c r="T358" i="1"/>
  <c r="T176" i="1"/>
  <c r="T772" i="1"/>
  <c r="T1078" i="1"/>
  <c r="T1390" i="1"/>
  <c r="T132" i="1"/>
  <c r="T1334" i="1"/>
  <c r="T1353" i="1"/>
  <c r="T1194" i="1"/>
  <c r="T502" i="1"/>
  <c r="T649" i="1"/>
  <c r="T827" i="1"/>
  <c r="T1026" i="1"/>
  <c r="T874" i="1"/>
  <c r="T25" i="1"/>
  <c r="T698" i="1"/>
  <c r="T1450" i="1"/>
  <c r="T661" i="1"/>
  <c r="T186" i="1"/>
  <c r="T104" i="1"/>
  <c r="T671" i="1"/>
  <c r="T65" i="1"/>
  <c r="T474" i="1"/>
  <c r="T51" i="1"/>
  <c r="T1371" i="1"/>
  <c r="T1363" i="1"/>
  <c r="T1246" i="1"/>
  <c r="T1031" i="1"/>
  <c r="T1083" i="1"/>
  <c r="T1174" i="1"/>
  <c r="T670" i="1"/>
  <c r="T201" i="1"/>
  <c r="T597" i="1"/>
  <c r="T84" i="1"/>
  <c r="T156" i="1"/>
  <c r="T1084" i="1"/>
  <c r="T925" i="1"/>
  <c r="T554" i="1"/>
  <c r="T1190" i="1"/>
  <c r="T1339" i="1"/>
  <c r="T1288" i="1"/>
  <c r="T953" i="1"/>
  <c r="T1305" i="1"/>
  <c r="T988" i="1"/>
  <c r="T854" i="1"/>
  <c r="T394" i="1"/>
  <c r="T106" i="1"/>
  <c r="T452" i="1"/>
  <c r="T1199" i="1"/>
  <c r="T409" i="1"/>
  <c r="T185" i="1"/>
  <c r="T1214" i="1"/>
  <c r="T740" i="1"/>
  <c r="T400" i="1"/>
  <c r="T728" i="1"/>
  <c r="T69" i="1"/>
  <c r="T1284" i="1"/>
  <c r="T1100" i="1"/>
  <c r="T541" i="1"/>
  <c r="T784" i="1"/>
  <c r="T280" i="1"/>
  <c r="T240" i="1"/>
  <c r="T508" i="1"/>
  <c r="T1061" i="1"/>
  <c r="T1059" i="1"/>
  <c r="T127" i="1"/>
  <c r="T1219" i="1"/>
  <c r="T563" i="1"/>
  <c r="T1045" i="1"/>
  <c r="T531" i="1"/>
  <c r="T752" i="1"/>
  <c r="T901" i="1"/>
  <c r="T1233" i="1"/>
  <c r="T123" i="1"/>
  <c r="T937" i="1"/>
  <c r="T1369" i="1"/>
  <c r="T1193" i="1"/>
  <c r="T202" i="1"/>
  <c r="T1272" i="1"/>
  <c r="T1401" i="1"/>
  <c r="T151" i="1"/>
  <c r="T1008" i="1"/>
  <c r="T1261" i="1"/>
  <c r="T41" i="1"/>
  <c r="T817" i="1"/>
  <c r="T1122" i="1"/>
  <c r="T236" i="1"/>
  <c r="T551" i="1"/>
  <c r="T607" i="1"/>
  <c r="T574" i="1"/>
  <c r="T876" i="1"/>
  <c r="T512" i="1"/>
  <c r="T806" i="1"/>
  <c r="T309" i="1"/>
  <c r="T324" i="1"/>
  <c r="T472" i="1"/>
  <c r="T338" i="1"/>
  <c r="T332" i="1"/>
  <c r="T1451" i="1"/>
  <c r="T189" i="1"/>
  <c r="T1326" i="1"/>
  <c r="T547" i="1"/>
  <c r="T1381" i="1"/>
  <c r="T623" i="1"/>
  <c r="T198" i="1"/>
  <c r="T982" i="1"/>
  <c r="T57" i="1"/>
  <c r="T327" i="1"/>
  <c r="T802" i="1"/>
  <c r="T403" i="1"/>
  <c r="T295" i="1"/>
  <c r="T32" i="1"/>
  <c r="T813" i="1"/>
  <c r="T989" i="1"/>
  <c r="T142" i="1"/>
  <c r="T829" i="1"/>
  <c r="T625" i="1"/>
  <c r="T1257" i="1"/>
  <c r="T239" i="1"/>
  <c r="T389" i="1"/>
  <c r="T1007" i="1"/>
  <c r="T21" i="1"/>
  <c r="T274" i="1"/>
  <c r="T216" i="1"/>
  <c r="T905" i="1"/>
  <c r="T906" i="1"/>
  <c r="T537" i="1"/>
  <c r="T1430" i="1"/>
  <c r="T949" i="1"/>
  <c r="T241" i="1"/>
  <c r="T1004" i="1"/>
  <c r="T1289" i="1"/>
  <c r="T1023" i="1"/>
  <c r="T738" i="1"/>
  <c r="T1240" i="1"/>
  <c r="T1136" i="1"/>
  <c r="T660" i="1"/>
  <c r="T272" i="1"/>
  <c r="T1088" i="1"/>
  <c r="T148" i="1"/>
  <c r="T629" i="1"/>
  <c r="T980" i="1"/>
  <c r="T1014" i="1"/>
  <c r="T190" i="1"/>
  <c r="T1179" i="1"/>
  <c r="T1285" i="1"/>
  <c r="T59" i="1"/>
  <c r="T1101" i="1"/>
  <c r="T1005" i="1"/>
  <c r="T384" i="1"/>
  <c r="T74" i="1"/>
  <c r="T722" i="1"/>
  <c r="T1443" i="1"/>
  <c r="T815" i="1"/>
  <c r="T1105" i="1"/>
  <c r="T998" i="1"/>
  <c r="T1290" i="1"/>
  <c r="T392" i="1"/>
  <c r="T916" i="1"/>
  <c r="T1281" i="1"/>
  <c r="T302" i="1"/>
  <c r="T1269" i="1"/>
  <c r="T1374" i="1"/>
  <c r="T122" i="1"/>
  <c r="T939" i="1"/>
  <c r="T811" i="1"/>
  <c r="T665" i="1"/>
  <c r="T770" i="1"/>
  <c r="T285" i="1"/>
  <c r="T5" i="1"/>
  <c r="T968" i="1"/>
  <c r="T523" i="1"/>
  <c r="T758" i="1"/>
  <c r="T1386" i="1"/>
  <c r="T1106" i="1"/>
  <c r="T388" i="1"/>
</calcChain>
</file>

<file path=xl/sharedStrings.xml><?xml version="1.0" encoding="utf-8"?>
<sst xmlns="http://schemas.openxmlformats.org/spreadsheetml/2006/main" count="23831" uniqueCount="1067">
  <si>
    <t>PL.</t>
  </si>
  <si>
    <t>   Lifters</t>
  </si>
  <si>
    <t>BY</t>
  </si>
  <si>
    <t>Team</t>
  </si>
  <si>
    <t>Weight</t>
  </si>
  <si>
    <t>WF</t>
  </si>
  <si>
    <t>Lot</t>
  </si>
  <si>
    <t>Squat1</t>
  </si>
  <si>
    <t>Squat2</t>
  </si>
  <si>
    <t>Squat3</t>
  </si>
  <si>
    <t>Best Squat</t>
  </si>
  <si>
    <t>Bench1</t>
  </si>
  <si>
    <t>Bench2</t>
  </si>
  <si>
    <t>Bench3</t>
  </si>
  <si>
    <t>Best Bench</t>
  </si>
  <si>
    <t>Dead1</t>
  </si>
  <si>
    <t>Dead2</t>
  </si>
  <si>
    <t>Dead3</t>
  </si>
  <si>
    <t>Best Deadlift</t>
  </si>
  <si>
    <t>Total Tom</t>
  </si>
  <si>
    <t>TOTAL</t>
  </si>
  <si>
    <t>W.pts.</t>
  </si>
  <si>
    <t>Pts.</t>
  </si>
  <si>
    <t>Year</t>
  </si>
  <si>
    <t>Sex</t>
  </si>
  <si>
    <t>Division</t>
  </si>
  <si>
    <t>Sort</t>
  </si>
  <si>
    <t>Andryukhin Mikhail</t>
  </si>
  <si>
    <t>RUS</t>
  </si>
  <si>
    <t>M</t>
  </si>
  <si>
    <t>Classic</t>
  </si>
  <si>
    <t>Atzaris Charalampos</t>
  </si>
  <si>
    <t>GRE</t>
  </si>
  <si>
    <t>Bakhirev Alexey</t>
  </si>
  <si>
    <t>Berglund Lars</t>
  </si>
  <si>
    <t>SWE</t>
  </si>
  <si>
    <t>Berglund Per</t>
  </si>
  <si>
    <t>—</t>
  </si>
  <si>
    <t>Bondik Denis</t>
  </si>
  <si>
    <t>KAZ</t>
  </si>
  <si>
    <t>Out</t>
  </si>
  <si>
    <t>Bouafia Mohamed</t>
  </si>
  <si>
    <t>ALG</t>
  </si>
  <si>
    <t>915.5/w/</t>
  </si>
  <si>
    <t>Bull Hansen Bjorn Andreas</t>
  </si>
  <si>
    <t>NOR</t>
  </si>
  <si>
    <t>Coimbra Anibal</t>
  </si>
  <si>
    <t>LUX</t>
  </si>
  <si>
    <t>Coimbra David</t>
  </si>
  <si>
    <t>BRA</t>
  </si>
  <si>
    <t>Cooper Paul</t>
  </si>
  <si>
    <t>GBR</t>
  </si>
  <si>
    <t>Dahl Johannes</t>
  </si>
  <si>
    <t>Faber Martin</t>
  </si>
  <si>
    <t>DEN</t>
  </si>
  <si>
    <t>Fazeli Amir</t>
  </si>
  <si>
    <t>AUS</t>
  </si>
  <si>
    <t>Fedosienko Sergey</t>
  </si>
  <si>
    <t>651.0/w/</t>
  </si>
  <si>
    <t>Filippoudis Paris</t>
  </si>
  <si>
    <t>Franzen Henrik</t>
  </si>
  <si>
    <t>Frasquillo Shawn</t>
  </si>
  <si>
    <t>USA</t>
  </si>
  <si>
    <t>Gan Russell</t>
  </si>
  <si>
    <t>Germanchis Timothy</t>
  </si>
  <si>
    <t>Girones Carles</t>
  </si>
  <si>
    <t>ESP</t>
  </si>
  <si>
    <t>Golubev Vladimir</t>
  </si>
  <si>
    <t>Hill Scott</t>
  </si>
  <si>
    <t>Hjelmtveit Andreas</t>
  </si>
  <si>
    <t>Hodgett Mark</t>
  </si>
  <si>
    <t>Hornik Jiri</t>
  </si>
  <si>
    <t>CZE</t>
  </si>
  <si>
    <t>Hsieh Tsung-Ting</t>
  </si>
  <si>
    <t>TPE</t>
  </si>
  <si>
    <t>Huang Hsin-Wei</t>
  </si>
  <si>
    <t>Ikegami Hiroki</t>
  </si>
  <si>
    <t>JPN</t>
  </si>
  <si>
    <t>Ingebrigsten Fredrik</t>
  </si>
  <si>
    <t>Inkinen Timo</t>
  </si>
  <si>
    <t>FIN</t>
  </si>
  <si>
    <t>Inoue Yusuke</t>
  </si>
  <si>
    <t>Ivanets Andrei</t>
  </si>
  <si>
    <t>BLR</t>
  </si>
  <si>
    <t>Jakimiuk Piotr</t>
  </si>
  <si>
    <t>POL</t>
  </si>
  <si>
    <t>John Rhys</t>
  </si>
  <si>
    <t>Jonczak Szymon</t>
  </si>
  <si>
    <t>Jonsson Torbjorn</t>
  </si>
  <si>
    <t>Jovicevic Andrew</t>
  </si>
  <si>
    <t>Karpenko Alexander</t>
  </si>
  <si>
    <t>Kawaguchi Mitsuru</t>
  </si>
  <si>
    <t>Keys Marc</t>
  </si>
  <si>
    <t>Kirby Russell</t>
  </si>
  <si>
    <t>Kirkeboen Lars</t>
  </si>
  <si>
    <t>Knudsen Andreas</t>
  </si>
  <si>
    <t>Kolar Marek</t>
  </si>
  <si>
    <t>Kot Sebastian</t>
  </si>
  <si>
    <t>Kovalchuk Artem</t>
  </si>
  <si>
    <t>Kruze Martins</t>
  </si>
  <si>
    <t>LAT</t>
  </si>
  <si>
    <t>Kubo Kyohei</t>
  </si>
  <si>
    <t>Kuhns Michael</t>
  </si>
  <si>
    <t>Kupperstein Eric</t>
  </si>
  <si>
    <t>Kuvambayev Zalim</t>
  </si>
  <si>
    <t>Kuzmin Alexey</t>
  </si>
  <si>
    <t>Kyriakopoulos Theodoros</t>
  </si>
  <si>
    <t>Lakehal Mohamed</t>
  </si>
  <si>
    <t>Leberwurst Franz</t>
  </si>
  <si>
    <t>AUT</t>
  </si>
  <si>
    <t>Likhanov Dmitry</t>
  </si>
  <si>
    <t>Loutsis Mihail</t>
  </si>
  <si>
    <t>Lutz Connor</t>
  </si>
  <si>
    <t>CAN</t>
  </si>
  <si>
    <t>Luu Nghiep</t>
  </si>
  <si>
    <t>Macken Xavier</t>
  </si>
  <si>
    <t>Markussen Lars</t>
  </si>
  <si>
    <t>Marron Chris</t>
  </si>
  <si>
    <t>Mdivnishvili Irakli</t>
  </si>
  <si>
    <t>UKR</t>
  </si>
  <si>
    <t>Mitchell John</t>
  </si>
  <si>
    <t>Mizuno Takaaki</t>
  </si>
  <si>
    <t>Morozumi Yasuhiro</t>
  </si>
  <si>
    <t>Muhonen Tomi</t>
  </si>
  <si>
    <t>Muller Jorg</t>
  </si>
  <si>
    <t>GER</t>
  </si>
  <si>
    <t>Muttonen Mikko</t>
  </si>
  <si>
    <t>Nacle Daniel</t>
  </si>
  <si>
    <t>Nemeshazy Janos Istvan Jr</t>
  </si>
  <si>
    <t>SUI</t>
  </si>
  <si>
    <t>Nieminen Sami</t>
  </si>
  <si>
    <t>Nishikawa Yosuke</t>
  </si>
  <si>
    <t>Nolan Matthew</t>
  </si>
  <si>
    <t>Nystrom David</t>
  </si>
  <si>
    <t>Pearce Matthew</t>
  </si>
  <si>
    <t>Perez Cordoba Jorge</t>
  </si>
  <si>
    <t>Picot-Gueraud Romain</t>
  </si>
  <si>
    <t>FRA</t>
  </si>
  <si>
    <t>Pielorz Stefan</t>
  </si>
  <si>
    <t>Pinheiro Gilles</t>
  </si>
  <si>
    <t>Pritchard Stephen</t>
  </si>
  <si>
    <t>Raus Alex-Edvard</t>
  </si>
  <si>
    <t>EST</t>
  </si>
  <si>
    <t>Ronkainen Mikko</t>
  </si>
  <si>
    <t>Schmidt Peter</t>
  </si>
  <si>
    <t>Seppanen Tero</t>
  </si>
  <si>
    <t>Sidiropoulos Damianos</t>
  </si>
  <si>
    <t>Simonyan Kamo</t>
  </si>
  <si>
    <t>Sipilainen Pasi</t>
  </si>
  <si>
    <t>Sjogren Robin</t>
  </si>
  <si>
    <t>Skaarup Nicolas</t>
  </si>
  <si>
    <t>Smith Jesper</t>
  </si>
  <si>
    <t>Sprutta Robert</t>
  </si>
  <si>
    <t>Su Chih-Lun</t>
  </si>
  <si>
    <t>Sumner Blaine</t>
  </si>
  <si>
    <t>Takeda Yusuke</t>
  </si>
  <si>
    <t>Tersenidis Grigorios</t>
  </si>
  <si>
    <t>Tertitski Alex</t>
  </si>
  <si>
    <t>Tuchscherer Michael</t>
  </si>
  <si>
    <t>Turakhanov Davranbek</t>
  </si>
  <si>
    <t>Virzi Francesco</t>
  </si>
  <si>
    <t>Walgermo Stian</t>
  </si>
  <si>
    <t>Weaver Simon</t>
  </si>
  <si>
    <t>NZL</t>
  </si>
  <si>
    <t>Wierzbicki Krzysztof</t>
  </si>
  <si>
    <t>Wilkes Darren</t>
  </si>
  <si>
    <t>Wojciechowski Kamil</t>
  </si>
  <si>
    <t>Wszola Dariusz</t>
  </si>
  <si>
    <t>Wulffeld Thomas</t>
  </si>
  <si>
    <t>Aaberg Jane</t>
  </si>
  <si>
    <t>F</t>
  </si>
  <si>
    <t>Open</t>
  </si>
  <si>
    <t>Adolfsson Jenny</t>
  </si>
  <si>
    <t>Ananiadou Eytyhia</t>
  </si>
  <si>
    <t>Anthouard Melodie</t>
  </si>
  <si>
    <t>Apuli Sanna</t>
  </si>
  <si>
    <t>Arnesen Hille Heidi</t>
  </si>
  <si>
    <t>Atemie Rachel</t>
  </si>
  <si>
    <t>Bagger Trine</t>
  </si>
  <si>
    <t>Baij Thayse</t>
  </si>
  <si>
    <t>Baines Kacey</t>
  </si>
  <si>
    <t>Barbosa Irani</t>
  </si>
  <si>
    <t>Bitterova Zuzana</t>
  </si>
  <si>
    <t>Blummenfelt Kine</t>
  </si>
  <si>
    <t>Blyn Liane</t>
  </si>
  <si>
    <t>Bogdanova Marianna</t>
  </si>
  <si>
    <t>Bowers Shasha</t>
  </si>
  <si>
    <t>DSQ</t>
  </si>
  <si>
    <t>Brimboeuf Fanny</t>
  </si>
  <si>
    <t>Brown Amanda</t>
  </si>
  <si>
    <t>Bueno Erica</t>
  </si>
  <si>
    <t>Bull Tanya</t>
  </si>
  <si>
    <t>Buxbom Eva</t>
  </si>
  <si>
    <t>Casey Mariska</t>
  </si>
  <si>
    <t>RSA</t>
  </si>
  <si>
    <t>Castellain Ana</t>
  </si>
  <si>
    <t>Chang Ya-Wen</t>
  </si>
  <si>
    <t>Chen Jie-Wen</t>
  </si>
  <si>
    <t>Chen Wei-Ling</t>
  </si>
  <si>
    <t>407.5 -w</t>
  </si>
  <si>
    <t>Cherne Lodrina</t>
  </si>
  <si>
    <t>Chou Chien-Yu</t>
  </si>
  <si>
    <t>Chou Yi-Ju</t>
  </si>
  <si>
    <t>Cichon Susann</t>
  </si>
  <si>
    <t>Clarke Kelli</t>
  </si>
  <si>
    <t>Courqueux Cecile</t>
  </si>
  <si>
    <t>Davis Sebrina</t>
  </si>
  <si>
    <t>de Joux Ana</t>
  </si>
  <si>
    <t>Derevyanko Anastasiya</t>
  </si>
  <si>
    <t>Dillen Carolina</t>
  </si>
  <si>
    <t>Drabalkova Michaela</t>
  </si>
  <si>
    <t>Dubenskaya Maria</t>
  </si>
  <si>
    <t>Duplooy Eileen</t>
  </si>
  <si>
    <t>Edwards Louise</t>
  </si>
  <si>
    <t>Elverum Marte</t>
  </si>
  <si>
    <t>Elwyn Susan</t>
  </si>
  <si>
    <t>Evangelista Leslie</t>
  </si>
  <si>
    <t>PHI</t>
  </si>
  <si>
    <t>Filimonova Inna</t>
  </si>
  <si>
    <t>447.5 -w</t>
  </si>
  <si>
    <t>Fukushima Yukako</t>
  </si>
  <si>
    <t>484.0 -w</t>
  </si>
  <si>
    <t>Gemaletdinova Olga</t>
  </si>
  <si>
    <t>Golubeva Olga</t>
  </si>
  <si>
    <t>402.5 -w</t>
  </si>
  <si>
    <t>Graham Abi</t>
  </si>
  <si>
    <t>Grandas Liimatainen Miia</t>
  </si>
  <si>
    <t>Gudmundsdottir Helga</t>
  </si>
  <si>
    <t>ISL</t>
  </si>
  <si>
    <t>Gudsteinsdottir Maria</t>
  </si>
  <si>
    <t>Guignon Lauren</t>
  </si>
  <si>
    <t>Hanson Natalie</t>
  </si>
  <si>
    <t>Hartwig-Gary Suzanne</t>
  </si>
  <si>
    <t>Haveson Alyssa</t>
  </si>
  <si>
    <t>Hayashi Hisako</t>
  </si>
  <si>
    <t>325.0 -w3</t>
  </si>
  <si>
    <t>Higgs Jasmine</t>
  </si>
  <si>
    <t>Hinchley Megan</t>
  </si>
  <si>
    <t>Horna Ivana</t>
  </si>
  <si>
    <t>SVK</t>
  </si>
  <si>
    <t>Htee Maria</t>
  </si>
  <si>
    <t>Hung Min-Chu</t>
  </si>
  <si>
    <t>Ip Wing-Yuk</t>
  </si>
  <si>
    <t>HKG</t>
  </si>
  <si>
    <t>Kaneko Mutsumi</t>
  </si>
  <si>
    <t>Kani Rie</t>
  </si>
  <si>
    <t>Kankus Johanna</t>
  </si>
  <si>
    <t>Khoury Najat</t>
  </si>
  <si>
    <t>Kitamura Mayumi</t>
  </si>
  <si>
    <t>Klymenko Kateryna</t>
  </si>
  <si>
    <t>Kostiainen Anna-Kaisa</t>
  </si>
  <si>
    <t>Kour Gill</t>
  </si>
  <si>
    <t>IND</t>
  </si>
  <si>
    <t>Kriel Antoinette</t>
  </si>
  <si>
    <t>Kristensen Linda</t>
  </si>
  <si>
    <t>Krumina Zane</t>
  </si>
  <si>
    <t>Kryukova Ekaterina</t>
  </si>
  <si>
    <t>Kucherenko Elena</t>
  </si>
  <si>
    <t>Le Panse Benedicte</t>
  </si>
  <si>
    <t>Loft Sofia</t>
  </si>
  <si>
    <t>412.5 -w</t>
  </si>
  <si>
    <t>Lopez Rowena</t>
  </si>
  <si>
    <t>Lough Bonica</t>
  </si>
  <si>
    <t>615.5 -w</t>
  </si>
  <si>
    <t>Macnab Anna</t>
  </si>
  <si>
    <t>Martin Vanessa</t>
  </si>
  <si>
    <t>Martin Yvelise</t>
  </si>
  <si>
    <t>Mathew Neha</t>
  </si>
  <si>
    <t>Meadows Lakshmi</t>
  </si>
  <si>
    <t>Medvedeva Yulia</t>
  </si>
  <si>
    <t>Menegucci Thais</t>
  </si>
  <si>
    <t>Mesheryakova Tatyana</t>
  </si>
  <si>
    <t>517.5 -w1</t>
  </si>
  <si>
    <t>Monaco Roberta</t>
  </si>
  <si>
    <t>ITA</t>
  </si>
  <si>
    <t>Murray Louise</t>
  </si>
  <si>
    <t>Muto Giulia</t>
  </si>
  <si>
    <t>Najera Juanita</t>
  </si>
  <si>
    <t>Nokua Katariina</t>
  </si>
  <si>
    <t>Noviana Sari</t>
  </si>
  <si>
    <t>INA</t>
  </si>
  <si>
    <t>Ochoa Vargas Vilma</t>
  </si>
  <si>
    <t>ECU</t>
  </si>
  <si>
    <t>Orobets Inna</t>
  </si>
  <si>
    <t>Otchenashko Aleksandra</t>
  </si>
  <si>
    <t>362.5 -c</t>
  </si>
  <si>
    <t>Patil Sushama M.</t>
  </si>
  <si>
    <t>Peti Barbara</t>
  </si>
  <si>
    <t>Petroczki Magdolna</t>
  </si>
  <si>
    <t>HUN</t>
  </si>
  <si>
    <t>Pettersson Emelie</t>
  </si>
  <si>
    <t>Phasey Kelly</t>
  </si>
  <si>
    <t>Pizniak Natalia</t>
  </si>
  <si>
    <t>Premji Suzan</t>
  </si>
  <si>
    <t>Puddicome Steph</t>
  </si>
  <si>
    <t>Pulsan Linda</t>
  </si>
  <si>
    <t>PNG</t>
  </si>
  <si>
    <t>Rantala Hanna</t>
  </si>
  <si>
    <t>Rebecca Heath</t>
  </si>
  <si>
    <t>Reitmann Judith</t>
  </si>
  <si>
    <t>URU</t>
  </si>
  <si>
    <t>Ribic Priscilla</t>
  </si>
  <si>
    <t>Richardson Louise</t>
  </si>
  <si>
    <t>Rieber Joanna</t>
  </si>
  <si>
    <t>Ripley Robin</t>
  </si>
  <si>
    <t>Roeder Vivien</t>
  </si>
  <si>
    <t>Ruud Inger Johanne</t>
  </si>
  <si>
    <t>Sakamaki Yoriko</t>
  </si>
  <si>
    <t>Salnikova Natalia</t>
  </si>
  <si>
    <t>Sawant Mohini</t>
  </si>
  <si>
    <t>Schwengl-Forsthuber Ilka</t>
  </si>
  <si>
    <t>Shotton-Gale Charlotte</t>
  </si>
  <si>
    <t>Sobiech Ewelina</t>
  </si>
  <si>
    <t>Soloviova Larysa</t>
  </si>
  <si>
    <t>Sri Hartati</t>
  </si>
  <si>
    <t>Stenholdt Olsen Tanja</t>
  </si>
  <si>
    <t>Stinn Rhaea</t>
  </si>
  <si>
    <t>Strik Ielja</t>
  </si>
  <si>
    <t>NED</t>
  </si>
  <si>
    <t>523.5 -w1</t>
  </si>
  <si>
    <t>Stuetz Silvia</t>
  </si>
  <si>
    <t>Su Fang-Yun</t>
  </si>
  <si>
    <t>540.0 -wj</t>
  </si>
  <si>
    <t>Svensson Ellinor</t>
  </si>
  <si>
    <t>Tavares Cicera</t>
  </si>
  <si>
    <t>Terada Yukie</t>
  </si>
  <si>
    <t>Thompson Jennifer</t>
  </si>
  <si>
    <t>480.5 -w</t>
  </si>
  <si>
    <t>Tichy Alexandra</t>
  </si>
  <si>
    <t>Timmers Ankie</t>
  </si>
  <si>
    <t>Timoshchuk Valeria</t>
  </si>
  <si>
    <t>Tishakova Yevheniia</t>
  </si>
  <si>
    <t>Vahasantanen Marjaana</t>
  </si>
  <si>
    <t>Van der Meulen Brenda</t>
  </si>
  <si>
    <t>Van Jaarsveld Danel</t>
  </si>
  <si>
    <t>Vasquez Maria Luisa</t>
  </si>
  <si>
    <t>PUR</t>
  </si>
  <si>
    <t>Vavilova Yulia</t>
  </si>
  <si>
    <t>Volkova Maria</t>
  </si>
  <si>
    <t>von Weissenberg Isabella</t>
  </si>
  <si>
    <t>Vorotnikova Olga</t>
  </si>
  <si>
    <t>Vuohijoki Anni</t>
  </si>
  <si>
    <t>Walford Kimberly</t>
  </si>
  <si>
    <t>Wildeman Sandra</t>
  </si>
  <si>
    <t>Williams Tasha</t>
  </si>
  <si>
    <t>Wu Hui-Chun</t>
  </si>
  <si>
    <t>Ylinen Milla</t>
  </si>
  <si>
    <t>Zubko Sniazhana</t>
  </si>
  <si>
    <t>ABD Rabou Khaled</t>
  </si>
  <si>
    <t>EGY</t>
  </si>
  <si>
    <t>Abdou Hany</t>
  </si>
  <si>
    <t>Adov Borislav</t>
  </si>
  <si>
    <t>BUL</t>
  </si>
  <si>
    <t>Ahmed Fahmy</t>
  </si>
  <si>
    <t>Ahmed Mohamed</t>
  </si>
  <si>
    <t>Akutsu Takahito</t>
  </si>
  <si>
    <t>Alzaabi Faisal</t>
  </si>
  <si>
    <t>UAE</t>
  </si>
  <si>
    <t>Antonov Yuriy</t>
  </si>
  <si>
    <t>UZB</t>
  </si>
  <si>
    <t>Anuar Ulan</t>
  </si>
  <si>
    <t>DD</t>
  </si>
  <si>
    <t>Arakawa Takayuki</t>
  </si>
  <si>
    <t>Aryanto Viki</t>
  </si>
  <si>
    <t>Asaturov Sergey</t>
  </si>
  <si>
    <t>ARM</t>
  </si>
  <si>
    <t>Baali Kader</t>
  </si>
  <si>
    <t>657.5/w1/</t>
  </si>
  <si>
    <t>Baardtvet Hans Magne</t>
  </si>
  <si>
    <t>Baartvedt Hans Magne</t>
  </si>
  <si>
    <t>Bak Sune</t>
  </si>
  <si>
    <t>Bakkelund Kjell Egil</t>
  </si>
  <si>
    <t>942.5/w/</t>
  </si>
  <si>
    <t>Baller Matthew</t>
  </si>
  <si>
    <t>Banks Benjamin</t>
  </si>
  <si>
    <t>Barannik Mykola</t>
  </si>
  <si>
    <t>Bareng Jonathan</t>
  </si>
  <si>
    <t>Barkhatov Maxim</t>
  </si>
  <si>
    <t>Bast Jan</t>
  </si>
  <si>
    <t>Bataa Chimedtseren</t>
  </si>
  <si>
    <t>MGL</t>
  </si>
  <si>
    <t>Batgerel Bayarbaatar</t>
  </si>
  <si>
    <t>Batsukh Gantulga</t>
  </si>
  <si>
    <t>Beermann Jacob</t>
  </si>
  <si>
    <t>Belkesir Sofiane</t>
  </si>
  <si>
    <t>Belkin Yury</t>
  </si>
  <si>
    <t>867.5/w/</t>
  </si>
  <si>
    <t>Bell Ian</t>
  </si>
  <si>
    <t>Berke Jordan</t>
  </si>
  <si>
    <t>Bilican Orhan</t>
  </si>
  <si>
    <t>BEL</t>
  </si>
  <si>
    <t>1077.5 -w</t>
  </si>
  <si>
    <t>Bilyi Sergii</t>
  </si>
  <si>
    <t>980.0/wj/</t>
  </si>
  <si>
    <t>1022.5 -w</t>
  </si>
  <si>
    <t>Blikaas Kim Andre</t>
  </si>
  <si>
    <t>Booyse Juan</t>
  </si>
  <si>
    <t>Botha Michael</t>
  </si>
  <si>
    <t>945.0/w/</t>
  </si>
  <si>
    <t>Boughalem Ilyes</t>
  </si>
  <si>
    <t>Boulianne Joel</t>
  </si>
  <si>
    <t>Bowring Dean</t>
  </si>
  <si>
    <t>1045.0 -w1</t>
  </si>
  <si>
    <t>Bradwell Scott</t>
  </si>
  <si>
    <t>Branton Kelly</t>
  </si>
  <si>
    <t>Brechtefeld Jim Kalinsky</t>
  </si>
  <si>
    <t>NRU</t>
  </si>
  <si>
    <t>Buccioni Massimiliano</t>
  </si>
  <si>
    <t>Bulanyy Mikhaylo</t>
  </si>
  <si>
    <t>982.5/c/</t>
  </si>
  <si>
    <t>847.5/w/</t>
  </si>
  <si>
    <t>992.5 -w</t>
  </si>
  <si>
    <t>972.5 -w1</t>
  </si>
  <si>
    <t>Burden Anthony</t>
  </si>
  <si>
    <t>Burgos Ramon</t>
  </si>
  <si>
    <t>Bychkov Oleksiy</t>
  </si>
  <si>
    <t>1095.0 -w</t>
  </si>
  <si>
    <t>Campos Murillo Carlos Ma</t>
  </si>
  <si>
    <t>CRC</t>
  </si>
  <si>
    <t>Cancel Ivan</t>
  </si>
  <si>
    <t>Cappellino Joseph</t>
  </si>
  <si>
    <t>Cascioli Stephen</t>
  </si>
  <si>
    <t>Castillo Jose</t>
  </si>
  <si>
    <t>770.0/w/</t>
  </si>
  <si>
    <t>955.0 -w</t>
  </si>
  <si>
    <t>Chahal Sunil</t>
  </si>
  <si>
    <t>Chebotar Suradzh</t>
  </si>
  <si>
    <t>Choudhary Vijay</t>
  </si>
  <si>
    <t>Christensen Carl Yngvar</t>
  </si>
  <si>
    <t>1175.0/wj/</t>
  </si>
  <si>
    <t>1230.0 -w</t>
  </si>
  <si>
    <t>Cliffe Tony</t>
  </si>
  <si>
    <t>1047.5/w/</t>
  </si>
  <si>
    <t>Collart Jean-Luc</t>
  </si>
  <si>
    <t>Conner Charles</t>
  </si>
  <si>
    <t>Constantine Patrick</t>
  </si>
  <si>
    <t>Coppenhall Matthew</t>
  </si>
  <si>
    <t>Curipoma Miguel</t>
  </si>
  <si>
    <t>Curth Vincent</t>
  </si>
  <si>
    <t>Danilevic Lauris</t>
  </si>
  <si>
    <t>Danilov Konstantin</t>
  </si>
  <si>
    <t>Davies Conrad</t>
  </si>
  <si>
    <t>Dear Reagan</t>
  </si>
  <si>
    <t>Degtiar Denys</t>
  </si>
  <si>
    <t>Delir Majid</t>
  </si>
  <si>
    <t>IRI</t>
  </si>
  <si>
    <t>Demcak Pavol</t>
  </si>
  <si>
    <t>Derstine Maliek</t>
  </si>
  <si>
    <t>Douglas Knute</t>
  </si>
  <si>
    <t>Douglas Paul</t>
  </si>
  <si>
    <t>Dovganyuk Vadym</t>
  </si>
  <si>
    <t>1035.0/w/</t>
  </si>
  <si>
    <t>1050.5/w/</t>
  </si>
  <si>
    <t>Dr Budai Balazs</t>
  </si>
  <si>
    <t>Duarte Luciano</t>
  </si>
  <si>
    <t>Dubovoi Oleksandr</t>
  </si>
  <si>
    <t>Ebeed Mina</t>
  </si>
  <si>
    <t>Ebihara Takaharu</t>
  </si>
  <si>
    <t>Edwards Dave</t>
  </si>
  <si>
    <t>Eikeland Kristoffer</t>
  </si>
  <si>
    <t>El Belghiti Hassan</t>
  </si>
  <si>
    <t>695.0 -w1</t>
  </si>
  <si>
    <t>El Belghitti Hassan</t>
  </si>
  <si>
    <t>Espinoza Jaider</t>
  </si>
  <si>
    <t>VEN</t>
  </si>
  <si>
    <t>737.5/w/</t>
  </si>
  <si>
    <t>755.0/w/</t>
  </si>
  <si>
    <t>661.0/w/</t>
  </si>
  <si>
    <t>761.0 -w</t>
  </si>
  <si>
    <t>Fekair Rabah</t>
  </si>
  <si>
    <t>Fernandez Barrantes Mich</t>
  </si>
  <si>
    <t>Folman Vladimir</t>
  </si>
  <si>
    <t>Fongaro Ricardo</t>
  </si>
  <si>
    <t>Fonseca Alonso</t>
  </si>
  <si>
    <t>Fontaine Laurent</t>
  </si>
  <si>
    <t>Fossdal Sigfus</t>
  </si>
  <si>
    <t>Fowler Ryan</t>
  </si>
  <si>
    <t>Fredericks Remi Carlos</t>
  </si>
  <si>
    <t>Fudge Chris</t>
  </si>
  <si>
    <t>Gadyrmamedov Eldar</t>
  </si>
  <si>
    <t>TKM</t>
  </si>
  <si>
    <t>Gaishinetc Sergei</t>
  </si>
  <si>
    <t>Garcia Andre</t>
  </si>
  <si>
    <t>Garcia Carlos</t>
  </si>
  <si>
    <t>Garcia Gabriel</t>
  </si>
  <si>
    <t>MEX</t>
  </si>
  <si>
    <t>Gengler Jean</t>
  </si>
  <si>
    <t>Gibbs Brett</t>
  </si>
  <si>
    <t>Gilbert Quentin</t>
  </si>
  <si>
    <t>Gillingham Brad</t>
  </si>
  <si>
    <t>Gladkikh Sergey</t>
  </si>
  <si>
    <t>810.0/w/</t>
  </si>
  <si>
    <t>Glueck Markus</t>
  </si>
  <si>
    <t>Gomez Walter</t>
  </si>
  <si>
    <t>Gonzalez Antonio</t>
  </si>
  <si>
    <t>Goriachev Ivan</t>
  </si>
  <si>
    <t>Goriachok Anatolii</t>
  </si>
  <si>
    <t>Goriachok  Anatolii</t>
  </si>
  <si>
    <t>Gove Derek</t>
  </si>
  <si>
    <t>Grabowski Daniel</t>
  </si>
  <si>
    <t>Gramlich Philipp</t>
  </si>
  <si>
    <t>Grenier Allan</t>
  </si>
  <si>
    <t>Gross Ernst</t>
  </si>
  <si>
    <t>Grotkowski Mariusz</t>
  </si>
  <si>
    <t>Grzesik Mateusz</t>
  </si>
  <si>
    <t>Gurbanov Ahmet</t>
  </si>
  <si>
    <t>Gustafsson Kim</t>
  </si>
  <si>
    <t>Gyennin Kojo</t>
  </si>
  <si>
    <t>Haavik Adam</t>
  </si>
  <si>
    <t>Haegg Tobias</t>
  </si>
  <si>
    <t>Hafenbrack Michael</t>
  </si>
  <si>
    <t>Hall Scott</t>
  </si>
  <si>
    <t>Hamada Nobuyuki</t>
  </si>
  <si>
    <t>Hamson John</t>
  </si>
  <si>
    <t>Hanada Toshihiro</t>
  </si>
  <si>
    <t>Hansen Joergen</t>
  </si>
  <si>
    <t>Hansen Jorgen</t>
  </si>
  <si>
    <t>Harris Neville</t>
  </si>
  <si>
    <t>Harsany Tomas</t>
  </si>
  <si>
    <t>Hassanin Ahmed</t>
  </si>
  <si>
    <t>Hedlesky Michael</t>
  </si>
  <si>
    <t>Henriksson Johan</t>
  </si>
  <si>
    <t>Henry Vagi</t>
  </si>
  <si>
    <t>Hentschel Andre</t>
  </si>
  <si>
    <t>Hetterschijt Huub</t>
  </si>
  <si>
    <t>Hidaka Tsuyoshi</t>
  </si>
  <si>
    <t>Hokkanen Timo</t>
  </si>
  <si>
    <t>Holloway Domarrio</t>
  </si>
  <si>
    <t>Horiguchi Yosuke</t>
  </si>
  <si>
    <t>Horvath Peter</t>
  </si>
  <si>
    <t>Hozjan Richard</t>
  </si>
  <si>
    <t>Hristov Ivaylo</t>
  </si>
  <si>
    <t>927.5 -c</t>
  </si>
  <si>
    <t>Hrynkevich-Sudnik Aliaksa</t>
  </si>
  <si>
    <t>712.5 -w</t>
  </si>
  <si>
    <t>Huang Lung-Hsin</t>
  </si>
  <si>
    <t>Huber Alexander</t>
  </si>
  <si>
    <t>Hubinger Corne</t>
  </si>
  <si>
    <t>Hussein Tarek</t>
  </si>
  <si>
    <t>Iimura Takahiro</t>
  </si>
  <si>
    <t>Inzarkin Dmitry</t>
  </si>
  <si>
    <t>1000.0 -w</t>
  </si>
  <si>
    <t>Ionin Yakov</t>
  </si>
  <si>
    <t>Isagawa Hiroyuki</t>
  </si>
  <si>
    <t>585.0/w3/</t>
  </si>
  <si>
    <t>Ismoilov Gayrat</t>
  </si>
  <si>
    <t>Jaeger Kevin</t>
  </si>
  <si>
    <t>Jaimes Luis</t>
  </si>
  <si>
    <t>Jame David</t>
  </si>
  <si>
    <t>Jamieson Stuart</t>
  </si>
  <si>
    <t>Jamwal Rohit</t>
  </si>
  <si>
    <t>Jandorek Andreas</t>
  </si>
  <si>
    <t>Janzer Sean</t>
  </si>
  <si>
    <t>Jensen Martin Faber</t>
  </si>
  <si>
    <t>Jhang You-Si</t>
  </si>
  <si>
    <t>Johnson Gregory</t>
  </si>
  <si>
    <t>Jones Michael</t>
  </si>
  <si>
    <t>Jonsson Audunn</t>
  </si>
  <si>
    <t>1050.0/w1/</t>
  </si>
  <si>
    <t>Joseph Midhun</t>
  </si>
  <si>
    <t>Joskowski Jan</t>
  </si>
  <si>
    <t>Juzups Maris</t>
  </si>
  <si>
    <t>Kaafarani Hussein</t>
  </si>
  <si>
    <t>LIB</t>
  </si>
  <si>
    <t>Kaanane Mourad</t>
  </si>
  <si>
    <t>Kabisch Sascha</t>
  </si>
  <si>
    <t>Kailey Pardeep</t>
  </si>
  <si>
    <t>Kang Alexander</t>
  </si>
  <si>
    <t>Kangasvieri Jussi</t>
  </si>
  <si>
    <t>Kapyshev Aman</t>
  </si>
  <si>
    <t>Karpov Valeriy</t>
  </si>
  <si>
    <t>Kasparek Gernot</t>
  </si>
  <si>
    <t>Khardin Konstantin</t>
  </si>
  <si>
    <t>Khuder Enkhbold</t>
  </si>
  <si>
    <t>Kim Alexandr</t>
  </si>
  <si>
    <t>Kim Guoguang Derrick</t>
  </si>
  <si>
    <t>SIN</t>
  </si>
  <si>
    <t>Kirisome Oliva</t>
  </si>
  <si>
    <t>SAM</t>
  </si>
  <si>
    <t>Kirketeig Alexander</t>
  </si>
  <si>
    <t>Kobayakawa Wataru</t>
  </si>
  <si>
    <t>Koch Kevin</t>
  </si>
  <si>
    <t>Kocharyan Levon</t>
  </si>
  <si>
    <t>Kolbin Alexander</t>
  </si>
  <si>
    <t>Kondraschow Jewgenij</t>
  </si>
  <si>
    <t>Kono Ryoji</t>
  </si>
  <si>
    <t>Konovalov Andrey</t>
  </si>
  <si>
    <t>1145.0/w/</t>
  </si>
  <si>
    <t>1187.5/w/</t>
  </si>
  <si>
    <t>Korshunov Pavel</t>
  </si>
  <si>
    <t>Kostenko Andrey</t>
  </si>
  <si>
    <t>Kraav Elar</t>
  </si>
  <si>
    <t>Krejca Zbynek</t>
  </si>
  <si>
    <t>Kristensen Mathias</t>
  </si>
  <si>
    <t>Kristiansen Mathias</t>
  </si>
  <si>
    <t>950.0 -c</t>
  </si>
  <si>
    <t>Kuan Yi-Hsin</t>
  </si>
  <si>
    <t>Kudryavcev Alexey</t>
  </si>
  <si>
    <t>Kuramshin Alexandr</t>
  </si>
  <si>
    <t>Kuusnomm Aimar</t>
  </si>
  <si>
    <t>760.0/w/</t>
  </si>
  <si>
    <t>La Rosa Lenin</t>
  </si>
  <si>
    <t>Laboy Isaac</t>
  </si>
  <si>
    <t>Lange Martin</t>
  </si>
  <si>
    <t>Laybolt Brody</t>
  </si>
  <si>
    <t>Lebedko Konstantin</t>
  </si>
  <si>
    <t>Leider Denis</t>
  </si>
  <si>
    <t>Leon Franklin</t>
  </si>
  <si>
    <t>Lihanov Dmitry</t>
  </si>
  <si>
    <t>Lima Eudson</t>
  </si>
  <si>
    <t>Lin Ming-Hui</t>
  </si>
  <si>
    <t>Lin Yi-Chun</t>
  </si>
  <si>
    <t>Lited Etienne</t>
  </si>
  <si>
    <t>Lkhagvajav Enkhtur</t>
  </si>
  <si>
    <t>Lkhamjav Ganbaatar</t>
  </si>
  <si>
    <t>Loosen Gregor</t>
  </si>
  <si>
    <t>Lossen Gregor</t>
  </si>
  <si>
    <t>Love Robert</t>
  </si>
  <si>
    <t>Lucas Helmke</t>
  </si>
  <si>
    <t>Lupac David</t>
  </si>
  <si>
    <t>Lutzuk Andrew</t>
  </si>
  <si>
    <t>Maatta Tomi</t>
  </si>
  <si>
    <t>Macdonald John</t>
  </si>
  <si>
    <t>MacNeil Jean Derek</t>
  </si>
  <si>
    <t>Mahon Andy</t>
  </si>
  <si>
    <t>Makhov Oleksandr</t>
  </si>
  <si>
    <t>Maleki Mojtaba</t>
  </si>
  <si>
    <t>Mann Steve</t>
  </si>
  <si>
    <t>Manuel Stephen</t>
  </si>
  <si>
    <t>Marinenko Viktor</t>
  </si>
  <si>
    <t>Martikainen Jari</t>
  </si>
  <si>
    <t>Martin Jared</t>
  </si>
  <si>
    <t>Martin Tomas</t>
  </si>
  <si>
    <t>Marynenko Viktor</t>
  </si>
  <si>
    <t>Masahito Kitsui</t>
  </si>
  <si>
    <t>Mashintcov Sergey</t>
  </si>
  <si>
    <t>Maslov Ilya</t>
  </si>
  <si>
    <t>Mastrolorenzo Antony</t>
  </si>
  <si>
    <t>Matarrita Montenegro Crist</t>
  </si>
  <si>
    <t>Matsunaga Kazuya</t>
  </si>
  <si>
    <t>Matwin Lukasz</t>
  </si>
  <si>
    <t>McCaffrey Paul</t>
  </si>
  <si>
    <t>McClain Ls</t>
  </si>
  <si>
    <t>McKenzie Cameron</t>
  </si>
  <si>
    <t>McLain III LS</t>
  </si>
  <si>
    <t>Meiyanto Doni</t>
  </si>
  <si>
    <t>Mejia Boza Alvaro Mauricio</t>
  </si>
  <si>
    <t>Melendez Carlo</t>
  </si>
  <si>
    <t>Mencias Jose</t>
  </si>
  <si>
    <t>Meyer Quintin</t>
  </si>
  <si>
    <t>Mihaylov Robert</t>
  </si>
  <si>
    <t>Miller Ryan</t>
  </si>
  <si>
    <t>Morgan Randolph</t>
  </si>
  <si>
    <t>GUY</t>
  </si>
  <si>
    <t>Mori Masahiro</t>
  </si>
  <si>
    <t>Mostafa Yazdani Kachouei</t>
  </si>
  <si>
    <t>Munoz David</t>
  </si>
  <si>
    <t>Murray William</t>
  </si>
  <si>
    <t>Murrell Rob</t>
  </si>
  <si>
    <t>Mutikainen Teemu</t>
  </si>
  <si>
    <t>Myagmarsuren Galsaikhan</t>
  </si>
  <si>
    <t>Myers Quentin</t>
  </si>
  <si>
    <t>Nakamura Ryuji</t>
  </si>
  <si>
    <t>Nanai Lepeka</t>
  </si>
  <si>
    <t>Naniev Andriy</t>
  </si>
  <si>
    <t>915.0/c/</t>
  </si>
  <si>
    <t>Napper Dave</t>
  </si>
  <si>
    <t>Nascimento Claudemiro</t>
  </si>
  <si>
    <t>Nauanov Yerbol</t>
  </si>
  <si>
    <t>Nedashkovskiy Oleg</t>
  </si>
  <si>
    <t>Nemeshazy Jr Janos</t>
  </si>
  <si>
    <t>Nickson Eriek</t>
  </si>
  <si>
    <t>Nielsen Henrik</t>
  </si>
  <si>
    <t>Nieves Lazaro</t>
  </si>
  <si>
    <t>Nimbalkar Amit</t>
  </si>
  <si>
    <t>Nishimura Yoshito</t>
  </si>
  <si>
    <t>Noonan Kyle</t>
  </si>
  <si>
    <t>Noppers Lewis</t>
  </si>
  <si>
    <t>Norton Layne</t>
  </si>
  <si>
    <t>Nursahedov Merdan</t>
  </si>
  <si>
    <t>Ochoa Alex</t>
  </si>
  <si>
    <t>Oishi Eric</t>
  </si>
  <si>
    <t>Olech Jaroslaw</t>
  </si>
  <si>
    <t>905.0/w/</t>
  </si>
  <si>
    <t>882.5 -w1</t>
  </si>
  <si>
    <t>Oliveira Joe</t>
  </si>
  <si>
    <t>Omland Tor Herman</t>
  </si>
  <si>
    <t>Osman Muhammad Hidaya</t>
  </si>
  <si>
    <t>Osmialowski Pawel</t>
  </si>
  <si>
    <t>Ostrowski Damian</t>
  </si>
  <si>
    <t>Otani Norihiro</t>
  </si>
  <si>
    <t>Ovsonka Peter</t>
  </si>
  <si>
    <t>RD</t>
  </si>
  <si>
    <t>Owen Ray</t>
  </si>
  <si>
    <t>Pahl Dominik</t>
  </si>
  <si>
    <t>Palmer Robert</t>
  </si>
  <si>
    <t>Pankrashev Alexey</t>
  </si>
  <si>
    <t>Pardo Idelfonso</t>
  </si>
  <si>
    <t>Parviainen Mika</t>
  </si>
  <si>
    <t>Petkov Rostislav</t>
  </si>
  <si>
    <t>Phalatsi Jacobus</t>
  </si>
  <si>
    <t>Phillips Aaron</t>
  </si>
  <si>
    <t>Piron Michel</t>
  </si>
  <si>
    <t>Poinson Adrien</t>
  </si>
  <si>
    <t>Porras Marco</t>
  </si>
  <si>
    <t>Pritchard Hayden</t>
  </si>
  <si>
    <t>847.5/w1/</t>
  </si>
  <si>
    <t>Prokopenko Andrey</t>
  </si>
  <si>
    <t>Pullinen Sami</t>
  </si>
  <si>
    <t>Purzel Alexander</t>
  </si>
  <si>
    <t>Quispe Loayza Gabriel</t>
  </si>
  <si>
    <t>PER</t>
  </si>
  <si>
    <t>Rahmanow Shatlyk</t>
  </si>
  <si>
    <t>Rast Siim</t>
  </si>
  <si>
    <t>Raus Alex-Edward</t>
  </si>
  <si>
    <t>840.0/wj/</t>
  </si>
  <si>
    <t>852.5/wj/</t>
  </si>
  <si>
    <t>Rebreyend Christophe</t>
  </si>
  <si>
    <t>Rees Robert</t>
  </si>
  <si>
    <t>Reinmuth Tony</t>
  </si>
  <si>
    <t>Rheaume Jean-Sebastien</t>
  </si>
  <si>
    <t>Ricks David</t>
  </si>
  <si>
    <t>Ringoot Steve</t>
  </si>
  <si>
    <t>Rivera Carlos</t>
  </si>
  <si>
    <t>Rodriguez Cruz</t>
  </si>
  <si>
    <t>Roelvaag Kim-Raino</t>
  </si>
  <si>
    <t>Roenning Martin</t>
  </si>
  <si>
    <t>Rogers Robert</t>
  </si>
  <si>
    <t>Rokochiy Oleksiy</t>
  </si>
  <si>
    <t>1075.0/w/</t>
  </si>
  <si>
    <t>Ron Hernan</t>
  </si>
  <si>
    <t>Rook Niels</t>
  </si>
  <si>
    <t>Ruso Karel</t>
  </si>
  <si>
    <t>Rysiyev Volodymyr</t>
  </si>
  <si>
    <t>Saarma Tiit</t>
  </si>
  <si>
    <t>Sagor Rait</t>
  </si>
  <si>
    <t>Sahota Ranbir</t>
  </si>
  <si>
    <t>Salgado David</t>
  </si>
  <si>
    <t>Salgado Romel</t>
  </si>
  <si>
    <t>Sammalkivi Siim</t>
  </si>
  <si>
    <t>Sanasi Simone</t>
  </si>
  <si>
    <t>Sanchez Marcos</t>
  </si>
  <si>
    <t>Sandvik Kenneth</t>
  </si>
  <si>
    <t>1062.5 -w1</t>
  </si>
  <si>
    <t>Sarafimov Zdravko</t>
  </si>
  <si>
    <t>Sarik Tomas</t>
  </si>
  <si>
    <t>Sato Yoshihiro</t>
  </si>
  <si>
    <t>Sattarov Timur</t>
  </si>
  <si>
    <t>Savolainen Antti</t>
  </si>
  <si>
    <t>650.5 -c</t>
  </si>
  <si>
    <t>Saydaliev Eldor</t>
  </si>
  <si>
    <t>Schollbach Mike</t>
  </si>
  <si>
    <t>Schouten William</t>
  </si>
  <si>
    <t>ISV</t>
  </si>
  <si>
    <t>Schrems Michael</t>
  </si>
  <si>
    <t>Sedlacek Jakub</t>
  </si>
  <si>
    <t>Semenenko Dmytro</t>
  </si>
  <si>
    <t>Semenets Sergey</t>
  </si>
  <si>
    <t>Sena Hebert</t>
  </si>
  <si>
    <t>Seville Christopher</t>
  </si>
  <si>
    <t>Sewen Kristian</t>
  </si>
  <si>
    <t>Shagdarsuren Batzul</t>
  </si>
  <si>
    <t>Shalaby Ekramy</t>
  </si>
  <si>
    <t>Sharawdorj Ariunbaatar</t>
  </si>
  <si>
    <t>Shillingford Pierre</t>
  </si>
  <si>
    <t>Shimalistos Harry</t>
  </si>
  <si>
    <t>675.0/w/</t>
  </si>
  <si>
    <t>Shimazu Yoshiyuki</t>
  </si>
  <si>
    <t>Silbaum Margus</t>
  </si>
  <si>
    <t>Silva Marcelo</t>
  </si>
  <si>
    <t>Simmons Christopher</t>
  </si>
  <si>
    <t>Singh-Sahota Rangbir</t>
  </si>
  <si>
    <t>Skochek Sergey</t>
  </si>
  <si>
    <t>Smith Johan</t>
  </si>
  <si>
    <t>Smulter Fredrik</t>
  </si>
  <si>
    <t>Snijders Jordy</t>
  </si>
  <si>
    <t>Sorokin Alexey</t>
  </si>
  <si>
    <t>Soukal Jaroslav</t>
  </si>
  <si>
    <t>Souza Eumenes</t>
  </si>
  <si>
    <t>Spingl Milan</t>
  </si>
  <si>
    <t>Srsen Jaromir</t>
  </si>
  <si>
    <t>Stendebach Sascha</t>
  </si>
  <si>
    <t>Stinn Ryan</t>
  </si>
  <si>
    <t>Su Cheng-Fong</t>
  </si>
  <si>
    <t>Sujanto Robi</t>
  </si>
  <si>
    <t>Sun Yue</t>
  </si>
  <si>
    <t>Suomela Johannes</t>
  </si>
  <si>
    <t>Svensson Fredrik</t>
  </si>
  <si>
    <t>Svistunov Volodymyr</t>
  </si>
  <si>
    <t>Synak Jakub</t>
  </si>
  <si>
    <t>Takehana Masato</t>
  </si>
  <si>
    <t>Tapia Luis</t>
  </si>
  <si>
    <t>Teitsson Aron</t>
  </si>
  <si>
    <t>Tepper Eduard</t>
  </si>
  <si>
    <t>Testsov Viktor</t>
  </si>
  <si>
    <t>1147.5/w/</t>
  </si>
  <si>
    <t>Tinebra Frederic</t>
  </si>
  <si>
    <t>Tommila Antti</t>
  </si>
  <si>
    <t>Tosh Henry</t>
  </si>
  <si>
    <t>Tran Christopher</t>
  </si>
  <si>
    <t>Trettin Robert</t>
  </si>
  <si>
    <t>Turesson Patrik</t>
  </si>
  <si>
    <t>Tyers Steven</t>
  </si>
  <si>
    <t>Tykhostup Volodymyr</t>
  </si>
  <si>
    <t>Tylutki Nicholas</t>
  </si>
  <si>
    <t>Ube Joe</t>
  </si>
  <si>
    <t>Uepa Jezza</t>
  </si>
  <si>
    <t>Vahtola Ville</t>
  </si>
  <si>
    <t>Van den Hoek Pjotr</t>
  </si>
  <si>
    <t>Van Haaren Piet</t>
  </si>
  <si>
    <t>Van Heesvelde Jeroen</t>
  </si>
  <si>
    <t>Van Melis Floris</t>
  </si>
  <si>
    <t>Vanhee Emmerik</t>
  </si>
  <si>
    <t>Varchola Pavol</t>
  </si>
  <si>
    <t>Vargas Velez Libardo Hern</t>
  </si>
  <si>
    <t>COL</t>
  </si>
  <si>
    <t>Vasilev Todor</t>
  </si>
  <si>
    <t>Vasiukov Evgenii</t>
  </si>
  <si>
    <t>Vaskov Alexandr</t>
  </si>
  <si>
    <t>Vasyukov Eugeniy</t>
  </si>
  <si>
    <t>925.0/w/</t>
  </si>
  <si>
    <t>Verma Pankaj</t>
  </si>
  <si>
    <t>Veski Rait</t>
  </si>
  <si>
    <t>Vicenteno Ricardo</t>
  </si>
  <si>
    <t>Wagner Hubert</t>
  </si>
  <si>
    <t>Walton Nathan</t>
  </si>
  <si>
    <t>Wang Chun-Lin</t>
  </si>
  <si>
    <t>Wasson Mark</t>
  </si>
  <si>
    <t>Watson Johnathan</t>
  </si>
  <si>
    <t>Webb Colin</t>
  </si>
  <si>
    <t>Wegiera Jan</t>
  </si>
  <si>
    <t>910.0/w1/</t>
  </si>
  <si>
    <t>942.5 -w1</t>
  </si>
  <si>
    <t>925.0 -w2</t>
  </si>
  <si>
    <t>Weissenbacher Oliver</t>
  </si>
  <si>
    <t>Weite Nicholas</t>
  </si>
  <si>
    <t>Wiak Jacek</t>
  </si>
  <si>
    <t>Williams Ray</t>
  </si>
  <si>
    <t>972.5/w/</t>
  </si>
  <si>
    <t>1000.5 -w</t>
  </si>
  <si>
    <t>Wollan Endre</t>
  </si>
  <si>
    <t>Wright Colin</t>
  </si>
  <si>
    <t>Yamamoto Tatsuma</t>
  </si>
  <si>
    <t>Yang Sen</t>
  </si>
  <si>
    <t>Yarullin Ruslan</t>
  </si>
  <si>
    <t>Yeshmakhanov Nurlan</t>
  </si>
  <si>
    <t>Yokota Masatoshi</t>
  </si>
  <si>
    <t>Zaitsev Artem</t>
  </si>
  <si>
    <t>Ziffle Aaron</t>
  </si>
  <si>
    <t>Zouein Luis</t>
  </si>
  <si>
    <t>Zuniga Adrian</t>
  </si>
  <si>
    <t xml:space="preserve">DEN </t>
  </si>
  <si>
    <t>W</t>
  </si>
  <si>
    <t>Abarca Elizondo Maria</t>
  </si>
  <si>
    <t xml:space="preserve">CRC </t>
  </si>
  <si>
    <t>Abdulina Vita</t>
  </si>
  <si>
    <t>405.0/w1/</t>
  </si>
  <si>
    <t>Abduraimova Aziza</t>
  </si>
  <si>
    <t>Aguinaga Johanna</t>
  </si>
  <si>
    <t xml:space="preserve">ECU </t>
  </si>
  <si>
    <t>Akhmamyetyeva Tetyana</t>
  </si>
  <si>
    <t>Amaya Annymaryuth</t>
  </si>
  <si>
    <t xml:space="preserve">NOR </t>
  </si>
  <si>
    <t>Arnold Cydney</t>
  </si>
  <si>
    <t>Arvidson Karolina</t>
  </si>
  <si>
    <t>Baez Frances</t>
  </si>
  <si>
    <t>Baez Joan</t>
  </si>
  <si>
    <t xml:space="preserve">BRA </t>
  </si>
  <si>
    <t>Bark Josephine</t>
  </si>
  <si>
    <t>Bartz Pamela</t>
  </si>
  <si>
    <t>Basson Lisa</t>
  </si>
  <si>
    <t>Benedetto Jessica</t>
  </si>
  <si>
    <t>Berge Hege</t>
  </si>
  <si>
    <t>Bialek Magdalena</t>
  </si>
  <si>
    <t>Blasbery Jacqueline</t>
  </si>
  <si>
    <t>Blikra Inger</t>
  </si>
  <si>
    <t xml:space="preserve">USA </t>
  </si>
  <si>
    <t>Boyle Trisha</t>
  </si>
  <si>
    <t xml:space="preserve">CAN </t>
  </si>
  <si>
    <t>Brage Angelica</t>
  </si>
  <si>
    <t>Brown-Lough Bonica</t>
  </si>
  <si>
    <t>Burgos Ladys</t>
  </si>
  <si>
    <t>Bykova Yelena</t>
  </si>
  <si>
    <t>Byruk Yelyzaveta</t>
  </si>
  <si>
    <t>642.5/w/</t>
  </si>
  <si>
    <t>508.0/w/</t>
  </si>
  <si>
    <t>Castro Rosa</t>
  </si>
  <si>
    <t>Cevallos Michelle</t>
  </si>
  <si>
    <t xml:space="preserve">TPE </t>
  </si>
  <si>
    <t>395.0/w/</t>
  </si>
  <si>
    <t>480.5/w/</t>
  </si>
  <si>
    <t>483.5 -w</t>
  </si>
  <si>
    <t>Cherezova Margarita</t>
  </si>
  <si>
    <t xml:space="preserve">GER </t>
  </si>
  <si>
    <t>Coetzer Candice</t>
  </si>
  <si>
    <t>Colter Shelley</t>
  </si>
  <si>
    <t>Cornwall  Marina</t>
  </si>
  <si>
    <t>Cornwall Marina</t>
  </si>
  <si>
    <t>Costas Delgado Giselle</t>
  </si>
  <si>
    <t>Craven Elizabeth</t>
  </si>
  <si>
    <t>Cuta Adriana</t>
  </si>
  <si>
    <t xml:space="preserve">UKR </t>
  </si>
  <si>
    <t>Diaz Rebeca</t>
  </si>
  <si>
    <t xml:space="preserve">RUS </t>
  </si>
  <si>
    <t>Dukacheva Evgenia</t>
  </si>
  <si>
    <t xml:space="preserve">GBR </t>
  </si>
  <si>
    <t>Engberg Helen</t>
  </si>
  <si>
    <t>Felinska Olimpia</t>
  </si>
  <si>
    <t>Fernandez Yosleinys</t>
  </si>
  <si>
    <t>430.0/w/</t>
  </si>
  <si>
    <t>Freemantle Jordana</t>
  </si>
  <si>
    <t xml:space="preserve">JPN </t>
  </si>
  <si>
    <t>Furuya Noriko</t>
  </si>
  <si>
    <t>Gavina Landish</t>
  </si>
  <si>
    <t>Geitner Ana</t>
  </si>
  <si>
    <t>753.0/w/</t>
  </si>
  <si>
    <t>Gibson Carolyn</t>
  </si>
  <si>
    <t>Gilbert Jessica</t>
  </si>
  <si>
    <t>346.0/w1/</t>
  </si>
  <si>
    <t>Gomez Kelly</t>
  </si>
  <si>
    <t xml:space="preserve">SWE </t>
  </si>
  <si>
    <t>Greene Catherine</t>
  </si>
  <si>
    <t xml:space="preserve">ISL </t>
  </si>
  <si>
    <t>Gulmurzayeva Bibidjan</t>
  </si>
  <si>
    <t>Gutierrez Sara</t>
  </si>
  <si>
    <t>Hanssen Tutta Kristine</t>
  </si>
  <si>
    <t>Hart Tessa</t>
  </si>
  <si>
    <t>Hitchcock Alyssa</t>
  </si>
  <si>
    <t>Hoiland Linda</t>
  </si>
  <si>
    <t>Hugdal Hildeborg</t>
  </si>
  <si>
    <t>Hunter Jennifer</t>
  </si>
  <si>
    <t>Inda Marisa</t>
  </si>
  <si>
    <t>Jativa Mery</t>
  </si>
  <si>
    <t>Jeria Josseline</t>
  </si>
  <si>
    <t>Jimenez Karol</t>
  </si>
  <si>
    <t>Jones Jess</t>
  </si>
  <si>
    <t>Jurkko Raija</t>
  </si>
  <si>
    <t>Kaczor Mary Ann</t>
  </si>
  <si>
    <t>Kamvissis Eleni</t>
  </si>
  <si>
    <t>Karwowska Iwona</t>
  </si>
  <si>
    <t>Kasperska Kamila</t>
  </si>
  <si>
    <t>Khan Xeniya</t>
  </si>
  <si>
    <t>557.5/w1/</t>
  </si>
  <si>
    <t>Kniazieva Antonina</t>
  </si>
  <si>
    <t>Komlaeva Anna</t>
  </si>
  <si>
    <t>Kozlova Olena</t>
  </si>
  <si>
    <t>660.5/wj/</t>
  </si>
  <si>
    <t>670.5 -w</t>
  </si>
  <si>
    <t>Kulinenko Nataliia</t>
  </si>
  <si>
    <t>Kvist Helena</t>
  </si>
  <si>
    <t>LaChapelle Taylor</t>
  </si>
  <si>
    <t xml:space="preserve">FRA </t>
  </si>
  <si>
    <t>Legard Stephanie</t>
  </si>
  <si>
    <t>Leighton Sarah</t>
  </si>
  <si>
    <t>Lepanse Benedicte</t>
  </si>
  <si>
    <t>Liimatainen Miia</t>
  </si>
  <si>
    <t>Lima Rosimery</t>
  </si>
  <si>
    <t>Lindberg Maria</t>
  </si>
  <si>
    <t>Lishinskaya Alesya</t>
  </si>
  <si>
    <t>Lombosi Melinda</t>
  </si>
  <si>
    <t>Lyons Rae-Leigh</t>
  </si>
  <si>
    <t>Macken Mary</t>
  </si>
  <si>
    <t>Maldonado Isabel</t>
  </si>
  <si>
    <t>Manaena Sonia</t>
  </si>
  <si>
    <t>507.5/w2/</t>
  </si>
  <si>
    <t>McKinney Tiffany</t>
  </si>
  <si>
    <t>Merifield Tarryn-Leigh</t>
  </si>
  <si>
    <t>Meyer Tamara</t>
  </si>
  <si>
    <t>Monserate Kenia</t>
  </si>
  <si>
    <t>Moses Gloria</t>
  </si>
  <si>
    <t>NGR</t>
  </si>
  <si>
    <t>Movlamova Sahragul</t>
  </si>
  <si>
    <t>Murray  Louise</t>
  </si>
  <si>
    <t>Nakada Yoshimi</t>
  </si>
  <si>
    <t>Nazarenko Svetlana</t>
  </si>
  <si>
    <t>Newton Alix</t>
  </si>
  <si>
    <t>Nieves Norma</t>
  </si>
  <si>
    <t xml:space="preserve">PUR </t>
  </si>
  <si>
    <t>Oja Kirsi</t>
  </si>
  <si>
    <t>Okudo Chika</t>
  </si>
  <si>
    <t>Opdal Veronica</t>
  </si>
  <si>
    <t>Oquendo Mailebis</t>
  </si>
  <si>
    <t>O'Rouke Molly</t>
  </si>
  <si>
    <t>Padgett Amanda</t>
  </si>
  <si>
    <t>Pedersen Annette</t>
  </si>
  <si>
    <t>Pellatt Meghan</t>
  </si>
  <si>
    <t>Petrova Anastasia</t>
  </si>
  <si>
    <t>Piter Marzena</t>
  </si>
  <si>
    <t>Plaaitjies Seritha</t>
  </si>
  <si>
    <t>Poletaeva Irina</t>
  </si>
  <si>
    <t>Polizzano Kristi</t>
  </si>
  <si>
    <t>Potselueva Galina</t>
  </si>
  <si>
    <t>Prokhorova Kseniya</t>
  </si>
  <si>
    <t>Prymenchuk Tetyana</t>
  </si>
  <si>
    <t>502.5/w1/</t>
  </si>
  <si>
    <t>Rantamaki Mervi</t>
  </si>
  <si>
    <t>627.5 -w1</t>
  </si>
  <si>
    <t>Robinson Tina</t>
  </si>
  <si>
    <t>Ryzhkova Anna</t>
  </si>
  <si>
    <t>Saari Marju</t>
  </si>
  <si>
    <t>Sadler Jenna</t>
  </si>
  <si>
    <t>Sakuyama Yuko</t>
  </si>
  <si>
    <t>505.0/w/</t>
  </si>
  <si>
    <t>522.5/w/</t>
  </si>
  <si>
    <t>530.0 -w</t>
  </si>
  <si>
    <t>Sandu Jackie</t>
  </si>
  <si>
    <t>Sandvik Marcela</t>
  </si>
  <si>
    <t>Sari Noviana</t>
  </si>
  <si>
    <t>Schwengl Ilka</t>
  </si>
  <si>
    <t>Scott Alison</t>
  </si>
  <si>
    <t>Sebastian Sandra</t>
  </si>
  <si>
    <t>Sellen Jenny</t>
  </si>
  <si>
    <t>Sirkia Mervi</t>
  </si>
  <si>
    <t>Sirochetdinova Ramilya</t>
  </si>
  <si>
    <t>Smoot Priscilla</t>
  </si>
  <si>
    <t>633.0/w/</t>
  </si>
  <si>
    <t>638.0/w/</t>
  </si>
  <si>
    <t>638.5 -w</t>
  </si>
  <si>
    <t>Sri Hartani</t>
  </si>
  <si>
    <t>Steel Ellie</t>
  </si>
  <si>
    <t>Steger Nicole</t>
  </si>
  <si>
    <t>Stephens Susan</t>
  </si>
  <si>
    <t>Stevens Bronwyn</t>
  </si>
  <si>
    <t>Stinn Fowler Rhaea</t>
  </si>
  <si>
    <t>535.0/w/</t>
  </si>
  <si>
    <t>512.5/w1/</t>
  </si>
  <si>
    <t xml:space="preserve">NED </t>
  </si>
  <si>
    <t>Strufa Anastasya</t>
  </si>
  <si>
    <t>457.5 -c</t>
  </si>
  <si>
    <t>Sugo Momoko</t>
  </si>
  <si>
    <t>Suzuki Kyoko</t>
  </si>
  <si>
    <t>Szabo Agnes</t>
  </si>
  <si>
    <t>Szuch Shantelle</t>
  </si>
  <si>
    <t>Tapia Jannitzzi</t>
  </si>
  <si>
    <t>Teramura Mika</t>
  </si>
  <si>
    <t>Thomsen Tamara</t>
  </si>
  <si>
    <t>Tsvetkova Svetlana</t>
  </si>
  <si>
    <t>Tushuizen Katie</t>
  </si>
  <si>
    <t>Tuylieva Jeren</t>
  </si>
  <si>
    <t>Usuki Ayumi</t>
  </si>
  <si>
    <t>Van Dusen Kathleen</t>
  </si>
  <si>
    <t>Van Heerden Farana</t>
  </si>
  <si>
    <t>Van Jaarveld Danel</t>
  </si>
  <si>
    <t>Van Staden Minako</t>
  </si>
  <si>
    <t>Van Wyk Chleo</t>
  </si>
  <si>
    <t>Vermenyuk Valentina</t>
  </si>
  <si>
    <t>Viteri Samantha</t>
  </si>
  <si>
    <t>510.0/w/</t>
  </si>
  <si>
    <t>Walker Tammy</t>
  </si>
  <si>
    <t>Watton Louise</t>
  </si>
  <si>
    <t>Wendlandt Mareen</t>
  </si>
  <si>
    <t>West Elizabeth</t>
  </si>
  <si>
    <t>Wilson Ilona</t>
  </si>
  <si>
    <t>Yakupova Venera</t>
  </si>
  <si>
    <t>Yaroshenko Irina</t>
  </si>
  <si>
    <t>Zhukovska Nataliia</t>
  </si>
  <si>
    <t>Zhumaniyazova Mahriban</t>
  </si>
  <si>
    <t>Ziffle Melanie</t>
  </si>
  <si>
    <t>Zigler Ana</t>
  </si>
  <si>
    <t>Ziolkowska Agnieszka</t>
  </si>
  <si>
    <t>Zubkova Tatiana</t>
  </si>
  <si>
    <t>Lifter</t>
  </si>
  <si>
    <t>Birth Year</t>
  </si>
  <si>
    <t>Body Weight</t>
  </si>
  <si>
    <t>Total</t>
  </si>
  <si>
    <t>Bench-Squat Ratio</t>
  </si>
  <si>
    <t>Bench-Deadlift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</si>
</sst>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vertical="center"/>
    </xf>
    <xf numFmtId="3" fontId="0" fillId="0" borderId="0" xfId="0" applyNumberFormat="1" applyAlignment="1">
      <alignment vertical="center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2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chartsheet" Target="chart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Bench Press vs Squat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All IPF Classic and Equipped Data 2012–2015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Everything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0794426058853615E-2"/>
                  <c:y val="-6.274795130753638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('Data Squat'!$F$2:$F$400,'Data Squat'!$F$402:$F$661,'Data Squat'!$F$663:$F$1088,'Data Squat'!$F$1090:$F$1373)</c:f>
              <c:numCache>
                <c:formatCode>General</c:formatCode>
                <c:ptCount val="1369"/>
                <c:pt idx="0">
                  <c:v>97.5</c:v>
                </c:pt>
                <c:pt idx="1">
                  <c:v>75</c:v>
                </c:pt>
                <c:pt idx="2">
                  <c:v>120</c:v>
                </c:pt>
                <c:pt idx="3">
                  <c:v>130</c:v>
                </c:pt>
                <c:pt idx="4">
                  <c:v>80</c:v>
                </c:pt>
                <c:pt idx="5">
                  <c:v>100</c:v>
                </c:pt>
                <c:pt idx="6">
                  <c:v>110</c:v>
                </c:pt>
                <c:pt idx="7">
                  <c:v>105</c:v>
                </c:pt>
                <c:pt idx="8">
                  <c:v>142.5</c:v>
                </c:pt>
                <c:pt idx="9">
                  <c:v>100</c:v>
                </c:pt>
                <c:pt idx="10">
                  <c:v>190</c:v>
                </c:pt>
                <c:pt idx="11">
                  <c:v>170</c:v>
                </c:pt>
                <c:pt idx="12">
                  <c:v>102.5</c:v>
                </c:pt>
                <c:pt idx="13">
                  <c:v>215</c:v>
                </c:pt>
                <c:pt idx="14">
                  <c:v>142.5</c:v>
                </c:pt>
                <c:pt idx="15">
                  <c:v>110</c:v>
                </c:pt>
                <c:pt idx="16">
                  <c:v>165</c:v>
                </c:pt>
                <c:pt idx="17">
                  <c:v>135</c:v>
                </c:pt>
                <c:pt idx="18">
                  <c:v>235</c:v>
                </c:pt>
                <c:pt idx="19">
                  <c:v>170</c:v>
                </c:pt>
                <c:pt idx="20">
                  <c:v>102.5</c:v>
                </c:pt>
                <c:pt idx="21">
                  <c:v>100</c:v>
                </c:pt>
                <c:pt idx="22">
                  <c:v>135</c:v>
                </c:pt>
                <c:pt idx="23">
                  <c:v>210</c:v>
                </c:pt>
                <c:pt idx="24">
                  <c:v>185</c:v>
                </c:pt>
                <c:pt idx="25">
                  <c:v>205</c:v>
                </c:pt>
                <c:pt idx="26">
                  <c:v>87.5</c:v>
                </c:pt>
                <c:pt idx="27">
                  <c:v>97.5</c:v>
                </c:pt>
                <c:pt idx="28">
                  <c:v>150</c:v>
                </c:pt>
                <c:pt idx="29">
                  <c:v>232.5</c:v>
                </c:pt>
                <c:pt idx="30">
                  <c:v>125</c:v>
                </c:pt>
                <c:pt idx="31">
                  <c:v>172.5</c:v>
                </c:pt>
                <c:pt idx="32">
                  <c:v>235</c:v>
                </c:pt>
                <c:pt idx="33">
                  <c:v>222.5</c:v>
                </c:pt>
                <c:pt idx="34">
                  <c:v>137.5</c:v>
                </c:pt>
                <c:pt idx="35">
                  <c:v>215</c:v>
                </c:pt>
                <c:pt idx="36">
                  <c:v>135</c:v>
                </c:pt>
                <c:pt idx="37">
                  <c:v>150</c:v>
                </c:pt>
                <c:pt idx="38">
                  <c:v>130</c:v>
                </c:pt>
                <c:pt idx="39">
                  <c:v>190</c:v>
                </c:pt>
                <c:pt idx="40">
                  <c:v>197.5</c:v>
                </c:pt>
                <c:pt idx="41">
                  <c:v>160</c:v>
                </c:pt>
                <c:pt idx="42">
                  <c:v>160</c:v>
                </c:pt>
                <c:pt idx="43">
                  <c:v>147.5</c:v>
                </c:pt>
                <c:pt idx="44">
                  <c:v>202.5</c:v>
                </c:pt>
                <c:pt idx="45">
                  <c:v>160</c:v>
                </c:pt>
                <c:pt idx="46">
                  <c:v>142.5</c:v>
                </c:pt>
                <c:pt idx="47">
                  <c:v>217.5</c:v>
                </c:pt>
                <c:pt idx="48">
                  <c:v>190</c:v>
                </c:pt>
                <c:pt idx="49">
                  <c:v>140</c:v>
                </c:pt>
                <c:pt idx="50">
                  <c:v>130</c:v>
                </c:pt>
                <c:pt idx="51">
                  <c:v>202.5</c:v>
                </c:pt>
                <c:pt idx="52">
                  <c:v>242.5</c:v>
                </c:pt>
                <c:pt idx="53">
                  <c:v>152.5</c:v>
                </c:pt>
                <c:pt idx="54">
                  <c:v>152.5</c:v>
                </c:pt>
                <c:pt idx="55">
                  <c:v>160</c:v>
                </c:pt>
                <c:pt idx="56">
                  <c:v>197.5</c:v>
                </c:pt>
                <c:pt idx="57">
                  <c:v>180</c:v>
                </c:pt>
                <c:pt idx="58">
                  <c:v>140</c:v>
                </c:pt>
                <c:pt idx="59">
                  <c:v>155</c:v>
                </c:pt>
                <c:pt idx="60">
                  <c:v>170</c:v>
                </c:pt>
                <c:pt idx="61">
                  <c:v>100</c:v>
                </c:pt>
                <c:pt idx="62">
                  <c:v>145</c:v>
                </c:pt>
                <c:pt idx="63">
                  <c:v>210</c:v>
                </c:pt>
                <c:pt idx="64">
                  <c:v>120</c:v>
                </c:pt>
                <c:pt idx="65">
                  <c:v>150</c:v>
                </c:pt>
                <c:pt idx="66">
                  <c:v>165</c:v>
                </c:pt>
                <c:pt idx="67">
                  <c:v>207.5</c:v>
                </c:pt>
                <c:pt idx="68">
                  <c:v>110</c:v>
                </c:pt>
                <c:pt idx="69">
                  <c:v>192.5</c:v>
                </c:pt>
                <c:pt idx="70">
                  <c:v>212.5</c:v>
                </c:pt>
                <c:pt idx="71">
                  <c:v>210</c:v>
                </c:pt>
                <c:pt idx="72">
                  <c:v>167.5</c:v>
                </c:pt>
                <c:pt idx="73">
                  <c:v>125</c:v>
                </c:pt>
                <c:pt idx="74">
                  <c:v>145</c:v>
                </c:pt>
                <c:pt idx="75">
                  <c:v>165</c:v>
                </c:pt>
                <c:pt idx="76">
                  <c:v>142.5</c:v>
                </c:pt>
                <c:pt idx="77">
                  <c:v>162.5</c:v>
                </c:pt>
                <c:pt idx="78">
                  <c:v>162.5</c:v>
                </c:pt>
                <c:pt idx="79">
                  <c:v>135</c:v>
                </c:pt>
                <c:pt idx="80">
                  <c:v>187.5</c:v>
                </c:pt>
                <c:pt idx="81">
                  <c:v>220</c:v>
                </c:pt>
                <c:pt idx="82">
                  <c:v>200</c:v>
                </c:pt>
                <c:pt idx="83">
                  <c:v>132.5</c:v>
                </c:pt>
                <c:pt idx="84">
                  <c:v>205</c:v>
                </c:pt>
                <c:pt idx="85">
                  <c:v>185</c:v>
                </c:pt>
                <c:pt idx="86">
                  <c:v>150</c:v>
                </c:pt>
                <c:pt idx="87">
                  <c:v>180</c:v>
                </c:pt>
                <c:pt idx="88">
                  <c:v>180</c:v>
                </c:pt>
                <c:pt idx="89">
                  <c:v>140</c:v>
                </c:pt>
                <c:pt idx="90">
                  <c:v>177.5</c:v>
                </c:pt>
                <c:pt idx="91">
                  <c:v>215</c:v>
                </c:pt>
                <c:pt idx="92">
                  <c:v>145</c:v>
                </c:pt>
                <c:pt idx="93">
                  <c:v>145</c:v>
                </c:pt>
                <c:pt idx="94">
                  <c:v>145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210</c:v>
                </c:pt>
                <c:pt idx="99">
                  <c:v>172.5</c:v>
                </c:pt>
                <c:pt idx="100">
                  <c:v>172.5</c:v>
                </c:pt>
                <c:pt idx="101">
                  <c:v>160</c:v>
                </c:pt>
                <c:pt idx="102">
                  <c:v>135</c:v>
                </c:pt>
                <c:pt idx="103">
                  <c:v>135</c:v>
                </c:pt>
                <c:pt idx="104">
                  <c:v>182.5</c:v>
                </c:pt>
                <c:pt idx="105">
                  <c:v>182.5</c:v>
                </c:pt>
                <c:pt idx="106">
                  <c:v>170</c:v>
                </c:pt>
                <c:pt idx="107">
                  <c:v>170</c:v>
                </c:pt>
                <c:pt idx="108">
                  <c:v>205</c:v>
                </c:pt>
                <c:pt idx="109">
                  <c:v>132.5</c:v>
                </c:pt>
                <c:pt idx="110">
                  <c:v>132.5</c:v>
                </c:pt>
                <c:pt idx="111">
                  <c:v>180</c:v>
                </c:pt>
                <c:pt idx="112">
                  <c:v>160</c:v>
                </c:pt>
                <c:pt idx="113">
                  <c:v>177.5</c:v>
                </c:pt>
                <c:pt idx="114">
                  <c:v>177.5</c:v>
                </c:pt>
                <c:pt idx="115">
                  <c:v>130</c:v>
                </c:pt>
                <c:pt idx="116">
                  <c:v>195</c:v>
                </c:pt>
                <c:pt idx="117">
                  <c:v>200</c:v>
                </c:pt>
                <c:pt idx="118">
                  <c:v>205</c:v>
                </c:pt>
                <c:pt idx="119">
                  <c:v>197.5</c:v>
                </c:pt>
                <c:pt idx="120">
                  <c:v>162.5</c:v>
                </c:pt>
                <c:pt idx="121">
                  <c:v>207.5</c:v>
                </c:pt>
                <c:pt idx="122">
                  <c:v>172.5</c:v>
                </c:pt>
                <c:pt idx="123">
                  <c:v>195</c:v>
                </c:pt>
                <c:pt idx="124">
                  <c:v>160</c:v>
                </c:pt>
                <c:pt idx="125">
                  <c:v>162.5</c:v>
                </c:pt>
                <c:pt idx="126">
                  <c:v>212.5</c:v>
                </c:pt>
                <c:pt idx="127">
                  <c:v>167.5</c:v>
                </c:pt>
                <c:pt idx="128">
                  <c:v>145</c:v>
                </c:pt>
                <c:pt idx="129">
                  <c:v>250</c:v>
                </c:pt>
                <c:pt idx="130">
                  <c:v>150</c:v>
                </c:pt>
                <c:pt idx="131">
                  <c:v>187.5</c:v>
                </c:pt>
                <c:pt idx="132">
                  <c:v>165</c:v>
                </c:pt>
                <c:pt idx="133">
                  <c:v>120</c:v>
                </c:pt>
                <c:pt idx="134">
                  <c:v>152.5</c:v>
                </c:pt>
                <c:pt idx="135">
                  <c:v>185</c:v>
                </c:pt>
                <c:pt idx="136">
                  <c:v>222.5</c:v>
                </c:pt>
                <c:pt idx="137">
                  <c:v>130</c:v>
                </c:pt>
                <c:pt idx="138">
                  <c:v>200</c:v>
                </c:pt>
                <c:pt idx="139">
                  <c:v>215</c:v>
                </c:pt>
                <c:pt idx="140">
                  <c:v>145</c:v>
                </c:pt>
                <c:pt idx="141">
                  <c:v>170</c:v>
                </c:pt>
                <c:pt idx="142">
                  <c:v>170</c:v>
                </c:pt>
                <c:pt idx="143">
                  <c:v>175</c:v>
                </c:pt>
                <c:pt idx="144">
                  <c:v>132.5</c:v>
                </c:pt>
                <c:pt idx="145">
                  <c:v>210</c:v>
                </c:pt>
                <c:pt idx="146">
                  <c:v>187.5</c:v>
                </c:pt>
                <c:pt idx="147">
                  <c:v>197.5</c:v>
                </c:pt>
                <c:pt idx="148">
                  <c:v>207.5</c:v>
                </c:pt>
                <c:pt idx="149">
                  <c:v>165</c:v>
                </c:pt>
                <c:pt idx="150">
                  <c:v>170</c:v>
                </c:pt>
                <c:pt idx="151">
                  <c:v>195</c:v>
                </c:pt>
                <c:pt idx="152">
                  <c:v>215</c:v>
                </c:pt>
                <c:pt idx="153">
                  <c:v>152.5</c:v>
                </c:pt>
                <c:pt idx="154">
                  <c:v>187.5</c:v>
                </c:pt>
                <c:pt idx="155">
                  <c:v>192.5</c:v>
                </c:pt>
                <c:pt idx="156">
                  <c:v>222.5</c:v>
                </c:pt>
                <c:pt idx="157">
                  <c:v>232.5</c:v>
                </c:pt>
                <c:pt idx="158">
                  <c:v>180</c:v>
                </c:pt>
                <c:pt idx="159">
                  <c:v>200</c:v>
                </c:pt>
                <c:pt idx="160">
                  <c:v>225</c:v>
                </c:pt>
                <c:pt idx="161">
                  <c:v>150</c:v>
                </c:pt>
                <c:pt idx="162">
                  <c:v>120</c:v>
                </c:pt>
                <c:pt idx="163">
                  <c:v>200</c:v>
                </c:pt>
                <c:pt idx="164">
                  <c:v>150</c:v>
                </c:pt>
                <c:pt idx="165">
                  <c:v>170</c:v>
                </c:pt>
                <c:pt idx="166">
                  <c:v>140</c:v>
                </c:pt>
                <c:pt idx="167">
                  <c:v>130</c:v>
                </c:pt>
                <c:pt idx="168">
                  <c:v>165</c:v>
                </c:pt>
                <c:pt idx="169">
                  <c:v>190</c:v>
                </c:pt>
                <c:pt idx="170">
                  <c:v>187.5</c:v>
                </c:pt>
                <c:pt idx="171">
                  <c:v>182.5</c:v>
                </c:pt>
                <c:pt idx="172">
                  <c:v>167.5</c:v>
                </c:pt>
                <c:pt idx="173">
                  <c:v>147.5</c:v>
                </c:pt>
                <c:pt idx="174">
                  <c:v>137.5</c:v>
                </c:pt>
                <c:pt idx="175">
                  <c:v>225</c:v>
                </c:pt>
                <c:pt idx="176">
                  <c:v>210</c:v>
                </c:pt>
                <c:pt idx="177">
                  <c:v>175</c:v>
                </c:pt>
                <c:pt idx="178">
                  <c:v>165</c:v>
                </c:pt>
                <c:pt idx="179">
                  <c:v>160</c:v>
                </c:pt>
                <c:pt idx="180">
                  <c:v>155</c:v>
                </c:pt>
                <c:pt idx="181">
                  <c:v>172.5</c:v>
                </c:pt>
                <c:pt idx="182">
                  <c:v>115</c:v>
                </c:pt>
                <c:pt idx="183">
                  <c:v>172.5</c:v>
                </c:pt>
                <c:pt idx="184">
                  <c:v>167.5</c:v>
                </c:pt>
                <c:pt idx="185">
                  <c:v>205</c:v>
                </c:pt>
                <c:pt idx="186">
                  <c:v>200</c:v>
                </c:pt>
                <c:pt idx="187">
                  <c:v>195</c:v>
                </c:pt>
                <c:pt idx="188">
                  <c:v>142.5</c:v>
                </c:pt>
                <c:pt idx="189">
                  <c:v>222.5</c:v>
                </c:pt>
                <c:pt idx="190">
                  <c:v>175</c:v>
                </c:pt>
                <c:pt idx="191">
                  <c:v>170</c:v>
                </c:pt>
                <c:pt idx="192">
                  <c:v>165</c:v>
                </c:pt>
                <c:pt idx="193">
                  <c:v>160</c:v>
                </c:pt>
                <c:pt idx="194">
                  <c:v>197.5</c:v>
                </c:pt>
                <c:pt idx="195">
                  <c:v>192.5</c:v>
                </c:pt>
                <c:pt idx="196">
                  <c:v>192.5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220</c:v>
                </c:pt>
                <c:pt idx="201">
                  <c:v>220</c:v>
                </c:pt>
                <c:pt idx="202">
                  <c:v>182.5</c:v>
                </c:pt>
                <c:pt idx="203">
                  <c:v>215</c:v>
                </c:pt>
                <c:pt idx="204">
                  <c:v>172.5</c:v>
                </c:pt>
                <c:pt idx="205">
                  <c:v>205</c:v>
                </c:pt>
                <c:pt idx="206">
                  <c:v>205</c:v>
                </c:pt>
                <c:pt idx="207">
                  <c:v>190</c:v>
                </c:pt>
                <c:pt idx="208">
                  <c:v>212.5</c:v>
                </c:pt>
                <c:pt idx="209">
                  <c:v>212.5</c:v>
                </c:pt>
                <c:pt idx="210">
                  <c:v>147.5</c:v>
                </c:pt>
                <c:pt idx="211">
                  <c:v>147.5</c:v>
                </c:pt>
                <c:pt idx="212">
                  <c:v>147.5</c:v>
                </c:pt>
                <c:pt idx="213">
                  <c:v>225</c:v>
                </c:pt>
                <c:pt idx="214">
                  <c:v>165</c:v>
                </c:pt>
                <c:pt idx="215">
                  <c:v>215</c:v>
                </c:pt>
                <c:pt idx="216">
                  <c:v>215</c:v>
                </c:pt>
                <c:pt idx="217">
                  <c:v>182.5</c:v>
                </c:pt>
                <c:pt idx="218">
                  <c:v>155</c:v>
                </c:pt>
                <c:pt idx="219">
                  <c:v>127.5</c:v>
                </c:pt>
                <c:pt idx="220">
                  <c:v>200</c:v>
                </c:pt>
                <c:pt idx="221">
                  <c:v>195</c:v>
                </c:pt>
                <c:pt idx="222">
                  <c:v>162.5</c:v>
                </c:pt>
                <c:pt idx="223">
                  <c:v>180</c:v>
                </c:pt>
                <c:pt idx="224">
                  <c:v>135</c:v>
                </c:pt>
                <c:pt idx="225">
                  <c:v>180</c:v>
                </c:pt>
                <c:pt idx="226">
                  <c:v>175</c:v>
                </c:pt>
                <c:pt idx="227">
                  <c:v>170</c:v>
                </c:pt>
                <c:pt idx="228">
                  <c:v>187.5</c:v>
                </c:pt>
                <c:pt idx="229">
                  <c:v>125</c:v>
                </c:pt>
                <c:pt idx="230">
                  <c:v>142.5</c:v>
                </c:pt>
                <c:pt idx="231">
                  <c:v>200</c:v>
                </c:pt>
                <c:pt idx="232">
                  <c:v>160</c:v>
                </c:pt>
                <c:pt idx="233">
                  <c:v>221</c:v>
                </c:pt>
                <c:pt idx="234">
                  <c:v>190</c:v>
                </c:pt>
                <c:pt idx="235">
                  <c:v>190</c:v>
                </c:pt>
                <c:pt idx="236">
                  <c:v>127.5</c:v>
                </c:pt>
                <c:pt idx="237">
                  <c:v>162.5</c:v>
                </c:pt>
                <c:pt idx="238">
                  <c:v>215</c:v>
                </c:pt>
                <c:pt idx="239">
                  <c:v>210</c:v>
                </c:pt>
                <c:pt idx="240">
                  <c:v>122.5</c:v>
                </c:pt>
                <c:pt idx="241">
                  <c:v>140</c:v>
                </c:pt>
                <c:pt idx="242">
                  <c:v>152.5</c:v>
                </c:pt>
                <c:pt idx="243">
                  <c:v>200</c:v>
                </c:pt>
                <c:pt idx="244">
                  <c:v>200</c:v>
                </c:pt>
                <c:pt idx="245">
                  <c:v>165</c:v>
                </c:pt>
                <c:pt idx="246">
                  <c:v>165</c:v>
                </c:pt>
                <c:pt idx="247">
                  <c:v>230</c:v>
                </c:pt>
                <c:pt idx="248">
                  <c:v>130</c:v>
                </c:pt>
                <c:pt idx="249">
                  <c:v>155</c:v>
                </c:pt>
                <c:pt idx="250">
                  <c:v>215</c:v>
                </c:pt>
                <c:pt idx="251">
                  <c:v>180</c:v>
                </c:pt>
                <c:pt idx="252">
                  <c:v>175</c:v>
                </c:pt>
                <c:pt idx="253">
                  <c:v>175</c:v>
                </c:pt>
                <c:pt idx="254">
                  <c:v>187.5</c:v>
                </c:pt>
                <c:pt idx="255">
                  <c:v>152.5</c:v>
                </c:pt>
                <c:pt idx="256">
                  <c:v>220</c:v>
                </c:pt>
                <c:pt idx="257">
                  <c:v>177.5</c:v>
                </c:pt>
                <c:pt idx="258">
                  <c:v>160</c:v>
                </c:pt>
                <c:pt idx="259">
                  <c:v>185</c:v>
                </c:pt>
                <c:pt idx="260">
                  <c:v>162.5</c:v>
                </c:pt>
                <c:pt idx="261">
                  <c:v>150</c:v>
                </c:pt>
                <c:pt idx="262">
                  <c:v>162.5</c:v>
                </c:pt>
                <c:pt idx="263">
                  <c:v>207.5</c:v>
                </c:pt>
                <c:pt idx="264">
                  <c:v>182.5</c:v>
                </c:pt>
                <c:pt idx="265">
                  <c:v>145</c:v>
                </c:pt>
                <c:pt idx="266">
                  <c:v>190</c:v>
                </c:pt>
                <c:pt idx="267">
                  <c:v>165</c:v>
                </c:pt>
                <c:pt idx="268">
                  <c:v>185</c:v>
                </c:pt>
                <c:pt idx="269">
                  <c:v>160</c:v>
                </c:pt>
                <c:pt idx="270">
                  <c:v>180</c:v>
                </c:pt>
                <c:pt idx="271">
                  <c:v>212.5</c:v>
                </c:pt>
                <c:pt idx="272">
                  <c:v>212.5</c:v>
                </c:pt>
                <c:pt idx="273">
                  <c:v>175</c:v>
                </c:pt>
                <c:pt idx="274">
                  <c:v>130</c:v>
                </c:pt>
                <c:pt idx="275">
                  <c:v>195</c:v>
                </c:pt>
                <c:pt idx="276">
                  <c:v>182.5</c:v>
                </c:pt>
                <c:pt idx="277">
                  <c:v>150</c:v>
                </c:pt>
                <c:pt idx="278">
                  <c:v>202.5</c:v>
                </c:pt>
                <c:pt idx="279">
                  <c:v>170</c:v>
                </c:pt>
                <c:pt idx="280">
                  <c:v>160</c:v>
                </c:pt>
                <c:pt idx="281">
                  <c:v>185</c:v>
                </c:pt>
                <c:pt idx="282">
                  <c:v>185</c:v>
                </c:pt>
                <c:pt idx="283">
                  <c:v>185</c:v>
                </c:pt>
                <c:pt idx="284">
                  <c:v>160</c:v>
                </c:pt>
                <c:pt idx="285">
                  <c:v>167.5</c:v>
                </c:pt>
                <c:pt idx="286">
                  <c:v>230</c:v>
                </c:pt>
                <c:pt idx="287">
                  <c:v>162.5</c:v>
                </c:pt>
                <c:pt idx="288">
                  <c:v>197.5</c:v>
                </c:pt>
                <c:pt idx="289">
                  <c:v>165</c:v>
                </c:pt>
                <c:pt idx="290">
                  <c:v>157.5</c:v>
                </c:pt>
                <c:pt idx="291">
                  <c:v>160</c:v>
                </c:pt>
                <c:pt idx="292">
                  <c:v>210</c:v>
                </c:pt>
                <c:pt idx="293">
                  <c:v>190</c:v>
                </c:pt>
                <c:pt idx="294">
                  <c:v>155</c:v>
                </c:pt>
                <c:pt idx="295">
                  <c:v>227.5</c:v>
                </c:pt>
                <c:pt idx="296">
                  <c:v>215</c:v>
                </c:pt>
                <c:pt idx="297">
                  <c:v>167.5</c:v>
                </c:pt>
                <c:pt idx="298">
                  <c:v>167.5</c:v>
                </c:pt>
                <c:pt idx="299">
                  <c:v>175</c:v>
                </c:pt>
                <c:pt idx="300">
                  <c:v>205</c:v>
                </c:pt>
                <c:pt idx="301">
                  <c:v>125</c:v>
                </c:pt>
                <c:pt idx="302">
                  <c:v>140</c:v>
                </c:pt>
                <c:pt idx="303">
                  <c:v>140</c:v>
                </c:pt>
                <c:pt idx="304">
                  <c:v>172.5</c:v>
                </c:pt>
                <c:pt idx="305">
                  <c:v>112.5</c:v>
                </c:pt>
                <c:pt idx="306">
                  <c:v>172.5</c:v>
                </c:pt>
                <c:pt idx="307">
                  <c:v>202.5</c:v>
                </c:pt>
                <c:pt idx="308">
                  <c:v>157.5</c:v>
                </c:pt>
                <c:pt idx="309">
                  <c:v>157.5</c:v>
                </c:pt>
                <c:pt idx="310">
                  <c:v>227.5</c:v>
                </c:pt>
                <c:pt idx="311">
                  <c:v>170</c:v>
                </c:pt>
                <c:pt idx="312">
                  <c:v>182.5</c:v>
                </c:pt>
                <c:pt idx="313">
                  <c:v>137.5</c:v>
                </c:pt>
                <c:pt idx="314">
                  <c:v>215</c:v>
                </c:pt>
                <c:pt idx="315">
                  <c:v>207.5</c:v>
                </c:pt>
                <c:pt idx="316">
                  <c:v>207.5</c:v>
                </c:pt>
                <c:pt idx="317">
                  <c:v>185</c:v>
                </c:pt>
                <c:pt idx="318">
                  <c:v>140</c:v>
                </c:pt>
                <c:pt idx="319">
                  <c:v>140</c:v>
                </c:pt>
                <c:pt idx="320">
                  <c:v>125</c:v>
                </c:pt>
                <c:pt idx="321">
                  <c:v>190</c:v>
                </c:pt>
                <c:pt idx="322">
                  <c:v>182.5</c:v>
                </c:pt>
                <c:pt idx="323">
                  <c:v>167.5</c:v>
                </c:pt>
                <c:pt idx="324">
                  <c:v>200</c:v>
                </c:pt>
                <c:pt idx="325">
                  <c:v>192.5</c:v>
                </c:pt>
                <c:pt idx="326">
                  <c:v>195</c:v>
                </c:pt>
                <c:pt idx="327">
                  <c:v>252.5</c:v>
                </c:pt>
                <c:pt idx="328">
                  <c:v>155</c:v>
                </c:pt>
                <c:pt idx="329">
                  <c:v>180</c:v>
                </c:pt>
                <c:pt idx="330">
                  <c:v>180</c:v>
                </c:pt>
                <c:pt idx="331">
                  <c:v>205</c:v>
                </c:pt>
                <c:pt idx="332">
                  <c:v>165</c:v>
                </c:pt>
                <c:pt idx="333">
                  <c:v>170</c:v>
                </c:pt>
                <c:pt idx="334">
                  <c:v>170</c:v>
                </c:pt>
                <c:pt idx="335">
                  <c:v>205</c:v>
                </c:pt>
                <c:pt idx="336">
                  <c:v>162.5</c:v>
                </c:pt>
                <c:pt idx="337">
                  <c:v>137.5</c:v>
                </c:pt>
                <c:pt idx="338">
                  <c:v>190</c:v>
                </c:pt>
                <c:pt idx="339">
                  <c:v>245</c:v>
                </c:pt>
                <c:pt idx="340">
                  <c:v>132.5</c:v>
                </c:pt>
                <c:pt idx="341">
                  <c:v>195</c:v>
                </c:pt>
                <c:pt idx="342">
                  <c:v>177.5</c:v>
                </c:pt>
                <c:pt idx="343">
                  <c:v>160</c:v>
                </c:pt>
                <c:pt idx="344">
                  <c:v>222.5</c:v>
                </c:pt>
                <c:pt idx="345">
                  <c:v>187.5</c:v>
                </c:pt>
                <c:pt idx="346">
                  <c:v>152.5</c:v>
                </c:pt>
                <c:pt idx="347">
                  <c:v>197.5</c:v>
                </c:pt>
                <c:pt idx="348">
                  <c:v>207.5</c:v>
                </c:pt>
                <c:pt idx="349">
                  <c:v>145</c:v>
                </c:pt>
                <c:pt idx="350">
                  <c:v>155</c:v>
                </c:pt>
                <c:pt idx="351">
                  <c:v>165</c:v>
                </c:pt>
                <c:pt idx="352">
                  <c:v>165</c:v>
                </c:pt>
                <c:pt idx="353">
                  <c:v>130</c:v>
                </c:pt>
                <c:pt idx="354">
                  <c:v>212.5</c:v>
                </c:pt>
                <c:pt idx="355">
                  <c:v>155</c:v>
                </c:pt>
                <c:pt idx="356">
                  <c:v>167.5</c:v>
                </c:pt>
                <c:pt idx="357">
                  <c:v>177.5</c:v>
                </c:pt>
                <c:pt idx="358">
                  <c:v>193.5</c:v>
                </c:pt>
                <c:pt idx="359">
                  <c:v>212.5</c:v>
                </c:pt>
                <c:pt idx="360">
                  <c:v>195</c:v>
                </c:pt>
                <c:pt idx="361">
                  <c:v>175</c:v>
                </c:pt>
                <c:pt idx="362">
                  <c:v>155</c:v>
                </c:pt>
                <c:pt idx="363">
                  <c:v>155</c:v>
                </c:pt>
                <c:pt idx="364">
                  <c:v>180</c:v>
                </c:pt>
                <c:pt idx="365">
                  <c:v>222.5</c:v>
                </c:pt>
                <c:pt idx="366">
                  <c:v>140</c:v>
                </c:pt>
                <c:pt idx="367">
                  <c:v>205</c:v>
                </c:pt>
                <c:pt idx="368">
                  <c:v>205</c:v>
                </c:pt>
                <c:pt idx="369">
                  <c:v>162.5</c:v>
                </c:pt>
                <c:pt idx="370">
                  <c:v>200</c:v>
                </c:pt>
                <c:pt idx="371">
                  <c:v>172.5</c:v>
                </c:pt>
                <c:pt idx="372">
                  <c:v>185</c:v>
                </c:pt>
                <c:pt idx="373">
                  <c:v>222.5</c:v>
                </c:pt>
                <c:pt idx="374">
                  <c:v>215</c:v>
                </c:pt>
                <c:pt idx="375">
                  <c:v>220</c:v>
                </c:pt>
                <c:pt idx="376">
                  <c:v>260.5</c:v>
                </c:pt>
                <c:pt idx="377">
                  <c:v>185</c:v>
                </c:pt>
                <c:pt idx="378">
                  <c:v>172.5</c:v>
                </c:pt>
                <c:pt idx="379">
                  <c:v>135</c:v>
                </c:pt>
                <c:pt idx="380">
                  <c:v>235</c:v>
                </c:pt>
                <c:pt idx="381">
                  <c:v>165</c:v>
                </c:pt>
                <c:pt idx="382">
                  <c:v>237.5</c:v>
                </c:pt>
                <c:pt idx="383">
                  <c:v>270.5</c:v>
                </c:pt>
                <c:pt idx="384">
                  <c:v>160</c:v>
                </c:pt>
                <c:pt idx="385">
                  <c:v>172.5</c:v>
                </c:pt>
                <c:pt idx="386">
                  <c:v>155</c:v>
                </c:pt>
                <c:pt idx="387">
                  <c:v>187.5</c:v>
                </c:pt>
                <c:pt idx="388">
                  <c:v>210.5</c:v>
                </c:pt>
                <c:pt idx="389">
                  <c:v>160</c:v>
                </c:pt>
                <c:pt idx="390">
                  <c:v>207.5</c:v>
                </c:pt>
                <c:pt idx="391">
                  <c:v>180</c:v>
                </c:pt>
                <c:pt idx="392">
                  <c:v>192.5</c:v>
                </c:pt>
                <c:pt idx="393">
                  <c:v>187.5</c:v>
                </c:pt>
                <c:pt idx="394">
                  <c:v>240</c:v>
                </c:pt>
                <c:pt idx="395">
                  <c:v>180</c:v>
                </c:pt>
                <c:pt idx="396">
                  <c:v>270</c:v>
                </c:pt>
                <c:pt idx="397">
                  <c:v>175</c:v>
                </c:pt>
                <c:pt idx="398">
                  <c:v>245</c:v>
                </c:pt>
                <c:pt idx="399">
                  <c:v>40</c:v>
                </c:pt>
                <c:pt idx="400">
                  <c:v>75</c:v>
                </c:pt>
                <c:pt idx="401">
                  <c:v>42.5</c:v>
                </c:pt>
                <c:pt idx="402">
                  <c:v>87.5</c:v>
                </c:pt>
                <c:pt idx="403">
                  <c:v>40</c:v>
                </c:pt>
                <c:pt idx="404">
                  <c:v>102.5</c:v>
                </c:pt>
                <c:pt idx="405">
                  <c:v>102.5</c:v>
                </c:pt>
                <c:pt idx="406">
                  <c:v>52.5</c:v>
                </c:pt>
                <c:pt idx="407">
                  <c:v>70</c:v>
                </c:pt>
                <c:pt idx="408">
                  <c:v>77.5</c:v>
                </c:pt>
                <c:pt idx="409">
                  <c:v>67.5</c:v>
                </c:pt>
                <c:pt idx="410">
                  <c:v>70</c:v>
                </c:pt>
                <c:pt idx="411">
                  <c:v>70</c:v>
                </c:pt>
                <c:pt idx="412">
                  <c:v>75</c:v>
                </c:pt>
                <c:pt idx="413">
                  <c:v>72.5</c:v>
                </c:pt>
                <c:pt idx="414">
                  <c:v>85</c:v>
                </c:pt>
                <c:pt idx="415">
                  <c:v>60</c:v>
                </c:pt>
                <c:pt idx="416">
                  <c:v>92.5</c:v>
                </c:pt>
                <c:pt idx="417">
                  <c:v>65</c:v>
                </c:pt>
                <c:pt idx="418">
                  <c:v>112.5</c:v>
                </c:pt>
                <c:pt idx="419">
                  <c:v>82.5</c:v>
                </c:pt>
                <c:pt idx="420">
                  <c:v>95</c:v>
                </c:pt>
                <c:pt idx="421">
                  <c:v>55</c:v>
                </c:pt>
                <c:pt idx="422">
                  <c:v>55</c:v>
                </c:pt>
                <c:pt idx="423">
                  <c:v>112.5</c:v>
                </c:pt>
                <c:pt idx="424">
                  <c:v>77.5</c:v>
                </c:pt>
                <c:pt idx="425">
                  <c:v>80</c:v>
                </c:pt>
                <c:pt idx="426">
                  <c:v>85</c:v>
                </c:pt>
                <c:pt idx="427">
                  <c:v>82.5</c:v>
                </c:pt>
                <c:pt idx="428">
                  <c:v>55</c:v>
                </c:pt>
                <c:pt idx="429">
                  <c:v>45</c:v>
                </c:pt>
                <c:pt idx="430">
                  <c:v>55</c:v>
                </c:pt>
                <c:pt idx="431">
                  <c:v>95</c:v>
                </c:pt>
                <c:pt idx="432">
                  <c:v>65</c:v>
                </c:pt>
                <c:pt idx="433">
                  <c:v>80</c:v>
                </c:pt>
                <c:pt idx="434">
                  <c:v>100</c:v>
                </c:pt>
                <c:pt idx="435">
                  <c:v>85</c:v>
                </c:pt>
                <c:pt idx="436">
                  <c:v>72.5</c:v>
                </c:pt>
                <c:pt idx="437">
                  <c:v>110</c:v>
                </c:pt>
                <c:pt idx="438">
                  <c:v>102.5</c:v>
                </c:pt>
                <c:pt idx="439">
                  <c:v>92.5</c:v>
                </c:pt>
                <c:pt idx="440">
                  <c:v>75</c:v>
                </c:pt>
                <c:pt idx="441">
                  <c:v>72.5</c:v>
                </c:pt>
                <c:pt idx="442">
                  <c:v>72.5</c:v>
                </c:pt>
                <c:pt idx="443">
                  <c:v>92.5</c:v>
                </c:pt>
                <c:pt idx="444">
                  <c:v>85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75</c:v>
                </c:pt>
                <c:pt idx="449">
                  <c:v>97.5</c:v>
                </c:pt>
                <c:pt idx="450">
                  <c:v>72.5</c:v>
                </c:pt>
                <c:pt idx="451">
                  <c:v>67.5</c:v>
                </c:pt>
                <c:pt idx="452">
                  <c:v>65</c:v>
                </c:pt>
                <c:pt idx="453">
                  <c:v>65</c:v>
                </c:pt>
                <c:pt idx="454">
                  <c:v>97.5</c:v>
                </c:pt>
                <c:pt idx="455">
                  <c:v>77.5</c:v>
                </c:pt>
                <c:pt idx="456">
                  <c:v>77.5</c:v>
                </c:pt>
                <c:pt idx="457">
                  <c:v>75</c:v>
                </c:pt>
                <c:pt idx="458">
                  <c:v>75</c:v>
                </c:pt>
                <c:pt idx="459">
                  <c:v>70</c:v>
                </c:pt>
                <c:pt idx="460">
                  <c:v>87.5</c:v>
                </c:pt>
                <c:pt idx="461">
                  <c:v>85</c:v>
                </c:pt>
                <c:pt idx="462">
                  <c:v>67.5</c:v>
                </c:pt>
                <c:pt idx="463">
                  <c:v>50</c:v>
                </c:pt>
                <c:pt idx="464">
                  <c:v>65</c:v>
                </c:pt>
                <c:pt idx="465">
                  <c:v>65</c:v>
                </c:pt>
                <c:pt idx="466">
                  <c:v>80</c:v>
                </c:pt>
                <c:pt idx="467">
                  <c:v>110</c:v>
                </c:pt>
                <c:pt idx="468">
                  <c:v>62.5</c:v>
                </c:pt>
                <c:pt idx="469">
                  <c:v>62.5</c:v>
                </c:pt>
                <c:pt idx="470">
                  <c:v>77.5</c:v>
                </c:pt>
                <c:pt idx="471">
                  <c:v>92.5</c:v>
                </c:pt>
                <c:pt idx="472">
                  <c:v>60</c:v>
                </c:pt>
                <c:pt idx="473">
                  <c:v>87.5</c:v>
                </c:pt>
                <c:pt idx="474">
                  <c:v>72.5</c:v>
                </c:pt>
                <c:pt idx="475">
                  <c:v>85</c:v>
                </c:pt>
                <c:pt idx="476">
                  <c:v>85</c:v>
                </c:pt>
                <c:pt idx="477">
                  <c:v>70</c:v>
                </c:pt>
                <c:pt idx="478">
                  <c:v>55</c:v>
                </c:pt>
                <c:pt idx="479">
                  <c:v>55</c:v>
                </c:pt>
                <c:pt idx="480">
                  <c:v>80</c:v>
                </c:pt>
                <c:pt idx="481">
                  <c:v>80</c:v>
                </c:pt>
                <c:pt idx="482">
                  <c:v>105</c:v>
                </c:pt>
                <c:pt idx="483">
                  <c:v>75</c:v>
                </c:pt>
                <c:pt idx="484">
                  <c:v>85</c:v>
                </c:pt>
                <c:pt idx="485">
                  <c:v>82.5</c:v>
                </c:pt>
                <c:pt idx="486">
                  <c:v>70</c:v>
                </c:pt>
                <c:pt idx="487">
                  <c:v>70</c:v>
                </c:pt>
                <c:pt idx="488">
                  <c:v>67.5</c:v>
                </c:pt>
                <c:pt idx="489">
                  <c:v>67.5</c:v>
                </c:pt>
                <c:pt idx="490">
                  <c:v>77.5</c:v>
                </c:pt>
                <c:pt idx="491">
                  <c:v>65</c:v>
                </c:pt>
                <c:pt idx="492">
                  <c:v>75</c:v>
                </c:pt>
                <c:pt idx="493">
                  <c:v>52.5</c:v>
                </c:pt>
                <c:pt idx="494">
                  <c:v>72.5</c:v>
                </c:pt>
                <c:pt idx="495">
                  <c:v>80</c:v>
                </c:pt>
                <c:pt idx="496">
                  <c:v>110</c:v>
                </c:pt>
                <c:pt idx="497">
                  <c:v>72.5</c:v>
                </c:pt>
                <c:pt idx="498">
                  <c:v>90</c:v>
                </c:pt>
                <c:pt idx="499">
                  <c:v>70</c:v>
                </c:pt>
                <c:pt idx="500">
                  <c:v>102.5</c:v>
                </c:pt>
                <c:pt idx="501">
                  <c:v>85</c:v>
                </c:pt>
                <c:pt idx="502">
                  <c:v>92.5</c:v>
                </c:pt>
                <c:pt idx="503">
                  <c:v>145.5</c:v>
                </c:pt>
                <c:pt idx="504">
                  <c:v>75</c:v>
                </c:pt>
                <c:pt idx="505">
                  <c:v>82.5</c:v>
                </c:pt>
                <c:pt idx="506">
                  <c:v>57.5</c:v>
                </c:pt>
                <c:pt idx="507">
                  <c:v>65</c:v>
                </c:pt>
                <c:pt idx="508">
                  <c:v>65</c:v>
                </c:pt>
                <c:pt idx="509">
                  <c:v>72.5</c:v>
                </c:pt>
                <c:pt idx="510">
                  <c:v>72.5</c:v>
                </c:pt>
                <c:pt idx="511">
                  <c:v>80</c:v>
                </c:pt>
                <c:pt idx="512">
                  <c:v>127.5</c:v>
                </c:pt>
                <c:pt idx="513">
                  <c:v>87.5</c:v>
                </c:pt>
                <c:pt idx="514">
                  <c:v>105</c:v>
                </c:pt>
                <c:pt idx="515">
                  <c:v>75</c:v>
                </c:pt>
                <c:pt idx="516">
                  <c:v>75</c:v>
                </c:pt>
                <c:pt idx="517">
                  <c:v>82.5</c:v>
                </c:pt>
                <c:pt idx="518">
                  <c:v>100</c:v>
                </c:pt>
                <c:pt idx="519">
                  <c:v>100</c:v>
                </c:pt>
                <c:pt idx="520">
                  <c:v>85</c:v>
                </c:pt>
                <c:pt idx="521">
                  <c:v>70</c:v>
                </c:pt>
                <c:pt idx="522">
                  <c:v>70</c:v>
                </c:pt>
                <c:pt idx="523">
                  <c:v>62.5</c:v>
                </c:pt>
                <c:pt idx="524">
                  <c:v>55</c:v>
                </c:pt>
                <c:pt idx="525">
                  <c:v>110</c:v>
                </c:pt>
                <c:pt idx="526">
                  <c:v>75</c:v>
                </c:pt>
                <c:pt idx="527">
                  <c:v>95</c:v>
                </c:pt>
                <c:pt idx="528">
                  <c:v>67.5</c:v>
                </c:pt>
                <c:pt idx="529">
                  <c:v>67.5</c:v>
                </c:pt>
                <c:pt idx="530">
                  <c:v>87.5</c:v>
                </c:pt>
                <c:pt idx="531">
                  <c:v>60</c:v>
                </c:pt>
                <c:pt idx="532">
                  <c:v>100</c:v>
                </c:pt>
                <c:pt idx="533">
                  <c:v>52.5</c:v>
                </c:pt>
                <c:pt idx="534">
                  <c:v>85</c:v>
                </c:pt>
                <c:pt idx="535">
                  <c:v>85</c:v>
                </c:pt>
                <c:pt idx="536">
                  <c:v>97.5</c:v>
                </c:pt>
                <c:pt idx="537">
                  <c:v>77.5</c:v>
                </c:pt>
                <c:pt idx="538">
                  <c:v>77.5</c:v>
                </c:pt>
                <c:pt idx="539">
                  <c:v>45</c:v>
                </c:pt>
                <c:pt idx="540">
                  <c:v>102.5</c:v>
                </c:pt>
                <c:pt idx="541">
                  <c:v>82.5</c:v>
                </c:pt>
                <c:pt idx="542">
                  <c:v>107.5</c:v>
                </c:pt>
                <c:pt idx="543">
                  <c:v>62.5</c:v>
                </c:pt>
                <c:pt idx="544">
                  <c:v>92.5</c:v>
                </c:pt>
                <c:pt idx="545">
                  <c:v>80</c:v>
                </c:pt>
                <c:pt idx="546">
                  <c:v>80</c:v>
                </c:pt>
                <c:pt idx="547">
                  <c:v>67.5</c:v>
                </c:pt>
                <c:pt idx="548">
                  <c:v>85</c:v>
                </c:pt>
                <c:pt idx="549">
                  <c:v>115</c:v>
                </c:pt>
                <c:pt idx="550">
                  <c:v>72.5</c:v>
                </c:pt>
                <c:pt idx="551">
                  <c:v>60</c:v>
                </c:pt>
                <c:pt idx="552">
                  <c:v>60</c:v>
                </c:pt>
                <c:pt idx="553">
                  <c:v>90</c:v>
                </c:pt>
                <c:pt idx="554">
                  <c:v>107.5</c:v>
                </c:pt>
                <c:pt idx="555">
                  <c:v>107.5</c:v>
                </c:pt>
                <c:pt idx="556">
                  <c:v>77.5</c:v>
                </c:pt>
                <c:pt idx="557">
                  <c:v>95</c:v>
                </c:pt>
                <c:pt idx="558">
                  <c:v>112.5</c:v>
                </c:pt>
                <c:pt idx="559">
                  <c:v>65</c:v>
                </c:pt>
                <c:pt idx="560">
                  <c:v>82.5</c:v>
                </c:pt>
                <c:pt idx="561">
                  <c:v>82.5</c:v>
                </c:pt>
                <c:pt idx="562">
                  <c:v>70</c:v>
                </c:pt>
                <c:pt idx="563">
                  <c:v>52.5</c:v>
                </c:pt>
                <c:pt idx="564">
                  <c:v>125</c:v>
                </c:pt>
                <c:pt idx="565">
                  <c:v>112.5</c:v>
                </c:pt>
                <c:pt idx="566">
                  <c:v>67.5</c:v>
                </c:pt>
                <c:pt idx="567">
                  <c:v>95</c:v>
                </c:pt>
                <c:pt idx="568">
                  <c:v>60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127.5</c:v>
                </c:pt>
                <c:pt idx="573">
                  <c:v>90</c:v>
                </c:pt>
                <c:pt idx="574">
                  <c:v>95</c:v>
                </c:pt>
                <c:pt idx="575">
                  <c:v>105</c:v>
                </c:pt>
                <c:pt idx="576">
                  <c:v>67.5</c:v>
                </c:pt>
                <c:pt idx="577">
                  <c:v>135</c:v>
                </c:pt>
                <c:pt idx="578">
                  <c:v>72.5</c:v>
                </c:pt>
                <c:pt idx="579">
                  <c:v>122.5</c:v>
                </c:pt>
                <c:pt idx="580">
                  <c:v>92.5</c:v>
                </c:pt>
                <c:pt idx="581">
                  <c:v>102.5</c:v>
                </c:pt>
                <c:pt idx="582">
                  <c:v>122.5</c:v>
                </c:pt>
                <c:pt idx="583">
                  <c:v>95</c:v>
                </c:pt>
                <c:pt idx="584">
                  <c:v>90</c:v>
                </c:pt>
                <c:pt idx="585">
                  <c:v>70</c:v>
                </c:pt>
                <c:pt idx="586">
                  <c:v>70</c:v>
                </c:pt>
                <c:pt idx="587">
                  <c:v>80</c:v>
                </c:pt>
                <c:pt idx="588">
                  <c:v>107.5</c:v>
                </c:pt>
                <c:pt idx="589">
                  <c:v>72.5</c:v>
                </c:pt>
                <c:pt idx="590">
                  <c:v>72.5</c:v>
                </c:pt>
                <c:pt idx="591">
                  <c:v>120</c:v>
                </c:pt>
                <c:pt idx="592">
                  <c:v>115</c:v>
                </c:pt>
                <c:pt idx="593">
                  <c:v>110</c:v>
                </c:pt>
                <c:pt idx="594">
                  <c:v>135.5</c:v>
                </c:pt>
                <c:pt idx="595">
                  <c:v>90</c:v>
                </c:pt>
                <c:pt idx="596">
                  <c:v>75</c:v>
                </c:pt>
                <c:pt idx="597">
                  <c:v>97.5</c:v>
                </c:pt>
                <c:pt idx="598">
                  <c:v>65</c:v>
                </c:pt>
                <c:pt idx="599">
                  <c:v>136</c:v>
                </c:pt>
                <c:pt idx="600">
                  <c:v>50</c:v>
                </c:pt>
                <c:pt idx="601">
                  <c:v>80</c:v>
                </c:pt>
                <c:pt idx="602">
                  <c:v>75</c:v>
                </c:pt>
                <c:pt idx="603">
                  <c:v>87.5</c:v>
                </c:pt>
                <c:pt idx="604">
                  <c:v>87.5</c:v>
                </c:pt>
                <c:pt idx="605">
                  <c:v>105</c:v>
                </c:pt>
                <c:pt idx="606">
                  <c:v>95</c:v>
                </c:pt>
                <c:pt idx="607">
                  <c:v>77.5</c:v>
                </c:pt>
                <c:pt idx="608">
                  <c:v>85</c:v>
                </c:pt>
                <c:pt idx="609">
                  <c:v>85</c:v>
                </c:pt>
                <c:pt idx="610">
                  <c:v>92.5</c:v>
                </c:pt>
                <c:pt idx="611">
                  <c:v>50</c:v>
                </c:pt>
                <c:pt idx="612">
                  <c:v>75</c:v>
                </c:pt>
                <c:pt idx="613">
                  <c:v>115</c:v>
                </c:pt>
                <c:pt idx="614">
                  <c:v>90</c:v>
                </c:pt>
                <c:pt idx="615">
                  <c:v>110</c:v>
                </c:pt>
                <c:pt idx="616">
                  <c:v>97.5</c:v>
                </c:pt>
                <c:pt idx="617">
                  <c:v>65</c:v>
                </c:pt>
                <c:pt idx="618">
                  <c:v>72.5</c:v>
                </c:pt>
                <c:pt idx="619">
                  <c:v>100</c:v>
                </c:pt>
                <c:pt idx="620">
                  <c:v>80</c:v>
                </c:pt>
                <c:pt idx="621">
                  <c:v>87.5</c:v>
                </c:pt>
                <c:pt idx="622">
                  <c:v>95</c:v>
                </c:pt>
                <c:pt idx="623">
                  <c:v>75</c:v>
                </c:pt>
                <c:pt idx="624">
                  <c:v>102.5</c:v>
                </c:pt>
                <c:pt idx="625">
                  <c:v>105</c:v>
                </c:pt>
                <c:pt idx="626">
                  <c:v>105</c:v>
                </c:pt>
                <c:pt idx="627">
                  <c:v>82.5</c:v>
                </c:pt>
                <c:pt idx="628">
                  <c:v>112.5</c:v>
                </c:pt>
                <c:pt idx="629">
                  <c:v>52.5</c:v>
                </c:pt>
                <c:pt idx="630">
                  <c:v>82.5</c:v>
                </c:pt>
                <c:pt idx="631">
                  <c:v>107.5</c:v>
                </c:pt>
                <c:pt idx="632">
                  <c:v>85</c:v>
                </c:pt>
                <c:pt idx="633">
                  <c:v>70</c:v>
                </c:pt>
                <c:pt idx="634">
                  <c:v>117.5</c:v>
                </c:pt>
                <c:pt idx="635">
                  <c:v>80</c:v>
                </c:pt>
                <c:pt idx="636">
                  <c:v>65</c:v>
                </c:pt>
                <c:pt idx="637">
                  <c:v>90.5</c:v>
                </c:pt>
                <c:pt idx="638">
                  <c:v>77.5</c:v>
                </c:pt>
                <c:pt idx="639">
                  <c:v>112.5</c:v>
                </c:pt>
                <c:pt idx="640">
                  <c:v>70</c:v>
                </c:pt>
                <c:pt idx="641">
                  <c:v>97.5</c:v>
                </c:pt>
                <c:pt idx="642">
                  <c:v>80</c:v>
                </c:pt>
                <c:pt idx="643">
                  <c:v>90</c:v>
                </c:pt>
                <c:pt idx="644">
                  <c:v>90</c:v>
                </c:pt>
                <c:pt idx="645">
                  <c:v>72.5</c:v>
                </c:pt>
                <c:pt idx="646">
                  <c:v>92.5</c:v>
                </c:pt>
                <c:pt idx="647">
                  <c:v>75</c:v>
                </c:pt>
                <c:pt idx="648">
                  <c:v>91</c:v>
                </c:pt>
                <c:pt idx="649">
                  <c:v>57.5</c:v>
                </c:pt>
                <c:pt idx="650">
                  <c:v>90</c:v>
                </c:pt>
                <c:pt idx="651">
                  <c:v>90</c:v>
                </c:pt>
                <c:pt idx="652">
                  <c:v>72.5</c:v>
                </c:pt>
                <c:pt idx="653">
                  <c:v>91.5</c:v>
                </c:pt>
                <c:pt idx="654">
                  <c:v>112.5</c:v>
                </c:pt>
                <c:pt idx="655">
                  <c:v>110</c:v>
                </c:pt>
                <c:pt idx="656">
                  <c:v>132.5</c:v>
                </c:pt>
                <c:pt idx="657">
                  <c:v>137.5</c:v>
                </c:pt>
                <c:pt idx="658">
                  <c:v>140.5</c:v>
                </c:pt>
                <c:pt idx="659">
                  <c:v>75</c:v>
                </c:pt>
                <c:pt idx="660">
                  <c:v>125</c:v>
                </c:pt>
                <c:pt idx="661">
                  <c:v>102.5</c:v>
                </c:pt>
                <c:pt idx="662">
                  <c:v>125</c:v>
                </c:pt>
                <c:pt idx="663">
                  <c:v>100</c:v>
                </c:pt>
                <c:pt idx="664">
                  <c:v>140</c:v>
                </c:pt>
                <c:pt idx="665">
                  <c:v>170</c:v>
                </c:pt>
                <c:pt idx="666">
                  <c:v>160</c:v>
                </c:pt>
                <c:pt idx="667">
                  <c:v>140</c:v>
                </c:pt>
                <c:pt idx="668">
                  <c:v>160</c:v>
                </c:pt>
                <c:pt idx="669">
                  <c:v>155</c:v>
                </c:pt>
                <c:pt idx="670">
                  <c:v>190</c:v>
                </c:pt>
                <c:pt idx="671">
                  <c:v>170</c:v>
                </c:pt>
                <c:pt idx="672">
                  <c:v>120</c:v>
                </c:pt>
                <c:pt idx="673">
                  <c:v>175</c:v>
                </c:pt>
                <c:pt idx="674">
                  <c:v>250</c:v>
                </c:pt>
                <c:pt idx="675">
                  <c:v>160</c:v>
                </c:pt>
                <c:pt idx="676">
                  <c:v>190</c:v>
                </c:pt>
                <c:pt idx="677">
                  <c:v>140</c:v>
                </c:pt>
                <c:pt idx="678">
                  <c:v>180</c:v>
                </c:pt>
                <c:pt idx="679">
                  <c:v>210</c:v>
                </c:pt>
                <c:pt idx="680">
                  <c:v>132.5</c:v>
                </c:pt>
                <c:pt idx="681">
                  <c:v>130</c:v>
                </c:pt>
                <c:pt idx="682">
                  <c:v>185</c:v>
                </c:pt>
                <c:pt idx="683">
                  <c:v>240</c:v>
                </c:pt>
                <c:pt idx="684">
                  <c:v>135</c:v>
                </c:pt>
                <c:pt idx="685">
                  <c:v>145</c:v>
                </c:pt>
                <c:pt idx="686">
                  <c:v>160</c:v>
                </c:pt>
                <c:pt idx="687">
                  <c:v>217.5</c:v>
                </c:pt>
                <c:pt idx="688">
                  <c:v>187.5</c:v>
                </c:pt>
                <c:pt idx="689">
                  <c:v>150</c:v>
                </c:pt>
                <c:pt idx="690">
                  <c:v>140</c:v>
                </c:pt>
                <c:pt idx="691">
                  <c:v>180</c:v>
                </c:pt>
                <c:pt idx="692">
                  <c:v>197.5</c:v>
                </c:pt>
                <c:pt idx="693">
                  <c:v>125</c:v>
                </c:pt>
                <c:pt idx="694">
                  <c:v>140</c:v>
                </c:pt>
                <c:pt idx="695">
                  <c:v>222.5</c:v>
                </c:pt>
                <c:pt idx="696">
                  <c:v>170</c:v>
                </c:pt>
                <c:pt idx="697">
                  <c:v>135</c:v>
                </c:pt>
                <c:pt idx="698">
                  <c:v>212.5</c:v>
                </c:pt>
                <c:pt idx="699">
                  <c:v>212.5</c:v>
                </c:pt>
                <c:pt idx="700">
                  <c:v>162.5</c:v>
                </c:pt>
                <c:pt idx="701">
                  <c:v>210</c:v>
                </c:pt>
                <c:pt idx="702">
                  <c:v>217.5</c:v>
                </c:pt>
                <c:pt idx="703">
                  <c:v>157.5</c:v>
                </c:pt>
                <c:pt idx="704">
                  <c:v>220</c:v>
                </c:pt>
                <c:pt idx="705">
                  <c:v>235</c:v>
                </c:pt>
                <c:pt idx="706">
                  <c:v>202.5</c:v>
                </c:pt>
                <c:pt idx="707">
                  <c:v>170</c:v>
                </c:pt>
                <c:pt idx="708">
                  <c:v>170</c:v>
                </c:pt>
                <c:pt idx="709">
                  <c:v>192.5</c:v>
                </c:pt>
                <c:pt idx="710">
                  <c:v>152.5</c:v>
                </c:pt>
                <c:pt idx="711">
                  <c:v>160</c:v>
                </c:pt>
                <c:pt idx="712">
                  <c:v>190</c:v>
                </c:pt>
                <c:pt idx="713">
                  <c:v>180</c:v>
                </c:pt>
                <c:pt idx="714">
                  <c:v>217.5</c:v>
                </c:pt>
                <c:pt idx="715">
                  <c:v>145</c:v>
                </c:pt>
                <c:pt idx="716">
                  <c:v>145</c:v>
                </c:pt>
                <c:pt idx="717">
                  <c:v>215</c:v>
                </c:pt>
                <c:pt idx="718">
                  <c:v>155</c:v>
                </c:pt>
                <c:pt idx="719">
                  <c:v>190</c:v>
                </c:pt>
                <c:pt idx="720">
                  <c:v>182.5</c:v>
                </c:pt>
                <c:pt idx="721">
                  <c:v>182.5</c:v>
                </c:pt>
                <c:pt idx="722">
                  <c:v>210</c:v>
                </c:pt>
                <c:pt idx="723">
                  <c:v>180</c:v>
                </c:pt>
                <c:pt idx="724">
                  <c:v>227.5</c:v>
                </c:pt>
                <c:pt idx="725">
                  <c:v>150</c:v>
                </c:pt>
                <c:pt idx="726">
                  <c:v>200</c:v>
                </c:pt>
                <c:pt idx="727">
                  <c:v>220</c:v>
                </c:pt>
                <c:pt idx="728">
                  <c:v>200</c:v>
                </c:pt>
                <c:pt idx="729">
                  <c:v>200</c:v>
                </c:pt>
                <c:pt idx="730">
                  <c:v>225</c:v>
                </c:pt>
                <c:pt idx="731">
                  <c:v>150</c:v>
                </c:pt>
                <c:pt idx="732">
                  <c:v>207.5</c:v>
                </c:pt>
                <c:pt idx="733">
                  <c:v>220</c:v>
                </c:pt>
                <c:pt idx="734">
                  <c:v>210</c:v>
                </c:pt>
                <c:pt idx="735">
                  <c:v>152.5</c:v>
                </c:pt>
                <c:pt idx="736">
                  <c:v>165</c:v>
                </c:pt>
                <c:pt idx="737">
                  <c:v>170</c:v>
                </c:pt>
                <c:pt idx="738">
                  <c:v>150</c:v>
                </c:pt>
                <c:pt idx="739">
                  <c:v>185</c:v>
                </c:pt>
                <c:pt idx="740">
                  <c:v>220</c:v>
                </c:pt>
                <c:pt idx="741">
                  <c:v>220</c:v>
                </c:pt>
                <c:pt idx="742">
                  <c:v>220</c:v>
                </c:pt>
                <c:pt idx="743">
                  <c:v>152.5</c:v>
                </c:pt>
                <c:pt idx="744">
                  <c:v>152.5</c:v>
                </c:pt>
                <c:pt idx="745">
                  <c:v>170</c:v>
                </c:pt>
                <c:pt idx="746">
                  <c:v>170</c:v>
                </c:pt>
                <c:pt idx="747">
                  <c:v>180</c:v>
                </c:pt>
                <c:pt idx="748">
                  <c:v>227.5</c:v>
                </c:pt>
                <c:pt idx="749">
                  <c:v>215</c:v>
                </c:pt>
                <c:pt idx="750">
                  <c:v>190</c:v>
                </c:pt>
                <c:pt idx="751">
                  <c:v>190</c:v>
                </c:pt>
                <c:pt idx="752">
                  <c:v>247.5</c:v>
                </c:pt>
                <c:pt idx="753">
                  <c:v>185</c:v>
                </c:pt>
                <c:pt idx="754">
                  <c:v>172.5</c:v>
                </c:pt>
                <c:pt idx="755">
                  <c:v>172.5</c:v>
                </c:pt>
                <c:pt idx="756">
                  <c:v>240</c:v>
                </c:pt>
                <c:pt idx="757">
                  <c:v>182.5</c:v>
                </c:pt>
                <c:pt idx="758">
                  <c:v>147.5</c:v>
                </c:pt>
                <c:pt idx="759">
                  <c:v>232.5</c:v>
                </c:pt>
                <c:pt idx="760">
                  <c:v>232.5</c:v>
                </c:pt>
                <c:pt idx="761">
                  <c:v>260</c:v>
                </c:pt>
                <c:pt idx="762">
                  <c:v>175</c:v>
                </c:pt>
                <c:pt idx="763">
                  <c:v>157.5</c:v>
                </c:pt>
                <c:pt idx="764">
                  <c:v>207.5</c:v>
                </c:pt>
                <c:pt idx="765">
                  <c:v>212.5</c:v>
                </c:pt>
                <c:pt idx="766">
                  <c:v>167.5</c:v>
                </c:pt>
                <c:pt idx="767">
                  <c:v>240</c:v>
                </c:pt>
                <c:pt idx="768">
                  <c:v>122.5</c:v>
                </c:pt>
                <c:pt idx="769">
                  <c:v>222.5</c:v>
                </c:pt>
                <c:pt idx="770">
                  <c:v>177.5</c:v>
                </c:pt>
                <c:pt idx="771">
                  <c:v>197.5</c:v>
                </c:pt>
                <c:pt idx="772">
                  <c:v>230</c:v>
                </c:pt>
                <c:pt idx="773">
                  <c:v>245</c:v>
                </c:pt>
                <c:pt idx="774">
                  <c:v>185</c:v>
                </c:pt>
                <c:pt idx="775">
                  <c:v>260</c:v>
                </c:pt>
                <c:pt idx="776">
                  <c:v>162.5</c:v>
                </c:pt>
                <c:pt idx="777">
                  <c:v>200</c:v>
                </c:pt>
                <c:pt idx="778">
                  <c:v>205</c:v>
                </c:pt>
                <c:pt idx="779">
                  <c:v>177.5</c:v>
                </c:pt>
                <c:pt idx="780">
                  <c:v>215</c:v>
                </c:pt>
                <c:pt idx="781">
                  <c:v>225</c:v>
                </c:pt>
                <c:pt idx="782">
                  <c:v>235</c:v>
                </c:pt>
                <c:pt idx="783">
                  <c:v>207.5</c:v>
                </c:pt>
                <c:pt idx="784">
                  <c:v>170</c:v>
                </c:pt>
                <c:pt idx="785">
                  <c:v>255</c:v>
                </c:pt>
                <c:pt idx="786">
                  <c:v>170</c:v>
                </c:pt>
                <c:pt idx="787">
                  <c:v>247.5</c:v>
                </c:pt>
                <c:pt idx="788">
                  <c:v>200</c:v>
                </c:pt>
                <c:pt idx="789">
                  <c:v>220</c:v>
                </c:pt>
                <c:pt idx="790">
                  <c:v>230</c:v>
                </c:pt>
                <c:pt idx="791">
                  <c:v>230</c:v>
                </c:pt>
                <c:pt idx="792">
                  <c:v>235</c:v>
                </c:pt>
                <c:pt idx="793">
                  <c:v>197.5</c:v>
                </c:pt>
                <c:pt idx="794">
                  <c:v>217.5</c:v>
                </c:pt>
                <c:pt idx="795">
                  <c:v>155</c:v>
                </c:pt>
                <c:pt idx="796">
                  <c:v>165</c:v>
                </c:pt>
                <c:pt idx="797">
                  <c:v>170</c:v>
                </c:pt>
                <c:pt idx="798">
                  <c:v>200</c:v>
                </c:pt>
                <c:pt idx="799">
                  <c:v>205</c:v>
                </c:pt>
                <c:pt idx="800">
                  <c:v>215</c:v>
                </c:pt>
                <c:pt idx="801">
                  <c:v>225</c:v>
                </c:pt>
                <c:pt idx="802">
                  <c:v>275</c:v>
                </c:pt>
                <c:pt idx="803">
                  <c:v>230</c:v>
                </c:pt>
                <c:pt idx="804">
                  <c:v>235</c:v>
                </c:pt>
                <c:pt idx="805">
                  <c:v>265</c:v>
                </c:pt>
                <c:pt idx="806">
                  <c:v>275</c:v>
                </c:pt>
                <c:pt idx="807">
                  <c:v>172.5</c:v>
                </c:pt>
                <c:pt idx="808">
                  <c:v>192.5</c:v>
                </c:pt>
                <c:pt idx="809">
                  <c:v>207.5</c:v>
                </c:pt>
                <c:pt idx="810">
                  <c:v>242.5</c:v>
                </c:pt>
                <c:pt idx="811">
                  <c:v>247.5</c:v>
                </c:pt>
                <c:pt idx="812">
                  <c:v>267.5</c:v>
                </c:pt>
                <c:pt idx="813">
                  <c:v>282.5</c:v>
                </c:pt>
                <c:pt idx="814">
                  <c:v>155</c:v>
                </c:pt>
                <c:pt idx="815">
                  <c:v>230</c:v>
                </c:pt>
                <c:pt idx="816">
                  <c:v>275</c:v>
                </c:pt>
                <c:pt idx="817">
                  <c:v>155</c:v>
                </c:pt>
                <c:pt idx="818">
                  <c:v>250</c:v>
                </c:pt>
                <c:pt idx="819">
                  <c:v>170</c:v>
                </c:pt>
                <c:pt idx="820">
                  <c:v>225</c:v>
                </c:pt>
                <c:pt idx="821">
                  <c:v>207.5</c:v>
                </c:pt>
                <c:pt idx="822">
                  <c:v>182.5</c:v>
                </c:pt>
                <c:pt idx="823">
                  <c:v>201</c:v>
                </c:pt>
                <c:pt idx="824">
                  <c:v>295</c:v>
                </c:pt>
                <c:pt idx="825">
                  <c:v>265</c:v>
                </c:pt>
                <c:pt idx="826">
                  <c:v>265</c:v>
                </c:pt>
                <c:pt idx="827">
                  <c:v>235</c:v>
                </c:pt>
                <c:pt idx="828">
                  <c:v>235</c:v>
                </c:pt>
                <c:pt idx="829">
                  <c:v>195</c:v>
                </c:pt>
                <c:pt idx="830">
                  <c:v>190</c:v>
                </c:pt>
                <c:pt idx="831">
                  <c:v>165</c:v>
                </c:pt>
                <c:pt idx="832">
                  <c:v>165</c:v>
                </c:pt>
                <c:pt idx="833">
                  <c:v>242.5</c:v>
                </c:pt>
                <c:pt idx="834">
                  <c:v>160</c:v>
                </c:pt>
                <c:pt idx="835">
                  <c:v>232.5</c:v>
                </c:pt>
                <c:pt idx="836">
                  <c:v>150</c:v>
                </c:pt>
                <c:pt idx="837">
                  <c:v>197.5</c:v>
                </c:pt>
                <c:pt idx="838">
                  <c:v>260</c:v>
                </c:pt>
                <c:pt idx="839">
                  <c:v>230</c:v>
                </c:pt>
                <c:pt idx="840">
                  <c:v>162.5</c:v>
                </c:pt>
                <c:pt idx="841">
                  <c:v>257.5</c:v>
                </c:pt>
                <c:pt idx="842">
                  <c:v>232.5</c:v>
                </c:pt>
                <c:pt idx="843">
                  <c:v>212.5</c:v>
                </c:pt>
                <c:pt idx="844">
                  <c:v>245</c:v>
                </c:pt>
                <c:pt idx="845">
                  <c:v>172.5</c:v>
                </c:pt>
                <c:pt idx="846">
                  <c:v>245</c:v>
                </c:pt>
                <c:pt idx="847">
                  <c:v>240</c:v>
                </c:pt>
                <c:pt idx="848">
                  <c:v>180</c:v>
                </c:pt>
                <c:pt idx="849">
                  <c:v>240</c:v>
                </c:pt>
                <c:pt idx="850">
                  <c:v>175</c:v>
                </c:pt>
                <c:pt idx="851">
                  <c:v>197.5</c:v>
                </c:pt>
                <c:pt idx="852">
                  <c:v>247.5</c:v>
                </c:pt>
                <c:pt idx="853">
                  <c:v>237.5</c:v>
                </c:pt>
                <c:pt idx="854">
                  <c:v>182.5</c:v>
                </c:pt>
                <c:pt idx="855">
                  <c:v>282.5</c:v>
                </c:pt>
                <c:pt idx="856">
                  <c:v>172.5</c:v>
                </c:pt>
                <c:pt idx="857">
                  <c:v>190</c:v>
                </c:pt>
                <c:pt idx="858">
                  <c:v>280</c:v>
                </c:pt>
                <c:pt idx="859">
                  <c:v>207.5</c:v>
                </c:pt>
                <c:pt idx="860">
                  <c:v>230</c:v>
                </c:pt>
                <c:pt idx="861">
                  <c:v>180</c:v>
                </c:pt>
                <c:pt idx="862">
                  <c:v>277.5</c:v>
                </c:pt>
                <c:pt idx="863">
                  <c:v>232.5</c:v>
                </c:pt>
                <c:pt idx="864">
                  <c:v>250</c:v>
                </c:pt>
                <c:pt idx="865">
                  <c:v>330</c:v>
                </c:pt>
                <c:pt idx="866">
                  <c:v>267.5</c:v>
                </c:pt>
                <c:pt idx="867">
                  <c:v>205</c:v>
                </c:pt>
                <c:pt idx="868">
                  <c:v>160</c:v>
                </c:pt>
                <c:pt idx="869">
                  <c:v>160</c:v>
                </c:pt>
                <c:pt idx="870">
                  <c:v>240</c:v>
                </c:pt>
                <c:pt idx="871">
                  <c:v>160</c:v>
                </c:pt>
                <c:pt idx="872">
                  <c:v>177.5</c:v>
                </c:pt>
                <c:pt idx="873">
                  <c:v>155</c:v>
                </c:pt>
                <c:pt idx="874">
                  <c:v>230</c:v>
                </c:pt>
                <c:pt idx="875">
                  <c:v>260</c:v>
                </c:pt>
                <c:pt idx="876">
                  <c:v>245</c:v>
                </c:pt>
                <c:pt idx="877">
                  <c:v>245</c:v>
                </c:pt>
                <c:pt idx="878">
                  <c:v>262.5</c:v>
                </c:pt>
                <c:pt idx="879">
                  <c:v>280</c:v>
                </c:pt>
                <c:pt idx="880">
                  <c:v>200</c:v>
                </c:pt>
                <c:pt idx="881">
                  <c:v>260</c:v>
                </c:pt>
                <c:pt idx="882">
                  <c:v>260</c:v>
                </c:pt>
                <c:pt idx="883">
                  <c:v>285</c:v>
                </c:pt>
                <c:pt idx="884">
                  <c:v>310</c:v>
                </c:pt>
                <c:pt idx="885">
                  <c:v>197.5</c:v>
                </c:pt>
                <c:pt idx="886">
                  <c:v>300</c:v>
                </c:pt>
                <c:pt idx="887">
                  <c:v>252.5</c:v>
                </c:pt>
                <c:pt idx="888">
                  <c:v>252.5</c:v>
                </c:pt>
                <c:pt idx="889">
                  <c:v>265</c:v>
                </c:pt>
                <c:pt idx="890">
                  <c:v>247.5</c:v>
                </c:pt>
                <c:pt idx="891">
                  <c:v>230</c:v>
                </c:pt>
                <c:pt idx="892">
                  <c:v>212.5</c:v>
                </c:pt>
                <c:pt idx="893">
                  <c:v>177.5</c:v>
                </c:pt>
                <c:pt idx="894">
                  <c:v>257.5</c:v>
                </c:pt>
                <c:pt idx="895">
                  <c:v>240</c:v>
                </c:pt>
                <c:pt idx="896">
                  <c:v>252.5</c:v>
                </c:pt>
                <c:pt idx="897">
                  <c:v>260</c:v>
                </c:pt>
                <c:pt idx="898">
                  <c:v>260</c:v>
                </c:pt>
                <c:pt idx="899">
                  <c:v>260</c:v>
                </c:pt>
                <c:pt idx="900">
                  <c:v>142.5</c:v>
                </c:pt>
                <c:pt idx="901">
                  <c:v>350</c:v>
                </c:pt>
                <c:pt idx="902">
                  <c:v>295</c:v>
                </c:pt>
                <c:pt idx="903">
                  <c:v>245</c:v>
                </c:pt>
                <c:pt idx="904">
                  <c:v>207.5</c:v>
                </c:pt>
                <c:pt idx="905">
                  <c:v>252.5</c:v>
                </c:pt>
                <c:pt idx="906">
                  <c:v>215</c:v>
                </c:pt>
                <c:pt idx="907">
                  <c:v>260</c:v>
                </c:pt>
                <c:pt idx="908">
                  <c:v>222.5</c:v>
                </c:pt>
                <c:pt idx="909">
                  <c:v>262.5</c:v>
                </c:pt>
                <c:pt idx="910">
                  <c:v>320</c:v>
                </c:pt>
                <c:pt idx="911">
                  <c:v>255</c:v>
                </c:pt>
                <c:pt idx="912">
                  <c:v>262.5</c:v>
                </c:pt>
                <c:pt idx="913">
                  <c:v>250</c:v>
                </c:pt>
                <c:pt idx="914">
                  <c:v>250</c:v>
                </c:pt>
                <c:pt idx="915">
                  <c:v>257.5</c:v>
                </c:pt>
                <c:pt idx="916">
                  <c:v>225</c:v>
                </c:pt>
                <c:pt idx="917">
                  <c:v>272.5</c:v>
                </c:pt>
                <c:pt idx="918">
                  <c:v>272.5</c:v>
                </c:pt>
                <c:pt idx="919">
                  <c:v>240</c:v>
                </c:pt>
                <c:pt idx="920">
                  <c:v>295</c:v>
                </c:pt>
                <c:pt idx="921">
                  <c:v>275</c:v>
                </c:pt>
                <c:pt idx="922">
                  <c:v>255</c:v>
                </c:pt>
                <c:pt idx="923">
                  <c:v>215</c:v>
                </c:pt>
                <c:pt idx="924">
                  <c:v>277.5</c:v>
                </c:pt>
                <c:pt idx="925">
                  <c:v>205</c:v>
                </c:pt>
                <c:pt idx="926">
                  <c:v>287.5</c:v>
                </c:pt>
                <c:pt idx="927">
                  <c:v>220</c:v>
                </c:pt>
                <c:pt idx="928">
                  <c:v>165</c:v>
                </c:pt>
                <c:pt idx="929">
                  <c:v>227.5</c:v>
                </c:pt>
                <c:pt idx="930">
                  <c:v>290</c:v>
                </c:pt>
                <c:pt idx="931">
                  <c:v>250</c:v>
                </c:pt>
                <c:pt idx="932">
                  <c:v>250</c:v>
                </c:pt>
                <c:pt idx="933">
                  <c:v>285</c:v>
                </c:pt>
                <c:pt idx="934">
                  <c:v>195</c:v>
                </c:pt>
                <c:pt idx="935">
                  <c:v>202.5</c:v>
                </c:pt>
                <c:pt idx="936">
                  <c:v>237.5</c:v>
                </c:pt>
                <c:pt idx="937">
                  <c:v>272.5</c:v>
                </c:pt>
                <c:pt idx="938">
                  <c:v>210</c:v>
                </c:pt>
                <c:pt idx="939">
                  <c:v>252.5</c:v>
                </c:pt>
                <c:pt idx="940">
                  <c:v>295</c:v>
                </c:pt>
                <c:pt idx="941">
                  <c:v>275</c:v>
                </c:pt>
                <c:pt idx="942">
                  <c:v>340</c:v>
                </c:pt>
                <c:pt idx="943">
                  <c:v>235</c:v>
                </c:pt>
                <c:pt idx="944">
                  <c:v>250</c:v>
                </c:pt>
                <c:pt idx="945">
                  <c:v>257.5</c:v>
                </c:pt>
                <c:pt idx="946">
                  <c:v>265</c:v>
                </c:pt>
                <c:pt idx="947">
                  <c:v>330</c:v>
                </c:pt>
                <c:pt idx="948">
                  <c:v>230</c:v>
                </c:pt>
                <c:pt idx="949">
                  <c:v>295</c:v>
                </c:pt>
                <c:pt idx="950">
                  <c:v>237.5</c:v>
                </c:pt>
                <c:pt idx="951">
                  <c:v>195</c:v>
                </c:pt>
                <c:pt idx="952">
                  <c:v>290</c:v>
                </c:pt>
                <c:pt idx="953">
                  <c:v>305</c:v>
                </c:pt>
                <c:pt idx="954">
                  <c:v>205</c:v>
                </c:pt>
                <c:pt idx="955">
                  <c:v>220</c:v>
                </c:pt>
                <c:pt idx="956">
                  <c:v>241</c:v>
                </c:pt>
                <c:pt idx="957">
                  <c:v>230</c:v>
                </c:pt>
                <c:pt idx="958">
                  <c:v>292.5</c:v>
                </c:pt>
                <c:pt idx="959">
                  <c:v>255</c:v>
                </c:pt>
                <c:pt idx="960">
                  <c:v>300</c:v>
                </c:pt>
                <c:pt idx="961">
                  <c:v>305</c:v>
                </c:pt>
                <c:pt idx="962">
                  <c:v>297.5</c:v>
                </c:pt>
                <c:pt idx="963">
                  <c:v>252.5</c:v>
                </c:pt>
                <c:pt idx="964">
                  <c:v>245</c:v>
                </c:pt>
                <c:pt idx="965">
                  <c:v>337.5</c:v>
                </c:pt>
                <c:pt idx="966">
                  <c:v>215</c:v>
                </c:pt>
                <c:pt idx="967">
                  <c:v>200</c:v>
                </c:pt>
                <c:pt idx="968">
                  <c:v>260.5</c:v>
                </c:pt>
                <c:pt idx="969">
                  <c:v>255</c:v>
                </c:pt>
                <c:pt idx="970">
                  <c:v>225</c:v>
                </c:pt>
                <c:pt idx="971">
                  <c:v>295</c:v>
                </c:pt>
                <c:pt idx="972">
                  <c:v>287.5</c:v>
                </c:pt>
                <c:pt idx="973">
                  <c:v>280</c:v>
                </c:pt>
                <c:pt idx="974">
                  <c:v>250</c:v>
                </c:pt>
                <c:pt idx="975">
                  <c:v>312.5</c:v>
                </c:pt>
                <c:pt idx="976">
                  <c:v>355</c:v>
                </c:pt>
                <c:pt idx="977">
                  <c:v>277.5</c:v>
                </c:pt>
                <c:pt idx="978">
                  <c:v>357.5</c:v>
                </c:pt>
                <c:pt idx="979">
                  <c:v>240</c:v>
                </c:pt>
                <c:pt idx="980">
                  <c:v>272.5</c:v>
                </c:pt>
                <c:pt idx="981">
                  <c:v>267.5</c:v>
                </c:pt>
                <c:pt idx="982">
                  <c:v>317.5</c:v>
                </c:pt>
                <c:pt idx="983">
                  <c:v>277.5</c:v>
                </c:pt>
                <c:pt idx="984">
                  <c:v>222.5</c:v>
                </c:pt>
                <c:pt idx="985">
                  <c:v>315</c:v>
                </c:pt>
                <c:pt idx="986">
                  <c:v>207.5</c:v>
                </c:pt>
                <c:pt idx="987">
                  <c:v>192.5</c:v>
                </c:pt>
                <c:pt idx="988">
                  <c:v>287.5</c:v>
                </c:pt>
                <c:pt idx="989">
                  <c:v>220</c:v>
                </c:pt>
                <c:pt idx="990">
                  <c:v>255</c:v>
                </c:pt>
                <c:pt idx="991">
                  <c:v>310</c:v>
                </c:pt>
                <c:pt idx="992">
                  <c:v>250</c:v>
                </c:pt>
                <c:pt idx="993">
                  <c:v>260</c:v>
                </c:pt>
                <c:pt idx="994">
                  <c:v>277.5</c:v>
                </c:pt>
                <c:pt idx="995">
                  <c:v>252.5</c:v>
                </c:pt>
                <c:pt idx="996">
                  <c:v>237.5</c:v>
                </c:pt>
                <c:pt idx="997">
                  <c:v>300</c:v>
                </c:pt>
                <c:pt idx="998">
                  <c:v>320</c:v>
                </c:pt>
                <c:pt idx="999">
                  <c:v>250</c:v>
                </c:pt>
                <c:pt idx="1000">
                  <c:v>197.5</c:v>
                </c:pt>
                <c:pt idx="1001">
                  <c:v>330</c:v>
                </c:pt>
                <c:pt idx="1002">
                  <c:v>220</c:v>
                </c:pt>
                <c:pt idx="1003">
                  <c:v>165</c:v>
                </c:pt>
                <c:pt idx="1004">
                  <c:v>240</c:v>
                </c:pt>
                <c:pt idx="1005">
                  <c:v>240</c:v>
                </c:pt>
                <c:pt idx="1006">
                  <c:v>222.5</c:v>
                </c:pt>
                <c:pt idx="1007">
                  <c:v>260</c:v>
                </c:pt>
                <c:pt idx="1008">
                  <c:v>260</c:v>
                </c:pt>
                <c:pt idx="1009">
                  <c:v>197.5</c:v>
                </c:pt>
                <c:pt idx="1010">
                  <c:v>265</c:v>
                </c:pt>
                <c:pt idx="1011">
                  <c:v>210</c:v>
                </c:pt>
                <c:pt idx="1012">
                  <c:v>260</c:v>
                </c:pt>
                <c:pt idx="1013">
                  <c:v>270</c:v>
                </c:pt>
                <c:pt idx="1014">
                  <c:v>270</c:v>
                </c:pt>
                <c:pt idx="1015">
                  <c:v>202.5</c:v>
                </c:pt>
                <c:pt idx="1016">
                  <c:v>195</c:v>
                </c:pt>
                <c:pt idx="1017">
                  <c:v>215</c:v>
                </c:pt>
                <c:pt idx="1018">
                  <c:v>215</c:v>
                </c:pt>
                <c:pt idx="1019">
                  <c:v>255</c:v>
                </c:pt>
                <c:pt idx="1020">
                  <c:v>240</c:v>
                </c:pt>
                <c:pt idx="1021">
                  <c:v>365</c:v>
                </c:pt>
                <c:pt idx="1022">
                  <c:v>325</c:v>
                </c:pt>
                <c:pt idx="1023">
                  <c:v>323</c:v>
                </c:pt>
                <c:pt idx="1024">
                  <c:v>265</c:v>
                </c:pt>
                <c:pt idx="1025">
                  <c:v>245</c:v>
                </c:pt>
                <c:pt idx="1026">
                  <c:v>225</c:v>
                </c:pt>
                <c:pt idx="1027">
                  <c:v>247.5</c:v>
                </c:pt>
                <c:pt idx="1028">
                  <c:v>290</c:v>
                </c:pt>
                <c:pt idx="1029">
                  <c:v>270</c:v>
                </c:pt>
                <c:pt idx="1030">
                  <c:v>282.5</c:v>
                </c:pt>
                <c:pt idx="1031">
                  <c:v>285</c:v>
                </c:pt>
                <c:pt idx="1032">
                  <c:v>275</c:v>
                </c:pt>
                <c:pt idx="1033">
                  <c:v>265</c:v>
                </c:pt>
                <c:pt idx="1034">
                  <c:v>255</c:v>
                </c:pt>
                <c:pt idx="1035">
                  <c:v>287.5</c:v>
                </c:pt>
                <c:pt idx="1036">
                  <c:v>260</c:v>
                </c:pt>
                <c:pt idx="1037">
                  <c:v>175</c:v>
                </c:pt>
                <c:pt idx="1038">
                  <c:v>252.5</c:v>
                </c:pt>
                <c:pt idx="1039">
                  <c:v>265</c:v>
                </c:pt>
                <c:pt idx="1040">
                  <c:v>332.5</c:v>
                </c:pt>
                <c:pt idx="1041">
                  <c:v>267.5</c:v>
                </c:pt>
                <c:pt idx="1042">
                  <c:v>305</c:v>
                </c:pt>
                <c:pt idx="1043">
                  <c:v>205</c:v>
                </c:pt>
                <c:pt idx="1044">
                  <c:v>195</c:v>
                </c:pt>
                <c:pt idx="1045">
                  <c:v>230</c:v>
                </c:pt>
                <c:pt idx="1046">
                  <c:v>357.5</c:v>
                </c:pt>
                <c:pt idx="1047">
                  <c:v>337.5</c:v>
                </c:pt>
                <c:pt idx="1048">
                  <c:v>275</c:v>
                </c:pt>
                <c:pt idx="1049">
                  <c:v>170</c:v>
                </c:pt>
                <c:pt idx="1050">
                  <c:v>220</c:v>
                </c:pt>
                <c:pt idx="1051">
                  <c:v>342.5</c:v>
                </c:pt>
                <c:pt idx="1052">
                  <c:v>342.5</c:v>
                </c:pt>
                <c:pt idx="1053">
                  <c:v>345</c:v>
                </c:pt>
                <c:pt idx="1054">
                  <c:v>370</c:v>
                </c:pt>
                <c:pt idx="1055">
                  <c:v>100</c:v>
                </c:pt>
                <c:pt idx="1056">
                  <c:v>285</c:v>
                </c:pt>
                <c:pt idx="1057">
                  <c:v>290</c:v>
                </c:pt>
                <c:pt idx="1058">
                  <c:v>202.5</c:v>
                </c:pt>
                <c:pt idx="1059">
                  <c:v>220</c:v>
                </c:pt>
                <c:pt idx="1060">
                  <c:v>280</c:v>
                </c:pt>
                <c:pt idx="1061">
                  <c:v>242.5</c:v>
                </c:pt>
                <c:pt idx="1062">
                  <c:v>247.5</c:v>
                </c:pt>
                <c:pt idx="1063">
                  <c:v>215</c:v>
                </c:pt>
                <c:pt idx="1064">
                  <c:v>295</c:v>
                </c:pt>
                <c:pt idx="1065">
                  <c:v>352.5</c:v>
                </c:pt>
                <c:pt idx="1066">
                  <c:v>252.5</c:v>
                </c:pt>
                <c:pt idx="1067">
                  <c:v>310</c:v>
                </c:pt>
                <c:pt idx="1068">
                  <c:v>210</c:v>
                </c:pt>
                <c:pt idx="1069">
                  <c:v>300</c:v>
                </c:pt>
                <c:pt idx="1070">
                  <c:v>357.5</c:v>
                </c:pt>
                <c:pt idx="1071">
                  <c:v>205</c:v>
                </c:pt>
                <c:pt idx="1072">
                  <c:v>345</c:v>
                </c:pt>
                <c:pt idx="1073">
                  <c:v>297.5</c:v>
                </c:pt>
                <c:pt idx="1074">
                  <c:v>300</c:v>
                </c:pt>
                <c:pt idx="1075">
                  <c:v>330</c:v>
                </c:pt>
                <c:pt idx="1076">
                  <c:v>280</c:v>
                </c:pt>
                <c:pt idx="1077">
                  <c:v>352.5</c:v>
                </c:pt>
                <c:pt idx="1078">
                  <c:v>355</c:v>
                </c:pt>
                <c:pt idx="1079">
                  <c:v>115</c:v>
                </c:pt>
                <c:pt idx="1080">
                  <c:v>360</c:v>
                </c:pt>
                <c:pt idx="1081">
                  <c:v>105</c:v>
                </c:pt>
                <c:pt idx="1082">
                  <c:v>317.5</c:v>
                </c:pt>
                <c:pt idx="1083">
                  <c:v>222.5</c:v>
                </c:pt>
                <c:pt idx="1084">
                  <c:v>270</c:v>
                </c:pt>
                <c:pt idx="1085">
                  <c:v>55</c:v>
                </c:pt>
                <c:pt idx="1086">
                  <c:v>52.5</c:v>
                </c:pt>
                <c:pt idx="1087">
                  <c:v>70</c:v>
                </c:pt>
                <c:pt idx="1088">
                  <c:v>60</c:v>
                </c:pt>
                <c:pt idx="1089">
                  <c:v>80</c:v>
                </c:pt>
                <c:pt idx="1090">
                  <c:v>80</c:v>
                </c:pt>
                <c:pt idx="1091">
                  <c:v>77.5</c:v>
                </c:pt>
                <c:pt idx="1092">
                  <c:v>85</c:v>
                </c:pt>
                <c:pt idx="1093">
                  <c:v>85</c:v>
                </c:pt>
                <c:pt idx="1094">
                  <c:v>77.5</c:v>
                </c:pt>
                <c:pt idx="1095">
                  <c:v>100</c:v>
                </c:pt>
                <c:pt idx="1096">
                  <c:v>45</c:v>
                </c:pt>
                <c:pt idx="1097">
                  <c:v>97.5</c:v>
                </c:pt>
                <c:pt idx="1098">
                  <c:v>75</c:v>
                </c:pt>
                <c:pt idx="1099">
                  <c:v>45</c:v>
                </c:pt>
                <c:pt idx="1100">
                  <c:v>77.5</c:v>
                </c:pt>
                <c:pt idx="1101">
                  <c:v>90</c:v>
                </c:pt>
                <c:pt idx="1102">
                  <c:v>92.5</c:v>
                </c:pt>
                <c:pt idx="1103">
                  <c:v>105</c:v>
                </c:pt>
                <c:pt idx="1104">
                  <c:v>90</c:v>
                </c:pt>
                <c:pt idx="1105">
                  <c:v>102.5</c:v>
                </c:pt>
                <c:pt idx="1106">
                  <c:v>75</c:v>
                </c:pt>
                <c:pt idx="1107">
                  <c:v>85</c:v>
                </c:pt>
                <c:pt idx="1108">
                  <c:v>97.5</c:v>
                </c:pt>
                <c:pt idx="1109">
                  <c:v>100</c:v>
                </c:pt>
                <c:pt idx="1110">
                  <c:v>65</c:v>
                </c:pt>
                <c:pt idx="1111">
                  <c:v>65</c:v>
                </c:pt>
                <c:pt idx="1112">
                  <c:v>70</c:v>
                </c:pt>
                <c:pt idx="1113">
                  <c:v>80</c:v>
                </c:pt>
                <c:pt idx="1114">
                  <c:v>90</c:v>
                </c:pt>
                <c:pt idx="1115">
                  <c:v>97.5</c:v>
                </c:pt>
                <c:pt idx="1116">
                  <c:v>110</c:v>
                </c:pt>
                <c:pt idx="1117">
                  <c:v>115</c:v>
                </c:pt>
                <c:pt idx="1118">
                  <c:v>92.5</c:v>
                </c:pt>
                <c:pt idx="1119">
                  <c:v>82.5</c:v>
                </c:pt>
                <c:pt idx="1120">
                  <c:v>82.5</c:v>
                </c:pt>
                <c:pt idx="1121">
                  <c:v>67.5</c:v>
                </c:pt>
                <c:pt idx="1122">
                  <c:v>115</c:v>
                </c:pt>
                <c:pt idx="1123">
                  <c:v>97.5</c:v>
                </c:pt>
                <c:pt idx="1124">
                  <c:v>122.5</c:v>
                </c:pt>
                <c:pt idx="1125">
                  <c:v>120</c:v>
                </c:pt>
                <c:pt idx="1126">
                  <c:v>112.5</c:v>
                </c:pt>
                <c:pt idx="1127">
                  <c:v>92.5</c:v>
                </c:pt>
                <c:pt idx="1128">
                  <c:v>90</c:v>
                </c:pt>
                <c:pt idx="1129">
                  <c:v>85</c:v>
                </c:pt>
                <c:pt idx="1130">
                  <c:v>77.5</c:v>
                </c:pt>
                <c:pt idx="1131">
                  <c:v>77.5</c:v>
                </c:pt>
                <c:pt idx="1132">
                  <c:v>72.5</c:v>
                </c:pt>
                <c:pt idx="1133">
                  <c:v>102.5</c:v>
                </c:pt>
                <c:pt idx="1134">
                  <c:v>65</c:v>
                </c:pt>
                <c:pt idx="1135">
                  <c:v>95</c:v>
                </c:pt>
                <c:pt idx="1136">
                  <c:v>92.5</c:v>
                </c:pt>
                <c:pt idx="1137">
                  <c:v>120</c:v>
                </c:pt>
                <c:pt idx="1138">
                  <c:v>85</c:v>
                </c:pt>
                <c:pt idx="1139">
                  <c:v>122.5</c:v>
                </c:pt>
                <c:pt idx="1140">
                  <c:v>95</c:v>
                </c:pt>
                <c:pt idx="1141">
                  <c:v>90</c:v>
                </c:pt>
                <c:pt idx="1142">
                  <c:v>82.5</c:v>
                </c:pt>
                <c:pt idx="1143">
                  <c:v>82.5</c:v>
                </c:pt>
                <c:pt idx="1144">
                  <c:v>80</c:v>
                </c:pt>
                <c:pt idx="1145">
                  <c:v>135</c:v>
                </c:pt>
                <c:pt idx="1146">
                  <c:v>95</c:v>
                </c:pt>
                <c:pt idx="1147">
                  <c:v>112.5</c:v>
                </c:pt>
                <c:pt idx="1148">
                  <c:v>90</c:v>
                </c:pt>
                <c:pt idx="1149">
                  <c:v>107.5</c:v>
                </c:pt>
                <c:pt idx="1150">
                  <c:v>87.5</c:v>
                </c:pt>
                <c:pt idx="1151">
                  <c:v>87.5</c:v>
                </c:pt>
                <c:pt idx="1152">
                  <c:v>100</c:v>
                </c:pt>
                <c:pt idx="1153">
                  <c:v>65</c:v>
                </c:pt>
                <c:pt idx="1154">
                  <c:v>77.5</c:v>
                </c:pt>
                <c:pt idx="1155">
                  <c:v>75</c:v>
                </c:pt>
                <c:pt idx="1156">
                  <c:v>100</c:v>
                </c:pt>
                <c:pt idx="1157">
                  <c:v>112.5</c:v>
                </c:pt>
                <c:pt idx="1158">
                  <c:v>95</c:v>
                </c:pt>
                <c:pt idx="1159">
                  <c:v>107.5</c:v>
                </c:pt>
                <c:pt idx="1160">
                  <c:v>92.5</c:v>
                </c:pt>
                <c:pt idx="1161">
                  <c:v>92.5</c:v>
                </c:pt>
                <c:pt idx="1162">
                  <c:v>92.5</c:v>
                </c:pt>
                <c:pt idx="1163">
                  <c:v>102.5</c:v>
                </c:pt>
                <c:pt idx="1164">
                  <c:v>87.5</c:v>
                </c:pt>
                <c:pt idx="1165">
                  <c:v>125</c:v>
                </c:pt>
                <c:pt idx="1166">
                  <c:v>97.5</c:v>
                </c:pt>
                <c:pt idx="1167">
                  <c:v>97.5</c:v>
                </c:pt>
                <c:pt idx="1168">
                  <c:v>95</c:v>
                </c:pt>
                <c:pt idx="1169">
                  <c:v>95</c:v>
                </c:pt>
                <c:pt idx="1170">
                  <c:v>92.5</c:v>
                </c:pt>
                <c:pt idx="1171">
                  <c:v>92.5</c:v>
                </c:pt>
                <c:pt idx="1172">
                  <c:v>125</c:v>
                </c:pt>
                <c:pt idx="1173">
                  <c:v>90</c:v>
                </c:pt>
                <c:pt idx="1174">
                  <c:v>90</c:v>
                </c:pt>
                <c:pt idx="1175">
                  <c:v>155</c:v>
                </c:pt>
                <c:pt idx="1176">
                  <c:v>97.5</c:v>
                </c:pt>
                <c:pt idx="1177">
                  <c:v>97.5</c:v>
                </c:pt>
                <c:pt idx="1178">
                  <c:v>107.5</c:v>
                </c:pt>
                <c:pt idx="1179">
                  <c:v>117.5</c:v>
                </c:pt>
                <c:pt idx="1180">
                  <c:v>85</c:v>
                </c:pt>
                <c:pt idx="1181">
                  <c:v>95</c:v>
                </c:pt>
                <c:pt idx="1182">
                  <c:v>145</c:v>
                </c:pt>
                <c:pt idx="1183">
                  <c:v>112.5</c:v>
                </c:pt>
                <c:pt idx="1184">
                  <c:v>40</c:v>
                </c:pt>
                <c:pt idx="1185">
                  <c:v>127.5</c:v>
                </c:pt>
                <c:pt idx="1186">
                  <c:v>117.5</c:v>
                </c:pt>
                <c:pt idx="1187">
                  <c:v>97.5</c:v>
                </c:pt>
                <c:pt idx="1188">
                  <c:v>115</c:v>
                </c:pt>
                <c:pt idx="1189">
                  <c:v>95</c:v>
                </c:pt>
                <c:pt idx="1190">
                  <c:v>150</c:v>
                </c:pt>
                <c:pt idx="1191">
                  <c:v>130</c:v>
                </c:pt>
                <c:pt idx="1192">
                  <c:v>92.5</c:v>
                </c:pt>
                <c:pt idx="1193">
                  <c:v>120</c:v>
                </c:pt>
                <c:pt idx="1194">
                  <c:v>147.5</c:v>
                </c:pt>
                <c:pt idx="1195">
                  <c:v>110</c:v>
                </c:pt>
                <c:pt idx="1196">
                  <c:v>100</c:v>
                </c:pt>
                <c:pt idx="1197">
                  <c:v>90</c:v>
                </c:pt>
                <c:pt idx="1198">
                  <c:v>152.5</c:v>
                </c:pt>
                <c:pt idx="1199">
                  <c:v>125</c:v>
                </c:pt>
                <c:pt idx="1200">
                  <c:v>105</c:v>
                </c:pt>
                <c:pt idx="1201">
                  <c:v>137.5</c:v>
                </c:pt>
                <c:pt idx="1202">
                  <c:v>162.5</c:v>
                </c:pt>
                <c:pt idx="1203">
                  <c:v>102.5</c:v>
                </c:pt>
                <c:pt idx="1204">
                  <c:v>145</c:v>
                </c:pt>
                <c:pt idx="1205">
                  <c:v>85</c:v>
                </c:pt>
                <c:pt idx="1206">
                  <c:v>125</c:v>
                </c:pt>
                <c:pt idx="1207">
                  <c:v>140</c:v>
                </c:pt>
                <c:pt idx="1208">
                  <c:v>90</c:v>
                </c:pt>
                <c:pt idx="1209">
                  <c:v>122.5</c:v>
                </c:pt>
                <c:pt idx="1210">
                  <c:v>95</c:v>
                </c:pt>
                <c:pt idx="1211">
                  <c:v>95</c:v>
                </c:pt>
                <c:pt idx="1212">
                  <c:v>157.5</c:v>
                </c:pt>
                <c:pt idx="1213">
                  <c:v>92.5</c:v>
                </c:pt>
                <c:pt idx="1214">
                  <c:v>160</c:v>
                </c:pt>
                <c:pt idx="1215">
                  <c:v>100</c:v>
                </c:pt>
                <c:pt idx="1216">
                  <c:v>152.5</c:v>
                </c:pt>
                <c:pt idx="1217">
                  <c:v>30</c:v>
                </c:pt>
                <c:pt idx="1218">
                  <c:v>157.5</c:v>
                </c:pt>
                <c:pt idx="1219">
                  <c:v>102.5</c:v>
                </c:pt>
                <c:pt idx="1220">
                  <c:v>102.5</c:v>
                </c:pt>
                <c:pt idx="1221">
                  <c:v>102.5</c:v>
                </c:pt>
                <c:pt idx="1222">
                  <c:v>87.5</c:v>
                </c:pt>
                <c:pt idx="1223">
                  <c:v>145</c:v>
                </c:pt>
                <c:pt idx="1224">
                  <c:v>122.5</c:v>
                </c:pt>
                <c:pt idx="1225">
                  <c:v>122.5</c:v>
                </c:pt>
                <c:pt idx="1226">
                  <c:v>142.5</c:v>
                </c:pt>
                <c:pt idx="1227">
                  <c:v>120</c:v>
                </c:pt>
                <c:pt idx="1228">
                  <c:v>112.5</c:v>
                </c:pt>
                <c:pt idx="1229">
                  <c:v>182.5</c:v>
                </c:pt>
                <c:pt idx="1230">
                  <c:v>102.5</c:v>
                </c:pt>
                <c:pt idx="1231">
                  <c:v>75</c:v>
                </c:pt>
                <c:pt idx="1232">
                  <c:v>135</c:v>
                </c:pt>
                <c:pt idx="1233">
                  <c:v>127.5</c:v>
                </c:pt>
                <c:pt idx="1234">
                  <c:v>100</c:v>
                </c:pt>
                <c:pt idx="1235">
                  <c:v>132.5</c:v>
                </c:pt>
                <c:pt idx="1236">
                  <c:v>92.5</c:v>
                </c:pt>
                <c:pt idx="1237">
                  <c:v>117.5</c:v>
                </c:pt>
                <c:pt idx="1238">
                  <c:v>130</c:v>
                </c:pt>
                <c:pt idx="1239">
                  <c:v>130</c:v>
                </c:pt>
                <c:pt idx="1240">
                  <c:v>135</c:v>
                </c:pt>
                <c:pt idx="1241">
                  <c:v>95</c:v>
                </c:pt>
                <c:pt idx="1242">
                  <c:v>120</c:v>
                </c:pt>
                <c:pt idx="1243">
                  <c:v>145</c:v>
                </c:pt>
                <c:pt idx="1244">
                  <c:v>112.5</c:v>
                </c:pt>
                <c:pt idx="1245">
                  <c:v>112.5</c:v>
                </c:pt>
                <c:pt idx="1246">
                  <c:v>125</c:v>
                </c:pt>
                <c:pt idx="1247">
                  <c:v>100</c:v>
                </c:pt>
                <c:pt idx="1248">
                  <c:v>105</c:v>
                </c:pt>
                <c:pt idx="1249">
                  <c:v>147.5</c:v>
                </c:pt>
                <c:pt idx="1250">
                  <c:v>135</c:v>
                </c:pt>
                <c:pt idx="1251">
                  <c:v>135</c:v>
                </c:pt>
                <c:pt idx="1252">
                  <c:v>115</c:v>
                </c:pt>
                <c:pt idx="1253">
                  <c:v>102.5</c:v>
                </c:pt>
                <c:pt idx="1254">
                  <c:v>180</c:v>
                </c:pt>
                <c:pt idx="1255">
                  <c:v>180</c:v>
                </c:pt>
                <c:pt idx="1256">
                  <c:v>112.5</c:v>
                </c:pt>
                <c:pt idx="1257">
                  <c:v>130</c:v>
                </c:pt>
                <c:pt idx="1258">
                  <c:v>157.5</c:v>
                </c:pt>
                <c:pt idx="1259">
                  <c:v>122.5</c:v>
                </c:pt>
                <c:pt idx="1260">
                  <c:v>127.5</c:v>
                </c:pt>
                <c:pt idx="1261">
                  <c:v>92.5</c:v>
                </c:pt>
                <c:pt idx="1262">
                  <c:v>115</c:v>
                </c:pt>
                <c:pt idx="1263">
                  <c:v>120</c:v>
                </c:pt>
                <c:pt idx="1264">
                  <c:v>120</c:v>
                </c:pt>
                <c:pt idx="1265">
                  <c:v>107.5</c:v>
                </c:pt>
                <c:pt idx="1266">
                  <c:v>130</c:v>
                </c:pt>
                <c:pt idx="1267">
                  <c:v>135</c:v>
                </c:pt>
                <c:pt idx="1268">
                  <c:v>135</c:v>
                </c:pt>
                <c:pt idx="1269">
                  <c:v>112.5</c:v>
                </c:pt>
                <c:pt idx="1270">
                  <c:v>145</c:v>
                </c:pt>
                <c:pt idx="1271">
                  <c:v>122.5</c:v>
                </c:pt>
                <c:pt idx="1272">
                  <c:v>127.5</c:v>
                </c:pt>
                <c:pt idx="1273">
                  <c:v>142.5</c:v>
                </c:pt>
                <c:pt idx="1274">
                  <c:v>115</c:v>
                </c:pt>
                <c:pt idx="1275">
                  <c:v>150</c:v>
                </c:pt>
                <c:pt idx="1276">
                  <c:v>141</c:v>
                </c:pt>
                <c:pt idx="1277">
                  <c:v>170</c:v>
                </c:pt>
                <c:pt idx="1278">
                  <c:v>170</c:v>
                </c:pt>
                <c:pt idx="1279">
                  <c:v>95</c:v>
                </c:pt>
                <c:pt idx="1280">
                  <c:v>150</c:v>
                </c:pt>
                <c:pt idx="1281">
                  <c:v>112.5</c:v>
                </c:pt>
                <c:pt idx="1282">
                  <c:v>122.5</c:v>
                </c:pt>
                <c:pt idx="1283">
                  <c:v>137.5</c:v>
                </c:pt>
                <c:pt idx="1284">
                  <c:v>157.5</c:v>
                </c:pt>
                <c:pt idx="1285">
                  <c:v>120</c:v>
                </c:pt>
                <c:pt idx="1286">
                  <c:v>160</c:v>
                </c:pt>
                <c:pt idx="1287">
                  <c:v>140</c:v>
                </c:pt>
                <c:pt idx="1288">
                  <c:v>140</c:v>
                </c:pt>
                <c:pt idx="1289">
                  <c:v>145</c:v>
                </c:pt>
                <c:pt idx="1290">
                  <c:v>95</c:v>
                </c:pt>
                <c:pt idx="1291">
                  <c:v>90</c:v>
                </c:pt>
                <c:pt idx="1292">
                  <c:v>140</c:v>
                </c:pt>
                <c:pt idx="1293">
                  <c:v>137.5</c:v>
                </c:pt>
                <c:pt idx="1294">
                  <c:v>117.5</c:v>
                </c:pt>
                <c:pt idx="1295">
                  <c:v>97.5</c:v>
                </c:pt>
                <c:pt idx="1296">
                  <c:v>190</c:v>
                </c:pt>
                <c:pt idx="1297">
                  <c:v>87.5</c:v>
                </c:pt>
                <c:pt idx="1298">
                  <c:v>125</c:v>
                </c:pt>
                <c:pt idx="1299">
                  <c:v>125</c:v>
                </c:pt>
                <c:pt idx="1300">
                  <c:v>115</c:v>
                </c:pt>
                <c:pt idx="1301">
                  <c:v>172.5</c:v>
                </c:pt>
                <c:pt idx="1302">
                  <c:v>157.5</c:v>
                </c:pt>
                <c:pt idx="1303">
                  <c:v>142.5</c:v>
                </c:pt>
                <c:pt idx="1304">
                  <c:v>132.5</c:v>
                </c:pt>
                <c:pt idx="1305">
                  <c:v>132.5</c:v>
                </c:pt>
                <c:pt idx="1306">
                  <c:v>175</c:v>
                </c:pt>
                <c:pt idx="1307">
                  <c:v>130</c:v>
                </c:pt>
                <c:pt idx="1308">
                  <c:v>125</c:v>
                </c:pt>
                <c:pt idx="1309">
                  <c:v>152.5</c:v>
                </c:pt>
                <c:pt idx="1310">
                  <c:v>170</c:v>
                </c:pt>
                <c:pt idx="1311">
                  <c:v>137.5</c:v>
                </c:pt>
                <c:pt idx="1312">
                  <c:v>110</c:v>
                </c:pt>
                <c:pt idx="1313">
                  <c:v>172.5</c:v>
                </c:pt>
                <c:pt idx="1314">
                  <c:v>162.5</c:v>
                </c:pt>
                <c:pt idx="1315">
                  <c:v>167.5</c:v>
                </c:pt>
                <c:pt idx="1316">
                  <c:v>117.5</c:v>
                </c:pt>
                <c:pt idx="1317">
                  <c:v>162.5</c:v>
                </c:pt>
                <c:pt idx="1318">
                  <c:v>152.5</c:v>
                </c:pt>
                <c:pt idx="1319">
                  <c:v>168</c:v>
                </c:pt>
                <c:pt idx="1320">
                  <c:v>131.5</c:v>
                </c:pt>
                <c:pt idx="1321">
                  <c:v>130</c:v>
                </c:pt>
                <c:pt idx="1322">
                  <c:v>155</c:v>
                </c:pt>
                <c:pt idx="1323">
                  <c:v>150</c:v>
                </c:pt>
                <c:pt idx="1324">
                  <c:v>180</c:v>
                </c:pt>
                <c:pt idx="1325">
                  <c:v>97.5</c:v>
                </c:pt>
                <c:pt idx="1326">
                  <c:v>152.5</c:v>
                </c:pt>
                <c:pt idx="1327">
                  <c:v>135</c:v>
                </c:pt>
                <c:pt idx="1328">
                  <c:v>165</c:v>
                </c:pt>
                <c:pt idx="1329">
                  <c:v>77.5</c:v>
                </c:pt>
                <c:pt idx="1330">
                  <c:v>142.5</c:v>
                </c:pt>
                <c:pt idx="1331">
                  <c:v>182.5</c:v>
                </c:pt>
                <c:pt idx="1332">
                  <c:v>150</c:v>
                </c:pt>
                <c:pt idx="1333">
                  <c:v>105</c:v>
                </c:pt>
                <c:pt idx="1334">
                  <c:v>140</c:v>
                </c:pt>
                <c:pt idx="1335">
                  <c:v>165.5</c:v>
                </c:pt>
                <c:pt idx="1336">
                  <c:v>142.5</c:v>
                </c:pt>
                <c:pt idx="1337">
                  <c:v>177.5</c:v>
                </c:pt>
                <c:pt idx="1338">
                  <c:v>157.5</c:v>
                </c:pt>
                <c:pt idx="1339">
                  <c:v>170</c:v>
                </c:pt>
                <c:pt idx="1340">
                  <c:v>160</c:v>
                </c:pt>
                <c:pt idx="1341">
                  <c:v>120</c:v>
                </c:pt>
                <c:pt idx="1342">
                  <c:v>171.5</c:v>
                </c:pt>
                <c:pt idx="1343">
                  <c:v>181</c:v>
                </c:pt>
                <c:pt idx="1344">
                  <c:v>157.5</c:v>
                </c:pt>
                <c:pt idx="1345">
                  <c:v>175</c:v>
                </c:pt>
                <c:pt idx="1346">
                  <c:v>152.5</c:v>
                </c:pt>
                <c:pt idx="1347">
                  <c:v>177.5</c:v>
                </c:pt>
                <c:pt idx="1348">
                  <c:v>162.5</c:v>
                </c:pt>
                <c:pt idx="1349">
                  <c:v>130.5</c:v>
                </c:pt>
                <c:pt idx="1350">
                  <c:v>107.5</c:v>
                </c:pt>
                <c:pt idx="1351">
                  <c:v>192.5</c:v>
                </c:pt>
                <c:pt idx="1352">
                  <c:v>160</c:v>
                </c:pt>
                <c:pt idx="1353">
                  <c:v>188</c:v>
                </c:pt>
                <c:pt idx="1354">
                  <c:v>180</c:v>
                </c:pt>
                <c:pt idx="1355">
                  <c:v>190</c:v>
                </c:pt>
                <c:pt idx="1356">
                  <c:v>175</c:v>
                </c:pt>
                <c:pt idx="1357">
                  <c:v>190</c:v>
                </c:pt>
                <c:pt idx="1358">
                  <c:v>177.5</c:v>
                </c:pt>
                <c:pt idx="1359">
                  <c:v>192.5</c:v>
                </c:pt>
                <c:pt idx="1360">
                  <c:v>218</c:v>
                </c:pt>
                <c:pt idx="1361">
                  <c:v>205</c:v>
                </c:pt>
                <c:pt idx="1362">
                  <c:v>227</c:v>
                </c:pt>
                <c:pt idx="1363">
                  <c:v>142.5</c:v>
                </c:pt>
                <c:pt idx="1364">
                  <c:v>92.5</c:v>
                </c:pt>
                <c:pt idx="1365">
                  <c:v>170</c:v>
                </c:pt>
                <c:pt idx="1366">
                  <c:v>172.5</c:v>
                </c:pt>
                <c:pt idx="1367">
                  <c:v>172.5</c:v>
                </c:pt>
                <c:pt idx="1368">
                  <c:v>181.5</c:v>
                </c:pt>
              </c:numCache>
            </c:numRef>
          </c:xVal>
          <c:yVal>
            <c:numRef>
              <c:f>('Data Squat'!$E$2:$E$400,'Data Squat'!$E$402:$E$661,'Data Squat'!$E$663:$E$1088,'Data Squat'!$E$1090:$E$1373)</c:f>
              <c:numCache>
                <c:formatCode>General</c:formatCode>
                <c:ptCount val="1369"/>
                <c:pt idx="0">
                  <c:v>225</c:v>
                </c:pt>
                <c:pt idx="1">
                  <c:v>172.5</c:v>
                </c:pt>
                <c:pt idx="2">
                  <c:v>240</c:v>
                </c:pt>
                <c:pt idx="3">
                  <c:v>252.5</c:v>
                </c:pt>
                <c:pt idx="4">
                  <c:v>155</c:v>
                </c:pt>
                <c:pt idx="5">
                  <c:v>192.5</c:v>
                </c:pt>
                <c:pt idx="6">
                  <c:v>210</c:v>
                </c:pt>
                <c:pt idx="7">
                  <c:v>200</c:v>
                </c:pt>
                <c:pt idx="8">
                  <c:v>267.5</c:v>
                </c:pt>
                <c:pt idx="9">
                  <c:v>187.5</c:v>
                </c:pt>
                <c:pt idx="10">
                  <c:v>356</c:v>
                </c:pt>
                <c:pt idx="11">
                  <c:v>315</c:v>
                </c:pt>
                <c:pt idx="12">
                  <c:v>187.5</c:v>
                </c:pt>
                <c:pt idx="13">
                  <c:v>392.5</c:v>
                </c:pt>
                <c:pt idx="14">
                  <c:v>260</c:v>
                </c:pt>
                <c:pt idx="15">
                  <c:v>200</c:v>
                </c:pt>
                <c:pt idx="16">
                  <c:v>300</c:v>
                </c:pt>
                <c:pt idx="17">
                  <c:v>245</c:v>
                </c:pt>
                <c:pt idx="18">
                  <c:v>425.5</c:v>
                </c:pt>
                <c:pt idx="19">
                  <c:v>307.5</c:v>
                </c:pt>
                <c:pt idx="20">
                  <c:v>185</c:v>
                </c:pt>
                <c:pt idx="21">
                  <c:v>180</c:v>
                </c:pt>
                <c:pt idx="22">
                  <c:v>242.5</c:v>
                </c:pt>
                <c:pt idx="23">
                  <c:v>375</c:v>
                </c:pt>
                <c:pt idx="24">
                  <c:v>330</c:v>
                </c:pt>
                <c:pt idx="25">
                  <c:v>365</c:v>
                </c:pt>
                <c:pt idx="26">
                  <c:v>155</c:v>
                </c:pt>
                <c:pt idx="27">
                  <c:v>172.5</c:v>
                </c:pt>
                <c:pt idx="28">
                  <c:v>265</c:v>
                </c:pt>
                <c:pt idx="29">
                  <c:v>410</c:v>
                </c:pt>
                <c:pt idx="30">
                  <c:v>220</c:v>
                </c:pt>
                <c:pt idx="31">
                  <c:v>303</c:v>
                </c:pt>
                <c:pt idx="32">
                  <c:v>412.5</c:v>
                </c:pt>
                <c:pt idx="33">
                  <c:v>390</c:v>
                </c:pt>
                <c:pt idx="34">
                  <c:v>240</c:v>
                </c:pt>
                <c:pt idx="35">
                  <c:v>375</c:v>
                </c:pt>
                <c:pt idx="36">
                  <c:v>235</c:v>
                </c:pt>
                <c:pt idx="37">
                  <c:v>260</c:v>
                </c:pt>
                <c:pt idx="38">
                  <c:v>225</c:v>
                </c:pt>
                <c:pt idx="39">
                  <c:v>327.5</c:v>
                </c:pt>
                <c:pt idx="40">
                  <c:v>340</c:v>
                </c:pt>
                <c:pt idx="41">
                  <c:v>275</c:v>
                </c:pt>
                <c:pt idx="42">
                  <c:v>275</c:v>
                </c:pt>
                <c:pt idx="43">
                  <c:v>252.5</c:v>
                </c:pt>
                <c:pt idx="44">
                  <c:v>345</c:v>
                </c:pt>
                <c:pt idx="45">
                  <c:v>272.5</c:v>
                </c:pt>
                <c:pt idx="46">
                  <c:v>242.5</c:v>
                </c:pt>
                <c:pt idx="47">
                  <c:v>370</c:v>
                </c:pt>
                <c:pt idx="48">
                  <c:v>322.5</c:v>
                </c:pt>
                <c:pt idx="49">
                  <c:v>237.5</c:v>
                </c:pt>
                <c:pt idx="50">
                  <c:v>220</c:v>
                </c:pt>
                <c:pt idx="51">
                  <c:v>342.5</c:v>
                </c:pt>
                <c:pt idx="52">
                  <c:v>410</c:v>
                </c:pt>
                <c:pt idx="53">
                  <c:v>257.5</c:v>
                </c:pt>
                <c:pt idx="54">
                  <c:v>257.5</c:v>
                </c:pt>
                <c:pt idx="55">
                  <c:v>270</c:v>
                </c:pt>
                <c:pt idx="56">
                  <c:v>332.5</c:v>
                </c:pt>
                <c:pt idx="57">
                  <c:v>302.5</c:v>
                </c:pt>
                <c:pt idx="58">
                  <c:v>235</c:v>
                </c:pt>
                <c:pt idx="59">
                  <c:v>260</c:v>
                </c:pt>
                <c:pt idx="60">
                  <c:v>285</c:v>
                </c:pt>
                <c:pt idx="61">
                  <c:v>167.5</c:v>
                </c:pt>
                <c:pt idx="62">
                  <c:v>242.5</c:v>
                </c:pt>
                <c:pt idx="63">
                  <c:v>350</c:v>
                </c:pt>
                <c:pt idx="64">
                  <c:v>200</c:v>
                </c:pt>
                <c:pt idx="65">
                  <c:v>250</c:v>
                </c:pt>
                <c:pt idx="66">
                  <c:v>275</c:v>
                </c:pt>
                <c:pt idx="67">
                  <c:v>345</c:v>
                </c:pt>
                <c:pt idx="68">
                  <c:v>182.5</c:v>
                </c:pt>
                <c:pt idx="69">
                  <c:v>317.5</c:v>
                </c:pt>
                <c:pt idx="70">
                  <c:v>350</c:v>
                </c:pt>
                <c:pt idx="71">
                  <c:v>345</c:v>
                </c:pt>
                <c:pt idx="72">
                  <c:v>275</c:v>
                </c:pt>
                <c:pt idx="73">
                  <c:v>205</c:v>
                </c:pt>
                <c:pt idx="74">
                  <c:v>237.5</c:v>
                </c:pt>
                <c:pt idx="75">
                  <c:v>270</c:v>
                </c:pt>
                <c:pt idx="76">
                  <c:v>232.5</c:v>
                </c:pt>
                <c:pt idx="77">
                  <c:v>265</c:v>
                </c:pt>
                <c:pt idx="78">
                  <c:v>265</c:v>
                </c:pt>
                <c:pt idx="79">
                  <c:v>220</c:v>
                </c:pt>
                <c:pt idx="80">
                  <c:v>305</c:v>
                </c:pt>
                <c:pt idx="81">
                  <c:v>357.5</c:v>
                </c:pt>
                <c:pt idx="82">
                  <c:v>325</c:v>
                </c:pt>
                <c:pt idx="83">
                  <c:v>215</c:v>
                </c:pt>
                <c:pt idx="84">
                  <c:v>332.5</c:v>
                </c:pt>
                <c:pt idx="85">
                  <c:v>300</c:v>
                </c:pt>
                <c:pt idx="86">
                  <c:v>242.5</c:v>
                </c:pt>
                <c:pt idx="87">
                  <c:v>290</c:v>
                </c:pt>
                <c:pt idx="88">
                  <c:v>290</c:v>
                </c:pt>
                <c:pt idx="89">
                  <c:v>225</c:v>
                </c:pt>
                <c:pt idx="90">
                  <c:v>285</c:v>
                </c:pt>
                <c:pt idx="91">
                  <c:v>345</c:v>
                </c:pt>
                <c:pt idx="92">
                  <c:v>232.5</c:v>
                </c:pt>
                <c:pt idx="93">
                  <c:v>232.5</c:v>
                </c:pt>
                <c:pt idx="94">
                  <c:v>232.5</c:v>
                </c:pt>
                <c:pt idx="95">
                  <c:v>240.5</c:v>
                </c:pt>
                <c:pt idx="96">
                  <c:v>240</c:v>
                </c:pt>
                <c:pt idx="97">
                  <c:v>240</c:v>
                </c:pt>
                <c:pt idx="98">
                  <c:v>335</c:v>
                </c:pt>
                <c:pt idx="99">
                  <c:v>275</c:v>
                </c:pt>
                <c:pt idx="100">
                  <c:v>275</c:v>
                </c:pt>
                <c:pt idx="101">
                  <c:v>255</c:v>
                </c:pt>
                <c:pt idx="102">
                  <c:v>215</c:v>
                </c:pt>
                <c:pt idx="103">
                  <c:v>215</c:v>
                </c:pt>
                <c:pt idx="104">
                  <c:v>290</c:v>
                </c:pt>
                <c:pt idx="105">
                  <c:v>290</c:v>
                </c:pt>
                <c:pt idx="106">
                  <c:v>270</c:v>
                </c:pt>
                <c:pt idx="107">
                  <c:v>270</c:v>
                </c:pt>
                <c:pt idx="108">
                  <c:v>325</c:v>
                </c:pt>
                <c:pt idx="109">
                  <c:v>210</c:v>
                </c:pt>
                <c:pt idx="110">
                  <c:v>210</c:v>
                </c:pt>
                <c:pt idx="111">
                  <c:v>285</c:v>
                </c:pt>
                <c:pt idx="112">
                  <c:v>252.5</c:v>
                </c:pt>
                <c:pt idx="113">
                  <c:v>280</c:v>
                </c:pt>
                <c:pt idx="114">
                  <c:v>280</c:v>
                </c:pt>
                <c:pt idx="115">
                  <c:v>205</c:v>
                </c:pt>
                <c:pt idx="116">
                  <c:v>307.5</c:v>
                </c:pt>
                <c:pt idx="117">
                  <c:v>315</c:v>
                </c:pt>
                <c:pt idx="118">
                  <c:v>322.5</c:v>
                </c:pt>
                <c:pt idx="119">
                  <c:v>310</c:v>
                </c:pt>
                <c:pt idx="120">
                  <c:v>255</c:v>
                </c:pt>
                <c:pt idx="121">
                  <c:v>325</c:v>
                </c:pt>
                <c:pt idx="122">
                  <c:v>270</c:v>
                </c:pt>
                <c:pt idx="123">
                  <c:v>305</c:v>
                </c:pt>
                <c:pt idx="124">
                  <c:v>250</c:v>
                </c:pt>
                <c:pt idx="125">
                  <c:v>252.5</c:v>
                </c:pt>
                <c:pt idx="126">
                  <c:v>330</c:v>
                </c:pt>
                <c:pt idx="127">
                  <c:v>260</c:v>
                </c:pt>
                <c:pt idx="128">
                  <c:v>225</c:v>
                </c:pt>
                <c:pt idx="129">
                  <c:v>387.5</c:v>
                </c:pt>
                <c:pt idx="130">
                  <c:v>232.5</c:v>
                </c:pt>
                <c:pt idx="131">
                  <c:v>290</c:v>
                </c:pt>
                <c:pt idx="132">
                  <c:v>255</c:v>
                </c:pt>
                <c:pt idx="133">
                  <c:v>185</c:v>
                </c:pt>
                <c:pt idx="134">
                  <c:v>235</c:v>
                </c:pt>
                <c:pt idx="135">
                  <c:v>285</c:v>
                </c:pt>
                <c:pt idx="136">
                  <c:v>342.5</c:v>
                </c:pt>
                <c:pt idx="137">
                  <c:v>200</c:v>
                </c:pt>
                <c:pt idx="138">
                  <c:v>307.5</c:v>
                </c:pt>
                <c:pt idx="139">
                  <c:v>330</c:v>
                </c:pt>
                <c:pt idx="140">
                  <c:v>222.5</c:v>
                </c:pt>
                <c:pt idx="141">
                  <c:v>260</c:v>
                </c:pt>
                <c:pt idx="142">
                  <c:v>260</c:v>
                </c:pt>
                <c:pt idx="143">
                  <c:v>267.5</c:v>
                </c:pt>
                <c:pt idx="144">
                  <c:v>202.5</c:v>
                </c:pt>
                <c:pt idx="145">
                  <c:v>320</c:v>
                </c:pt>
                <c:pt idx="146">
                  <c:v>285</c:v>
                </c:pt>
                <c:pt idx="147">
                  <c:v>300</c:v>
                </c:pt>
                <c:pt idx="148">
                  <c:v>315</c:v>
                </c:pt>
                <c:pt idx="149">
                  <c:v>250</c:v>
                </c:pt>
                <c:pt idx="150">
                  <c:v>257.5</c:v>
                </c:pt>
                <c:pt idx="151">
                  <c:v>295</c:v>
                </c:pt>
                <c:pt idx="152">
                  <c:v>325</c:v>
                </c:pt>
                <c:pt idx="153">
                  <c:v>230</c:v>
                </c:pt>
                <c:pt idx="154">
                  <c:v>282.5</c:v>
                </c:pt>
                <c:pt idx="155">
                  <c:v>290</c:v>
                </c:pt>
                <c:pt idx="156">
                  <c:v>335</c:v>
                </c:pt>
                <c:pt idx="157">
                  <c:v>350</c:v>
                </c:pt>
                <c:pt idx="158">
                  <c:v>270</c:v>
                </c:pt>
                <c:pt idx="159">
                  <c:v>300</c:v>
                </c:pt>
                <c:pt idx="160">
                  <c:v>337.5</c:v>
                </c:pt>
                <c:pt idx="161">
                  <c:v>225</c:v>
                </c:pt>
                <c:pt idx="162">
                  <c:v>180</c:v>
                </c:pt>
                <c:pt idx="163">
                  <c:v>300</c:v>
                </c:pt>
                <c:pt idx="164">
                  <c:v>225</c:v>
                </c:pt>
                <c:pt idx="165">
                  <c:v>255</c:v>
                </c:pt>
                <c:pt idx="166">
                  <c:v>210</c:v>
                </c:pt>
                <c:pt idx="167">
                  <c:v>195</c:v>
                </c:pt>
                <c:pt idx="168">
                  <c:v>247.5</c:v>
                </c:pt>
                <c:pt idx="169">
                  <c:v>285</c:v>
                </c:pt>
                <c:pt idx="170">
                  <c:v>280</c:v>
                </c:pt>
                <c:pt idx="171">
                  <c:v>272.5</c:v>
                </c:pt>
                <c:pt idx="172">
                  <c:v>250</c:v>
                </c:pt>
                <c:pt idx="173">
                  <c:v>220</c:v>
                </c:pt>
                <c:pt idx="174">
                  <c:v>205</c:v>
                </c:pt>
                <c:pt idx="175">
                  <c:v>335</c:v>
                </c:pt>
                <c:pt idx="176">
                  <c:v>312.5</c:v>
                </c:pt>
                <c:pt idx="177">
                  <c:v>260</c:v>
                </c:pt>
                <c:pt idx="178">
                  <c:v>245</c:v>
                </c:pt>
                <c:pt idx="179">
                  <c:v>237.5</c:v>
                </c:pt>
                <c:pt idx="180">
                  <c:v>230</c:v>
                </c:pt>
                <c:pt idx="181">
                  <c:v>255</c:v>
                </c:pt>
                <c:pt idx="182">
                  <c:v>170</c:v>
                </c:pt>
                <c:pt idx="183">
                  <c:v>255</c:v>
                </c:pt>
                <c:pt idx="184">
                  <c:v>247.5</c:v>
                </c:pt>
                <c:pt idx="185">
                  <c:v>302.5</c:v>
                </c:pt>
                <c:pt idx="186">
                  <c:v>295</c:v>
                </c:pt>
                <c:pt idx="187">
                  <c:v>287.5</c:v>
                </c:pt>
                <c:pt idx="188">
                  <c:v>210</c:v>
                </c:pt>
                <c:pt idx="189">
                  <c:v>327.5</c:v>
                </c:pt>
                <c:pt idx="190">
                  <c:v>257.5</c:v>
                </c:pt>
                <c:pt idx="191">
                  <c:v>250</c:v>
                </c:pt>
                <c:pt idx="192">
                  <c:v>242.5</c:v>
                </c:pt>
                <c:pt idx="193">
                  <c:v>235</c:v>
                </c:pt>
                <c:pt idx="194">
                  <c:v>290</c:v>
                </c:pt>
                <c:pt idx="195">
                  <c:v>282.5</c:v>
                </c:pt>
                <c:pt idx="196">
                  <c:v>282.5</c:v>
                </c:pt>
                <c:pt idx="197">
                  <c:v>220</c:v>
                </c:pt>
                <c:pt idx="198">
                  <c:v>220</c:v>
                </c:pt>
                <c:pt idx="199">
                  <c:v>220</c:v>
                </c:pt>
                <c:pt idx="200">
                  <c:v>322.5</c:v>
                </c:pt>
                <c:pt idx="201">
                  <c:v>322.5</c:v>
                </c:pt>
                <c:pt idx="202">
                  <c:v>267.5</c:v>
                </c:pt>
                <c:pt idx="203">
                  <c:v>315</c:v>
                </c:pt>
                <c:pt idx="204">
                  <c:v>252.5</c:v>
                </c:pt>
                <c:pt idx="205">
                  <c:v>300</c:v>
                </c:pt>
                <c:pt idx="206">
                  <c:v>300</c:v>
                </c:pt>
                <c:pt idx="207">
                  <c:v>277.5</c:v>
                </c:pt>
                <c:pt idx="208">
                  <c:v>310</c:v>
                </c:pt>
                <c:pt idx="209">
                  <c:v>310</c:v>
                </c:pt>
                <c:pt idx="210">
                  <c:v>215</c:v>
                </c:pt>
                <c:pt idx="211">
                  <c:v>215</c:v>
                </c:pt>
                <c:pt idx="212">
                  <c:v>215</c:v>
                </c:pt>
                <c:pt idx="213">
                  <c:v>327.5</c:v>
                </c:pt>
                <c:pt idx="214">
                  <c:v>240</c:v>
                </c:pt>
                <c:pt idx="215">
                  <c:v>312.5</c:v>
                </c:pt>
                <c:pt idx="216">
                  <c:v>312.5</c:v>
                </c:pt>
                <c:pt idx="217">
                  <c:v>265</c:v>
                </c:pt>
                <c:pt idx="218">
                  <c:v>225</c:v>
                </c:pt>
                <c:pt idx="219">
                  <c:v>185</c:v>
                </c:pt>
                <c:pt idx="220">
                  <c:v>290</c:v>
                </c:pt>
                <c:pt idx="221">
                  <c:v>282.5</c:v>
                </c:pt>
                <c:pt idx="222">
                  <c:v>235</c:v>
                </c:pt>
                <c:pt idx="223">
                  <c:v>260</c:v>
                </c:pt>
                <c:pt idx="224">
                  <c:v>195</c:v>
                </c:pt>
                <c:pt idx="225">
                  <c:v>260</c:v>
                </c:pt>
                <c:pt idx="226">
                  <c:v>252.5</c:v>
                </c:pt>
                <c:pt idx="227">
                  <c:v>245</c:v>
                </c:pt>
                <c:pt idx="228">
                  <c:v>270</c:v>
                </c:pt>
                <c:pt idx="229">
                  <c:v>180</c:v>
                </c:pt>
                <c:pt idx="230">
                  <c:v>205</c:v>
                </c:pt>
                <c:pt idx="231">
                  <c:v>287.5</c:v>
                </c:pt>
                <c:pt idx="232">
                  <c:v>230</c:v>
                </c:pt>
                <c:pt idx="233">
                  <c:v>317.5</c:v>
                </c:pt>
                <c:pt idx="234">
                  <c:v>272.5</c:v>
                </c:pt>
                <c:pt idx="235">
                  <c:v>272.5</c:v>
                </c:pt>
                <c:pt idx="236">
                  <c:v>182.5</c:v>
                </c:pt>
                <c:pt idx="237">
                  <c:v>232.5</c:v>
                </c:pt>
                <c:pt idx="238">
                  <c:v>307.5</c:v>
                </c:pt>
                <c:pt idx="239">
                  <c:v>300</c:v>
                </c:pt>
                <c:pt idx="240">
                  <c:v>175</c:v>
                </c:pt>
                <c:pt idx="241">
                  <c:v>200</c:v>
                </c:pt>
                <c:pt idx="242">
                  <c:v>217.5</c:v>
                </c:pt>
                <c:pt idx="243">
                  <c:v>285</c:v>
                </c:pt>
                <c:pt idx="244">
                  <c:v>285</c:v>
                </c:pt>
                <c:pt idx="245">
                  <c:v>235</c:v>
                </c:pt>
                <c:pt idx="246">
                  <c:v>235</c:v>
                </c:pt>
                <c:pt idx="247">
                  <c:v>327.5</c:v>
                </c:pt>
                <c:pt idx="248">
                  <c:v>185</c:v>
                </c:pt>
                <c:pt idx="249">
                  <c:v>220</c:v>
                </c:pt>
                <c:pt idx="250">
                  <c:v>305</c:v>
                </c:pt>
                <c:pt idx="251">
                  <c:v>255</c:v>
                </c:pt>
                <c:pt idx="252">
                  <c:v>247.5</c:v>
                </c:pt>
                <c:pt idx="253">
                  <c:v>247.5</c:v>
                </c:pt>
                <c:pt idx="254">
                  <c:v>265</c:v>
                </c:pt>
                <c:pt idx="255">
                  <c:v>215</c:v>
                </c:pt>
                <c:pt idx="256">
                  <c:v>310</c:v>
                </c:pt>
                <c:pt idx="257">
                  <c:v>250</c:v>
                </c:pt>
                <c:pt idx="258">
                  <c:v>225</c:v>
                </c:pt>
                <c:pt idx="259">
                  <c:v>260</c:v>
                </c:pt>
                <c:pt idx="260">
                  <c:v>227.5</c:v>
                </c:pt>
                <c:pt idx="261">
                  <c:v>210</c:v>
                </c:pt>
                <c:pt idx="262">
                  <c:v>227.5</c:v>
                </c:pt>
                <c:pt idx="263">
                  <c:v>290</c:v>
                </c:pt>
                <c:pt idx="264">
                  <c:v>255</c:v>
                </c:pt>
                <c:pt idx="265">
                  <c:v>202.5</c:v>
                </c:pt>
                <c:pt idx="266">
                  <c:v>265</c:v>
                </c:pt>
                <c:pt idx="267">
                  <c:v>230</c:v>
                </c:pt>
                <c:pt idx="268">
                  <c:v>257.5</c:v>
                </c:pt>
                <c:pt idx="269">
                  <c:v>222.5</c:v>
                </c:pt>
                <c:pt idx="270">
                  <c:v>250</c:v>
                </c:pt>
                <c:pt idx="271">
                  <c:v>295</c:v>
                </c:pt>
                <c:pt idx="272">
                  <c:v>295</c:v>
                </c:pt>
                <c:pt idx="273">
                  <c:v>242.5</c:v>
                </c:pt>
                <c:pt idx="274">
                  <c:v>180</c:v>
                </c:pt>
                <c:pt idx="275">
                  <c:v>270</c:v>
                </c:pt>
                <c:pt idx="276">
                  <c:v>252.5</c:v>
                </c:pt>
                <c:pt idx="277">
                  <c:v>207.5</c:v>
                </c:pt>
                <c:pt idx="278">
                  <c:v>280</c:v>
                </c:pt>
                <c:pt idx="279">
                  <c:v>235</c:v>
                </c:pt>
                <c:pt idx="280">
                  <c:v>221</c:v>
                </c:pt>
                <c:pt idx="281">
                  <c:v>255</c:v>
                </c:pt>
                <c:pt idx="282">
                  <c:v>255</c:v>
                </c:pt>
                <c:pt idx="283">
                  <c:v>255</c:v>
                </c:pt>
                <c:pt idx="284">
                  <c:v>220</c:v>
                </c:pt>
                <c:pt idx="285">
                  <c:v>230</c:v>
                </c:pt>
                <c:pt idx="286">
                  <c:v>315</c:v>
                </c:pt>
                <c:pt idx="287">
                  <c:v>222.5</c:v>
                </c:pt>
                <c:pt idx="288">
                  <c:v>270</c:v>
                </c:pt>
                <c:pt idx="289">
                  <c:v>225.5</c:v>
                </c:pt>
                <c:pt idx="290">
                  <c:v>215</c:v>
                </c:pt>
                <c:pt idx="291">
                  <c:v>217.5</c:v>
                </c:pt>
                <c:pt idx="292">
                  <c:v>285</c:v>
                </c:pt>
                <c:pt idx="293">
                  <c:v>257.5</c:v>
                </c:pt>
                <c:pt idx="294">
                  <c:v>210</c:v>
                </c:pt>
                <c:pt idx="295">
                  <c:v>307.5</c:v>
                </c:pt>
                <c:pt idx="296">
                  <c:v>290</c:v>
                </c:pt>
                <c:pt idx="297">
                  <c:v>225</c:v>
                </c:pt>
                <c:pt idx="298">
                  <c:v>225</c:v>
                </c:pt>
                <c:pt idx="299">
                  <c:v>235</c:v>
                </c:pt>
                <c:pt idx="300">
                  <c:v>275</c:v>
                </c:pt>
                <c:pt idx="301">
                  <c:v>167.5</c:v>
                </c:pt>
                <c:pt idx="302">
                  <c:v>187.5</c:v>
                </c:pt>
                <c:pt idx="303">
                  <c:v>187.5</c:v>
                </c:pt>
                <c:pt idx="304">
                  <c:v>230</c:v>
                </c:pt>
                <c:pt idx="305">
                  <c:v>150</c:v>
                </c:pt>
                <c:pt idx="306">
                  <c:v>230</c:v>
                </c:pt>
                <c:pt idx="307">
                  <c:v>270</c:v>
                </c:pt>
                <c:pt idx="308">
                  <c:v>210</c:v>
                </c:pt>
                <c:pt idx="309">
                  <c:v>210</c:v>
                </c:pt>
                <c:pt idx="310">
                  <c:v>302.5</c:v>
                </c:pt>
                <c:pt idx="311">
                  <c:v>226</c:v>
                </c:pt>
                <c:pt idx="312">
                  <c:v>242.5</c:v>
                </c:pt>
                <c:pt idx="313">
                  <c:v>182.5</c:v>
                </c:pt>
                <c:pt idx="314">
                  <c:v>285</c:v>
                </c:pt>
                <c:pt idx="315">
                  <c:v>275</c:v>
                </c:pt>
                <c:pt idx="316">
                  <c:v>275</c:v>
                </c:pt>
                <c:pt idx="317">
                  <c:v>245</c:v>
                </c:pt>
                <c:pt idx="318">
                  <c:v>185</c:v>
                </c:pt>
                <c:pt idx="319">
                  <c:v>185</c:v>
                </c:pt>
                <c:pt idx="320">
                  <c:v>165</c:v>
                </c:pt>
                <c:pt idx="321">
                  <c:v>250</c:v>
                </c:pt>
                <c:pt idx="322">
                  <c:v>240</c:v>
                </c:pt>
                <c:pt idx="323">
                  <c:v>220</c:v>
                </c:pt>
                <c:pt idx="324">
                  <c:v>262.5</c:v>
                </c:pt>
                <c:pt idx="325">
                  <c:v>252.5</c:v>
                </c:pt>
                <c:pt idx="326">
                  <c:v>255</c:v>
                </c:pt>
                <c:pt idx="327">
                  <c:v>330</c:v>
                </c:pt>
                <c:pt idx="328">
                  <c:v>202.5</c:v>
                </c:pt>
                <c:pt idx="329">
                  <c:v>235</c:v>
                </c:pt>
                <c:pt idx="330">
                  <c:v>235</c:v>
                </c:pt>
                <c:pt idx="331">
                  <c:v>267.5</c:v>
                </c:pt>
                <c:pt idx="332">
                  <c:v>215</c:v>
                </c:pt>
                <c:pt idx="333">
                  <c:v>220</c:v>
                </c:pt>
                <c:pt idx="334">
                  <c:v>220</c:v>
                </c:pt>
                <c:pt idx="335">
                  <c:v>265</c:v>
                </c:pt>
                <c:pt idx="336">
                  <c:v>210</c:v>
                </c:pt>
                <c:pt idx="337">
                  <c:v>177.5</c:v>
                </c:pt>
                <c:pt idx="338">
                  <c:v>245</c:v>
                </c:pt>
                <c:pt idx="339">
                  <c:v>315</c:v>
                </c:pt>
                <c:pt idx="340">
                  <c:v>170</c:v>
                </c:pt>
                <c:pt idx="341">
                  <c:v>250</c:v>
                </c:pt>
                <c:pt idx="342">
                  <c:v>227.5</c:v>
                </c:pt>
                <c:pt idx="343">
                  <c:v>205</c:v>
                </c:pt>
                <c:pt idx="344">
                  <c:v>285</c:v>
                </c:pt>
                <c:pt idx="345">
                  <c:v>240</c:v>
                </c:pt>
                <c:pt idx="346">
                  <c:v>195</c:v>
                </c:pt>
                <c:pt idx="347">
                  <c:v>252.5</c:v>
                </c:pt>
                <c:pt idx="348">
                  <c:v>265</c:v>
                </c:pt>
                <c:pt idx="349">
                  <c:v>185</c:v>
                </c:pt>
                <c:pt idx="350">
                  <c:v>197.5</c:v>
                </c:pt>
                <c:pt idx="351">
                  <c:v>210</c:v>
                </c:pt>
                <c:pt idx="352">
                  <c:v>210</c:v>
                </c:pt>
                <c:pt idx="353">
                  <c:v>165</c:v>
                </c:pt>
                <c:pt idx="354">
                  <c:v>267.5</c:v>
                </c:pt>
                <c:pt idx="355">
                  <c:v>195</c:v>
                </c:pt>
                <c:pt idx="356">
                  <c:v>210</c:v>
                </c:pt>
                <c:pt idx="357">
                  <c:v>222.5</c:v>
                </c:pt>
                <c:pt idx="358">
                  <c:v>242.5</c:v>
                </c:pt>
                <c:pt idx="359">
                  <c:v>265</c:v>
                </c:pt>
                <c:pt idx="360">
                  <c:v>242.5</c:v>
                </c:pt>
                <c:pt idx="361">
                  <c:v>217.5</c:v>
                </c:pt>
                <c:pt idx="362">
                  <c:v>192.5</c:v>
                </c:pt>
                <c:pt idx="363">
                  <c:v>192.5</c:v>
                </c:pt>
                <c:pt idx="364">
                  <c:v>222.5</c:v>
                </c:pt>
                <c:pt idx="365">
                  <c:v>275</c:v>
                </c:pt>
                <c:pt idx="366">
                  <c:v>172.5</c:v>
                </c:pt>
                <c:pt idx="367">
                  <c:v>252.5</c:v>
                </c:pt>
                <c:pt idx="368">
                  <c:v>252.5</c:v>
                </c:pt>
                <c:pt idx="369">
                  <c:v>200</c:v>
                </c:pt>
                <c:pt idx="370">
                  <c:v>245</c:v>
                </c:pt>
                <c:pt idx="371">
                  <c:v>210</c:v>
                </c:pt>
                <c:pt idx="372">
                  <c:v>225</c:v>
                </c:pt>
                <c:pt idx="373">
                  <c:v>270</c:v>
                </c:pt>
                <c:pt idx="374">
                  <c:v>260</c:v>
                </c:pt>
                <c:pt idx="375">
                  <c:v>265</c:v>
                </c:pt>
                <c:pt idx="376">
                  <c:v>312.5</c:v>
                </c:pt>
                <c:pt idx="377">
                  <c:v>220</c:v>
                </c:pt>
                <c:pt idx="378">
                  <c:v>205</c:v>
                </c:pt>
                <c:pt idx="379">
                  <c:v>160</c:v>
                </c:pt>
                <c:pt idx="380">
                  <c:v>275</c:v>
                </c:pt>
                <c:pt idx="381">
                  <c:v>190</c:v>
                </c:pt>
                <c:pt idx="382">
                  <c:v>272.5</c:v>
                </c:pt>
                <c:pt idx="383">
                  <c:v>310</c:v>
                </c:pt>
                <c:pt idx="384">
                  <c:v>182.5</c:v>
                </c:pt>
                <c:pt idx="385">
                  <c:v>195</c:v>
                </c:pt>
                <c:pt idx="386">
                  <c:v>175</c:v>
                </c:pt>
                <c:pt idx="387">
                  <c:v>210</c:v>
                </c:pt>
                <c:pt idx="388">
                  <c:v>232.5</c:v>
                </c:pt>
                <c:pt idx="389">
                  <c:v>170</c:v>
                </c:pt>
                <c:pt idx="390">
                  <c:v>220</c:v>
                </c:pt>
                <c:pt idx="391">
                  <c:v>190</c:v>
                </c:pt>
                <c:pt idx="392">
                  <c:v>195</c:v>
                </c:pt>
                <c:pt idx="393">
                  <c:v>187.5</c:v>
                </c:pt>
                <c:pt idx="394">
                  <c:v>240</c:v>
                </c:pt>
                <c:pt idx="395">
                  <c:v>160</c:v>
                </c:pt>
                <c:pt idx="396">
                  <c:v>235</c:v>
                </c:pt>
                <c:pt idx="397">
                  <c:v>140</c:v>
                </c:pt>
                <c:pt idx="398">
                  <c:v>180</c:v>
                </c:pt>
                <c:pt idx="399">
                  <c:v>105</c:v>
                </c:pt>
                <c:pt idx="400">
                  <c:v>192.5</c:v>
                </c:pt>
                <c:pt idx="401">
                  <c:v>105</c:v>
                </c:pt>
                <c:pt idx="402">
                  <c:v>212.5</c:v>
                </c:pt>
                <c:pt idx="403">
                  <c:v>90</c:v>
                </c:pt>
                <c:pt idx="404">
                  <c:v>230.5</c:v>
                </c:pt>
                <c:pt idx="405">
                  <c:v>230</c:v>
                </c:pt>
                <c:pt idx="406">
                  <c:v>115</c:v>
                </c:pt>
                <c:pt idx="407">
                  <c:v>152.5</c:v>
                </c:pt>
                <c:pt idx="408">
                  <c:v>167.5</c:v>
                </c:pt>
                <c:pt idx="409">
                  <c:v>145</c:v>
                </c:pt>
                <c:pt idx="410">
                  <c:v>150</c:v>
                </c:pt>
                <c:pt idx="411">
                  <c:v>150</c:v>
                </c:pt>
                <c:pt idx="412">
                  <c:v>160</c:v>
                </c:pt>
                <c:pt idx="413">
                  <c:v>152.5</c:v>
                </c:pt>
                <c:pt idx="414">
                  <c:v>177.5</c:v>
                </c:pt>
                <c:pt idx="415">
                  <c:v>125</c:v>
                </c:pt>
                <c:pt idx="416">
                  <c:v>192.5</c:v>
                </c:pt>
                <c:pt idx="417">
                  <c:v>135</c:v>
                </c:pt>
                <c:pt idx="418">
                  <c:v>232.5</c:v>
                </c:pt>
                <c:pt idx="419">
                  <c:v>170</c:v>
                </c:pt>
                <c:pt idx="420">
                  <c:v>195</c:v>
                </c:pt>
                <c:pt idx="421">
                  <c:v>112.5</c:v>
                </c:pt>
                <c:pt idx="422">
                  <c:v>112.5</c:v>
                </c:pt>
                <c:pt idx="423">
                  <c:v>230</c:v>
                </c:pt>
                <c:pt idx="424">
                  <c:v>157.5</c:v>
                </c:pt>
                <c:pt idx="425">
                  <c:v>162.5</c:v>
                </c:pt>
                <c:pt idx="426">
                  <c:v>172.5</c:v>
                </c:pt>
                <c:pt idx="427">
                  <c:v>165</c:v>
                </c:pt>
                <c:pt idx="428">
                  <c:v>110</c:v>
                </c:pt>
                <c:pt idx="429">
                  <c:v>90</c:v>
                </c:pt>
                <c:pt idx="430">
                  <c:v>110</c:v>
                </c:pt>
                <c:pt idx="431">
                  <c:v>190</c:v>
                </c:pt>
                <c:pt idx="432">
                  <c:v>130</c:v>
                </c:pt>
                <c:pt idx="433">
                  <c:v>160</c:v>
                </c:pt>
                <c:pt idx="434">
                  <c:v>197.5</c:v>
                </c:pt>
                <c:pt idx="435">
                  <c:v>167.5</c:v>
                </c:pt>
                <c:pt idx="436">
                  <c:v>142.5</c:v>
                </c:pt>
                <c:pt idx="437">
                  <c:v>215</c:v>
                </c:pt>
                <c:pt idx="438">
                  <c:v>200</c:v>
                </c:pt>
                <c:pt idx="439">
                  <c:v>180</c:v>
                </c:pt>
                <c:pt idx="440">
                  <c:v>145</c:v>
                </c:pt>
                <c:pt idx="441">
                  <c:v>140</c:v>
                </c:pt>
                <c:pt idx="442">
                  <c:v>140</c:v>
                </c:pt>
                <c:pt idx="443">
                  <c:v>177.5</c:v>
                </c:pt>
                <c:pt idx="444">
                  <c:v>162.5</c:v>
                </c:pt>
                <c:pt idx="445">
                  <c:v>152.5</c:v>
                </c:pt>
                <c:pt idx="446">
                  <c:v>152.5</c:v>
                </c:pt>
                <c:pt idx="447">
                  <c:v>152.5</c:v>
                </c:pt>
                <c:pt idx="448">
                  <c:v>142.5</c:v>
                </c:pt>
                <c:pt idx="449">
                  <c:v>185</c:v>
                </c:pt>
                <c:pt idx="450">
                  <c:v>137.5</c:v>
                </c:pt>
                <c:pt idx="451">
                  <c:v>127.5</c:v>
                </c:pt>
                <c:pt idx="452">
                  <c:v>122.5</c:v>
                </c:pt>
                <c:pt idx="453">
                  <c:v>122.5</c:v>
                </c:pt>
                <c:pt idx="454">
                  <c:v>182.5</c:v>
                </c:pt>
                <c:pt idx="455">
                  <c:v>145</c:v>
                </c:pt>
                <c:pt idx="456">
                  <c:v>145</c:v>
                </c:pt>
                <c:pt idx="457">
                  <c:v>140</c:v>
                </c:pt>
                <c:pt idx="458">
                  <c:v>140</c:v>
                </c:pt>
                <c:pt idx="459">
                  <c:v>130</c:v>
                </c:pt>
                <c:pt idx="460">
                  <c:v>162.5</c:v>
                </c:pt>
                <c:pt idx="461">
                  <c:v>157.5</c:v>
                </c:pt>
                <c:pt idx="462">
                  <c:v>125</c:v>
                </c:pt>
                <c:pt idx="463">
                  <c:v>92.5</c:v>
                </c:pt>
                <c:pt idx="464">
                  <c:v>120</c:v>
                </c:pt>
                <c:pt idx="465">
                  <c:v>120</c:v>
                </c:pt>
                <c:pt idx="466">
                  <c:v>147.5</c:v>
                </c:pt>
                <c:pt idx="467">
                  <c:v>202.5</c:v>
                </c:pt>
                <c:pt idx="468">
                  <c:v>115</c:v>
                </c:pt>
                <c:pt idx="469">
                  <c:v>115</c:v>
                </c:pt>
                <c:pt idx="470">
                  <c:v>142.5</c:v>
                </c:pt>
                <c:pt idx="471">
                  <c:v>170</c:v>
                </c:pt>
                <c:pt idx="472">
                  <c:v>110</c:v>
                </c:pt>
                <c:pt idx="473">
                  <c:v>160</c:v>
                </c:pt>
                <c:pt idx="474">
                  <c:v>132.5</c:v>
                </c:pt>
                <c:pt idx="475">
                  <c:v>155</c:v>
                </c:pt>
                <c:pt idx="476">
                  <c:v>155</c:v>
                </c:pt>
                <c:pt idx="477">
                  <c:v>127.5</c:v>
                </c:pt>
                <c:pt idx="478">
                  <c:v>100</c:v>
                </c:pt>
                <c:pt idx="479">
                  <c:v>100</c:v>
                </c:pt>
                <c:pt idx="480">
                  <c:v>145</c:v>
                </c:pt>
                <c:pt idx="481">
                  <c:v>145</c:v>
                </c:pt>
                <c:pt idx="482">
                  <c:v>190</c:v>
                </c:pt>
                <c:pt idx="483">
                  <c:v>135</c:v>
                </c:pt>
                <c:pt idx="484">
                  <c:v>152.5</c:v>
                </c:pt>
                <c:pt idx="485">
                  <c:v>147.5</c:v>
                </c:pt>
                <c:pt idx="486">
                  <c:v>125</c:v>
                </c:pt>
                <c:pt idx="487">
                  <c:v>125</c:v>
                </c:pt>
                <c:pt idx="488">
                  <c:v>120</c:v>
                </c:pt>
                <c:pt idx="489">
                  <c:v>120</c:v>
                </c:pt>
                <c:pt idx="490">
                  <c:v>137.5</c:v>
                </c:pt>
                <c:pt idx="491">
                  <c:v>115</c:v>
                </c:pt>
                <c:pt idx="492">
                  <c:v>132.5</c:v>
                </c:pt>
                <c:pt idx="493">
                  <c:v>92.5</c:v>
                </c:pt>
                <c:pt idx="494">
                  <c:v>127.5</c:v>
                </c:pt>
                <c:pt idx="495">
                  <c:v>140</c:v>
                </c:pt>
                <c:pt idx="496">
                  <c:v>192.5</c:v>
                </c:pt>
                <c:pt idx="497">
                  <c:v>125</c:v>
                </c:pt>
                <c:pt idx="498">
                  <c:v>155</c:v>
                </c:pt>
                <c:pt idx="499">
                  <c:v>120</c:v>
                </c:pt>
                <c:pt idx="500">
                  <c:v>175</c:v>
                </c:pt>
                <c:pt idx="501">
                  <c:v>145</c:v>
                </c:pt>
                <c:pt idx="502">
                  <c:v>157.5</c:v>
                </c:pt>
                <c:pt idx="503">
                  <c:v>247.5</c:v>
                </c:pt>
                <c:pt idx="504">
                  <c:v>127.5</c:v>
                </c:pt>
                <c:pt idx="505">
                  <c:v>140</c:v>
                </c:pt>
                <c:pt idx="506">
                  <c:v>97.5</c:v>
                </c:pt>
                <c:pt idx="507">
                  <c:v>110</c:v>
                </c:pt>
                <c:pt idx="508">
                  <c:v>110</c:v>
                </c:pt>
                <c:pt idx="509">
                  <c:v>122.5</c:v>
                </c:pt>
                <c:pt idx="510">
                  <c:v>122.5</c:v>
                </c:pt>
                <c:pt idx="511">
                  <c:v>135</c:v>
                </c:pt>
                <c:pt idx="512">
                  <c:v>215</c:v>
                </c:pt>
                <c:pt idx="513">
                  <c:v>147.5</c:v>
                </c:pt>
                <c:pt idx="514">
                  <c:v>175</c:v>
                </c:pt>
                <c:pt idx="515">
                  <c:v>125</c:v>
                </c:pt>
                <c:pt idx="516">
                  <c:v>125</c:v>
                </c:pt>
                <c:pt idx="517">
                  <c:v>137.5</c:v>
                </c:pt>
                <c:pt idx="518">
                  <c:v>165</c:v>
                </c:pt>
                <c:pt idx="519">
                  <c:v>165</c:v>
                </c:pt>
                <c:pt idx="520">
                  <c:v>140</c:v>
                </c:pt>
                <c:pt idx="521">
                  <c:v>115</c:v>
                </c:pt>
                <c:pt idx="522">
                  <c:v>115</c:v>
                </c:pt>
                <c:pt idx="523">
                  <c:v>102.5</c:v>
                </c:pt>
                <c:pt idx="524">
                  <c:v>90</c:v>
                </c:pt>
                <c:pt idx="525">
                  <c:v>180</c:v>
                </c:pt>
                <c:pt idx="526">
                  <c:v>122.5</c:v>
                </c:pt>
                <c:pt idx="527">
                  <c:v>155</c:v>
                </c:pt>
                <c:pt idx="528">
                  <c:v>110</c:v>
                </c:pt>
                <c:pt idx="529">
                  <c:v>110</c:v>
                </c:pt>
                <c:pt idx="530">
                  <c:v>142.5</c:v>
                </c:pt>
                <c:pt idx="531">
                  <c:v>97.5</c:v>
                </c:pt>
                <c:pt idx="532">
                  <c:v>162.5</c:v>
                </c:pt>
                <c:pt idx="533">
                  <c:v>85</c:v>
                </c:pt>
                <c:pt idx="534">
                  <c:v>137.5</c:v>
                </c:pt>
                <c:pt idx="535">
                  <c:v>137.5</c:v>
                </c:pt>
                <c:pt idx="536">
                  <c:v>157.5</c:v>
                </c:pt>
                <c:pt idx="537">
                  <c:v>125</c:v>
                </c:pt>
                <c:pt idx="538">
                  <c:v>125</c:v>
                </c:pt>
                <c:pt idx="539">
                  <c:v>72.5</c:v>
                </c:pt>
                <c:pt idx="540">
                  <c:v>165</c:v>
                </c:pt>
                <c:pt idx="541">
                  <c:v>132.5</c:v>
                </c:pt>
                <c:pt idx="542">
                  <c:v>172.5</c:v>
                </c:pt>
                <c:pt idx="543">
                  <c:v>100</c:v>
                </c:pt>
                <c:pt idx="544">
                  <c:v>147.5</c:v>
                </c:pt>
                <c:pt idx="545">
                  <c:v>127.5</c:v>
                </c:pt>
                <c:pt idx="546">
                  <c:v>127.5</c:v>
                </c:pt>
                <c:pt idx="547">
                  <c:v>107.5</c:v>
                </c:pt>
                <c:pt idx="548">
                  <c:v>135</c:v>
                </c:pt>
                <c:pt idx="549">
                  <c:v>182.5</c:v>
                </c:pt>
                <c:pt idx="550">
                  <c:v>115</c:v>
                </c:pt>
                <c:pt idx="551">
                  <c:v>95</c:v>
                </c:pt>
                <c:pt idx="552">
                  <c:v>95</c:v>
                </c:pt>
                <c:pt idx="553">
                  <c:v>142.5</c:v>
                </c:pt>
                <c:pt idx="554">
                  <c:v>170</c:v>
                </c:pt>
                <c:pt idx="555">
                  <c:v>170</c:v>
                </c:pt>
                <c:pt idx="556">
                  <c:v>122.5</c:v>
                </c:pt>
                <c:pt idx="557">
                  <c:v>150</c:v>
                </c:pt>
                <c:pt idx="558">
                  <c:v>177.5</c:v>
                </c:pt>
                <c:pt idx="559">
                  <c:v>102.5</c:v>
                </c:pt>
                <c:pt idx="560">
                  <c:v>130</c:v>
                </c:pt>
                <c:pt idx="561">
                  <c:v>130</c:v>
                </c:pt>
                <c:pt idx="562">
                  <c:v>110</c:v>
                </c:pt>
                <c:pt idx="563">
                  <c:v>82.5</c:v>
                </c:pt>
                <c:pt idx="564">
                  <c:v>195</c:v>
                </c:pt>
                <c:pt idx="565">
                  <c:v>175</c:v>
                </c:pt>
                <c:pt idx="566">
                  <c:v>105</c:v>
                </c:pt>
                <c:pt idx="567">
                  <c:v>147.5</c:v>
                </c:pt>
                <c:pt idx="568">
                  <c:v>92.5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195</c:v>
                </c:pt>
                <c:pt idx="573">
                  <c:v>137.5</c:v>
                </c:pt>
                <c:pt idx="574">
                  <c:v>145</c:v>
                </c:pt>
                <c:pt idx="575">
                  <c:v>160</c:v>
                </c:pt>
                <c:pt idx="576">
                  <c:v>102.5</c:v>
                </c:pt>
                <c:pt idx="577">
                  <c:v>205</c:v>
                </c:pt>
                <c:pt idx="578">
                  <c:v>110</c:v>
                </c:pt>
                <c:pt idx="579">
                  <c:v>185.5</c:v>
                </c:pt>
                <c:pt idx="580">
                  <c:v>140</c:v>
                </c:pt>
                <c:pt idx="581">
                  <c:v>155</c:v>
                </c:pt>
                <c:pt idx="582">
                  <c:v>185</c:v>
                </c:pt>
                <c:pt idx="583">
                  <c:v>142.5</c:v>
                </c:pt>
                <c:pt idx="584">
                  <c:v>135</c:v>
                </c:pt>
                <c:pt idx="585">
                  <c:v>105</c:v>
                </c:pt>
                <c:pt idx="586">
                  <c:v>105</c:v>
                </c:pt>
                <c:pt idx="587">
                  <c:v>120</c:v>
                </c:pt>
                <c:pt idx="588">
                  <c:v>160</c:v>
                </c:pt>
                <c:pt idx="589">
                  <c:v>107.5</c:v>
                </c:pt>
                <c:pt idx="590">
                  <c:v>107.5</c:v>
                </c:pt>
                <c:pt idx="591">
                  <c:v>177.5</c:v>
                </c:pt>
                <c:pt idx="592">
                  <c:v>170</c:v>
                </c:pt>
                <c:pt idx="593">
                  <c:v>162.5</c:v>
                </c:pt>
                <c:pt idx="594">
                  <c:v>200</c:v>
                </c:pt>
                <c:pt idx="595">
                  <c:v>132.5</c:v>
                </c:pt>
                <c:pt idx="596">
                  <c:v>110</c:v>
                </c:pt>
                <c:pt idx="597">
                  <c:v>142.5</c:v>
                </c:pt>
                <c:pt idx="598">
                  <c:v>95</c:v>
                </c:pt>
                <c:pt idx="599">
                  <c:v>197.5</c:v>
                </c:pt>
                <c:pt idx="600">
                  <c:v>72.5</c:v>
                </c:pt>
                <c:pt idx="601">
                  <c:v>115</c:v>
                </c:pt>
                <c:pt idx="602">
                  <c:v>107.5</c:v>
                </c:pt>
                <c:pt idx="603">
                  <c:v>125</c:v>
                </c:pt>
                <c:pt idx="604">
                  <c:v>125</c:v>
                </c:pt>
                <c:pt idx="605">
                  <c:v>150</c:v>
                </c:pt>
                <c:pt idx="606">
                  <c:v>135</c:v>
                </c:pt>
                <c:pt idx="607">
                  <c:v>110</c:v>
                </c:pt>
                <c:pt idx="608">
                  <c:v>120</c:v>
                </c:pt>
                <c:pt idx="609">
                  <c:v>120</c:v>
                </c:pt>
                <c:pt idx="610">
                  <c:v>130</c:v>
                </c:pt>
                <c:pt idx="611">
                  <c:v>70</c:v>
                </c:pt>
                <c:pt idx="612">
                  <c:v>105</c:v>
                </c:pt>
                <c:pt idx="613">
                  <c:v>160</c:v>
                </c:pt>
                <c:pt idx="614">
                  <c:v>125</c:v>
                </c:pt>
                <c:pt idx="615">
                  <c:v>152.5</c:v>
                </c:pt>
                <c:pt idx="616">
                  <c:v>135</c:v>
                </c:pt>
                <c:pt idx="617">
                  <c:v>90</c:v>
                </c:pt>
                <c:pt idx="618">
                  <c:v>100</c:v>
                </c:pt>
                <c:pt idx="619">
                  <c:v>137.5</c:v>
                </c:pt>
                <c:pt idx="620">
                  <c:v>110</c:v>
                </c:pt>
                <c:pt idx="621">
                  <c:v>120</c:v>
                </c:pt>
                <c:pt idx="622">
                  <c:v>130</c:v>
                </c:pt>
                <c:pt idx="623">
                  <c:v>102.5</c:v>
                </c:pt>
                <c:pt idx="624">
                  <c:v>140</c:v>
                </c:pt>
                <c:pt idx="625">
                  <c:v>142.5</c:v>
                </c:pt>
                <c:pt idx="626">
                  <c:v>142.5</c:v>
                </c:pt>
                <c:pt idx="627">
                  <c:v>110</c:v>
                </c:pt>
                <c:pt idx="628">
                  <c:v>150</c:v>
                </c:pt>
                <c:pt idx="629">
                  <c:v>70</c:v>
                </c:pt>
                <c:pt idx="630">
                  <c:v>110</c:v>
                </c:pt>
                <c:pt idx="631">
                  <c:v>142.5</c:v>
                </c:pt>
                <c:pt idx="632">
                  <c:v>112.5</c:v>
                </c:pt>
                <c:pt idx="633">
                  <c:v>92.5</c:v>
                </c:pt>
                <c:pt idx="634">
                  <c:v>155</c:v>
                </c:pt>
                <c:pt idx="635">
                  <c:v>105</c:v>
                </c:pt>
                <c:pt idx="636">
                  <c:v>85</c:v>
                </c:pt>
                <c:pt idx="637">
                  <c:v>117.5</c:v>
                </c:pt>
                <c:pt idx="638">
                  <c:v>100</c:v>
                </c:pt>
                <c:pt idx="639">
                  <c:v>145</c:v>
                </c:pt>
                <c:pt idx="640">
                  <c:v>90</c:v>
                </c:pt>
                <c:pt idx="641">
                  <c:v>125</c:v>
                </c:pt>
                <c:pt idx="642">
                  <c:v>102.5</c:v>
                </c:pt>
                <c:pt idx="643">
                  <c:v>115</c:v>
                </c:pt>
                <c:pt idx="644">
                  <c:v>115</c:v>
                </c:pt>
                <c:pt idx="645">
                  <c:v>92.5</c:v>
                </c:pt>
                <c:pt idx="646">
                  <c:v>117.5</c:v>
                </c:pt>
                <c:pt idx="647">
                  <c:v>95</c:v>
                </c:pt>
                <c:pt idx="648">
                  <c:v>115</c:v>
                </c:pt>
                <c:pt idx="649">
                  <c:v>72.5</c:v>
                </c:pt>
                <c:pt idx="650">
                  <c:v>112.5</c:v>
                </c:pt>
                <c:pt idx="651">
                  <c:v>112.5</c:v>
                </c:pt>
                <c:pt idx="652">
                  <c:v>90</c:v>
                </c:pt>
                <c:pt idx="653">
                  <c:v>110</c:v>
                </c:pt>
                <c:pt idx="654">
                  <c:v>132.5</c:v>
                </c:pt>
                <c:pt idx="655">
                  <c:v>122.5</c:v>
                </c:pt>
                <c:pt idx="656">
                  <c:v>142.5</c:v>
                </c:pt>
                <c:pt idx="657">
                  <c:v>142.5</c:v>
                </c:pt>
                <c:pt idx="658">
                  <c:v>142.5</c:v>
                </c:pt>
                <c:pt idx="659">
                  <c:v>400</c:v>
                </c:pt>
                <c:pt idx="660">
                  <c:v>345</c:v>
                </c:pt>
                <c:pt idx="661">
                  <c:v>265</c:v>
                </c:pt>
                <c:pt idx="662">
                  <c:v>320</c:v>
                </c:pt>
                <c:pt idx="663">
                  <c:v>250</c:v>
                </c:pt>
                <c:pt idx="664">
                  <c:v>290</c:v>
                </c:pt>
                <c:pt idx="665">
                  <c:v>325</c:v>
                </c:pt>
                <c:pt idx="666">
                  <c:v>305</c:v>
                </c:pt>
                <c:pt idx="667">
                  <c:v>265</c:v>
                </c:pt>
                <c:pt idx="668">
                  <c:v>300</c:v>
                </c:pt>
                <c:pt idx="669">
                  <c:v>290</c:v>
                </c:pt>
                <c:pt idx="670">
                  <c:v>355</c:v>
                </c:pt>
                <c:pt idx="671">
                  <c:v>315</c:v>
                </c:pt>
                <c:pt idx="672">
                  <c:v>220</c:v>
                </c:pt>
                <c:pt idx="673">
                  <c:v>320</c:v>
                </c:pt>
                <c:pt idx="674">
                  <c:v>455</c:v>
                </c:pt>
                <c:pt idx="675">
                  <c:v>290</c:v>
                </c:pt>
                <c:pt idx="676">
                  <c:v>340</c:v>
                </c:pt>
                <c:pt idx="677">
                  <c:v>250</c:v>
                </c:pt>
                <c:pt idx="678">
                  <c:v>320</c:v>
                </c:pt>
                <c:pt idx="679">
                  <c:v>372.5</c:v>
                </c:pt>
                <c:pt idx="680">
                  <c:v>235</c:v>
                </c:pt>
                <c:pt idx="681">
                  <c:v>230</c:v>
                </c:pt>
                <c:pt idx="682">
                  <c:v>326</c:v>
                </c:pt>
                <c:pt idx="683">
                  <c:v>422.5</c:v>
                </c:pt>
                <c:pt idx="684">
                  <c:v>237.5</c:v>
                </c:pt>
                <c:pt idx="685">
                  <c:v>255</c:v>
                </c:pt>
                <c:pt idx="686">
                  <c:v>280</c:v>
                </c:pt>
                <c:pt idx="687">
                  <c:v>380</c:v>
                </c:pt>
                <c:pt idx="688">
                  <c:v>325</c:v>
                </c:pt>
                <c:pt idx="689">
                  <c:v>260</c:v>
                </c:pt>
                <c:pt idx="690">
                  <c:v>242.5</c:v>
                </c:pt>
                <c:pt idx="691">
                  <c:v>310</c:v>
                </c:pt>
                <c:pt idx="692">
                  <c:v>340</c:v>
                </c:pt>
                <c:pt idx="693">
                  <c:v>215</c:v>
                </c:pt>
                <c:pt idx="694">
                  <c:v>240</c:v>
                </c:pt>
                <c:pt idx="695">
                  <c:v>380</c:v>
                </c:pt>
                <c:pt idx="696">
                  <c:v>290</c:v>
                </c:pt>
                <c:pt idx="697">
                  <c:v>230</c:v>
                </c:pt>
                <c:pt idx="698">
                  <c:v>360</c:v>
                </c:pt>
                <c:pt idx="699">
                  <c:v>360</c:v>
                </c:pt>
                <c:pt idx="700">
                  <c:v>275</c:v>
                </c:pt>
                <c:pt idx="701">
                  <c:v>355</c:v>
                </c:pt>
                <c:pt idx="702">
                  <c:v>367.5</c:v>
                </c:pt>
                <c:pt idx="703">
                  <c:v>265</c:v>
                </c:pt>
                <c:pt idx="704">
                  <c:v>370</c:v>
                </c:pt>
                <c:pt idx="705">
                  <c:v>395</c:v>
                </c:pt>
                <c:pt idx="706">
                  <c:v>340</c:v>
                </c:pt>
                <c:pt idx="707">
                  <c:v>285</c:v>
                </c:pt>
                <c:pt idx="708">
                  <c:v>285</c:v>
                </c:pt>
                <c:pt idx="709">
                  <c:v>322.5</c:v>
                </c:pt>
                <c:pt idx="710">
                  <c:v>255</c:v>
                </c:pt>
                <c:pt idx="711">
                  <c:v>267.5</c:v>
                </c:pt>
                <c:pt idx="712">
                  <c:v>317.5</c:v>
                </c:pt>
                <c:pt idx="713">
                  <c:v>300</c:v>
                </c:pt>
                <c:pt idx="714">
                  <c:v>360</c:v>
                </c:pt>
                <c:pt idx="715">
                  <c:v>240</c:v>
                </c:pt>
                <c:pt idx="716">
                  <c:v>240</c:v>
                </c:pt>
                <c:pt idx="717">
                  <c:v>355</c:v>
                </c:pt>
                <c:pt idx="718">
                  <c:v>255</c:v>
                </c:pt>
                <c:pt idx="719">
                  <c:v>312.5</c:v>
                </c:pt>
                <c:pt idx="720">
                  <c:v>300</c:v>
                </c:pt>
                <c:pt idx="721">
                  <c:v>300</c:v>
                </c:pt>
                <c:pt idx="722">
                  <c:v>345</c:v>
                </c:pt>
                <c:pt idx="723">
                  <c:v>295</c:v>
                </c:pt>
                <c:pt idx="724">
                  <c:v>372.5</c:v>
                </c:pt>
                <c:pt idx="725">
                  <c:v>245</c:v>
                </c:pt>
                <c:pt idx="726">
                  <c:v>325</c:v>
                </c:pt>
                <c:pt idx="727">
                  <c:v>357.5</c:v>
                </c:pt>
                <c:pt idx="728">
                  <c:v>325</c:v>
                </c:pt>
                <c:pt idx="729">
                  <c:v>325</c:v>
                </c:pt>
                <c:pt idx="730">
                  <c:v>365</c:v>
                </c:pt>
                <c:pt idx="731">
                  <c:v>242.5</c:v>
                </c:pt>
                <c:pt idx="732">
                  <c:v>335</c:v>
                </c:pt>
                <c:pt idx="733">
                  <c:v>355</c:v>
                </c:pt>
                <c:pt idx="734">
                  <c:v>337.5</c:v>
                </c:pt>
                <c:pt idx="735">
                  <c:v>245</c:v>
                </c:pt>
                <c:pt idx="736">
                  <c:v>265</c:v>
                </c:pt>
                <c:pt idx="737">
                  <c:v>272.5</c:v>
                </c:pt>
                <c:pt idx="738">
                  <c:v>240</c:v>
                </c:pt>
                <c:pt idx="739">
                  <c:v>295</c:v>
                </c:pt>
                <c:pt idx="740">
                  <c:v>350</c:v>
                </c:pt>
                <c:pt idx="741">
                  <c:v>350</c:v>
                </c:pt>
                <c:pt idx="742">
                  <c:v>350</c:v>
                </c:pt>
                <c:pt idx="743">
                  <c:v>242.5</c:v>
                </c:pt>
                <c:pt idx="744">
                  <c:v>242.5</c:v>
                </c:pt>
                <c:pt idx="745">
                  <c:v>270</c:v>
                </c:pt>
                <c:pt idx="746">
                  <c:v>270</c:v>
                </c:pt>
                <c:pt idx="747">
                  <c:v>285</c:v>
                </c:pt>
                <c:pt idx="748">
                  <c:v>360</c:v>
                </c:pt>
                <c:pt idx="749">
                  <c:v>340</c:v>
                </c:pt>
                <c:pt idx="750">
                  <c:v>300</c:v>
                </c:pt>
                <c:pt idx="751">
                  <c:v>300</c:v>
                </c:pt>
                <c:pt idx="752">
                  <c:v>390</c:v>
                </c:pt>
                <c:pt idx="753">
                  <c:v>290</c:v>
                </c:pt>
                <c:pt idx="754">
                  <c:v>270</c:v>
                </c:pt>
                <c:pt idx="755">
                  <c:v>270</c:v>
                </c:pt>
                <c:pt idx="756">
                  <c:v>375</c:v>
                </c:pt>
                <c:pt idx="757">
                  <c:v>285</c:v>
                </c:pt>
                <c:pt idx="758">
                  <c:v>230</c:v>
                </c:pt>
                <c:pt idx="759">
                  <c:v>362.5</c:v>
                </c:pt>
                <c:pt idx="760">
                  <c:v>362.5</c:v>
                </c:pt>
                <c:pt idx="761">
                  <c:v>405</c:v>
                </c:pt>
                <c:pt idx="762">
                  <c:v>272.5</c:v>
                </c:pt>
                <c:pt idx="763">
                  <c:v>245</c:v>
                </c:pt>
                <c:pt idx="764">
                  <c:v>322.5</c:v>
                </c:pt>
                <c:pt idx="765">
                  <c:v>330</c:v>
                </c:pt>
                <c:pt idx="766">
                  <c:v>260</c:v>
                </c:pt>
                <c:pt idx="767">
                  <c:v>372.5</c:v>
                </c:pt>
                <c:pt idx="768">
                  <c:v>190</c:v>
                </c:pt>
                <c:pt idx="769">
                  <c:v>345</c:v>
                </c:pt>
                <c:pt idx="770">
                  <c:v>275</c:v>
                </c:pt>
                <c:pt idx="771">
                  <c:v>305</c:v>
                </c:pt>
                <c:pt idx="772">
                  <c:v>355</c:v>
                </c:pt>
                <c:pt idx="773">
                  <c:v>377.5</c:v>
                </c:pt>
                <c:pt idx="774">
                  <c:v>285</c:v>
                </c:pt>
                <c:pt idx="775">
                  <c:v>400</c:v>
                </c:pt>
                <c:pt idx="776">
                  <c:v>250</c:v>
                </c:pt>
                <c:pt idx="777">
                  <c:v>307.5</c:v>
                </c:pt>
                <c:pt idx="778">
                  <c:v>315</c:v>
                </c:pt>
                <c:pt idx="779">
                  <c:v>272.5</c:v>
                </c:pt>
                <c:pt idx="780">
                  <c:v>330</c:v>
                </c:pt>
                <c:pt idx="781">
                  <c:v>345</c:v>
                </c:pt>
                <c:pt idx="782">
                  <c:v>360</c:v>
                </c:pt>
                <c:pt idx="783">
                  <c:v>317.5</c:v>
                </c:pt>
                <c:pt idx="784">
                  <c:v>260</c:v>
                </c:pt>
                <c:pt idx="785">
                  <c:v>390</c:v>
                </c:pt>
                <c:pt idx="786">
                  <c:v>260</c:v>
                </c:pt>
                <c:pt idx="787">
                  <c:v>377.5</c:v>
                </c:pt>
                <c:pt idx="788">
                  <c:v>305</c:v>
                </c:pt>
                <c:pt idx="789">
                  <c:v>335</c:v>
                </c:pt>
                <c:pt idx="790">
                  <c:v>350</c:v>
                </c:pt>
                <c:pt idx="791">
                  <c:v>350</c:v>
                </c:pt>
                <c:pt idx="792">
                  <c:v>357.5</c:v>
                </c:pt>
                <c:pt idx="793">
                  <c:v>300</c:v>
                </c:pt>
                <c:pt idx="794">
                  <c:v>330</c:v>
                </c:pt>
                <c:pt idx="795">
                  <c:v>235</c:v>
                </c:pt>
                <c:pt idx="796">
                  <c:v>250</c:v>
                </c:pt>
                <c:pt idx="797">
                  <c:v>257.5</c:v>
                </c:pt>
                <c:pt idx="798">
                  <c:v>302.5</c:v>
                </c:pt>
                <c:pt idx="799">
                  <c:v>310</c:v>
                </c:pt>
                <c:pt idx="800">
                  <c:v>325</c:v>
                </c:pt>
                <c:pt idx="801">
                  <c:v>340</c:v>
                </c:pt>
                <c:pt idx="802">
                  <c:v>415.5</c:v>
                </c:pt>
                <c:pt idx="803">
                  <c:v>347.5</c:v>
                </c:pt>
                <c:pt idx="804">
                  <c:v>355</c:v>
                </c:pt>
                <c:pt idx="805">
                  <c:v>400</c:v>
                </c:pt>
                <c:pt idx="806">
                  <c:v>415</c:v>
                </c:pt>
                <c:pt idx="807">
                  <c:v>260</c:v>
                </c:pt>
                <c:pt idx="808">
                  <c:v>290</c:v>
                </c:pt>
                <c:pt idx="809">
                  <c:v>312.5</c:v>
                </c:pt>
                <c:pt idx="810">
                  <c:v>365</c:v>
                </c:pt>
                <c:pt idx="811">
                  <c:v>372.5</c:v>
                </c:pt>
                <c:pt idx="812">
                  <c:v>402.5</c:v>
                </c:pt>
                <c:pt idx="813">
                  <c:v>425</c:v>
                </c:pt>
                <c:pt idx="814">
                  <c:v>232.5</c:v>
                </c:pt>
                <c:pt idx="815">
                  <c:v>345</c:v>
                </c:pt>
                <c:pt idx="816">
                  <c:v>412.5</c:v>
                </c:pt>
                <c:pt idx="817">
                  <c:v>232.5</c:v>
                </c:pt>
                <c:pt idx="818">
                  <c:v>375</c:v>
                </c:pt>
                <c:pt idx="819">
                  <c:v>255</c:v>
                </c:pt>
                <c:pt idx="820">
                  <c:v>337.5</c:v>
                </c:pt>
                <c:pt idx="821">
                  <c:v>310</c:v>
                </c:pt>
                <c:pt idx="822">
                  <c:v>272.5</c:v>
                </c:pt>
                <c:pt idx="823">
                  <c:v>300</c:v>
                </c:pt>
                <c:pt idx="824">
                  <c:v>440</c:v>
                </c:pt>
                <c:pt idx="825">
                  <c:v>395</c:v>
                </c:pt>
                <c:pt idx="826">
                  <c:v>395</c:v>
                </c:pt>
                <c:pt idx="827">
                  <c:v>350</c:v>
                </c:pt>
                <c:pt idx="828">
                  <c:v>350</c:v>
                </c:pt>
                <c:pt idx="829">
                  <c:v>290</c:v>
                </c:pt>
                <c:pt idx="830">
                  <c:v>282.5</c:v>
                </c:pt>
                <c:pt idx="831">
                  <c:v>245</c:v>
                </c:pt>
                <c:pt idx="832">
                  <c:v>245</c:v>
                </c:pt>
                <c:pt idx="833">
                  <c:v>360</c:v>
                </c:pt>
                <c:pt idx="834">
                  <c:v>237.5</c:v>
                </c:pt>
                <c:pt idx="835">
                  <c:v>345</c:v>
                </c:pt>
                <c:pt idx="836">
                  <c:v>222.5</c:v>
                </c:pt>
                <c:pt idx="837">
                  <c:v>292.5</c:v>
                </c:pt>
                <c:pt idx="838">
                  <c:v>385</c:v>
                </c:pt>
                <c:pt idx="839">
                  <c:v>340</c:v>
                </c:pt>
                <c:pt idx="840">
                  <c:v>240</c:v>
                </c:pt>
                <c:pt idx="841">
                  <c:v>380</c:v>
                </c:pt>
                <c:pt idx="842">
                  <c:v>342.5</c:v>
                </c:pt>
                <c:pt idx="843">
                  <c:v>312.5</c:v>
                </c:pt>
                <c:pt idx="844">
                  <c:v>360</c:v>
                </c:pt>
                <c:pt idx="845">
                  <c:v>252.5</c:v>
                </c:pt>
                <c:pt idx="846">
                  <c:v>357.5</c:v>
                </c:pt>
                <c:pt idx="847">
                  <c:v>350</c:v>
                </c:pt>
                <c:pt idx="848">
                  <c:v>262.5</c:v>
                </c:pt>
                <c:pt idx="849">
                  <c:v>350</c:v>
                </c:pt>
                <c:pt idx="850">
                  <c:v>255</c:v>
                </c:pt>
                <c:pt idx="851">
                  <c:v>287.5</c:v>
                </c:pt>
                <c:pt idx="852">
                  <c:v>360</c:v>
                </c:pt>
                <c:pt idx="853">
                  <c:v>345</c:v>
                </c:pt>
                <c:pt idx="854">
                  <c:v>265</c:v>
                </c:pt>
                <c:pt idx="855">
                  <c:v>410</c:v>
                </c:pt>
                <c:pt idx="856">
                  <c:v>250</c:v>
                </c:pt>
                <c:pt idx="857">
                  <c:v>275</c:v>
                </c:pt>
                <c:pt idx="858">
                  <c:v>405</c:v>
                </c:pt>
                <c:pt idx="859">
                  <c:v>300</c:v>
                </c:pt>
                <c:pt idx="860">
                  <c:v>332.5</c:v>
                </c:pt>
                <c:pt idx="861">
                  <c:v>260</c:v>
                </c:pt>
                <c:pt idx="862">
                  <c:v>400</c:v>
                </c:pt>
                <c:pt idx="863">
                  <c:v>335</c:v>
                </c:pt>
                <c:pt idx="864">
                  <c:v>360</c:v>
                </c:pt>
                <c:pt idx="865">
                  <c:v>475</c:v>
                </c:pt>
                <c:pt idx="866">
                  <c:v>385</c:v>
                </c:pt>
                <c:pt idx="867">
                  <c:v>295</c:v>
                </c:pt>
                <c:pt idx="868">
                  <c:v>230</c:v>
                </c:pt>
                <c:pt idx="869">
                  <c:v>230</c:v>
                </c:pt>
                <c:pt idx="870">
                  <c:v>345</c:v>
                </c:pt>
                <c:pt idx="871">
                  <c:v>230</c:v>
                </c:pt>
                <c:pt idx="872">
                  <c:v>255</c:v>
                </c:pt>
                <c:pt idx="873">
                  <c:v>222.5</c:v>
                </c:pt>
                <c:pt idx="874">
                  <c:v>330</c:v>
                </c:pt>
                <c:pt idx="875">
                  <c:v>372.5</c:v>
                </c:pt>
                <c:pt idx="876">
                  <c:v>350</c:v>
                </c:pt>
                <c:pt idx="877">
                  <c:v>350</c:v>
                </c:pt>
                <c:pt idx="878">
                  <c:v>375</c:v>
                </c:pt>
                <c:pt idx="879">
                  <c:v>400</c:v>
                </c:pt>
                <c:pt idx="880">
                  <c:v>285</c:v>
                </c:pt>
                <c:pt idx="881">
                  <c:v>370</c:v>
                </c:pt>
                <c:pt idx="882">
                  <c:v>370</c:v>
                </c:pt>
                <c:pt idx="883">
                  <c:v>405</c:v>
                </c:pt>
                <c:pt idx="884">
                  <c:v>440</c:v>
                </c:pt>
                <c:pt idx="885">
                  <c:v>280</c:v>
                </c:pt>
                <c:pt idx="886">
                  <c:v>425</c:v>
                </c:pt>
                <c:pt idx="887">
                  <c:v>357.5</c:v>
                </c:pt>
                <c:pt idx="888">
                  <c:v>357.5</c:v>
                </c:pt>
                <c:pt idx="889">
                  <c:v>375</c:v>
                </c:pt>
                <c:pt idx="890">
                  <c:v>350</c:v>
                </c:pt>
                <c:pt idx="891">
                  <c:v>325</c:v>
                </c:pt>
                <c:pt idx="892">
                  <c:v>300</c:v>
                </c:pt>
                <c:pt idx="893">
                  <c:v>250</c:v>
                </c:pt>
                <c:pt idx="894">
                  <c:v>362.5</c:v>
                </c:pt>
                <c:pt idx="895">
                  <c:v>337.5</c:v>
                </c:pt>
                <c:pt idx="896">
                  <c:v>355</c:v>
                </c:pt>
                <c:pt idx="897">
                  <c:v>365</c:v>
                </c:pt>
                <c:pt idx="898">
                  <c:v>365</c:v>
                </c:pt>
                <c:pt idx="899">
                  <c:v>365</c:v>
                </c:pt>
                <c:pt idx="900">
                  <c:v>200</c:v>
                </c:pt>
                <c:pt idx="901">
                  <c:v>490</c:v>
                </c:pt>
                <c:pt idx="902">
                  <c:v>412.5</c:v>
                </c:pt>
                <c:pt idx="903">
                  <c:v>342.5</c:v>
                </c:pt>
                <c:pt idx="904">
                  <c:v>290</c:v>
                </c:pt>
                <c:pt idx="905">
                  <c:v>352.5</c:v>
                </c:pt>
                <c:pt idx="906">
                  <c:v>300</c:v>
                </c:pt>
                <c:pt idx="907">
                  <c:v>362.5</c:v>
                </c:pt>
                <c:pt idx="908">
                  <c:v>310</c:v>
                </c:pt>
                <c:pt idx="909">
                  <c:v>365</c:v>
                </c:pt>
                <c:pt idx="910">
                  <c:v>442.5</c:v>
                </c:pt>
                <c:pt idx="911">
                  <c:v>352.5</c:v>
                </c:pt>
                <c:pt idx="912">
                  <c:v>362.5</c:v>
                </c:pt>
                <c:pt idx="913">
                  <c:v>345</c:v>
                </c:pt>
                <c:pt idx="914">
                  <c:v>345</c:v>
                </c:pt>
                <c:pt idx="915">
                  <c:v>355</c:v>
                </c:pt>
                <c:pt idx="916">
                  <c:v>310</c:v>
                </c:pt>
                <c:pt idx="917">
                  <c:v>375</c:v>
                </c:pt>
                <c:pt idx="918">
                  <c:v>375</c:v>
                </c:pt>
                <c:pt idx="919">
                  <c:v>330</c:v>
                </c:pt>
                <c:pt idx="920">
                  <c:v>405</c:v>
                </c:pt>
                <c:pt idx="921">
                  <c:v>377.5</c:v>
                </c:pt>
                <c:pt idx="922">
                  <c:v>350</c:v>
                </c:pt>
                <c:pt idx="923">
                  <c:v>295</c:v>
                </c:pt>
                <c:pt idx="924">
                  <c:v>380</c:v>
                </c:pt>
                <c:pt idx="925">
                  <c:v>280</c:v>
                </c:pt>
                <c:pt idx="926">
                  <c:v>392.5</c:v>
                </c:pt>
                <c:pt idx="927">
                  <c:v>300</c:v>
                </c:pt>
                <c:pt idx="928">
                  <c:v>225</c:v>
                </c:pt>
                <c:pt idx="929">
                  <c:v>310</c:v>
                </c:pt>
                <c:pt idx="930">
                  <c:v>395</c:v>
                </c:pt>
                <c:pt idx="931">
                  <c:v>340</c:v>
                </c:pt>
                <c:pt idx="932">
                  <c:v>340</c:v>
                </c:pt>
                <c:pt idx="933">
                  <c:v>387.5</c:v>
                </c:pt>
                <c:pt idx="934">
                  <c:v>265</c:v>
                </c:pt>
                <c:pt idx="935">
                  <c:v>275</c:v>
                </c:pt>
                <c:pt idx="936">
                  <c:v>322.5</c:v>
                </c:pt>
                <c:pt idx="937">
                  <c:v>370</c:v>
                </c:pt>
                <c:pt idx="938">
                  <c:v>285</c:v>
                </c:pt>
                <c:pt idx="939">
                  <c:v>342.5</c:v>
                </c:pt>
                <c:pt idx="940">
                  <c:v>400</c:v>
                </c:pt>
                <c:pt idx="941">
                  <c:v>372.5</c:v>
                </c:pt>
                <c:pt idx="942">
                  <c:v>460</c:v>
                </c:pt>
                <c:pt idx="943">
                  <c:v>317.5</c:v>
                </c:pt>
                <c:pt idx="944">
                  <c:v>337.5</c:v>
                </c:pt>
                <c:pt idx="945">
                  <c:v>347.5</c:v>
                </c:pt>
                <c:pt idx="946">
                  <c:v>357.5</c:v>
                </c:pt>
                <c:pt idx="947">
                  <c:v>445</c:v>
                </c:pt>
                <c:pt idx="948">
                  <c:v>310</c:v>
                </c:pt>
                <c:pt idx="949">
                  <c:v>397.5</c:v>
                </c:pt>
                <c:pt idx="950">
                  <c:v>320</c:v>
                </c:pt>
                <c:pt idx="951">
                  <c:v>262.5</c:v>
                </c:pt>
                <c:pt idx="952">
                  <c:v>390</c:v>
                </c:pt>
                <c:pt idx="953">
                  <c:v>410</c:v>
                </c:pt>
                <c:pt idx="954">
                  <c:v>275</c:v>
                </c:pt>
                <c:pt idx="955">
                  <c:v>295</c:v>
                </c:pt>
                <c:pt idx="956">
                  <c:v>322.5</c:v>
                </c:pt>
                <c:pt idx="957">
                  <c:v>307.5</c:v>
                </c:pt>
                <c:pt idx="958">
                  <c:v>390</c:v>
                </c:pt>
                <c:pt idx="959">
                  <c:v>340</c:v>
                </c:pt>
                <c:pt idx="960">
                  <c:v>400</c:v>
                </c:pt>
                <c:pt idx="961">
                  <c:v>405</c:v>
                </c:pt>
                <c:pt idx="962">
                  <c:v>395</c:v>
                </c:pt>
                <c:pt idx="963">
                  <c:v>335</c:v>
                </c:pt>
                <c:pt idx="964">
                  <c:v>325</c:v>
                </c:pt>
                <c:pt idx="965">
                  <c:v>447.5</c:v>
                </c:pt>
                <c:pt idx="966">
                  <c:v>285</c:v>
                </c:pt>
                <c:pt idx="967">
                  <c:v>265</c:v>
                </c:pt>
                <c:pt idx="968">
                  <c:v>345</c:v>
                </c:pt>
                <c:pt idx="969">
                  <c:v>337.5</c:v>
                </c:pt>
                <c:pt idx="970">
                  <c:v>297.5</c:v>
                </c:pt>
                <c:pt idx="971">
                  <c:v>390</c:v>
                </c:pt>
                <c:pt idx="972">
                  <c:v>380</c:v>
                </c:pt>
                <c:pt idx="973">
                  <c:v>370</c:v>
                </c:pt>
                <c:pt idx="974">
                  <c:v>330</c:v>
                </c:pt>
                <c:pt idx="975">
                  <c:v>412.5</c:v>
                </c:pt>
                <c:pt idx="976">
                  <c:v>467.5</c:v>
                </c:pt>
                <c:pt idx="977">
                  <c:v>365</c:v>
                </c:pt>
                <c:pt idx="978">
                  <c:v>470</c:v>
                </c:pt>
                <c:pt idx="979">
                  <c:v>315</c:v>
                </c:pt>
                <c:pt idx="980">
                  <c:v>357.5</c:v>
                </c:pt>
                <c:pt idx="981">
                  <c:v>350</c:v>
                </c:pt>
                <c:pt idx="982">
                  <c:v>415</c:v>
                </c:pt>
                <c:pt idx="983">
                  <c:v>362.5</c:v>
                </c:pt>
                <c:pt idx="984">
                  <c:v>290</c:v>
                </c:pt>
                <c:pt idx="985">
                  <c:v>410</c:v>
                </c:pt>
                <c:pt idx="986">
                  <c:v>270</c:v>
                </c:pt>
                <c:pt idx="987">
                  <c:v>250</c:v>
                </c:pt>
                <c:pt idx="988">
                  <c:v>372.5</c:v>
                </c:pt>
                <c:pt idx="989">
                  <c:v>285</c:v>
                </c:pt>
                <c:pt idx="990">
                  <c:v>330</c:v>
                </c:pt>
                <c:pt idx="991">
                  <c:v>400</c:v>
                </c:pt>
                <c:pt idx="992">
                  <c:v>322.5</c:v>
                </c:pt>
                <c:pt idx="993">
                  <c:v>335</c:v>
                </c:pt>
                <c:pt idx="994">
                  <c:v>357.5</c:v>
                </c:pt>
                <c:pt idx="995">
                  <c:v>325</c:v>
                </c:pt>
                <c:pt idx="996">
                  <c:v>305</c:v>
                </c:pt>
                <c:pt idx="997">
                  <c:v>385</c:v>
                </c:pt>
                <c:pt idx="998">
                  <c:v>410</c:v>
                </c:pt>
                <c:pt idx="999">
                  <c:v>320</c:v>
                </c:pt>
                <c:pt idx="1000">
                  <c:v>252.5</c:v>
                </c:pt>
                <c:pt idx="1001">
                  <c:v>420</c:v>
                </c:pt>
                <c:pt idx="1002">
                  <c:v>280</c:v>
                </c:pt>
                <c:pt idx="1003">
                  <c:v>210</c:v>
                </c:pt>
                <c:pt idx="1004">
                  <c:v>305</c:v>
                </c:pt>
                <c:pt idx="1005">
                  <c:v>305</c:v>
                </c:pt>
                <c:pt idx="1006">
                  <c:v>282.5</c:v>
                </c:pt>
                <c:pt idx="1007">
                  <c:v>330</c:v>
                </c:pt>
                <c:pt idx="1008">
                  <c:v>330</c:v>
                </c:pt>
                <c:pt idx="1009">
                  <c:v>250</c:v>
                </c:pt>
                <c:pt idx="1010">
                  <c:v>335</c:v>
                </c:pt>
                <c:pt idx="1011">
                  <c:v>265</c:v>
                </c:pt>
                <c:pt idx="1012">
                  <c:v>327.5</c:v>
                </c:pt>
                <c:pt idx="1013">
                  <c:v>340</c:v>
                </c:pt>
                <c:pt idx="1014">
                  <c:v>340</c:v>
                </c:pt>
                <c:pt idx="1015">
                  <c:v>255</c:v>
                </c:pt>
                <c:pt idx="1016">
                  <c:v>245</c:v>
                </c:pt>
                <c:pt idx="1017">
                  <c:v>270</c:v>
                </c:pt>
                <c:pt idx="1018">
                  <c:v>270</c:v>
                </c:pt>
                <c:pt idx="1019">
                  <c:v>320</c:v>
                </c:pt>
                <c:pt idx="1020">
                  <c:v>300</c:v>
                </c:pt>
                <c:pt idx="1021">
                  <c:v>455</c:v>
                </c:pt>
                <c:pt idx="1022">
                  <c:v>405</c:v>
                </c:pt>
                <c:pt idx="1023">
                  <c:v>402.5</c:v>
                </c:pt>
                <c:pt idx="1024">
                  <c:v>330</c:v>
                </c:pt>
                <c:pt idx="1025">
                  <c:v>305</c:v>
                </c:pt>
                <c:pt idx="1026">
                  <c:v>280</c:v>
                </c:pt>
                <c:pt idx="1027">
                  <c:v>307.5</c:v>
                </c:pt>
                <c:pt idx="1028">
                  <c:v>360</c:v>
                </c:pt>
                <c:pt idx="1029">
                  <c:v>335</c:v>
                </c:pt>
                <c:pt idx="1030">
                  <c:v>350</c:v>
                </c:pt>
                <c:pt idx="1031">
                  <c:v>352.5</c:v>
                </c:pt>
                <c:pt idx="1032">
                  <c:v>340</c:v>
                </c:pt>
                <c:pt idx="1033">
                  <c:v>327.5</c:v>
                </c:pt>
                <c:pt idx="1034">
                  <c:v>315</c:v>
                </c:pt>
                <c:pt idx="1035">
                  <c:v>355</c:v>
                </c:pt>
                <c:pt idx="1036">
                  <c:v>320</c:v>
                </c:pt>
                <c:pt idx="1037">
                  <c:v>215</c:v>
                </c:pt>
                <c:pt idx="1038">
                  <c:v>310</c:v>
                </c:pt>
                <c:pt idx="1039">
                  <c:v>325</c:v>
                </c:pt>
                <c:pt idx="1040">
                  <c:v>407.5</c:v>
                </c:pt>
                <c:pt idx="1041">
                  <c:v>327.5</c:v>
                </c:pt>
                <c:pt idx="1042">
                  <c:v>372.5</c:v>
                </c:pt>
                <c:pt idx="1043">
                  <c:v>250</c:v>
                </c:pt>
                <c:pt idx="1044">
                  <c:v>237.5</c:v>
                </c:pt>
                <c:pt idx="1045">
                  <c:v>280</c:v>
                </c:pt>
                <c:pt idx="1046">
                  <c:v>435</c:v>
                </c:pt>
                <c:pt idx="1047">
                  <c:v>410</c:v>
                </c:pt>
                <c:pt idx="1048">
                  <c:v>332.5</c:v>
                </c:pt>
                <c:pt idx="1049">
                  <c:v>205</c:v>
                </c:pt>
                <c:pt idx="1050">
                  <c:v>265</c:v>
                </c:pt>
                <c:pt idx="1051">
                  <c:v>412.5</c:v>
                </c:pt>
                <c:pt idx="1052">
                  <c:v>412.5</c:v>
                </c:pt>
                <c:pt idx="1053">
                  <c:v>415</c:v>
                </c:pt>
                <c:pt idx="1054">
                  <c:v>445</c:v>
                </c:pt>
                <c:pt idx="1055">
                  <c:v>120</c:v>
                </c:pt>
                <c:pt idx="1056">
                  <c:v>340</c:v>
                </c:pt>
                <c:pt idx="1057">
                  <c:v>345</c:v>
                </c:pt>
                <c:pt idx="1058">
                  <c:v>240</c:v>
                </c:pt>
                <c:pt idx="1059">
                  <c:v>260</c:v>
                </c:pt>
                <c:pt idx="1060">
                  <c:v>330</c:v>
                </c:pt>
                <c:pt idx="1061">
                  <c:v>285</c:v>
                </c:pt>
                <c:pt idx="1062">
                  <c:v>290</c:v>
                </c:pt>
                <c:pt idx="1063">
                  <c:v>250</c:v>
                </c:pt>
                <c:pt idx="1064">
                  <c:v>340</c:v>
                </c:pt>
                <c:pt idx="1065">
                  <c:v>405</c:v>
                </c:pt>
                <c:pt idx="1066">
                  <c:v>290</c:v>
                </c:pt>
                <c:pt idx="1067">
                  <c:v>355</c:v>
                </c:pt>
                <c:pt idx="1068">
                  <c:v>240</c:v>
                </c:pt>
                <c:pt idx="1069">
                  <c:v>340</c:v>
                </c:pt>
                <c:pt idx="1070">
                  <c:v>402.5</c:v>
                </c:pt>
                <c:pt idx="1071">
                  <c:v>230</c:v>
                </c:pt>
                <c:pt idx="1072">
                  <c:v>385</c:v>
                </c:pt>
                <c:pt idx="1073">
                  <c:v>330</c:v>
                </c:pt>
                <c:pt idx="1074">
                  <c:v>330</c:v>
                </c:pt>
                <c:pt idx="1075">
                  <c:v>360</c:v>
                </c:pt>
                <c:pt idx="1076">
                  <c:v>300</c:v>
                </c:pt>
                <c:pt idx="1077">
                  <c:v>370</c:v>
                </c:pt>
                <c:pt idx="1078">
                  <c:v>372.5</c:v>
                </c:pt>
                <c:pt idx="1079">
                  <c:v>120</c:v>
                </c:pt>
                <c:pt idx="1080">
                  <c:v>370</c:v>
                </c:pt>
                <c:pt idx="1081">
                  <c:v>100</c:v>
                </c:pt>
                <c:pt idx="1082">
                  <c:v>300</c:v>
                </c:pt>
                <c:pt idx="1083">
                  <c:v>200</c:v>
                </c:pt>
                <c:pt idx="1084">
                  <c:v>220</c:v>
                </c:pt>
                <c:pt idx="1085">
                  <c:v>185</c:v>
                </c:pt>
                <c:pt idx="1086">
                  <c:v>152.5</c:v>
                </c:pt>
                <c:pt idx="1087">
                  <c:v>195</c:v>
                </c:pt>
                <c:pt idx="1088">
                  <c:v>150</c:v>
                </c:pt>
                <c:pt idx="1089">
                  <c:v>185</c:v>
                </c:pt>
                <c:pt idx="1090">
                  <c:v>182.5</c:v>
                </c:pt>
                <c:pt idx="1091">
                  <c:v>175</c:v>
                </c:pt>
                <c:pt idx="1092">
                  <c:v>190</c:v>
                </c:pt>
                <c:pt idx="1093">
                  <c:v>190</c:v>
                </c:pt>
                <c:pt idx="1094">
                  <c:v>172.5</c:v>
                </c:pt>
                <c:pt idx="1095">
                  <c:v>222.5</c:v>
                </c:pt>
                <c:pt idx="1096">
                  <c:v>100</c:v>
                </c:pt>
                <c:pt idx="1097">
                  <c:v>215</c:v>
                </c:pt>
                <c:pt idx="1098">
                  <c:v>162.5</c:v>
                </c:pt>
                <c:pt idx="1099">
                  <c:v>97.5</c:v>
                </c:pt>
                <c:pt idx="1100">
                  <c:v>165</c:v>
                </c:pt>
                <c:pt idx="1101">
                  <c:v>190</c:v>
                </c:pt>
                <c:pt idx="1102">
                  <c:v>195</c:v>
                </c:pt>
                <c:pt idx="1103">
                  <c:v>220</c:v>
                </c:pt>
                <c:pt idx="1104">
                  <c:v>187.5</c:v>
                </c:pt>
                <c:pt idx="1105">
                  <c:v>212.5</c:v>
                </c:pt>
                <c:pt idx="1106">
                  <c:v>155</c:v>
                </c:pt>
                <c:pt idx="1107">
                  <c:v>175</c:v>
                </c:pt>
                <c:pt idx="1108">
                  <c:v>200</c:v>
                </c:pt>
                <c:pt idx="1109">
                  <c:v>205</c:v>
                </c:pt>
                <c:pt idx="1110">
                  <c:v>132.5</c:v>
                </c:pt>
                <c:pt idx="1111">
                  <c:v>132.5</c:v>
                </c:pt>
                <c:pt idx="1112">
                  <c:v>142.5</c:v>
                </c:pt>
                <c:pt idx="1113">
                  <c:v>162.5</c:v>
                </c:pt>
                <c:pt idx="1114">
                  <c:v>182.5</c:v>
                </c:pt>
                <c:pt idx="1115">
                  <c:v>197.5</c:v>
                </c:pt>
                <c:pt idx="1116">
                  <c:v>222.5</c:v>
                </c:pt>
                <c:pt idx="1117">
                  <c:v>232.5</c:v>
                </c:pt>
                <c:pt idx="1118">
                  <c:v>185</c:v>
                </c:pt>
                <c:pt idx="1119">
                  <c:v>165</c:v>
                </c:pt>
                <c:pt idx="1120">
                  <c:v>165</c:v>
                </c:pt>
                <c:pt idx="1121">
                  <c:v>135</c:v>
                </c:pt>
                <c:pt idx="1122">
                  <c:v>227.5</c:v>
                </c:pt>
                <c:pt idx="1123">
                  <c:v>192.5</c:v>
                </c:pt>
                <c:pt idx="1124">
                  <c:v>240</c:v>
                </c:pt>
                <c:pt idx="1125">
                  <c:v>235</c:v>
                </c:pt>
                <c:pt idx="1126">
                  <c:v>220</c:v>
                </c:pt>
                <c:pt idx="1127">
                  <c:v>180</c:v>
                </c:pt>
                <c:pt idx="1128">
                  <c:v>175</c:v>
                </c:pt>
                <c:pt idx="1129">
                  <c:v>165</c:v>
                </c:pt>
                <c:pt idx="1130">
                  <c:v>150</c:v>
                </c:pt>
                <c:pt idx="1131">
                  <c:v>150</c:v>
                </c:pt>
                <c:pt idx="1132">
                  <c:v>140</c:v>
                </c:pt>
                <c:pt idx="1133">
                  <c:v>197.5</c:v>
                </c:pt>
                <c:pt idx="1134">
                  <c:v>125</c:v>
                </c:pt>
                <c:pt idx="1135">
                  <c:v>182.5</c:v>
                </c:pt>
                <c:pt idx="1136">
                  <c:v>177.5</c:v>
                </c:pt>
                <c:pt idx="1137">
                  <c:v>230</c:v>
                </c:pt>
                <c:pt idx="1138">
                  <c:v>162.5</c:v>
                </c:pt>
                <c:pt idx="1139">
                  <c:v>232.5</c:v>
                </c:pt>
                <c:pt idx="1140">
                  <c:v>180</c:v>
                </c:pt>
                <c:pt idx="1141">
                  <c:v>170</c:v>
                </c:pt>
                <c:pt idx="1142">
                  <c:v>155</c:v>
                </c:pt>
                <c:pt idx="1143">
                  <c:v>155</c:v>
                </c:pt>
                <c:pt idx="1144">
                  <c:v>150</c:v>
                </c:pt>
                <c:pt idx="1145">
                  <c:v>252.5</c:v>
                </c:pt>
                <c:pt idx="1146">
                  <c:v>177.5</c:v>
                </c:pt>
                <c:pt idx="1147">
                  <c:v>210</c:v>
                </c:pt>
                <c:pt idx="1148">
                  <c:v>167.5</c:v>
                </c:pt>
                <c:pt idx="1149">
                  <c:v>200</c:v>
                </c:pt>
                <c:pt idx="1150">
                  <c:v>162.5</c:v>
                </c:pt>
                <c:pt idx="1151">
                  <c:v>162.5</c:v>
                </c:pt>
                <c:pt idx="1152">
                  <c:v>185</c:v>
                </c:pt>
                <c:pt idx="1153">
                  <c:v>120</c:v>
                </c:pt>
                <c:pt idx="1154">
                  <c:v>142.5</c:v>
                </c:pt>
                <c:pt idx="1155">
                  <c:v>137.5</c:v>
                </c:pt>
                <c:pt idx="1156">
                  <c:v>182.5</c:v>
                </c:pt>
                <c:pt idx="1157">
                  <c:v>205</c:v>
                </c:pt>
                <c:pt idx="1158">
                  <c:v>172.5</c:v>
                </c:pt>
                <c:pt idx="1159">
                  <c:v>195</c:v>
                </c:pt>
                <c:pt idx="1160">
                  <c:v>167.5</c:v>
                </c:pt>
                <c:pt idx="1161">
                  <c:v>167.5</c:v>
                </c:pt>
                <c:pt idx="1162">
                  <c:v>167.5</c:v>
                </c:pt>
                <c:pt idx="1163">
                  <c:v>185</c:v>
                </c:pt>
                <c:pt idx="1164">
                  <c:v>157.5</c:v>
                </c:pt>
                <c:pt idx="1165">
                  <c:v>225</c:v>
                </c:pt>
                <c:pt idx="1166">
                  <c:v>175</c:v>
                </c:pt>
                <c:pt idx="1167">
                  <c:v>175</c:v>
                </c:pt>
                <c:pt idx="1168">
                  <c:v>170</c:v>
                </c:pt>
                <c:pt idx="1169">
                  <c:v>170</c:v>
                </c:pt>
                <c:pt idx="1170">
                  <c:v>165</c:v>
                </c:pt>
                <c:pt idx="1171">
                  <c:v>165</c:v>
                </c:pt>
                <c:pt idx="1172">
                  <c:v>222.5</c:v>
                </c:pt>
                <c:pt idx="1173">
                  <c:v>160</c:v>
                </c:pt>
                <c:pt idx="1174">
                  <c:v>160</c:v>
                </c:pt>
                <c:pt idx="1175">
                  <c:v>275</c:v>
                </c:pt>
                <c:pt idx="1176">
                  <c:v>172.5</c:v>
                </c:pt>
                <c:pt idx="1177">
                  <c:v>172.5</c:v>
                </c:pt>
                <c:pt idx="1178">
                  <c:v>190</c:v>
                </c:pt>
                <c:pt idx="1179">
                  <c:v>207.5</c:v>
                </c:pt>
                <c:pt idx="1180">
                  <c:v>150</c:v>
                </c:pt>
                <c:pt idx="1181">
                  <c:v>167.5</c:v>
                </c:pt>
                <c:pt idx="1182">
                  <c:v>255</c:v>
                </c:pt>
                <c:pt idx="1183">
                  <c:v>197.5</c:v>
                </c:pt>
                <c:pt idx="1184">
                  <c:v>70</c:v>
                </c:pt>
                <c:pt idx="1185">
                  <c:v>222.5</c:v>
                </c:pt>
                <c:pt idx="1186">
                  <c:v>205</c:v>
                </c:pt>
                <c:pt idx="1187">
                  <c:v>170</c:v>
                </c:pt>
                <c:pt idx="1188">
                  <c:v>200</c:v>
                </c:pt>
                <c:pt idx="1189">
                  <c:v>165</c:v>
                </c:pt>
                <c:pt idx="1190">
                  <c:v>260</c:v>
                </c:pt>
                <c:pt idx="1191">
                  <c:v>225</c:v>
                </c:pt>
                <c:pt idx="1192">
                  <c:v>160</c:v>
                </c:pt>
                <c:pt idx="1193">
                  <c:v>207.5</c:v>
                </c:pt>
                <c:pt idx="1194">
                  <c:v>255</c:v>
                </c:pt>
                <c:pt idx="1195">
                  <c:v>190</c:v>
                </c:pt>
                <c:pt idx="1196">
                  <c:v>172.5</c:v>
                </c:pt>
                <c:pt idx="1197">
                  <c:v>155</c:v>
                </c:pt>
                <c:pt idx="1198">
                  <c:v>262.5</c:v>
                </c:pt>
                <c:pt idx="1199">
                  <c:v>215</c:v>
                </c:pt>
                <c:pt idx="1200">
                  <c:v>180</c:v>
                </c:pt>
                <c:pt idx="1201">
                  <c:v>235</c:v>
                </c:pt>
                <c:pt idx="1202">
                  <c:v>277.5</c:v>
                </c:pt>
                <c:pt idx="1203">
                  <c:v>175</c:v>
                </c:pt>
                <c:pt idx="1204">
                  <c:v>247.5</c:v>
                </c:pt>
                <c:pt idx="1205">
                  <c:v>145</c:v>
                </c:pt>
                <c:pt idx="1206">
                  <c:v>212.5</c:v>
                </c:pt>
                <c:pt idx="1207">
                  <c:v>237.5</c:v>
                </c:pt>
                <c:pt idx="1208">
                  <c:v>152.5</c:v>
                </c:pt>
                <c:pt idx="1209">
                  <c:v>207.5</c:v>
                </c:pt>
                <c:pt idx="1210">
                  <c:v>160</c:v>
                </c:pt>
                <c:pt idx="1211">
                  <c:v>160</c:v>
                </c:pt>
                <c:pt idx="1212">
                  <c:v>265</c:v>
                </c:pt>
                <c:pt idx="1213">
                  <c:v>155</c:v>
                </c:pt>
                <c:pt idx="1214">
                  <c:v>268</c:v>
                </c:pt>
                <c:pt idx="1215">
                  <c:v>167.5</c:v>
                </c:pt>
                <c:pt idx="1216">
                  <c:v>255</c:v>
                </c:pt>
                <c:pt idx="1217">
                  <c:v>50</c:v>
                </c:pt>
                <c:pt idx="1218">
                  <c:v>262.5</c:v>
                </c:pt>
                <c:pt idx="1219">
                  <c:v>170</c:v>
                </c:pt>
                <c:pt idx="1220">
                  <c:v>170</c:v>
                </c:pt>
                <c:pt idx="1221">
                  <c:v>170</c:v>
                </c:pt>
                <c:pt idx="1222">
                  <c:v>145</c:v>
                </c:pt>
                <c:pt idx="1223">
                  <c:v>240</c:v>
                </c:pt>
                <c:pt idx="1224">
                  <c:v>202.5</c:v>
                </c:pt>
                <c:pt idx="1225">
                  <c:v>202.5</c:v>
                </c:pt>
                <c:pt idx="1226">
                  <c:v>235</c:v>
                </c:pt>
                <c:pt idx="1227">
                  <c:v>197.5</c:v>
                </c:pt>
                <c:pt idx="1228">
                  <c:v>185</c:v>
                </c:pt>
                <c:pt idx="1229">
                  <c:v>300</c:v>
                </c:pt>
                <c:pt idx="1230">
                  <c:v>167.5</c:v>
                </c:pt>
                <c:pt idx="1231">
                  <c:v>122.5</c:v>
                </c:pt>
                <c:pt idx="1232">
                  <c:v>220</c:v>
                </c:pt>
                <c:pt idx="1233">
                  <c:v>207.5</c:v>
                </c:pt>
                <c:pt idx="1234">
                  <c:v>162.5</c:v>
                </c:pt>
                <c:pt idx="1235">
                  <c:v>215</c:v>
                </c:pt>
                <c:pt idx="1236">
                  <c:v>150</c:v>
                </c:pt>
                <c:pt idx="1237">
                  <c:v>190</c:v>
                </c:pt>
                <c:pt idx="1238">
                  <c:v>210</c:v>
                </c:pt>
                <c:pt idx="1239">
                  <c:v>210</c:v>
                </c:pt>
                <c:pt idx="1240">
                  <c:v>217.5</c:v>
                </c:pt>
                <c:pt idx="1241">
                  <c:v>152.5</c:v>
                </c:pt>
                <c:pt idx="1242">
                  <c:v>192.5</c:v>
                </c:pt>
                <c:pt idx="1243">
                  <c:v>232.5</c:v>
                </c:pt>
                <c:pt idx="1244">
                  <c:v>180</c:v>
                </c:pt>
                <c:pt idx="1245">
                  <c:v>180</c:v>
                </c:pt>
                <c:pt idx="1246">
                  <c:v>200</c:v>
                </c:pt>
                <c:pt idx="1247">
                  <c:v>160</c:v>
                </c:pt>
                <c:pt idx="1248">
                  <c:v>167.5</c:v>
                </c:pt>
                <c:pt idx="1249">
                  <c:v>235</c:v>
                </c:pt>
                <c:pt idx="1250">
                  <c:v>215</c:v>
                </c:pt>
                <c:pt idx="1251">
                  <c:v>215</c:v>
                </c:pt>
                <c:pt idx="1252">
                  <c:v>182.5</c:v>
                </c:pt>
                <c:pt idx="1253">
                  <c:v>162.5</c:v>
                </c:pt>
                <c:pt idx="1254">
                  <c:v>285</c:v>
                </c:pt>
                <c:pt idx="1255">
                  <c:v>285</c:v>
                </c:pt>
                <c:pt idx="1256">
                  <c:v>177.5</c:v>
                </c:pt>
                <c:pt idx="1257">
                  <c:v>205</c:v>
                </c:pt>
                <c:pt idx="1258">
                  <c:v>248</c:v>
                </c:pt>
                <c:pt idx="1259">
                  <c:v>192.5</c:v>
                </c:pt>
                <c:pt idx="1260">
                  <c:v>200</c:v>
                </c:pt>
                <c:pt idx="1261">
                  <c:v>145</c:v>
                </c:pt>
                <c:pt idx="1262">
                  <c:v>180</c:v>
                </c:pt>
                <c:pt idx="1263">
                  <c:v>187.5</c:v>
                </c:pt>
                <c:pt idx="1264">
                  <c:v>187.5</c:v>
                </c:pt>
                <c:pt idx="1265">
                  <c:v>167.5</c:v>
                </c:pt>
                <c:pt idx="1266">
                  <c:v>202.5</c:v>
                </c:pt>
                <c:pt idx="1267">
                  <c:v>210</c:v>
                </c:pt>
                <c:pt idx="1268">
                  <c:v>210</c:v>
                </c:pt>
                <c:pt idx="1269">
                  <c:v>175</c:v>
                </c:pt>
                <c:pt idx="1270">
                  <c:v>225</c:v>
                </c:pt>
                <c:pt idx="1271">
                  <c:v>190</c:v>
                </c:pt>
                <c:pt idx="1272">
                  <c:v>197.5</c:v>
                </c:pt>
                <c:pt idx="1273">
                  <c:v>220</c:v>
                </c:pt>
                <c:pt idx="1274">
                  <c:v>177.5</c:v>
                </c:pt>
                <c:pt idx="1275">
                  <c:v>230</c:v>
                </c:pt>
                <c:pt idx="1276">
                  <c:v>216</c:v>
                </c:pt>
                <c:pt idx="1277">
                  <c:v>260</c:v>
                </c:pt>
                <c:pt idx="1278">
                  <c:v>260</c:v>
                </c:pt>
                <c:pt idx="1279">
                  <c:v>145</c:v>
                </c:pt>
                <c:pt idx="1280">
                  <c:v>227.5</c:v>
                </c:pt>
                <c:pt idx="1281">
                  <c:v>170</c:v>
                </c:pt>
                <c:pt idx="1282">
                  <c:v>185</c:v>
                </c:pt>
                <c:pt idx="1283">
                  <c:v>207.5</c:v>
                </c:pt>
                <c:pt idx="1284">
                  <c:v>237.5</c:v>
                </c:pt>
                <c:pt idx="1285">
                  <c:v>180</c:v>
                </c:pt>
                <c:pt idx="1286">
                  <c:v>240</c:v>
                </c:pt>
                <c:pt idx="1287">
                  <c:v>210</c:v>
                </c:pt>
                <c:pt idx="1288">
                  <c:v>210</c:v>
                </c:pt>
                <c:pt idx="1289">
                  <c:v>217.5</c:v>
                </c:pt>
                <c:pt idx="1290">
                  <c:v>142.5</c:v>
                </c:pt>
                <c:pt idx="1291">
                  <c:v>135</c:v>
                </c:pt>
                <c:pt idx="1292">
                  <c:v>210</c:v>
                </c:pt>
                <c:pt idx="1293">
                  <c:v>205</c:v>
                </c:pt>
                <c:pt idx="1294">
                  <c:v>175</c:v>
                </c:pt>
                <c:pt idx="1295">
                  <c:v>145</c:v>
                </c:pt>
                <c:pt idx="1296">
                  <c:v>282.5</c:v>
                </c:pt>
                <c:pt idx="1297">
                  <c:v>130</c:v>
                </c:pt>
                <c:pt idx="1298">
                  <c:v>185</c:v>
                </c:pt>
                <c:pt idx="1299">
                  <c:v>185</c:v>
                </c:pt>
                <c:pt idx="1300">
                  <c:v>170</c:v>
                </c:pt>
                <c:pt idx="1301">
                  <c:v>255</c:v>
                </c:pt>
                <c:pt idx="1302">
                  <c:v>232.5</c:v>
                </c:pt>
                <c:pt idx="1303">
                  <c:v>210</c:v>
                </c:pt>
                <c:pt idx="1304">
                  <c:v>195</c:v>
                </c:pt>
                <c:pt idx="1305">
                  <c:v>195</c:v>
                </c:pt>
                <c:pt idx="1306">
                  <c:v>257.5</c:v>
                </c:pt>
                <c:pt idx="1307">
                  <c:v>190</c:v>
                </c:pt>
                <c:pt idx="1308">
                  <c:v>182.5</c:v>
                </c:pt>
                <c:pt idx="1309">
                  <c:v>222.5</c:v>
                </c:pt>
                <c:pt idx="1310">
                  <c:v>247.5</c:v>
                </c:pt>
                <c:pt idx="1311">
                  <c:v>200</c:v>
                </c:pt>
                <c:pt idx="1312">
                  <c:v>160</c:v>
                </c:pt>
                <c:pt idx="1313">
                  <c:v>250</c:v>
                </c:pt>
                <c:pt idx="1314">
                  <c:v>235.5</c:v>
                </c:pt>
                <c:pt idx="1315">
                  <c:v>242.5</c:v>
                </c:pt>
                <c:pt idx="1316">
                  <c:v>170</c:v>
                </c:pt>
                <c:pt idx="1317">
                  <c:v>235</c:v>
                </c:pt>
                <c:pt idx="1318">
                  <c:v>220</c:v>
                </c:pt>
                <c:pt idx="1319">
                  <c:v>240.5</c:v>
                </c:pt>
                <c:pt idx="1320">
                  <c:v>187.5</c:v>
                </c:pt>
                <c:pt idx="1321">
                  <c:v>185</c:v>
                </c:pt>
                <c:pt idx="1322">
                  <c:v>220</c:v>
                </c:pt>
                <c:pt idx="1323">
                  <c:v>212.5</c:v>
                </c:pt>
                <c:pt idx="1324">
                  <c:v>255</c:v>
                </c:pt>
                <c:pt idx="1325">
                  <c:v>137.5</c:v>
                </c:pt>
                <c:pt idx="1326">
                  <c:v>215</c:v>
                </c:pt>
                <c:pt idx="1327">
                  <c:v>190</c:v>
                </c:pt>
                <c:pt idx="1328">
                  <c:v>230</c:v>
                </c:pt>
                <c:pt idx="1329">
                  <c:v>107.5</c:v>
                </c:pt>
                <c:pt idx="1330">
                  <c:v>197.5</c:v>
                </c:pt>
                <c:pt idx="1331">
                  <c:v>252.5</c:v>
                </c:pt>
                <c:pt idx="1332">
                  <c:v>207.5</c:v>
                </c:pt>
                <c:pt idx="1333">
                  <c:v>145</c:v>
                </c:pt>
                <c:pt idx="1334">
                  <c:v>192.5</c:v>
                </c:pt>
                <c:pt idx="1335">
                  <c:v>227.5</c:v>
                </c:pt>
                <c:pt idx="1336">
                  <c:v>195</c:v>
                </c:pt>
                <c:pt idx="1337">
                  <c:v>242.5</c:v>
                </c:pt>
                <c:pt idx="1338">
                  <c:v>215</c:v>
                </c:pt>
                <c:pt idx="1339">
                  <c:v>230</c:v>
                </c:pt>
                <c:pt idx="1340">
                  <c:v>215</c:v>
                </c:pt>
                <c:pt idx="1341">
                  <c:v>160</c:v>
                </c:pt>
                <c:pt idx="1342">
                  <c:v>227.5</c:v>
                </c:pt>
                <c:pt idx="1343">
                  <c:v>240</c:v>
                </c:pt>
                <c:pt idx="1344">
                  <c:v>207.5</c:v>
                </c:pt>
                <c:pt idx="1345">
                  <c:v>230</c:v>
                </c:pt>
                <c:pt idx="1346">
                  <c:v>200</c:v>
                </c:pt>
                <c:pt idx="1347">
                  <c:v>232.5</c:v>
                </c:pt>
                <c:pt idx="1348">
                  <c:v>212.5</c:v>
                </c:pt>
                <c:pt idx="1349">
                  <c:v>170</c:v>
                </c:pt>
                <c:pt idx="1350">
                  <c:v>140</c:v>
                </c:pt>
                <c:pt idx="1351">
                  <c:v>250</c:v>
                </c:pt>
                <c:pt idx="1352">
                  <c:v>205</c:v>
                </c:pt>
                <c:pt idx="1353">
                  <c:v>240</c:v>
                </c:pt>
                <c:pt idx="1354">
                  <c:v>227.5</c:v>
                </c:pt>
                <c:pt idx="1355">
                  <c:v>240</c:v>
                </c:pt>
                <c:pt idx="1356">
                  <c:v>220</c:v>
                </c:pt>
                <c:pt idx="1357">
                  <c:v>232.5</c:v>
                </c:pt>
                <c:pt idx="1358">
                  <c:v>215</c:v>
                </c:pt>
                <c:pt idx="1359">
                  <c:v>230</c:v>
                </c:pt>
                <c:pt idx="1360">
                  <c:v>260</c:v>
                </c:pt>
                <c:pt idx="1361">
                  <c:v>240</c:v>
                </c:pt>
                <c:pt idx="1362">
                  <c:v>265</c:v>
                </c:pt>
                <c:pt idx="1363">
                  <c:v>162.5</c:v>
                </c:pt>
                <c:pt idx="1364">
                  <c:v>100</c:v>
                </c:pt>
                <c:pt idx="1365">
                  <c:v>175</c:v>
                </c:pt>
                <c:pt idx="1366">
                  <c:v>175</c:v>
                </c:pt>
                <c:pt idx="1367">
                  <c:v>170</c:v>
                </c:pt>
                <c:pt idx="1368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0-4B27-B7A7-DE8D62A18636}"/>
            </c:ext>
          </c:extLst>
        </c:ser>
        <c:ser>
          <c:idx val="3"/>
          <c:order val="1"/>
          <c:tx>
            <c:v>Men - Equipped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BD92DE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'Data Squat'!$F$663:$F$1088</c:f>
              <c:numCache>
                <c:formatCode>General</c:formatCode>
                <c:ptCount val="426"/>
                <c:pt idx="0">
                  <c:v>75</c:v>
                </c:pt>
                <c:pt idx="1">
                  <c:v>125</c:v>
                </c:pt>
                <c:pt idx="2">
                  <c:v>102.5</c:v>
                </c:pt>
                <c:pt idx="3">
                  <c:v>125</c:v>
                </c:pt>
                <c:pt idx="4">
                  <c:v>100</c:v>
                </c:pt>
                <c:pt idx="5">
                  <c:v>140</c:v>
                </c:pt>
                <c:pt idx="6">
                  <c:v>170</c:v>
                </c:pt>
                <c:pt idx="7">
                  <c:v>160</c:v>
                </c:pt>
                <c:pt idx="8">
                  <c:v>140</c:v>
                </c:pt>
                <c:pt idx="9">
                  <c:v>160</c:v>
                </c:pt>
                <c:pt idx="10">
                  <c:v>155</c:v>
                </c:pt>
                <c:pt idx="11">
                  <c:v>190</c:v>
                </c:pt>
                <c:pt idx="12">
                  <c:v>170</c:v>
                </c:pt>
                <c:pt idx="13">
                  <c:v>120</c:v>
                </c:pt>
                <c:pt idx="14">
                  <c:v>175</c:v>
                </c:pt>
                <c:pt idx="15">
                  <c:v>250</c:v>
                </c:pt>
                <c:pt idx="16">
                  <c:v>160</c:v>
                </c:pt>
                <c:pt idx="17">
                  <c:v>190</c:v>
                </c:pt>
                <c:pt idx="18">
                  <c:v>140</c:v>
                </c:pt>
                <c:pt idx="19">
                  <c:v>180</c:v>
                </c:pt>
                <c:pt idx="20">
                  <c:v>210</c:v>
                </c:pt>
                <c:pt idx="21">
                  <c:v>132.5</c:v>
                </c:pt>
                <c:pt idx="22">
                  <c:v>130</c:v>
                </c:pt>
                <c:pt idx="23">
                  <c:v>185</c:v>
                </c:pt>
                <c:pt idx="24">
                  <c:v>240</c:v>
                </c:pt>
                <c:pt idx="25">
                  <c:v>135</c:v>
                </c:pt>
                <c:pt idx="26">
                  <c:v>145</c:v>
                </c:pt>
                <c:pt idx="27">
                  <c:v>160</c:v>
                </c:pt>
                <c:pt idx="28">
                  <c:v>217.5</c:v>
                </c:pt>
                <c:pt idx="29">
                  <c:v>187.5</c:v>
                </c:pt>
                <c:pt idx="30">
                  <c:v>150</c:v>
                </c:pt>
                <c:pt idx="31">
                  <c:v>140</c:v>
                </c:pt>
                <c:pt idx="32">
                  <c:v>180</c:v>
                </c:pt>
                <c:pt idx="33">
                  <c:v>197.5</c:v>
                </c:pt>
                <c:pt idx="34">
                  <c:v>125</c:v>
                </c:pt>
                <c:pt idx="35">
                  <c:v>140</c:v>
                </c:pt>
                <c:pt idx="36">
                  <c:v>222.5</c:v>
                </c:pt>
                <c:pt idx="37">
                  <c:v>170</c:v>
                </c:pt>
                <c:pt idx="38">
                  <c:v>135</c:v>
                </c:pt>
                <c:pt idx="39">
                  <c:v>212.5</c:v>
                </c:pt>
                <c:pt idx="40">
                  <c:v>212.5</c:v>
                </c:pt>
                <c:pt idx="41">
                  <c:v>162.5</c:v>
                </c:pt>
                <c:pt idx="42">
                  <c:v>210</c:v>
                </c:pt>
                <c:pt idx="43">
                  <c:v>217.5</c:v>
                </c:pt>
                <c:pt idx="44">
                  <c:v>157.5</c:v>
                </c:pt>
                <c:pt idx="45">
                  <c:v>220</c:v>
                </c:pt>
                <c:pt idx="46">
                  <c:v>235</c:v>
                </c:pt>
                <c:pt idx="47">
                  <c:v>202.5</c:v>
                </c:pt>
                <c:pt idx="48">
                  <c:v>170</c:v>
                </c:pt>
                <c:pt idx="49">
                  <c:v>170</c:v>
                </c:pt>
                <c:pt idx="50">
                  <c:v>192.5</c:v>
                </c:pt>
                <c:pt idx="51">
                  <c:v>152.5</c:v>
                </c:pt>
                <c:pt idx="52">
                  <c:v>160</c:v>
                </c:pt>
                <c:pt idx="53">
                  <c:v>190</c:v>
                </c:pt>
                <c:pt idx="54">
                  <c:v>180</c:v>
                </c:pt>
                <c:pt idx="55">
                  <c:v>217.5</c:v>
                </c:pt>
                <c:pt idx="56">
                  <c:v>145</c:v>
                </c:pt>
                <c:pt idx="57">
                  <c:v>145</c:v>
                </c:pt>
                <c:pt idx="58">
                  <c:v>215</c:v>
                </c:pt>
                <c:pt idx="59">
                  <c:v>155</c:v>
                </c:pt>
                <c:pt idx="60">
                  <c:v>190</c:v>
                </c:pt>
                <c:pt idx="61">
                  <c:v>182.5</c:v>
                </c:pt>
                <c:pt idx="62">
                  <c:v>182.5</c:v>
                </c:pt>
                <c:pt idx="63">
                  <c:v>210</c:v>
                </c:pt>
                <c:pt idx="64">
                  <c:v>180</c:v>
                </c:pt>
                <c:pt idx="65">
                  <c:v>227.5</c:v>
                </c:pt>
                <c:pt idx="66">
                  <c:v>150</c:v>
                </c:pt>
                <c:pt idx="67">
                  <c:v>200</c:v>
                </c:pt>
                <c:pt idx="68">
                  <c:v>220</c:v>
                </c:pt>
                <c:pt idx="69">
                  <c:v>200</c:v>
                </c:pt>
                <c:pt idx="70">
                  <c:v>200</c:v>
                </c:pt>
                <c:pt idx="71">
                  <c:v>225</c:v>
                </c:pt>
                <c:pt idx="72">
                  <c:v>150</c:v>
                </c:pt>
                <c:pt idx="73">
                  <c:v>207.5</c:v>
                </c:pt>
                <c:pt idx="74">
                  <c:v>220</c:v>
                </c:pt>
                <c:pt idx="75">
                  <c:v>210</c:v>
                </c:pt>
                <c:pt idx="76">
                  <c:v>152.5</c:v>
                </c:pt>
                <c:pt idx="77">
                  <c:v>165</c:v>
                </c:pt>
                <c:pt idx="78">
                  <c:v>170</c:v>
                </c:pt>
                <c:pt idx="79">
                  <c:v>150</c:v>
                </c:pt>
                <c:pt idx="80">
                  <c:v>185</c:v>
                </c:pt>
                <c:pt idx="81">
                  <c:v>220</c:v>
                </c:pt>
                <c:pt idx="82">
                  <c:v>220</c:v>
                </c:pt>
                <c:pt idx="83">
                  <c:v>220</c:v>
                </c:pt>
                <c:pt idx="84">
                  <c:v>152.5</c:v>
                </c:pt>
                <c:pt idx="85">
                  <c:v>152.5</c:v>
                </c:pt>
                <c:pt idx="86">
                  <c:v>170</c:v>
                </c:pt>
                <c:pt idx="87">
                  <c:v>170</c:v>
                </c:pt>
                <c:pt idx="88">
                  <c:v>180</c:v>
                </c:pt>
                <c:pt idx="89">
                  <c:v>227.5</c:v>
                </c:pt>
                <c:pt idx="90">
                  <c:v>215</c:v>
                </c:pt>
                <c:pt idx="91">
                  <c:v>190</c:v>
                </c:pt>
                <c:pt idx="92">
                  <c:v>190</c:v>
                </c:pt>
                <c:pt idx="93">
                  <c:v>247.5</c:v>
                </c:pt>
                <c:pt idx="94">
                  <c:v>185</c:v>
                </c:pt>
                <c:pt idx="95">
                  <c:v>172.5</c:v>
                </c:pt>
                <c:pt idx="96">
                  <c:v>172.5</c:v>
                </c:pt>
                <c:pt idx="97">
                  <c:v>240</c:v>
                </c:pt>
                <c:pt idx="98">
                  <c:v>182.5</c:v>
                </c:pt>
                <c:pt idx="99">
                  <c:v>147.5</c:v>
                </c:pt>
                <c:pt idx="100">
                  <c:v>232.5</c:v>
                </c:pt>
                <c:pt idx="101">
                  <c:v>232.5</c:v>
                </c:pt>
                <c:pt idx="102">
                  <c:v>260</c:v>
                </c:pt>
                <c:pt idx="103">
                  <c:v>175</c:v>
                </c:pt>
                <c:pt idx="104">
                  <c:v>157.5</c:v>
                </c:pt>
                <c:pt idx="105">
                  <c:v>207.5</c:v>
                </c:pt>
                <c:pt idx="106">
                  <c:v>212.5</c:v>
                </c:pt>
                <c:pt idx="107">
                  <c:v>167.5</c:v>
                </c:pt>
                <c:pt idx="108">
                  <c:v>240</c:v>
                </c:pt>
                <c:pt idx="109">
                  <c:v>122.5</c:v>
                </c:pt>
                <c:pt idx="110">
                  <c:v>222.5</c:v>
                </c:pt>
                <c:pt idx="111">
                  <c:v>177.5</c:v>
                </c:pt>
                <c:pt idx="112">
                  <c:v>197.5</c:v>
                </c:pt>
                <c:pt idx="113">
                  <c:v>230</c:v>
                </c:pt>
                <c:pt idx="114">
                  <c:v>245</c:v>
                </c:pt>
                <c:pt idx="115">
                  <c:v>185</c:v>
                </c:pt>
                <c:pt idx="116">
                  <c:v>260</c:v>
                </c:pt>
                <c:pt idx="117">
                  <c:v>162.5</c:v>
                </c:pt>
                <c:pt idx="118">
                  <c:v>200</c:v>
                </c:pt>
                <c:pt idx="119">
                  <c:v>205</c:v>
                </c:pt>
                <c:pt idx="120">
                  <c:v>177.5</c:v>
                </c:pt>
                <c:pt idx="121">
                  <c:v>215</c:v>
                </c:pt>
                <c:pt idx="122">
                  <c:v>225</c:v>
                </c:pt>
                <c:pt idx="123">
                  <c:v>235</c:v>
                </c:pt>
                <c:pt idx="124">
                  <c:v>207.5</c:v>
                </c:pt>
                <c:pt idx="125">
                  <c:v>170</c:v>
                </c:pt>
                <c:pt idx="126">
                  <c:v>255</c:v>
                </c:pt>
                <c:pt idx="127">
                  <c:v>170</c:v>
                </c:pt>
                <c:pt idx="128">
                  <c:v>247.5</c:v>
                </c:pt>
                <c:pt idx="129">
                  <c:v>200</c:v>
                </c:pt>
                <c:pt idx="130">
                  <c:v>220</c:v>
                </c:pt>
                <c:pt idx="131">
                  <c:v>230</c:v>
                </c:pt>
                <c:pt idx="132">
                  <c:v>230</c:v>
                </c:pt>
                <c:pt idx="133">
                  <c:v>235</c:v>
                </c:pt>
                <c:pt idx="134">
                  <c:v>197.5</c:v>
                </c:pt>
                <c:pt idx="135">
                  <c:v>217.5</c:v>
                </c:pt>
                <c:pt idx="136">
                  <c:v>155</c:v>
                </c:pt>
                <c:pt idx="137">
                  <c:v>165</c:v>
                </c:pt>
                <c:pt idx="138">
                  <c:v>170</c:v>
                </c:pt>
                <c:pt idx="139">
                  <c:v>200</c:v>
                </c:pt>
                <c:pt idx="140">
                  <c:v>205</c:v>
                </c:pt>
                <c:pt idx="141">
                  <c:v>215</c:v>
                </c:pt>
                <c:pt idx="142">
                  <c:v>225</c:v>
                </c:pt>
                <c:pt idx="143">
                  <c:v>275</c:v>
                </c:pt>
                <c:pt idx="144">
                  <c:v>230</c:v>
                </c:pt>
                <c:pt idx="145">
                  <c:v>235</c:v>
                </c:pt>
                <c:pt idx="146">
                  <c:v>265</c:v>
                </c:pt>
                <c:pt idx="147">
                  <c:v>275</c:v>
                </c:pt>
                <c:pt idx="148">
                  <c:v>172.5</c:v>
                </c:pt>
                <c:pt idx="149">
                  <c:v>192.5</c:v>
                </c:pt>
                <c:pt idx="150">
                  <c:v>207.5</c:v>
                </c:pt>
                <c:pt idx="151">
                  <c:v>242.5</c:v>
                </c:pt>
                <c:pt idx="152">
                  <c:v>247.5</c:v>
                </c:pt>
                <c:pt idx="153">
                  <c:v>267.5</c:v>
                </c:pt>
                <c:pt idx="154">
                  <c:v>282.5</c:v>
                </c:pt>
                <c:pt idx="155">
                  <c:v>155</c:v>
                </c:pt>
                <c:pt idx="156">
                  <c:v>230</c:v>
                </c:pt>
                <c:pt idx="157">
                  <c:v>275</c:v>
                </c:pt>
                <c:pt idx="158">
                  <c:v>155</c:v>
                </c:pt>
                <c:pt idx="159">
                  <c:v>250</c:v>
                </c:pt>
                <c:pt idx="160">
                  <c:v>170</c:v>
                </c:pt>
                <c:pt idx="161">
                  <c:v>225</c:v>
                </c:pt>
                <c:pt idx="162">
                  <c:v>207.5</c:v>
                </c:pt>
                <c:pt idx="163">
                  <c:v>182.5</c:v>
                </c:pt>
                <c:pt idx="164">
                  <c:v>201</c:v>
                </c:pt>
                <c:pt idx="165">
                  <c:v>295</c:v>
                </c:pt>
                <c:pt idx="166">
                  <c:v>265</c:v>
                </c:pt>
                <c:pt idx="167">
                  <c:v>265</c:v>
                </c:pt>
                <c:pt idx="168">
                  <c:v>235</c:v>
                </c:pt>
                <c:pt idx="169">
                  <c:v>235</c:v>
                </c:pt>
                <c:pt idx="170">
                  <c:v>195</c:v>
                </c:pt>
                <c:pt idx="171">
                  <c:v>190</c:v>
                </c:pt>
                <c:pt idx="172">
                  <c:v>165</c:v>
                </c:pt>
                <c:pt idx="173">
                  <c:v>165</c:v>
                </c:pt>
                <c:pt idx="174">
                  <c:v>242.5</c:v>
                </c:pt>
                <c:pt idx="175">
                  <c:v>160</c:v>
                </c:pt>
                <c:pt idx="176">
                  <c:v>232.5</c:v>
                </c:pt>
                <c:pt idx="177">
                  <c:v>150</c:v>
                </c:pt>
                <c:pt idx="178">
                  <c:v>197.5</c:v>
                </c:pt>
                <c:pt idx="179">
                  <c:v>260</c:v>
                </c:pt>
                <c:pt idx="180">
                  <c:v>230</c:v>
                </c:pt>
                <c:pt idx="181">
                  <c:v>162.5</c:v>
                </c:pt>
                <c:pt idx="182">
                  <c:v>257.5</c:v>
                </c:pt>
                <c:pt idx="183">
                  <c:v>232.5</c:v>
                </c:pt>
                <c:pt idx="184">
                  <c:v>212.5</c:v>
                </c:pt>
                <c:pt idx="185">
                  <c:v>245</c:v>
                </c:pt>
                <c:pt idx="186">
                  <c:v>172.5</c:v>
                </c:pt>
                <c:pt idx="187">
                  <c:v>245</c:v>
                </c:pt>
                <c:pt idx="188">
                  <c:v>240</c:v>
                </c:pt>
                <c:pt idx="189">
                  <c:v>180</c:v>
                </c:pt>
                <c:pt idx="190">
                  <c:v>240</c:v>
                </c:pt>
                <c:pt idx="191">
                  <c:v>175</c:v>
                </c:pt>
                <c:pt idx="192">
                  <c:v>197.5</c:v>
                </c:pt>
                <c:pt idx="193">
                  <c:v>247.5</c:v>
                </c:pt>
                <c:pt idx="194">
                  <c:v>237.5</c:v>
                </c:pt>
                <c:pt idx="195">
                  <c:v>182.5</c:v>
                </c:pt>
                <c:pt idx="196">
                  <c:v>282.5</c:v>
                </c:pt>
                <c:pt idx="197">
                  <c:v>172.5</c:v>
                </c:pt>
                <c:pt idx="198">
                  <c:v>190</c:v>
                </c:pt>
                <c:pt idx="199">
                  <c:v>280</c:v>
                </c:pt>
                <c:pt idx="200">
                  <c:v>207.5</c:v>
                </c:pt>
                <c:pt idx="201">
                  <c:v>230</c:v>
                </c:pt>
                <c:pt idx="202">
                  <c:v>180</c:v>
                </c:pt>
                <c:pt idx="203">
                  <c:v>277.5</c:v>
                </c:pt>
                <c:pt idx="204">
                  <c:v>232.5</c:v>
                </c:pt>
                <c:pt idx="205">
                  <c:v>250</c:v>
                </c:pt>
                <c:pt idx="206">
                  <c:v>330</c:v>
                </c:pt>
                <c:pt idx="207">
                  <c:v>267.5</c:v>
                </c:pt>
                <c:pt idx="208">
                  <c:v>205</c:v>
                </c:pt>
                <c:pt idx="209">
                  <c:v>160</c:v>
                </c:pt>
                <c:pt idx="210">
                  <c:v>160</c:v>
                </c:pt>
                <c:pt idx="211">
                  <c:v>240</c:v>
                </c:pt>
                <c:pt idx="212">
                  <c:v>160</c:v>
                </c:pt>
                <c:pt idx="213">
                  <c:v>177.5</c:v>
                </c:pt>
                <c:pt idx="214">
                  <c:v>155</c:v>
                </c:pt>
                <c:pt idx="215">
                  <c:v>230</c:v>
                </c:pt>
                <c:pt idx="216">
                  <c:v>260</c:v>
                </c:pt>
                <c:pt idx="217">
                  <c:v>245</c:v>
                </c:pt>
                <c:pt idx="218">
                  <c:v>245</c:v>
                </c:pt>
                <c:pt idx="219">
                  <c:v>262.5</c:v>
                </c:pt>
                <c:pt idx="220">
                  <c:v>280</c:v>
                </c:pt>
                <c:pt idx="221">
                  <c:v>200</c:v>
                </c:pt>
                <c:pt idx="222">
                  <c:v>260</c:v>
                </c:pt>
                <c:pt idx="223">
                  <c:v>260</c:v>
                </c:pt>
                <c:pt idx="224">
                  <c:v>285</c:v>
                </c:pt>
                <c:pt idx="225">
                  <c:v>310</c:v>
                </c:pt>
                <c:pt idx="226">
                  <c:v>197.5</c:v>
                </c:pt>
                <c:pt idx="227">
                  <c:v>300</c:v>
                </c:pt>
                <c:pt idx="228">
                  <c:v>252.5</c:v>
                </c:pt>
                <c:pt idx="229">
                  <c:v>252.5</c:v>
                </c:pt>
                <c:pt idx="230">
                  <c:v>265</c:v>
                </c:pt>
                <c:pt idx="231">
                  <c:v>247.5</c:v>
                </c:pt>
                <c:pt idx="232">
                  <c:v>230</c:v>
                </c:pt>
                <c:pt idx="233">
                  <c:v>212.5</c:v>
                </c:pt>
                <c:pt idx="234">
                  <c:v>177.5</c:v>
                </c:pt>
                <c:pt idx="235">
                  <c:v>257.5</c:v>
                </c:pt>
                <c:pt idx="236">
                  <c:v>240</c:v>
                </c:pt>
                <c:pt idx="237">
                  <c:v>252.5</c:v>
                </c:pt>
                <c:pt idx="238">
                  <c:v>260</c:v>
                </c:pt>
                <c:pt idx="239">
                  <c:v>260</c:v>
                </c:pt>
                <c:pt idx="240">
                  <c:v>260</c:v>
                </c:pt>
                <c:pt idx="241">
                  <c:v>142.5</c:v>
                </c:pt>
                <c:pt idx="242">
                  <c:v>350</c:v>
                </c:pt>
                <c:pt idx="243">
                  <c:v>295</c:v>
                </c:pt>
                <c:pt idx="244">
                  <c:v>245</c:v>
                </c:pt>
                <c:pt idx="245">
                  <c:v>207.5</c:v>
                </c:pt>
                <c:pt idx="246">
                  <c:v>252.5</c:v>
                </c:pt>
                <c:pt idx="247">
                  <c:v>215</c:v>
                </c:pt>
                <c:pt idx="248">
                  <c:v>260</c:v>
                </c:pt>
                <c:pt idx="249">
                  <c:v>222.5</c:v>
                </c:pt>
                <c:pt idx="250">
                  <c:v>262.5</c:v>
                </c:pt>
                <c:pt idx="251">
                  <c:v>320</c:v>
                </c:pt>
                <c:pt idx="252">
                  <c:v>255</c:v>
                </c:pt>
                <c:pt idx="253">
                  <c:v>262.5</c:v>
                </c:pt>
                <c:pt idx="254">
                  <c:v>250</c:v>
                </c:pt>
                <c:pt idx="255">
                  <c:v>250</c:v>
                </c:pt>
                <c:pt idx="256">
                  <c:v>257.5</c:v>
                </c:pt>
                <c:pt idx="257">
                  <c:v>225</c:v>
                </c:pt>
                <c:pt idx="258">
                  <c:v>272.5</c:v>
                </c:pt>
                <c:pt idx="259">
                  <c:v>272.5</c:v>
                </c:pt>
                <c:pt idx="260">
                  <c:v>240</c:v>
                </c:pt>
                <c:pt idx="261">
                  <c:v>295</c:v>
                </c:pt>
                <c:pt idx="262">
                  <c:v>275</c:v>
                </c:pt>
                <c:pt idx="263">
                  <c:v>255</c:v>
                </c:pt>
                <c:pt idx="264">
                  <c:v>215</c:v>
                </c:pt>
                <c:pt idx="265">
                  <c:v>277.5</c:v>
                </c:pt>
                <c:pt idx="266">
                  <c:v>205</c:v>
                </c:pt>
                <c:pt idx="267">
                  <c:v>287.5</c:v>
                </c:pt>
                <c:pt idx="268">
                  <c:v>220</c:v>
                </c:pt>
                <c:pt idx="269">
                  <c:v>165</c:v>
                </c:pt>
                <c:pt idx="270">
                  <c:v>227.5</c:v>
                </c:pt>
                <c:pt idx="271">
                  <c:v>290</c:v>
                </c:pt>
                <c:pt idx="272">
                  <c:v>250</c:v>
                </c:pt>
                <c:pt idx="273">
                  <c:v>250</c:v>
                </c:pt>
                <c:pt idx="274">
                  <c:v>285</c:v>
                </c:pt>
                <c:pt idx="275">
                  <c:v>195</c:v>
                </c:pt>
                <c:pt idx="276">
                  <c:v>202.5</c:v>
                </c:pt>
                <c:pt idx="277">
                  <c:v>237.5</c:v>
                </c:pt>
                <c:pt idx="278">
                  <c:v>272.5</c:v>
                </c:pt>
                <c:pt idx="279">
                  <c:v>210</c:v>
                </c:pt>
                <c:pt idx="280">
                  <c:v>252.5</c:v>
                </c:pt>
                <c:pt idx="281">
                  <c:v>295</c:v>
                </c:pt>
                <c:pt idx="282">
                  <c:v>275</c:v>
                </c:pt>
                <c:pt idx="283">
                  <c:v>340</c:v>
                </c:pt>
                <c:pt idx="284">
                  <c:v>235</c:v>
                </c:pt>
                <c:pt idx="285">
                  <c:v>250</c:v>
                </c:pt>
                <c:pt idx="286">
                  <c:v>257.5</c:v>
                </c:pt>
                <c:pt idx="287">
                  <c:v>265</c:v>
                </c:pt>
                <c:pt idx="288">
                  <c:v>330</c:v>
                </c:pt>
                <c:pt idx="289">
                  <c:v>230</c:v>
                </c:pt>
                <c:pt idx="290">
                  <c:v>295</c:v>
                </c:pt>
                <c:pt idx="291">
                  <c:v>237.5</c:v>
                </c:pt>
                <c:pt idx="292">
                  <c:v>195</c:v>
                </c:pt>
                <c:pt idx="293">
                  <c:v>290</c:v>
                </c:pt>
                <c:pt idx="294">
                  <c:v>305</c:v>
                </c:pt>
                <c:pt idx="295">
                  <c:v>205</c:v>
                </c:pt>
                <c:pt idx="296">
                  <c:v>220</c:v>
                </c:pt>
                <c:pt idx="297">
                  <c:v>241</c:v>
                </c:pt>
                <c:pt idx="298">
                  <c:v>230</c:v>
                </c:pt>
                <c:pt idx="299">
                  <c:v>292.5</c:v>
                </c:pt>
                <c:pt idx="300">
                  <c:v>255</c:v>
                </c:pt>
                <c:pt idx="301">
                  <c:v>300</c:v>
                </c:pt>
                <c:pt idx="302">
                  <c:v>305</c:v>
                </c:pt>
                <c:pt idx="303">
                  <c:v>297.5</c:v>
                </c:pt>
                <c:pt idx="304">
                  <c:v>252.5</c:v>
                </c:pt>
                <c:pt idx="305">
                  <c:v>245</c:v>
                </c:pt>
                <c:pt idx="306">
                  <c:v>337.5</c:v>
                </c:pt>
                <c:pt idx="307">
                  <c:v>215</c:v>
                </c:pt>
                <c:pt idx="308">
                  <c:v>200</c:v>
                </c:pt>
                <c:pt idx="309">
                  <c:v>260.5</c:v>
                </c:pt>
                <c:pt idx="310">
                  <c:v>255</c:v>
                </c:pt>
                <c:pt idx="311">
                  <c:v>225</c:v>
                </c:pt>
                <c:pt idx="312">
                  <c:v>295</c:v>
                </c:pt>
                <c:pt idx="313">
                  <c:v>287.5</c:v>
                </c:pt>
                <c:pt idx="314">
                  <c:v>280</c:v>
                </c:pt>
                <c:pt idx="315">
                  <c:v>250</c:v>
                </c:pt>
                <c:pt idx="316">
                  <c:v>312.5</c:v>
                </c:pt>
                <c:pt idx="317">
                  <c:v>355</c:v>
                </c:pt>
                <c:pt idx="318">
                  <c:v>277.5</c:v>
                </c:pt>
                <c:pt idx="319">
                  <c:v>357.5</c:v>
                </c:pt>
                <c:pt idx="320">
                  <c:v>240</c:v>
                </c:pt>
                <c:pt idx="321">
                  <c:v>272.5</c:v>
                </c:pt>
                <c:pt idx="322">
                  <c:v>267.5</c:v>
                </c:pt>
                <c:pt idx="323">
                  <c:v>317.5</c:v>
                </c:pt>
                <c:pt idx="324">
                  <c:v>277.5</c:v>
                </c:pt>
                <c:pt idx="325">
                  <c:v>222.5</c:v>
                </c:pt>
                <c:pt idx="326">
                  <c:v>315</c:v>
                </c:pt>
                <c:pt idx="327">
                  <c:v>207.5</c:v>
                </c:pt>
                <c:pt idx="328">
                  <c:v>192.5</c:v>
                </c:pt>
                <c:pt idx="329">
                  <c:v>287.5</c:v>
                </c:pt>
                <c:pt idx="330">
                  <c:v>220</c:v>
                </c:pt>
                <c:pt idx="331">
                  <c:v>255</c:v>
                </c:pt>
                <c:pt idx="332">
                  <c:v>310</c:v>
                </c:pt>
                <c:pt idx="333">
                  <c:v>250</c:v>
                </c:pt>
                <c:pt idx="334">
                  <c:v>260</c:v>
                </c:pt>
                <c:pt idx="335">
                  <c:v>277.5</c:v>
                </c:pt>
                <c:pt idx="336">
                  <c:v>252.5</c:v>
                </c:pt>
                <c:pt idx="337">
                  <c:v>237.5</c:v>
                </c:pt>
                <c:pt idx="338">
                  <c:v>300</c:v>
                </c:pt>
                <c:pt idx="339">
                  <c:v>320</c:v>
                </c:pt>
                <c:pt idx="340">
                  <c:v>250</c:v>
                </c:pt>
                <c:pt idx="341">
                  <c:v>197.5</c:v>
                </c:pt>
                <c:pt idx="342">
                  <c:v>330</c:v>
                </c:pt>
                <c:pt idx="343">
                  <c:v>220</c:v>
                </c:pt>
                <c:pt idx="344">
                  <c:v>165</c:v>
                </c:pt>
                <c:pt idx="345">
                  <c:v>240</c:v>
                </c:pt>
                <c:pt idx="346">
                  <c:v>240</c:v>
                </c:pt>
                <c:pt idx="347">
                  <c:v>222.5</c:v>
                </c:pt>
                <c:pt idx="348">
                  <c:v>260</c:v>
                </c:pt>
                <c:pt idx="349">
                  <c:v>260</c:v>
                </c:pt>
                <c:pt idx="350">
                  <c:v>197.5</c:v>
                </c:pt>
                <c:pt idx="351">
                  <c:v>265</c:v>
                </c:pt>
                <c:pt idx="352">
                  <c:v>210</c:v>
                </c:pt>
                <c:pt idx="353">
                  <c:v>260</c:v>
                </c:pt>
                <c:pt idx="354">
                  <c:v>270</c:v>
                </c:pt>
                <c:pt idx="355">
                  <c:v>270</c:v>
                </c:pt>
                <c:pt idx="356">
                  <c:v>202.5</c:v>
                </c:pt>
                <c:pt idx="357">
                  <c:v>195</c:v>
                </c:pt>
                <c:pt idx="358">
                  <c:v>215</c:v>
                </c:pt>
                <c:pt idx="359">
                  <c:v>215</c:v>
                </c:pt>
                <c:pt idx="360">
                  <c:v>255</c:v>
                </c:pt>
                <c:pt idx="361">
                  <c:v>240</c:v>
                </c:pt>
                <c:pt idx="362">
                  <c:v>365</c:v>
                </c:pt>
                <c:pt idx="363">
                  <c:v>325</c:v>
                </c:pt>
                <c:pt idx="364">
                  <c:v>323</c:v>
                </c:pt>
                <c:pt idx="365">
                  <c:v>265</c:v>
                </c:pt>
                <c:pt idx="366">
                  <c:v>245</c:v>
                </c:pt>
                <c:pt idx="367">
                  <c:v>225</c:v>
                </c:pt>
                <c:pt idx="368">
                  <c:v>247.5</c:v>
                </c:pt>
                <c:pt idx="369">
                  <c:v>290</c:v>
                </c:pt>
                <c:pt idx="370">
                  <c:v>270</c:v>
                </c:pt>
                <c:pt idx="371">
                  <c:v>282.5</c:v>
                </c:pt>
                <c:pt idx="372">
                  <c:v>285</c:v>
                </c:pt>
                <c:pt idx="373">
                  <c:v>275</c:v>
                </c:pt>
                <c:pt idx="374">
                  <c:v>265</c:v>
                </c:pt>
                <c:pt idx="375">
                  <c:v>255</c:v>
                </c:pt>
                <c:pt idx="376">
                  <c:v>287.5</c:v>
                </c:pt>
                <c:pt idx="377">
                  <c:v>260</c:v>
                </c:pt>
                <c:pt idx="378">
                  <c:v>175</c:v>
                </c:pt>
                <c:pt idx="379">
                  <c:v>252.5</c:v>
                </c:pt>
                <c:pt idx="380">
                  <c:v>265</c:v>
                </c:pt>
                <c:pt idx="381">
                  <c:v>332.5</c:v>
                </c:pt>
                <c:pt idx="382">
                  <c:v>267.5</c:v>
                </c:pt>
                <c:pt idx="383">
                  <c:v>305</c:v>
                </c:pt>
                <c:pt idx="384">
                  <c:v>205</c:v>
                </c:pt>
                <c:pt idx="385">
                  <c:v>195</c:v>
                </c:pt>
                <c:pt idx="386">
                  <c:v>230</c:v>
                </c:pt>
                <c:pt idx="387">
                  <c:v>357.5</c:v>
                </c:pt>
                <c:pt idx="388">
                  <c:v>337.5</c:v>
                </c:pt>
                <c:pt idx="389">
                  <c:v>275</c:v>
                </c:pt>
                <c:pt idx="390">
                  <c:v>170</c:v>
                </c:pt>
                <c:pt idx="391">
                  <c:v>220</c:v>
                </c:pt>
                <c:pt idx="392">
                  <c:v>342.5</c:v>
                </c:pt>
                <c:pt idx="393">
                  <c:v>342.5</c:v>
                </c:pt>
                <c:pt idx="394">
                  <c:v>345</c:v>
                </c:pt>
                <c:pt idx="395">
                  <c:v>370</c:v>
                </c:pt>
                <c:pt idx="396">
                  <c:v>100</c:v>
                </c:pt>
                <c:pt idx="397">
                  <c:v>285</c:v>
                </c:pt>
                <c:pt idx="398">
                  <c:v>290</c:v>
                </c:pt>
                <c:pt idx="399">
                  <c:v>202.5</c:v>
                </c:pt>
                <c:pt idx="400">
                  <c:v>220</c:v>
                </c:pt>
                <c:pt idx="401">
                  <c:v>280</c:v>
                </c:pt>
                <c:pt idx="402">
                  <c:v>242.5</c:v>
                </c:pt>
                <c:pt idx="403">
                  <c:v>247.5</c:v>
                </c:pt>
                <c:pt idx="404">
                  <c:v>215</c:v>
                </c:pt>
                <c:pt idx="405">
                  <c:v>295</c:v>
                </c:pt>
                <c:pt idx="406">
                  <c:v>352.5</c:v>
                </c:pt>
                <c:pt idx="407">
                  <c:v>252.5</c:v>
                </c:pt>
                <c:pt idx="408">
                  <c:v>310</c:v>
                </c:pt>
                <c:pt idx="409">
                  <c:v>210</c:v>
                </c:pt>
                <c:pt idx="410">
                  <c:v>300</c:v>
                </c:pt>
                <c:pt idx="411">
                  <c:v>357.5</c:v>
                </c:pt>
                <c:pt idx="412">
                  <c:v>205</c:v>
                </c:pt>
                <c:pt idx="413">
                  <c:v>345</c:v>
                </c:pt>
                <c:pt idx="414">
                  <c:v>297.5</c:v>
                </c:pt>
                <c:pt idx="415">
                  <c:v>300</c:v>
                </c:pt>
                <c:pt idx="416">
                  <c:v>330</c:v>
                </c:pt>
                <c:pt idx="417">
                  <c:v>280</c:v>
                </c:pt>
                <c:pt idx="418">
                  <c:v>352.5</c:v>
                </c:pt>
                <c:pt idx="419">
                  <c:v>355</c:v>
                </c:pt>
                <c:pt idx="420">
                  <c:v>115</c:v>
                </c:pt>
                <c:pt idx="421">
                  <c:v>360</c:v>
                </c:pt>
                <c:pt idx="422">
                  <c:v>105</c:v>
                </c:pt>
                <c:pt idx="423">
                  <c:v>317.5</c:v>
                </c:pt>
                <c:pt idx="424">
                  <c:v>222.5</c:v>
                </c:pt>
                <c:pt idx="425">
                  <c:v>270</c:v>
                </c:pt>
              </c:numCache>
            </c:numRef>
          </c:xVal>
          <c:yVal>
            <c:numRef>
              <c:f>'Data Squat'!$E$663:$E$1088</c:f>
              <c:numCache>
                <c:formatCode>General</c:formatCode>
                <c:ptCount val="426"/>
                <c:pt idx="0">
                  <c:v>400</c:v>
                </c:pt>
                <c:pt idx="1">
                  <c:v>345</c:v>
                </c:pt>
                <c:pt idx="2">
                  <c:v>265</c:v>
                </c:pt>
                <c:pt idx="3">
                  <c:v>320</c:v>
                </c:pt>
                <c:pt idx="4">
                  <c:v>250</c:v>
                </c:pt>
                <c:pt idx="5">
                  <c:v>290</c:v>
                </c:pt>
                <c:pt idx="6">
                  <c:v>325</c:v>
                </c:pt>
                <c:pt idx="7">
                  <c:v>305</c:v>
                </c:pt>
                <c:pt idx="8">
                  <c:v>265</c:v>
                </c:pt>
                <c:pt idx="9">
                  <c:v>300</c:v>
                </c:pt>
                <c:pt idx="10">
                  <c:v>290</c:v>
                </c:pt>
                <c:pt idx="11">
                  <c:v>355</c:v>
                </c:pt>
                <c:pt idx="12">
                  <c:v>315</c:v>
                </c:pt>
                <c:pt idx="13">
                  <c:v>220</c:v>
                </c:pt>
                <c:pt idx="14">
                  <c:v>320</c:v>
                </c:pt>
                <c:pt idx="15">
                  <c:v>455</c:v>
                </c:pt>
                <c:pt idx="16">
                  <c:v>290</c:v>
                </c:pt>
                <c:pt idx="17">
                  <c:v>340</c:v>
                </c:pt>
                <c:pt idx="18">
                  <c:v>250</c:v>
                </c:pt>
                <c:pt idx="19">
                  <c:v>320</c:v>
                </c:pt>
                <c:pt idx="20">
                  <c:v>372.5</c:v>
                </c:pt>
                <c:pt idx="21">
                  <c:v>235</c:v>
                </c:pt>
                <c:pt idx="22">
                  <c:v>230</c:v>
                </c:pt>
                <c:pt idx="23">
                  <c:v>326</c:v>
                </c:pt>
                <c:pt idx="24">
                  <c:v>422.5</c:v>
                </c:pt>
                <c:pt idx="25">
                  <c:v>237.5</c:v>
                </c:pt>
                <c:pt idx="26">
                  <c:v>255</c:v>
                </c:pt>
                <c:pt idx="27">
                  <c:v>280</c:v>
                </c:pt>
                <c:pt idx="28">
                  <c:v>380</c:v>
                </c:pt>
                <c:pt idx="29">
                  <c:v>325</c:v>
                </c:pt>
                <c:pt idx="30">
                  <c:v>260</c:v>
                </c:pt>
                <c:pt idx="31">
                  <c:v>242.5</c:v>
                </c:pt>
                <c:pt idx="32">
                  <c:v>310</c:v>
                </c:pt>
                <c:pt idx="33">
                  <c:v>340</c:v>
                </c:pt>
                <c:pt idx="34">
                  <c:v>215</c:v>
                </c:pt>
                <c:pt idx="35">
                  <c:v>240</c:v>
                </c:pt>
                <c:pt idx="36">
                  <c:v>380</c:v>
                </c:pt>
                <c:pt idx="37">
                  <c:v>290</c:v>
                </c:pt>
                <c:pt idx="38">
                  <c:v>230</c:v>
                </c:pt>
                <c:pt idx="39">
                  <c:v>360</c:v>
                </c:pt>
                <c:pt idx="40">
                  <c:v>360</c:v>
                </c:pt>
                <c:pt idx="41">
                  <c:v>275</c:v>
                </c:pt>
                <c:pt idx="42">
                  <c:v>355</c:v>
                </c:pt>
                <c:pt idx="43">
                  <c:v>367.5</c:v>
                </c:pt>
                <c:pt idx="44">
                  <c:v>265</c:v>
                </c:pt>
                <c:pt idx="45">
                  <c:v>370</c:v>
                </c:pt>
                <c:pt idx="46">
                  <c:v>395</c:v>
                </c:pt>
                <c:pt idx="47">
                  <c:v>340</c:v>
                </c:pt>
                <c:pt idx="48">
                  <c:v>285</c:v>
                </c:pt>
                <c:pt idx="49">
                  <c:v>285</c:v>
                </c:pt>
                <c:pt idx="50">
                  <c:v>322.5</c:v>
                </c:pt>
                <c:pt idx="51">
                  <c:v>255</c:v>
                </c:pt>
                <c:pt idx="52">
                  <c:v>267.5</c:v>
                </c:pt>
                <c:pt idx="53">
                  <c:v>317.5</c:v>
                </c:pt>
                <c:pt idx="54">
                  <c:v>300</c:v>
                </c:pt>
                <c:pt idx="55">
                  <c:v>360</c:v>
                </c:pt>
                <c:pt idx="56">
                  <c:v>240</c:v>
                </c:pt>
                <c:pt idx="57">
                  <c:v>240</c:v>
                </c:pt>
                <c:pt idx="58">
                  <c:v>355</c:v>
                </c:pt>
                <c:pt idx="59">
                  <c:v>255</c:v>
                </c:pt>
                <c:pt idx="60">
                  <c:v>312.5</c:v>
                </c:pt>
                <c:pt idx="61">
                  <c:v>300</c:v>
                </c:pt>
                <c:pt idx="62">
                  <c:v>300</c:v>
                </c:pt>
                <c:pt idx="63">
                  <c:v>345</c:v>
                </c:pt>
                <c:pt idx="64">
                  <c:v>295</c:v>
                </c:pt>
                <c:pt idx="65">
                  <c:v>372.5</c:v>
                </c:pt>
                <c:pt idx="66">
                  <c:v>245</c:v>
                </c:pt>
                <c:pt idx="67">
                  <c:v>325</c:v>
                </c:pt>
                <c:pt idx="68">
                  <c:v>357.5</c:v>
                </c:pt>
                <c:pt idx="69">
                  <c:v>325</c:v>
                </c:pt>
                <c:pt idx="70">
                  <c:v>325</c:v>
                </c:pt>
                <c:pt idx="71">
                  <c:v>365</c:v>
                </c:pt>
                <c:pt idx="72">
                  <c:v>242.5</c:v>
                </c:pt>
                <c:pt idx="73">
                  <c:v>335</c:v>
                </c:pt>
                <c:pt idx="74">
                  <c:v>355</c:v>
                </c:pt>
                <c:pt idx="75">
                  <c:v>337.5</c:v>
                </c:pt>
                <c:pt idx="76">
                  <c:v>245</c:v>
                </c:pt>
                <c:pt idx="77">
                  <c:v>265</c:v>
                </c:pt>
                <c:pt idx="78">
                  <c:v>272.5</c:v>
                </c:pt>
                <c:pt idx="79">
                  <c:v>240</c:v>
                </c:pt>
                <c:pt idx="80">
                  <c:v>295</c:v>
                </c:pt>
                <c:pt idx="81">
                  <c:v>350</c:v>
                </c:pt>
                <c:pt idx="82">
                  <c:v>350</c:v>
                </c:pt>
                <c:pt idx="83">
                  <c:v>350</c:v>
                </c:pt>
                <c:pt idx="84">
                  <c:v>242.5</c:v>
                </c:pt>
                <c:pt idx="85">
                  <c:v>242.5</c:v>
                </c:pt>
                <c:pt idx="86">
                  <c:v>270</c:v>
                </c:pt>
                <c:pt idx="87">
                  <c:v>270</c:v>
                </c:pt>
                <c:pt idx="88">
                  <c:v>285</c:v>
                </c:pt>
                <c:pt idx="89">
                  <c:v>360</c:v>
                </c:pt>
                <c:pt idx="90">
                  <c:v>340</c:v>
                </c:pt>
                <c:pt idx="91">
                  <c:v>300</c:v>
                </c:pt>
                <c:pt idx="92">
                  <c:v>300</c:v>
                </c:pt>
                <c:pt idx="93">
                  <c:v>390</c:v>
                </c:pt>
                <c:pt idx="94">
                  <c:v>290</c:v>
                </c:pt>
                <c:pt idx="95">
                  <c:v>270</c:v>
                </c:pt>
                <c:pt idx="96">
                  <c:v>270</c:v>
                </c:pt>
                <c:pt idx="97">
                  <c:v>375</c:v>
                </c:pt>
                <c:pt idx="98">
                  <c:v>285</c:v>
                </c:pt>
                <c:pt idx="99">
                  <c:v>230</c:v>
                </c:pt>
                <c:pt idx="100">
                  <c:v>362.5</c:v>
                </c:pt>
                <c:pt idx="101">
                  <c:v>362.5</c:v>
                </c:pt>
                <c:pt idx="102">
                  <c:v>405</c:v>
                </c:pt>
                <c:pt idx="103">
                  <c:v>272.5</c:v>
                </c:pt>
                <c:pt idx="104">
                  <c:v>245</c:v>
                </c:pt>
                <c:pt idx="105">
                  <c:v>322.5</c:v>
                </c:pt>
                <c:pt idx="106">
                  <c:v>330</c:v>
                </c:pt>
                <c:pt idx="107">
                  <c:v>260</c:v>
                </c:pt>
                <c:pt idx="108">
                  <c:v>372.5</c:v>
                </c:pt>
                <c:pt idx="109">
                  <c:v>190</c:v>
                </c:pt>
                <c:pt idx="110">
                  <c:v>345</c:v>
                </c:pt>
                <c:pt idx="111">
                  <c:v>275</c:v>
                </c:pt>
                <c:pt idx="112">
                  <c:v>305</c:v>
                </c:pt>
                <c:pt idx="113">
                  <c:v>355</c:v>
                </c:pt>
                <c:pt idx="114">
                  <c:v>377.5</c:v>
                </c:pt>
                <c:pt idx="115">
                  <c:v>285</c:v>
                </c:pt>
                <c:pt idx="116">
                  <c:v>400</c:v>
                </c:pt>
                <c:pt idx="117">
                  <c:v>250</c:v>
                </c:pt>
                <c:pt idx="118">
                  <c:v>307.5</c:v>
                </c:pt>
                <c:pt idx="119">
                  <c:v>315</c:v>
                </c:pt>
                <c:pt idx="120">
                  <c:v>272.5</c:v>
                </c:pt>
                <c:pt idx="121">
                  <c:v>330</c:v>
                </c:pt>
                <c:pt idx="122">
                  <c:v>345</c:v>
                </c:pt>
                <c:pt idx="123">
                  <c:v>360</c:v>
                </c:pt>
                <c:pt idx="124">
                  <c:v>317.5</c:v>
                </c:pt>
                <c:pt idx="125">
                  <c:v>260</c:v>
                </c:pt>
                <c:pt idx="126">
                  <c:v>390</c:v>
                </c:pt>
                <c:pt idx="127">
                  <c:v>260</c:v>
                </c:pt>
                <c:pt idx="128">
                  <c:v>377.5</c:v>
                </c:pt>
                <c:pt idx="129">
                  <c:v>305</c:v>
                </c:pt>
                <c:pt idx="130">
                  <c:v>335</c:v>
                </c:pt>
                <c:pt idx="131">
                  <c:v>350</c:v>
                </c:pt>
                <c:pt idx="132">
                  <c:v>350</c:v>
                </c:pt>
                <c:pt idx="133">
                  <c:v>357.5</c:v>
                </c:pt>
                <c:pt idx="134">
                  <c:v>300</c:v>
                </c:pt>
                <c:pt idx="135">
                  <c:v>330</c:v>
                </c:pt>
                <c:pt idx="136">
                  <c:v>235</c:v>
                </c:pt>
                <c:pt idx="137">
                  <c:v>250</c:v>
                </c:pt>
                <c:pt idx="138">
                  <c:v>257.5</c:v>
                </c:pt>
                <c:pt idx="139">
                  <c:v>302.5</c:v>
                </c:pt>
                <c:pt idx="140">
                  <c:v>310</c:v>
                </c:pt>
                <c:pt idx="141">
                  <c:v>325</c:v>
                </c:pt>
                <c:pt idx="142">
                  <c:v>340</c:v>
                </c:pt>
                <c:pt idx="143">
                  <c:v>415.5</c:v>
                </c:pt>
                <c:pt idx="144">
                  <c:v>347.5</c:v>
                </c:pt>
                <c:pt idx="145">
                  <c:v>355</c:v>
                </c:pt>
                <c:pt idx="146">
                  <c:v>400</c:v>
                </c:pt>
                <c:pt idx="147">
                  <c:v>415</c:v>
                </c:pt>
                <c:pt idx="148">
                  <c:v>260</c:v>
                </c:pt>
                <c:pt idx="149">
                  <c:v>290</c:v>
                </c:pt>
                <c:pt idx="150">
                  <c:v>312.5</c:v>
                </c:pt>
                <c:pt idx="151">
                  <c:v>365</c:v>
                </c:pt>
                <c:pt idx="152">
                  <c:v>372.5</c:v>
                </c:pt>
                <c:pt idx="153">
                  <c:v>402.5</c:v>
                </c:pt>
                <c:pt idx="154">
                  <c:v>425</c:v>
                </c:pt>
                <c:pt idx="155">
                  <c:v>232.5</c:v>
                </c:pt>
                <c:pt idx="156">
                  <c:v>345</c:v>
                </c:pt>
                <c:pt idx="157">
                  <c:v>412.5</c:v>
                </c:pt>
                <c:pt idx="158">
                  <c:v>232.5</c:v>
                </c:pt>
                <c:pt idx="159">
                  <c:v>375</c:v>
                </c:pt>
                <c:pt idx="160">
                  <c:v>255</c:v>
                </c:pt>
                <c:pt idx="161">
                  <c:v>337.5</c:v>
                </c:pt>
                <c:pt idx="162">
                  <c:v>310</c:v>
                </c:pt>
                <c:pt idx="163">
                  <c:v>272.5</c:v>
                </c:pt>
                <c:pt idx="164">
                  <c:v>300</c:v>
                </c:pt>
                <c:pt idx="165">
                  <c:v>440</c:v>
                </c:pt>
                <c:pt idx="166">
                  <c:v>395</c:v>
                </c:pt>
                <c:pt idx="167">
                  <c:v>395</c:v>
                </c:pt>
                <c:pt idx="168">
                  <c:v>350</c:v>
                </c:pt>
                <c:pt idx="169">
                  <c:v>350</c:v>
                </c:pt>
                <c:pt idx="170">
                  <c:v>290</c:v>
                </c:pt>
                <c:pt idx="171">
                  <c:v>282.5</c:v>
                </c:pt>
                <c:pt idx="172">
                  <c:v>245</c:v>
                </c:pt>
                <c:pt idx="173">
                  <c:v>245</c:v>
                </c:pt>
                <c:pt idx="174">
                  <c:v>360</c:v>
                </c:pt>
                <c:pt idx="175">
                  <c:v>237.5</c:v>
                </c:pt>
                <c:pt idx="176">
                  <c:v>345</c:v>
                </c:pt>
                <c:pt idx="177">
                  <c:v>222.5</c:v>
                </c:pt>
                <c:pt idx="178">
                  <c:v>292.5</c:v>
                </c:pt>
                <c:pt idx="179">
                  <c:v>385</c:v>
                </c:pt>
                <c:pt idx="180">
                  <c:v>340</c:v>
                </c:pt>
                <c:pt idx="181">
                  <c:v>240</c:v>
                </c:pt>
                <c:pt idx="182">
                  <c:v>380</c:v>
                </c:pt>
                <c:pt idx="183">
                  <c:v>342.5</c:v>
                </c:pt>
                <c:pt idx="184">
                  <c:v>312.5</c:v>
                </c:pt>
                <c:pt idx="185">
                  <c:v>360</c:v>
                </c:pt>
                <c:pt idx="186">
                  <c:v>252.5</c:v>
                </c:pt>
                <c:pt idx="187">
                  <c:v>357.5</c:v>
                </c:pt>
                <c:pt idx="188">
                  <c:v>350</c:v>
                </c:pt>
                <c:pt idx="189">
                  <c:v>262.5</c:v>
                </c:pt>
                <c:pt idx="190">
                  <c:v>350</c:v>
                </c:pt>
                <c:pt idx="191">
                  <c:v>255</c:v>
                </c:pt>
                <c:pt idx="192">
                  <c:v>287.5</c:v>
                </c:pt>
                <c:pt idx="193">
                  <c:v>360</c:v>
                </c:pt>
                <c:pt idx="194">
                  <c:v>345</c:v>
                </c:pt>
                <c:pt idx="195">
                  <c:v>265</c:v>
                </c:pt>
                <c:pt idx="196">
                  <c:v>410</c:v>
                </c:pt>
                <c:pt idx="197">
                  <c:v>250</c:v>
                </c:pt>
                <c:pt idx="198">
                  <c:v>275</c:v>
                </c:pt>
                <c:pt idx="199">
                  <c:v>405</c:v>
                </c:pt>
                <c:pt idx="200">
                  <c:v>300</c:v>
                </c:pt>
                <c:pt idx="201">
                  <c:v>332.5</c:v>
                </c:pt>
                <c:pt idx="202">
                  <c:v>260</c:v>
                </c:pt>
                <c:pt idx="203">
                  <c:v>400</c:v>
                </c:pt>
                <c:pt idx="204">
                  <c:v>335</c:v>
                </c:pt>
                <c:pt idx="205">
                  <c:v>360</c:v>
                </c:pt>
                <c:pt idx="206">
                  <c:v>475</c:v>
                </c:pt>
                <c:pt idx="207">
                  <c:v>385</c:v>
                </c:pt>
                <c:pt idx="208">
                  <c:v>295</c:v>
                </c:pt>
                <c:pt idx="209">
                  <c:v>230</c:v>
                </c:pt>
                <c:pt idx="210">
                  <c:v>230</c:v>
                </c:pt>
                <c:pt idx="211">
                  <c:v>345</c:v>
                </c:pt>
                <c:pt idx="212">
                  <c:v>230</c:v>
                </c:pt>
                <c:pt idx="213">
                  <c:v>255</c:v>
                </c:pt>
                <c:pt idx="214">
                  <c:v>222.5</c:v>
                </c:pt>
                <c:pt idx="215">
                  <c:v>330</c:v>
                </c:pt>
                <c:pt idx="216">
                  <c:v>372.5</c:v>
                </c:pt>
                <c:pt idx="217">
                  <c:v>350</c:v>
                </c:pt>
                <c:pt idx="218">
                  <c:v>350</c:v>
                </c:pt>
                <c:pt idx="219">
                  <c:v>375</c:v>
                </c:pt>
                <c:pt idx="220">
                  <c:v>400</c:v>
                </c:pt>
                <c:pt idx="221">
                  <c:v>285</c:v>
                </c:pt>
                <c:pt idx="222">
                  <c:v>370</c:v>
                </c:pt>
                <c:pt idx="223">
                  <c:v>370</c:v>
                </c:pt>
                <c:pt idx="224">
                  <c:v>405</c:v>
                </c:pt>
                <c:pt idx="225">
                  <c:v>440</c:v>
                </c:pt>
                <c:pt idx="226">
                  <c:v>280</c:v>
                </c:pt>
                <c:pt idx="227">
                  <c:v>425</c:v>
                </c:pt>
                <c:pt idx="228">
                  <c:v>357.5</c:v>
                </c:pt>
                <c:pt idx="229">
                  <c:v>357.5</c:v>
                </c:pt>
                <c:pt idx="230">
                  <c:v>375</c:v>
                </c:pt>
                <c:pt idx="231">
                  <c:v>350</c:v>
                </c:pt>
                <c:pt idx="232">
                  <c:v>325</c:v>
                </c:pt>
                <c:pt idx="233">
                  <c:v>300</c:v>
                </c:pt>
                <c:pt idx="234">
                  <c:v>250</c:v>
                </c:pt>
                <c:pt idx="235">
                  <c:v>362.5</c:v>
                </c:pt>
                <c:pt idx="236">
                  <c:v>337.5</c:v>
                </c:pt>
                <c:pt idx="237">
                  <c:v>355</c:v>
                </c:pt>
                <c:pt idx="238">
                  <c:v>365</c:v>
                </c:pt>
                <c:pt idx="239">
                  <c:v>365</c:v>
                </c:pt>
                <c:pt idx="240">
                  <c:v>365</c:v>
                </c:pt>
                <c:pt idx="241">
                  <c:v>200</c:v>
                </c:pt>
                <c:pt idx="242">
                  <c:v>490</c:v>
                </c:pt>
                <c:pt idx="243">
                  <c:v>412.5</c:v>
                </c:pt>
                <c:pt idx="244">
                  <c:v>342.5</c:v>
                </c:pt>
                <c:pt idx="245">
                  <c:v>290</c:v>
                </c:pt>
                <c:pt idx="246">
                  <c:v>352.5</c:v>
                </c:pt>
                <c:pt idx="247">
                  <c:v>300</c:v>
                </c:pt>
                <c:pt idx="248">
                  <c:v>362.5</c:v>
                </c:pt>
                <c:pt idx="249">
                  <c:v>310</c:v>
                </c:pt>
                <c:pt idx="250">
                  <c:v>365</c:v>
                </c:pt>
                <c:pt idx="251">
                  <c:v>442.5</c:v>
                </c:pt>
                <c:pt idx="252">
                  <c:v>352.5</c:v>
                </c:pt>
                <c:pt idx="253">
                  <c:v>362.5</c:v>
                </c:pt>
                <c:pt idx="254">
                  <c:v>345</c:v>
                </c:pt>
                <c:pt idx="255">
                  <c:v>345</c:v>
                </c:pt>
                <c:pt idx="256">
                  <c:v>355</c:v>
                </c:pt>
                <c:pt idx="257">
                  <c:v>310</c:v>
                </c:pt>
                <c:pt idx="258">
                  <c:v>375</c:v>
                </c:pt>
                <c:pt idx="259">
                  <c:v>375</c:v>
                </c:pt>
                <c:pt idx="260">
                  <c:v>330</c:v>
                </c:pt>
                <c:pt idx="261">
                  <c:v>405</c:v>
                </c:pt>
                <c:pt idx="262">
                  <c:v>377.5</c:v>
                </c:pt>
                <c:pt idx="263">
                  <c:v>350</c:v>
                </c:pt>
                <c:pt idx="264">
                  <c:v>295</c:v>
                </c:pt>
                <c:pt idx="265">
                  <c:v>380</c:v>
                </c:pt>
                <c:pt idx="266">
                  <c:v>280</c:v>
                </c:pt>
                <c:pt idx="267">
                  <c:v>392.5</c:v>
                </c:pt>
                <c:pt idx="268">
                  <c:v>300</c:v>
                </c:pt>
                <c:pt idx="269">
                  <c:v>225</c:v>
                </c:pt>
                <c:pt idx="270">
                  <c:v>310</c:v>
                </c:pt>
                <c:pt idx="271">
                  <c:v>395</c:v>
                </c:pt>
                <c:pt idx="272">
                  <c:v>340</c:v>
                </c:pt>
                <c:pt idx="273">
                  <c:v>340</c:v>
                </c:pt>
                <c:pt idx="274">
                  <c:v>387.5</c:v>
                </c:pt>
                <c:pt idx="275">
                  <c:v>265</c:v>
                </c:pt>
                <c:pt idx="276">
                  <c:v>275</c:v>
                </c:pt>
                <c:pt idx="277">
                  <c:v>322.5</c:v>
                </c:pt>
                <c:pt idx="278">
                  <c:v>370</c:v>
                </c:pt>
                <c:pt idx="279">
                  <c:v>285</c:v>
                </c:pt>
                <c:pt idx="280">
                  <c:v>342.5</c:v>
                </c:pt>
                <c:pt idx="281">
                  <c:v>400</c:v>
                </c:pt>
                <c:pt idx="282">
                  <c:v>372.5</c:v>
                </c:pt>
                <c:pt idx="283">
                  <c:v>460</c:v>
                </c:pt>
                <c:pt idx="284">
                  <c:v>317.5</c:v>
                </c:pt>
                <c:pt idx="285">
                  <c:v>337.5</c:v>
                </c:pt>
                <c:pt idx="286">
                  <c:v>347.5</c:v>
                </c:pt>
                <c:pt idx="287">
                  <c:v>357.5</c:v>
                </c:pt>
                <c:pt idx="288">
                  <c:v>445</c:v>
                </c:pt>
                <c:pt idx="289">
                  <c:v>310</c:v>
                </c:pt>
                <c:pt idx="290">
                  <c:v>397.5</c:v>
                </c:pt>
                <c:pt idx="291">
                  <c:v>320</c:v>
                </c:pt>
                <c:pt idx="292">
                  <c:v>262.5</c:v>
                </c:pt>
                <c:pt idx="293">
                  <c:v>390</c:v>
                </c:pt>
                <c:pt idx="294">
                  <c:v>410</c:v>
                </c:pt>
                <c:pt idx="295">
                  <c:v>275</c:v>
                </c:pt>
                <c:pt idx="296">
                  <c:v>295</c:v>
                </c:pt>
                <c:pt idx="297">
                  <c:v>322.5</c:v>
                </c:pt>
                <c:pt idx="298">
                  <c:v>307.5</c:v>
                </c:pt>
                <c:pt idx="299">
                  <c:v>390</c:v>
                </c:pt>
                <c:pt idx="300">
                  <c:v>340</c:v>
                </c:pt>
                <c:pt idx="301">
                  <c:v>400</c:v>
                </c:pt>
                <c:pt idx="302">
                  <c:v>405</c:v>
                </c:pt>
                <c:pt idx="303">
                  <c:v>395</c:v>
                </c:pt>
                <c:pt idx="304">
                  <c:v>335</c:v>
                </c:pt>
                <c:pt idx="305">
                  <c:v>325</c:v>
                </c:pt>
                <c:pt idx="306">
                  <c:v>447.5</c:v>
                </c:pt>
                <c:pt idx="307">
                  <c:v>285</c:v>
                </c:pt>
                <c:pt idx="308">
                  <c:v>265</c:v>
                </c:pt>
                <c:pt idx="309">
                  <c:v>345</c:v>
                </c:pt>
                <c:pt idx="310">
                  <c:v>337.5</c:v>
                </c:pt>
                <c:pt idx="311">
                  <c:v>297.5</c:v>
                </c:pt>
                <c:pt idx="312">
                  <c:v>390</c:v>
                </c:pt>
                <c:pt idx="313">
                  <c:v>380</c:v>
                </c:pt>
                <c:pt idx="314">
                  <c:v>370</c:v>
                </c:pt>
                <c:pt idx="315">
                  <c:v>330</c:v>
                </c:pt>
                <c:pt idx="316">
                  <c:v>412.5</c:v>
                </c:pt>
                <c:pt idx="317">
                  <c:v>467.5</c:v>
                </c:pt>
                <c:pt idx="318">
                  <c:v>365</c:v>
                </c:pt>
                <c:pt idx="319">
                  <c:v>470</c:v>
                </c:pt>
                <c:pt idx="320">
                  <c:v>315</c:v>
                </c:pt>
                <c:pt idx="321">
                  <c:v>357.5</c:v>
                </c:pt>
                <c:pt idx="322">
                  <c:v>350</c:v>
                </c:pt>
                <c:pt idx="323">
                  <c:v>415</c:v>
                </c:pt>
                <c:pt idx="324">
                  <c:v>362.5</c:v>
                </c:pt>
                <c:pt idx="325">
                  <c:v>290</c:v>
                </c:pt>
                <c:pt idx="326">
                  <c:v>410</c:v>
                </c:pt>
                <c:pt idx="327">
                  <c:v>270</c:v>
                </c:pt>
                <c:pt idx="328">
                  <c:v>250</c:v>
                </c:pt>
                <c:pt idx="329">
                  <c:v>372.5</c:v>
                </c:pt>
                <c:pt idx="330">
                  <c:v>285</c:v>
                </c:pt>
                <c:pt idx="331">
                  <c:v>330</c:v>
                </c:pt>
                <c:pt idx="332">
                  <c:v>400</c:v>
                </c:pt>
                <c:pt idx="333">
                  <c:v>322.5</c:v>
                </c:pt>
                <c:pt idx="334">
                  <c:v>335</c:v>
                </c:pt>
                <c:pt idx="335">
                  <c:v>357.5</c:v>
                </c:pt>
                <c:pt idx="336">
                  <c:v>325</c:v>
                </c:pt>
                <c:pt idx="337">
                  <c:v>305</c:v>
                </c:pt>
                <c:pt idx="338">
                  <c:v>385</c:v>
                </c:pt>
                <c:pt idx="339">
                  <c:v>410</c:v>
                </c:pt>
                <c:pt idx="340">
                  <c:v>320</c:v>
                </c:pt>
                <c:pt idx="341">
                  <c:v>252.5</c:v>
                </c:pt>
                <c:pt idx="342">
                  <c:v>420</c:v>
                </c:pt>
                <c:pt idx="343">
                  <c:v>280</c:v>
                </c:pt>
                <c:pt idx="344">
                  <c:v>210</c:v>
                </c:pt>
                <c:pt idx="345">
                  <c:v>305</c:v>
                </c:pt>
                <c:pt idx="346">
                  <c:v>305</c:v>
                </c:pt>
                <c:pt idx="347">
                  <c:v>282.5</c:v>
                </c:pt>
                <c:pt idx="348">
                  <c:v>330</c:v>
                </c:pt>
                <c:pt idx="349">
                  <c:v>330</c:v>
                </c:pt>
                <c:pt idx="350">
                  <c:v>250</c:v>
                </c:pt>
                <c:pt idx="351">
                  <c:v>335</c:v>
                </c:pt>
                <c:pt idx="352">
                  <c:v>265</c:v>
                </c:pt>
                <c:pt idx="353">
                  <c:v>327.5</c:v>
                </c:pt>
                <c:pt idx="354">
                  <c:v>340</c:v>
                </c:pt>
                <c:pt idx="355">
                  <c:v>340</c:v>
                </c:pt>
                <c:pt idx="356">
                  <c:v>255</c:v>
                </c:pt>
                <c:pt idx="357">
                  <c:v>245</c:v>
                </c:pt>
                <c:pt idx="358">
                  <c:v>270</c:v>
                </c:pt>
                <c:pt idx="359">
                  <c:v>270</c:v>
                </c:pt>
                <c:pt idx="360">
                  <c:v>320</c:v>
                </c:pt>
                <c:pt idx="361">
                  <c:v>300</c:v>
                </c:pt>
                <c:pt idx="362">
                  <c:v>455</c:v>
                </c:pt>
                <c:pt idx="363">
                  <c:v>405</c:v>
                </c:pt>
                <c:pt idx="364">
                  <c:v>402.5</c:v>
                </c:pt>
                <c:pt idx="365">
                  <c:v>330</c:v>
                </c:pt>
                <c:pt idx="366">
                  <c:v>305</c:v>
                </c:pt>
                <c:pt idx="367">
                  <c:v>280</c:v>
                </c:pt>
                <c:pt idx="368">
                  <c:v>307.5</c:v>
                </c:pt>
                <c:pt idx="369">
                  <c:v>360</c:v>
                </c:pt>
                <c:pt idx="370">
                  <c:v>335</c:v>
                </c:pt>
                <c:pt idx="371">
                  <c:v>350</c:v>
                </c:pt>
                <c:pt idx="372">
                  <c:v>352.5</c:v>
                </c:pt>
                <c:pt idx="373">
                  <c:v>340</c:v>
                </c:pt>
                <c:pt idx="374">
                  <c:v>327.5</c:v>
                </c:pt>
                <c:pt idx="375">
                  <c:v>315</c:v>
                </c:pt>
                <c:pt idx="376">
                  <c:v>355</c:v>
                </c:pt>
                <c:pt idx="377">
                  <c:v>320</c:v>
                </c:pt>
                <c:pt idx="378">
                  <c:v>215</c:v>
                </c:pt>
                <c:pt idx="379">
                  <c:v>310</c:v>
                </c:pt>
                <c:pt idx="380">
                  <c:v>325</c:v>
                </c:pt>
                <c:pt idx="381">
                  <c:v>407.5</c:v>
                </c:pt>
                <c:pt idx="382">
                  <c:v>327.5</c:v>
                </c:pt>
                <c:pt idx="383">
                  <c:v>372.5</c:v>
                </c:pt>
                <c:pt idx="384">
                  <c:v>250</c:v>
                </c:pt>
                <c:pt idx="385">
                  <c:v>237.5</c:v>
                </c:pt>
                <c:pt idx="386">
                  <c:v>280</c:v>
                </c:pt>
                <c:pt idx="387">
                  <c:v>435</c:v>
                </c:pt>
                <c:pt idx="388">
                  <c:v>410</c:v>
                </c:pt>
                <c:pt idx="389">
                  <c:v>332.5</c:v>
                </c:pt>
                <c:pt idx="390">
                  <c:v>205</c:v>
                </c:pt>
                <c:pt idx="391">
                  <c:v>265</c:v>
                </c:pt>
                <c:pt idx="392">
                  <c:v>412.5</c:v>
                </c:pt>
                <c:pt idx="393">
                  <c:v>412.5</c:v>
                </c:pt>
                <c:pt idx="394">
                  <c:v>415</c:v>
                </c:pt>
                <c:pt idx="395">
                  <c:v>445</c:v>
                </c:pt>
                <c:pt idx="396">
                  <c:v>120</c:v>
                </c:pt>
                <c:pt idx="397">
                  <c:v>340</c:v>
                </c:pt>
                <c:pt idx="398">
                  <c:v>345</c:v>
                </c:pt>
                <c:pt idx="399">
                  <c:v>240</c:v>
                </c:pt>
                <c:pt idx="400">
                  <c:v>260</c:v>
                </c:pt>
                <c:pt idx="401">
                  <c:v>330</c:v>
                </c:pt>
                <c:pt idx="402">
                  <c:v>285</c:v>
                </c:pt>
                <c:pt idx="403">
                  <c:v>290</c:v>
                </c:pt>
                <c:pt idx="404">
                  <c:v>250</c:v>
                </c:pt>
                <c:pt idx="405">
                  <c:v>340</c:v>
                </c:pt>
                <c:pt idx="406">
                  <c:v>405</c:v>
                </c:pt>
                <c:pt idx="407">
                  <c:v>290</c:v>
                </c:pt>
                <c:pt idx="408">
                  <c:v>355</c:v>
                </c:pt>
                <c:pt idx="409">
                  <c:v>240</c:v>
                </c:pt>
                <c:pt idx="410">
                  <c:v>340</c:v>
                </c:pt>
                <c:pt idx="411">
                  <c:v>402.5</c:v>
                </c:pt>
                <c:pt idx="412">
                  <c:v>230</c:v>
                </c:pt>
                <c:pt idx="413">
                  <c:v>385</c:v>
                </c:pt>
                <c:pt idx="414">
                  <c:v>330</c:v>
                </c:pt>
                <c:pt idx="415">
                  <c:v>330</c:v>
                </c:pt>
                <c:pt idx="416">
                  <c:v>360</c:v>
                </c:pt>
                <c:pt idx="417">
                  <c:v>300</c:v>
                </c:pt>
                <c:pt idx="418">
                  <c:v>370</c:v>
                </c:pt>
                <c:pt idx="419">
                  <c:v>372.5</c:v>
                </c:pt>
                <c:pt idx="420">
                  <c:v>120</c:v>
                </c:pt>
                <c:pt idx="421">
                  <c:v>370</c:v>
                </c:pt>
                <c:pt idx="422">
                  <c:v>100</c:v>
                </c:pt>
                <c:pt idx="423">
                  <c:v>300</c:v>
                </c:pt>
                <c:pt idx="424">
                  <c:v>200</c:v>
                </c:pt>
                <c:pt idx="425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0-4B27-B7A7-DE8D62A18636}"/>
            </c:ext>
          </c:extLst>
        </c:ser>
        <c:ser>
          <c:idx val="0"/>
          <c:order val="2"/>
          <c:tx>
            <c:v>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Squat'!$F$2:$F$400</c:f>
              <c:numCache>
                <c:formatCode>General</c:formatCode>
                <c:ptCount val="399"/>
                <c:pt idx="0">
                  <c:v>97.5</c:v>
                </c:pt>
                <c:pt idx="1">
                  <c:v>75</c:v>
                </c:pt>
                <c:pt idx="2">
                  <c:v>120</c:v>
                </c:pt>
                <c:pt idx="3">
                  <c:v>130</c:v>
                </c:pt>
                <c:pt idx="4">
                  <c:v>80</c:v>
                </c:pt>
                <c:pt idx="5">
                  <c:v>100</c:v>
                </c:pt>
                <c:pt idx="6">
                  <c:v>110</c:v>
                </c:pt>
                <c:pt idx="7">
                  <c:v>105</c:v>
                </c:pt>
                <c:pt idx="8">
                  <c:v>142.5</c:v>
                </c:pt>
                <c:pt idx="9">
                  <c:v>100</c:v>
                </c:pt>
                <c:pt idx="10">
                  <c:v>190</c:v>
                </c:pt>
                <c:pt idx="11">
                  <c:v>170</c:v>
                </c:pt>
                <c:pt idx="12">
                  <c:v>102.5</c:v>
                </c:pt>
                <c:pt idx="13">
                  <c:v>215</c:v>
                </c:pt>
                <c:pt idx="14">
                  <c:v>142.5</c:v>
                </c:pt>
                <c:pt idx="15">
                  <c:v>110</c:v>
                </c:pt>
                <c:pt idx="16">
                  <c:v>165</c:v>
                </c:pt>
                <c:pt idx="17">
                  <c:v>135</c:v>
                </c:pt>
                <c:pt idx="18">
                  <c:v>235</c:v>
                </c:pt>
                <c:pt idx="19">
                  <c:v>170</c:v>
                </c:pt>
                <c:pt idx="20">
                  <c:v>102.5</c:v>
                </c:pt>
                <c:pt idx="21">
                  <c:v>100</c:v>
                </c:pt>
                <c:pt idx="22">
                  <c:v>135</c:v>
                </c:pt>
                <c:pt idx="23">
                  <c:v>210</c:v>
                </c:pt>
                <c:pt idx="24">
                  <c:v>185</c:v>
                </c:pt>
                <c:pt idx="25">
                  <c:v>205</c:v>
                </c:pt>
                <c:pt idx="26">
                  <c:v>87.5</c:v>
                </c:pt>
                <c:pt idx="27">
                  <c:v>97.5</c:v>
                </c:pt>
                <c:pt idx="28">
                  <c:v>150</c:v>
                </c:pt>
                <c:pt idx="29">
                  <c:v>232.5</c:v>
                </c:pt>
                <c:pt idx="30">
                  <c:v>125</c:v>
                </c:pt>
                <c:pt idx="31">
                  <c:v>172.5</c:v>
                </c:pt>
                <c:pt idx="32">
                  <c:v>235</c:v>
                </c:pt>
                <c:pt idx="33">
                  <c:v>222.5</c:v>
                </c:pt>
                <c:pt idx="34">
                  <c:v>137.5</c:v>
                </c:pt>
                <c:pt idx="35">
                  <c:v>215</c:v>
                </c:pt>
                <c:pt idx="36">
                  <c:v>135</c:v>
                </c:pt>
                <c:pt idx="37">
                  <c:v>150</c:v>
                </c:pt>
                <c:pt idx="38">
                  <c:v>130</c:v>
                </c:pt>
                <c:pt idx="39">
                  <c:v>190</c:v>
                </c:pt>
                <c:pt idx="40">
                  <c:v>197.5</c:v>
                </c:pt>
                <c:pt idx="41">
                  <c:v>160</c:v>
                </c:pt>
                <c:pt idx="42">
                  <c:v>160</c:v>
                </c:pt>
                <c:pt idx="43">
                  <c:v>147.5</c:v>
                </c:pt>
                <c:pt idx="44">
                  <c:v>202.5</c:v>
                </c:pt>
                <c:pt idx="45">
                  <c:v>160</c:v>
                </c:pt>
                <c:pt idx="46">
                  <c:v>142.5</c:v>
                </c:pt>
                <c:pt idx="47">
                  <c:v>217.5</c:v>
                </c:pt>
                <c:pt idx="48">
                  <c:v>190</c:v>
                </c:pt>
                <c:pt idx="49">
                  <c:v>140</c:v>
                </c:pt>
                <c:pt idx="50">
                  <c:v>130</c:v>
                </c:pt>
                <c:pt idx="51">
                  <c:v>202.5</c:v>
                </c:pt>
                <c:pt idx="52">
                  <c:v>242.5</c:v>
                </c:pt>
                <c:pt idx="53">
                  <c:v>152.5</c:v>
                </c:pt>
                <c:pt idx="54">
                  <c:v>152.5</c:v>
                </c:pt>
                <c:pt idx="55">
                  <c:v>160</c:v>
                </c:pt>
                <c:pt idx="56">
                  <c:v>197.5</c:v>
                </c:pt>
                <c:pt idx="57">
                  <c:v>180</c:v>
                </c:pt>
                <c:pt idx="58">
                  <c:v>140</c:v>
                </c:pt>
                <c:pt idx="59">
                  <c:v>155</c:v>
                </c:pt>
                <c:pt idx="60">
                  <c:v>170</c:v>
                </c:pt>
                <c:pt idx="61">
                  <c:v>100</c:v>
                </c:pt>
                <c:pt idx="62">
                  <c:v>145</c:v>
                </c:pt>
                <c:pt idx="63">
                  <c:v>210</c:v>
                </c:pt>
                <c:pt idx="64">
                  <c:v>120</c:v>
                </c:pt>
                <c:pt idx="65">
                  <c:v>150</c:v>
                </c:pt>
                <c:pt idx="66">
                  <c:v>165</c:v>
                </c:pt>
                <c:pt idx="67">
                  <c:v>207.5</c:v>
                </c:pt>
                <c:pt idx="68">
                  <c:v>110</c:v>
                </c:pt>
                <c:pt idx="69">
                  <c:v>192.5</c:v>
                </c:pt>
                <c:pt idx="70">
                  <c:v>212.5</c:v>
                </c:pt>
                <c:pt idx="71">
                  <c:v>210</c:v>
                </c:pt>
                <c:pt idx="72">
                  <c:v>167.5</c:v>
                </c:pt>
                <c:pt idx="73">
                  <c:v>125</c:v>
                </c:pt>
                <c:pt idx="74">
                  <c:v>145</c:v>
                </c:pt>
                <c:pt idx="75">
                  <c:v>165</c:v>
                </c:pt>
                <c:pt idx="76">
                  <c:v>142.5</c:v>
                </c:pt>
                <c:pt idx="77">
                  <c:v>162.5</c:v>
                </c:pt>
                <c:pt idx="78">
                  <c:v>162.5</c:v>
                </c:pt>
                <c:pt idx="79">
                  <c:v>135</c:v>
                </c:pt>
                <c:pt idx="80">
                  <c:v>187.5</c:v>
                </c:pt>
                <c:pt idx="81">
                  <c:v>220</c:v>
                </c:pt>
                <c:pt idx="82">
                  <c:v>200</c:v>
                </c:pt>
                <c:pt idx="83">
                  <c:v>132.5</c:v>
                </c:pt>
                <c:pt idx="84">
                  <c:v>205</c:v>
                </c:pt>
                <c:pt idx="85">
                  <c:v>185</c:v>
                </c:pt>
                <c:pt idx="86">
                  <c:v>150</c:v>
                </c:pt>
                <c:pt idx="87">
                  <c:v>180</c:v>
                </c:pt>
                <c:pt idx="88">
                  <c:v>180</c:v>
                </c:pt>
                <c:pt idx="89">
                  <c:v>140</c:v>
                </c:pt>
                <c:pt idx="90">
                  <c:v>177.5</c:v>
                </c:pt>
                <c:pt idx="91">
                  <c:v>215</c:v>
                </c:pt>
                <c:pt idx="92">
                  <c:v>145</c:v>
                </c:pt>
                <c:pt idx="93">
                  <c:v>145</c:v>
                </c:pt>
                <c:pt idx="94">
                  <c:v>145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210</c:v>
                </c:pt>
                <c:pt idx="99">
                  <c:v>172.5</c:v>
                </c:pt>
                <c:pt idx="100">
                  <c:v>172.5</c:v>
                </c:pt>
                <c:pt idx="101">
                  <c:v>160</c:v>
                </c:pt>
                <c:pt idx="102">
                  <c:v>135</c:v>
                </c:pt>
                <c:pt idx="103">
                  <c:v>135</c:v>
                </c:pt>
                <c:pt idx="104">
                  <c:v>182.5</c:v>
                </c:pt>
                <c:pt idx="105">
                  <c:v>182.5</c:v>
                </c:pt>
                <c:pt idx="106">
                  <c:v>170</c:v>
                </c:pt>
                <c:pt idx="107">
                  <c:v>170</c:v>
                </c:pt>
                <c:pt idx="108">
                  <c:v>205</c:v>
                </c:pt>
                <c:pt idx="109">
                  <c:v>132.5</c:v>
                </c:pt>
                <c:pt idx="110">
                  <c:v>132.5</c:v>
                </c:pt>
                <c:pt idx="111">
                  <c:v>180</c:v>
                </c:pt>
                <c:pt idx="112">
                  <c:v>160</c:v>
                </c:pt>
                <c:pt idx="113">
                  <c:v>177.5</c:v>
                </c:pt>
                <c:pt idx="114">
                  <c:v>177.5</c:v>
                </c:pt>
                <c:pt idx="115">
                  <c:v>130</c:v>
                </c:pt>
                <c:pt idx="116">
                  <c:v>195</c:v>
                </c:pt>
                <c:pt idx="117">
                  <c:v>200</c:v>
                </c:pt>
                <c:pt idx="118">
                  <c:v>205</c:v>
                </c:pt>
                <c:pt idx="119">
                  <c:v>197.5</c:v>
                </c:pt>
                <c:pt idx="120">
                  <c:v>162.5</c:v>
                </c:pt>
                <c:pt idx="121">
                  <c:v>207.5</c:v>
                </c:pt>
                <c:pt idx="122">
                  <c:v>172.5</c:v>
                </c:pt>
                <c:pt idx="123">
                  <c:v>195</c:v>
                </c:pt>
                <c:pt idx="124">
                  <c:v>160</c:v>
                </c:pt>
                <c:pt idx="125">
                  <c:v>162.5</c:v>
                </c:pt>
                <c:pt idx="126">
                  <c:v>212.5</c:v>
                </c:pt>
                <c:pt idx="127">
                  <c:v>167.5</c:v>
                </c:pt>
                <c:pt idx="128">
                  <c:v>145</c:v>
                </c:pt>
                <c:pt idx="129">
                  <c:v>250</c:v>
                </c:pt>
                <c:pt idx="130">
                  <c:v>150</c:v>
                </c:pt>
                <c:pt idx="131">
                  <c:v>187.5</c:v>
                </c:pt>
                <c:pt idx="132">
                  <c:v>165</c:v>
                </c:pt>
                <c:pt idx="133">
                  <c:v>120</c:v>
                </c:pt>
                <c:pt idx="134">
                  <c:v>152.5</c:v>
                </c:pt>
                <c:pt idx="135">
                  <c:v>185</c:v>
                </c:pt>
                <c:pt idx="136">
                  <c:v>222.5</c:v>
                </c:pt>
                <c:pt idx="137">
                  <c:v>130</c:v>
                </c:pt>
                <c:pt idx="138">
                  <c:v>200</c:v>
                </c:pt>
                <c:pt idx="139">
                  <c:v>215</c:v>
                </c:pt>
                <c:pt idx="140">
                  <c:v>145</c:v>
                </c:pt>
                <c:pt idx="141">
                  <c:v>170</c:v>
                </c:pt>
                <c:pt idx="142">
                  <c:v>170</c:v>
                </c:pt>
                <c:pt idx="143">
                  <c:v>175</c:v>
                </c:pt>
                <c:pt idx="144">
                  <c:v>132.5</c:v>
                </c:pt>
                <c:pt idx="145">
                  <c:v>210</c:v>
                </c:pt>
                <c:pt idx="146">
                  <c:v>187.5</c:v>
                </c:pt>
                <c:pt idx="147">
                  <c:v>197.5</c:v>
                </c:pt>
                <c:pt idx="148">
                  <c:v>207.5</c:v>
                </c:pt>
                <c:pt idx="149">
                  <c:v>165</c:v>
                </c:pt>
                <c:pt idx="150">
                  <c:v>170</c:v>
                </c:pt>
                <c:pt idx="151">
                  <c:v>195</c:v>
                </c:pt>
                <c:pt idx="152">
                  <c:v>215</c:v>
                </c:pt>
                <c:pt idx="153">
                  <c:v>152.5</c:v>
                </c:pt>
                <c:pt idx="154">
                  <c:v>187.5</c:v>
                </c:pt>
                <c:pt idx="155">
                  <c:v>192.5</c:v>
                </c:pt>
                <c:pt idx="156">
                  <c:v>222.5</c:v>
                </c:pt>
                <c:pt idx="157">
                  <c:v>232.5</c:v>
                </c:pt>
                <c:pt idx="158">
                  <c:v>180</c:v>
                </c:pt>
                <c:pt idx="159">
                  <c:v>200</c:v>
                </c:pt>
                <c:pt idx="160">
                  <c:v>225</c:v>
                </c:pt>
                <c:pt idx="161">
                  <c:v>150</c:v>
                </c:pt>
                <c:pt idx="162">
                  <c:v>120</c:v>
                </c:pt>
                <c:pt idx="163">
                  <c:v>200</c:v>
                </c:pt>
                <c:pt idx="164">
                  <c:v>150</c:v>
                </c:pt>
                <c:pt idx="165">
                  <c:v>170</c:v>
                </c:pt>
                <c:pt idx="166">
                  <c:v>140</c:v>
                </c:pt>
                <c:pt idx="167">
                  <c:v>130</c:v>
                </c:pt>
                <c:pt idx="168">
                  <c:v>165</c:v>
                </c:pt>
                <c:pt idx="169">
                  <c:v>190</c:v>
                </c:pt>
                <c:pt idx="170">
                  <c:v>187.5</c:v>
                </c:pt>
                <c:pt idx="171">
                  <c:v>182.5</c:v>
                </c:pt>
                <c:pt idx="172">
                  <c:v>167.5</c:v>
                </c:pt>
                <c:pt idx="173">
                  <c:v>147.5</c:v>
                </c:pt>
                <c:pt idx="174">
                  <c:v>137.5</c:v>
                </c:pt>
                <c:pt idx="175">
                  <c:v>225</c:v>
                </c:pt>
                <c:pt idx="176">
                  <c:v>210</c:v>
                </c:pt>
                <c:pt idx="177">
                  <c:v>175</c:v>
                </c:pt>
                <c:pt idx="178">
                  <c:v>165</c:v>
                </c:pt>
                <c:pt idx="179">
                  <c:v>160</c:v>
                </c:pt>
                <c:pt idx="180">
                  <c:v>155</c:v>
                </c:pt>
                <c:pt idx="181">
                  <c:v>172.5</c:v>
                </c:pt>
                <c:pt idx="182">
                  <c:v>115</c:v>
                </c:pt>
                <c:pt idx="183">
                  <c:v>172.5</c:v>
                </c:pt>
                <c:pt idx="184">
                  <c:v>167.5</c:v>
                </c:pt>
                <c:pt idx="185">
                  <c:v>205</c:v>
                </c:pt>
                <c:pt idx="186">
                  <c:v>200</c:v>
                </c:pt>
                <c:pt idx="187">
                  <c:v>195</c:v>
                </c:pt>
                <c:pt idx="188">
                  <c:v>142.5</c:v>
                </c:pt>
                <c:pt idx="189">
                  <c:v>222.5</c:v>
                </c:pt>
                <c:pt idx="190">
                  <c:v>175</c:v>
                </c:pt>
                <c:pt idx="191">
                  <c:v>170</c:v>
                </c:pt>
                <c:pt idx="192">
                  <c:v>165</c:v>
                </c:pt>
                <c:pt idx="193">
                  <c:v>160</c:v>
                </c:pt>
                <c:pt idx="194">
                  <c:v>197.5</c:v>
                </c:pt>
                <c:pt idx="195">
                  <c:v>192.5</c:v>
                </c:pt>
                <c:pt idx="196">
                  <c:v>192.5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220</c:v>
                </c:pt>
                <c:pt idx="201">
                  <c:v>220</c:v>
                </c:pt>
                <c:pt idx="202">
                  <c:v>182.5</c:v>
                </c:pt>
                <c:pt idx="203">
                  <c:v>215</c:v>
                </c:pt>
                <c:pt idx="204">
                  <c:v>172.5</c:v>
                </c:pt>
                <c:pt idx="205">
                  <c:v>205</c:v>
                </c:pt>
                <c:pt idx="206">
                  <c:v>205</c:v>
                </c:pt>
                <c:pt idx="207">
                  <c:v>190</c:v>
                </c:pt>
                <c:pt idx="208">
                  <c:v>212.5</c:v>
                </c:pt>
                <c:pt idx="209">
                  <c:v>212.5</c:v>
                </c:pt>
                <c:pt idx="210">
                  <c:v>147.5</c:v>
                </c:pt>
                <c:pt idx="211">
                  <c:v>147.5</c:v>
                </c:pt>
                <c:pt idx="212">
                  <c:v>147.5</c:v>
                </c:pt>
                <c:pt idx="213">
                  <c:v>225</c:v>
                </c:pt>
                <c:pt idx="214">
                  <c:v>165</c:v>
                </c:pt>
                <c:pt idx="215">
                  <c:v>215</c:v>
                </c:pt>
                <c:pt idx="216">
                  <c:v>215</c:v>
                </c:pt>
                <c:pt idx="217">
                  <c:v>182.5</c:v>
                </c:pt>
                <c:pt idx="218">
                  <c:v>155</c:v>
                </c:pt>
                <c:pt idx="219">
                  <c:v>127.5</c:v>
                </c:pt>
                <c:pt idx="220">
                  <c:v>200</c:v>
                </c:pt>
                <c:pt idx="221">
                  <c:v>195</c:v>
                </c:pt>
                <c:pt idx="222">
                  <c:v>162.5</c:v>
                </c:pt>
                <c:pt idx="223">
                  <c:v>180</c:v>
                </c:pt>
                <c:pt idx="224">
                  <c:v>135</c:v>
                </c:pt>
                <c:pt idx="225">
                  <c:v>180</c:v>
                </c:pt>
                <c:pt idx="226">
                  <c:v>175</c:v>
                </c:pt>
                <c:pt idx="227">
                  <c:v>170</c:v>
                </c:pt>
                <c:pt idx="228">
                  <c:v>187.5</c:v>
                </c:pt>
                <c:pt idx="229">
                  <c:v>125</c:v>
                </c:pt>
                <c:pt idx="230">
                  <c:v>142.5</c:v>
                </c:pt>
                <c:pt idx="231">
                  <c:v>200</c:v>
                </c:pt>
                <c:pt idx="232">
                  <c:v>160</c:v>
                </c:pt>
                <c:pt idx="233">
                  <c:v>221</c:v>
                </c:pt>
                <c:pt idx="234">
                  <c:v>190</c:v>
                </c:pt>
                <c:pt idx="235">
                  <c:v>190</c:v>
                </c:pt>
                <c:pt idx="236">
                  <c:v>127.5</c:v>
                </c:pt>
                <c:pt idx="237">
                  <c:v>162.5</c:v>
                </c:pt>
                <c:pt idx="238">
                  <c:v>215</c:v>
                </c:pt>
                <c:pt idx="239">
                  <c:v>210</c:v>
                </c:pt>
                <c:pt idx="240">
                  <c:v>122.5</c:v>
                </c:pt>
                <c:pt idx="241">
                  <c:v>140</c:v>
                </c:pt>
                <c:pt idx="242">
                  <c:v>152.5</c:v>
                </c:pt>
                <c:pt idx="243">
                  <c:v>200</c:v>
                </c:pt>
                <c:pt idx="244">
                  <c:v>200</c:v>
                </c:pt>
                <c:pt idx="245">
                  <c:v>165</c:v>
                </c:pt>
                <c:pt idx="246">
                  <c:v>165</c:v>
                </c:pt>
                <c:pt idx="247">
                  <c:v>230</c:v>
                </c:pt>
                <c:pt idx="248">
                  <c:v>130</c:v>
                </c:pt>
                <c:pt idx="249">
                  <c:v>155</c:v>
                </c:pt>
                <c:pt idx="250">
                  <c:v>215</c:v>
                </c:pt>
                <c:pt idx="251">
                  <c:v>180</c:v>
                </c:pt>
                <c:pt idx="252">
                  <c:v>175</c:v>
                </c:pt>
                <c:pt idx="253">
                  <c:v>175</c:v>
                </c:pt>
                <c:pt idx="254">
                  <c:v>187.5</c:v>
                </c:pt>
                <c:pt idx="255">
                  <c:v>152.5</c:v>
                </c:pt>
                <c:pt idx="256">
                  <c:v>220</c:v>
                </c:pt>
                <c:pt idx="257">
                  <c:v>177.5</c:v>
                </c:pt>
                <c:pt idx="258">
                  <c:v>160</c:v>
                </c:pt>
                <c:pt idx="259">
                  <c:v>185</c:v>
                </c:pt>
                <c:pt idx="260">
                  <c:v>162.5</c:v>
                </c:pt>
                <c:pt idx="261">
                  <c:v>150</c:v>
                </c:pt>
                <c:pt idx="262">
                  <c:v>162.5</c:v>
                </c:pt>
                <c:pt idx="263">
                  <c:v>207.5</c:v>
                </c:pt>
                <c:pt idx="264">
                  <c:v>182.5</c:v>
                </c:pt>
                <c:pt idx="265">
                  <c:v>145</c:v>
                </c:pt>
                <c:pt idx="266">
                  <c:v>190</c:v>
                </c:pt>
                <c:pt idx="267">
                  <c:v>165</c:v>
                </c:pt>
                <c:pt idx="268">
                  <c:v>185</c:v>
                </c:pt>
                <c:pt idx="269">
                  <c:v>160</c:v>
                </c:pt>
                <c:pt idx="270">
                  <c:v>180</c:v>
                </c:pt>
                <c:pt idx="271">
                  <c:v>212.5</c:v>
                </c:pt>
                <c:pt idx="272">
                  <c:v>212.5</c:v>
                </c:pt>
                <c:pt idx="273">
                  <c:v>175</c:v>
                </c:pt>
                <c:pt idx="274">
                  <c:v>130</c:v>
                </c:pt>
                <c:pt idx="275">
                  <c:v>195</c:v>
                </c:pt>
                <c:pt idx="276">
                  <c:v>182.5</c:v>
                </c:pt>
                <c:pt idx="277">
                  <c:v>150</c:v>
                </c:pt>
                <c:pt idx="278">
                  <c:v>202.5</c:v>
                </c:pt>
                <c:pt idx="279">
                  <c:v>170</c:v>
                </c:pt>
                <c:pt idx="280">
                  <c:v>160</c:v>
                </c:pt>
                <c:pt idx="281">
                  <c:v>185</c:v>
                </c:pt>
                <c:pt idx="282">
                  <c:v>185</c:v>
                </c:pt>
                <c:pt idx="283">
                  <c:v>185</c:v>
                </c:pt>
                <c:pt idx="284">
                  <c:v>160</c:v>
                </c:pt>
                <c:pt idx="285">
                  <c:v>167.5</c:v>
                </c:pt>
                <c:pt idx="286">
                  <c:v>230</c:v>
                </c:pt>
                <c:pt idx="287">
                  <c:v>162.5</c:v>
                </c:pt>
                <c:pt idx="288">
                  <c:v>197.5</c:v>
                </c:pt>
                <c:pt idx="289">
                  <c:v>165</c:v>
                </c:pt>
                <c:pt idx="290">
                  <c:v>157.5</c:v>
                </c:pt>
                <c:pt idx="291">
                  <c:v>160</c:v>
                </c:pt>
                <c:pt idx="292">
                  <c:v>210</c:v>
                </c:pt>
                <c:pt idx="293">
                  <c:v>190</c:v>
                </c:pt>
                <c:pt idx="294">
                  <c:v>155</c:v>
                </c:pt>
                <c:pt idx="295">
                  <c:v>227.5</c:v>
                </c:pt>
                <c:pt idx="296">
                  <c:v>215</c:v>
                </c:pt>
                <c:pt idx="297">
                  <c:v>167.5</c:v>
                </c:pt>
                <c:pt idx="298">
                  <c:v>167.5</c:v>
                </c:pt>
                <c:pt idx="299">
                  <c:v>175</c:v>
                </c:pt>
                <c:pt idx="300">
                  <c:v>205</c:v>
                </c:pt>
                <c:pt idx="301">
                  <c:v>125</c:v>
                </c:pt>
                <c:pt idx="302">
                  <c:v>140</c:v>
                </c:pt>
                <c:pt idx="303">
                  <c:v>140</c:v>
                </c:pt>
                <c:pt idx="304">
                  <c:v>172.5</c:v>
                </c:pt>
                <c:pt idx="305">
                  <c:v>112.5</c:v>
                </c:pt>
                <c:pt idx="306">
                  <c:v>172.5</c:v>
                </c:pt>
                <c:pt idx="307">
                  <c:v>202.5</c:v>
                </c:pt>
                <c:pt idx="308">
                  <c:v>157.5</c:v>
                </c:pt>
                <c:pt idx="309">
                  <c:v>157.5</c:v>
                </c:pt>
                <c:pt idx="310">
                  <c:v>227.5</c:v>
                </c:pt>
                <c:pt idx="311">
                  <c:v>170</c:v>
                </c:pt>
                <c:pt idx="312">
                  <c:v>182.5</c:v>
                </c:pt>
                <c:pt idx="313">
                  <c:v>137.5</c:v>
                </c:pt>
                <c:pt idx="314">
                  <c:v>215</c:v>
                </c:pt>
                <c:pt idx="315">
                  <c:v>207.5</c:v>
                </c:pt>
                <c:pt idx="316">
                  <c:v>207.5</c:v>
                </c:pt>
                <c:pt idx="317">
                  <c:v>185</c:v>
                </c:pt>
                <c:pt idx="318">
                  <c:v>140</c:v>
                </c:pt>
                <c:pt idx="319">
                  <c:v>140</c:v>
                </c:pt>
                <c:pt idx="320">
                  <c:v>125</c:v>
                </c:pt>
                <c:pt idx="321">
                  <c:v>190</c:v>
                </c:pt>
                <c:pt idx="322">
                  <c:v>182.5</c:v>
                </c:pt>
                <c:pt idx="323">
                  <c:v>167.5</c:v>
                </c:pt>
                <c:pt idx="324">
                  <c:v>200</c:v>
                </c:pt>
                <c:pt idx="325">
                  <c:v>192.5</c:v>
                </c:pt>
                <c:pt idx="326">
                  <c:v>195</c:v>
                </c:pt>
                <c:pt idx="327">
                  <c:v>252.5</c:v>
                </c:pt>
                <c:pt idx="328">
                  <c:v>155</c:v>
                </c:pt>
                <c:pt idx="329">
                  <c:v>180</c:v>
                </c:pt>
                <c:pt idx="330">
                  <c:v>180</c:v>
                </c:pt>
                <c:pt idx="331">
                  <c:v>205</c:v>
                </c:pt>
                <c:pt idx="332">
                  <c:v>165</c:v>
                </c:pt>
                <c:pt idx="333">
                  <c:v>170</c:v>
                </c:pt>
                <c:pt idx="334">
                  <c:v>170</c:v>
                </c:pt>
                <c:pt idx="335">
                  <c:v>205</c:v>
                </c:pt>
                <c:pt idx="336">
                  <c:v>162.5</c:v>
                </c:pt>
                <c:pt idx="337">
                  <c:v>137.5</c:v>
                </c:pt>
                <c:pt idx="338">
                  <c:v>190</c:v>
                </c:pt>
                <c:pt idx="339">
                  <c:v>245</c:v>
                </c:pt>
                <c:pt idx="340">
                  <c:v>132.5</c:v>
                </c:pt>
                <c:pt idx="341">
                  <c:v>195</c:v>
                </c:pt>
                <c:pt idx="342">
                  <c:v>177.5</c:v>
                </c:pt>
                <c:pt idx="343">
                  <c:v>160</c:v>
                </c:pt>
                <c:pt idx="344">
                  <c:v>222.5</c:v>
                </c:pt>
                <c:pt idx="345">
                  <c:v>187.5</c:v>
                </c:pt>
                <c:pt idx="346">
                  <c:v>152.5</c:v>
                </c:pt>
                <c:pt idx="347">
                  <c:v>197.5</c:v>
                </c:pt>
                <c:pt idx="348">
                  <c:v>207.5</c:v>
                </c:pt>
                <c:pt idx="349">
                  <c:v>145</c:v>
                </c:pt>
                <c:pt idx="350">
                  <c:v>155</c:v>
                </c:pt>
                <c:pt idx="351">
                  <c:v>165</c:v>
                </c:pt>
                <c:pt idx="352">
                  <c:v>165</c:v>
                </c:pt>
                <c:pt idx="353">
                  <c:v>130</c:v>
                </c:pt>
                <c:pt idx="354">
                  <c:v>212.5</c:v>
                </c:pt>
                <c:pt idx="355">
                  <c:v>155</c:v>
                </c:pt>
                <c:pt idx="356">
                  <c:v>167.5</c:v>
                </c:pt>
                <c:pt idx="357">
                  <c:v>177.5</c:v>
                </c:pt>
                <c:pt idx="358">
                  <c:v>193.5</c:v>
                </c:pt>
                <c:pt idx="359">
                  <c:v>212.5</c:v>
                </c:pt>
                <c:pt idx="360">
                  <c:v>195</c:v>
                </c:pt>
                <c:pt idx="361">
                  <c:v>175</c:v>
                </c:pt>
                <c:pt idx="362">
                  <c:v>155</c:v>
                </c:pt>
                <c:pt idx="363">
                  <c:v>155</c:v>
                </c:pt>
                <c:pt idx="364">
                  <c:v>180</c:v>
                </c:pt>
                <c:pt idx="365">
                  <c:v>222.5</c:v>
                </c:pt>
                <c:pt idx="366">
                  <c:v>140</c:v>
                </c:pt>
                <c:pt idx="367">
                  <c:v>205</c:v>
                </c:pt>
                <c:pt idx="368">
                  <c:v>205</c:v>
                </c:pt>
                <c:pt idx="369">
                  <c:v>162.5</c:v>
                </c:pt>
                <c:pt idx="370">
                  <c:v>200</c:v>
                </c:pt>
                <c:pt idx="371">
                  <c:v>172.5</c:v>
                </c:pt>
                <c:pt idx="372">
                  <c:v>185</c:v>
                </c:pt>
                <c:pt idx="373">
                  <c:v>222.5</c:v>
                </c:pt>
                <c:pt idx="374">
                  <c:v>215</c:v>
                </c:pt>
                <c:pt idx="375">
                  <c:v>220</c:v>
                </c:pt>
                <c:pt idx="376">
                  <c:v>260.5</c:v>
                </c:pt>
                <c:pt idx="377">
                  <c:v>185</c:v>
                </c:pt>
                <c:pt idx="378">
                  <c:v>172.5</c:v>
                </c:pt>
                <c:pt idx="379">
                  <c:v>135</c:v>
                </c:pt>
                <c:pt idx="380">
                  <c:v>235</c:v>
                </c:pt>
                <c:pt idx="381">
                  <c:v>165</c:v>
                </c:pt>
                <c:pt idx="382">
                  <c:v>237.5</c:v>
                </c:pt>
                <c:pt idx="383">
                  <c:v>270.5</c:v>
                </c:pt>
                <c:pt idx="384">
                  <c:v>160</c:v>
                </c:pt>
                <c:pt idx="385">
                  <c:v>172.5</c:v>
                </c:pt>
                <c:pt idx="386">
                  <c:v>155</c:v>
                </c:pt>
                <c:pt idx="387">
                  <c:v>187.5</c:v>
                </c:pt>
                <c:pt idx="388">
                  <c:v>210.5</c:v>
                </c:pt>
                <c:pt idx="389">
                  <c:v>160</c:v>
                </c:pt>
                <c:pt idx="390">
                  <c:v>207.5</c:v>
                </c:pt>
                <c:pt idx="391">
                  <c:v>180</c:v>
                </c:pt>
                <c:pt idx="392">
                  <c:v>192.5</c:v>
                </c:pt>
                <c:pt idx="393">
                  <c:v>187.5</c:v>
                </c:pt>
                <c:pt idx="394">
                  <c:v>240</c:v>
                </c:pt>
                <c:pt idx="395">
                  <c:v>180</c:v>
                </c:pt>
                <c:pt idx="396">
                  <c:v>270</c:v>
                </c:pt>
                <c:pt idx="397">
                  <c:v>175</c:v>
                </c:pt>
                <c:pt idx="398">
                  <c:v>245</c:v>
                </c:pt>
              </c:numCache>
            </c:numRef>
          </c:xVal>
          <c:yVal>
            <c:numRef>
              <c:f>'Data Squat'!$E$2:$E$400</c:f>
              <c:numCache>
                <c:formatCode>General</c:formatCode>
                <c:ptCount val="399"/>
                <c:pt idx="0">
                  <c:v>225</c:v>
                </c:pt>
                <c:pt idx="1">
                  <c:v>172.5</c:v>
                </c:pt>
                <c:pt idx="2">
                  <c:v>240</c:v>
                </c:pt>
                <c:pt idx="3">
                  <c:v>252.5</c:v>
                </c:pt>
                <c:pt idx="4">
                  <c:v>155</c:v>
                </c:pt>
                <c:pt idx="5">
                  <c:v>192.5</c:v>
                </c:pt>
                <c:pt idx="6">
                  <c:v>210</c:v>
                </c:pt>
                <c:pt idx="7">
                  <c:v>200</c:v>
                </c:pt>
                <c:pt idx="8">
                  <c:v>267.5</c:v>
                </c:pt>
                <c:pt idx="9">
                  <c:v>187.5</c:v>
                </c:pt>
                <c:pt idx="10">
                  <c:v>356</c:v>
                </c:pt>
                <c:pt idx="11">
                  <c:v>315</c:v>
                </c:pt>
                <c:pt idx="12">
                  <c:v>187.5</c:v>
                </c:pt>
                <c:pt idx="13">
                  <c:v>392.5</c:v>
                </c:pt>
                <c:pt idx="14">
                  <c:v>260</c:v>
                </c:pt>
                <c:pt idx="15">
                  <c:v>200</c:v>
                </c:pt>
                <c:pt idx="16">
                  <c:v>300</c:v>
                </c:pt>
                <c:pt idx="17">
                  <c:v>245</c:v>
                </c:pt>
                <c:pt idx="18">
                  <c:v>425.5</c:v>
                </c:pt>
                <c:pt idx="19">
                  <c:v>307.5</c:v>
                </c:pt>
                <c:pt idx="20">
                  <c:v>185</c:v>
                </c:pt>
                <c:pt idx="21">
                  <c:v>180</c:v>
                </c:pt>
                <c:pt idx="22">
                  <c:v>242.5</c:v>
                </c:pt>
                <c:pt idx="23">
                  <c:v>375</c:v>
                </c:pt>
                <c:pt idx="24">
                  <c:v>330</c:v>
                </c:pt>
                <c:pt idx="25">
                  <c:v>365</c:v>
                </c:pt>
                <c:pt idx="26">
                  <c:v>155</c:v>
                </c:pt>
                <c:pt idx="27">
                  <c:v>172.5</c:v>
                </c:pt>
                <c:pt idx="28">
                  <c:v>265</c:v>
                </c:pt>
                <c:pt idx="29">
                  <c:v>410</c:v>
                </c:pt>
                <c:pt idx="30">
                  <c:v>220</c:v>
                </c:pt>
                <c:pt idx="31">
                  <c:v>303</c:v>
                </c:pt>
                <c:pt idx="32">
                  <c:v>412.5</c:v>
                </c:pt>
                <c:pt idx="33">
                  <c:v>390</c:v>
                </c:pt>
                <c:pt idx="34">
                  <c:v>240</c:v>
                </c:pt>
                <c:pt idx="35">
                  <c:v>375</c:v>
                </c:pt>
                <c:pt idx="36">
                  <c:v>235</c:v>
                </c:pt>
                <c:pt idx="37">
                  <c:v>260</c:v>
                </c:pt>
                <c:pt idx="38">
                  <c:v>225</c:v>
                </c:pt>
                <c:pt idx="39">
                  <c:v>327.5</c:v>
                </c:pt>
                <c:pt idx="40">
                  <c:v>340</c:v>
                </c:pt>
                <c:pt idx="41">
                  <c:v>275</c:v>
                </c:pt>
                <c:pt idx="42">
                  <c:v>275</c:v>
                </c:pt>
                <c:pt idx="43">
                  <c:v>252.5</c:v>
                </c:pt>
                <c:pt idx="44">
                  <c:v>345</c:v>
                </c:pt>
                <c:pt idx="45">
                  <c:v>272.5</c:v>
                </c:pt>
                <c:pt idx="46">
                  <c:v>242.5</c:v>
                </c:pt>
                <c:pt idx="47">
                  <c:v>370</c:v>
                </c:pt>
                <c:pt idx="48">
                  <c:v>322.5</c:v>
                </c:pt>
                <c:pt idx="49">
                  <c:v>237.5</c:v>
                </c:pt>
                <c:pt idx="50">
                  <c:v>220</c:v>
                </c:pt>
                <c:pt idx="51">
                  <c:v>342.5</c:v>
                </c:pt>
                <c:pt idx="52">
                  <c:v>410</c:v>
                </c:pt>
                <c:pt idx="53">
                  <c:v>257.5</c:v>
                </c:pt>
                <c:pt idx="54">
                  <c:v>257.5</c:v>
                </c:pt>
                <c:pt idx="55">
                  <c:v>270</c:v>
                </c:pt>
                <c:pt idx="56">
                  <c:v>332.5</c:v>
                </c:pt>
                <c:pt idx="57">
                  <c:v>302.5</c:v>
                </c:pt>
                <c:pt idx="58">
                  <c:v>235</c:v>
                </c:pt>
                <c:pt idx="59">
                  <c:v>260</c:v>
                </c:pt>
                <c:pt idx="60">
                  <c:v>285</c:v>
                </c:pt>
                <c:pt idx="61">
                  <c:v>167.5</c:v>
                </c:pt>
                <c:pt idx="62">
                  <c:v>242.5</c:v>
                </c:pt>
                <c:pt idx="63">
                  <c:v>350</c:v>
                </c:pt>
                <c:pt idx="64">
                  <c:v>200</c:v>
                </c:pt>
                <c:pt idx="65">
                  <c:v>250</c:v>
                </c:pt>
                <c:pt idx="66">
                  <c:v>275</c:v>
                </c:pt>
                <c:pt idx="67">
                  <c:v>345</c:v>
                </c:pt>
                <c:pt idx="68">
                  <c:v>182.5</c:v>
                </c:pt>
                <c:pt idx="69">
                  <c:v>317.5</c:v>
                </c:pt>
                <c:pt idx="70">
                  <c:v>350</c:v>
                </c:pt>
                <c:pt idx="71">
                  <c:v>345</c:v>
                </c:pt>
                <c:pt idx="72">
                  <c:v>275</c:v>
                </c:pt>
                <c:pt idx="73">
                  <c:v>205</c:v>
                </c:pt>
                <c:pt idx="74">
                  <c:v>237.5</c:v>
                </c:pt>
                <c:pt idx="75">
                  <c:v>270</c:v>
                </c:pt>
                <c:pt idx="76">
                  <c:v>232.5</c:v>
                </c:pt>
                <c:pt idx="77">
                  <c:v>265</c:v>
                </c:pt>
                <c:pt idx="78">
                  <c:v>265</c:v>
                </c:pt>
                <c:pt idx="79">
                  <c:v>220</c:v>
                </c:pt>
                <c:pt idx="80">
                  <c:v>305</c:v>
                </c:pt>
                <c:pt idx="81">
                  <c:v>357.5</c:v>
                </c:pt>
                <c:pt idx="82">
                  <c:v>325</c:v>
                </c:pt>
                <c:pt idx="83">
                  <c:v>215</c:v>
                </c:pt>
                <c:pt idx="84">
                  <c:v>332.5</c:v>
                </c:pt>
                <c:pt idx="85">
                  <c:v>300</c:v>
                </c:pt>
                <c:pt idx="86">
                  <c:v>242.5</c:v>
                </c:pt>
                <c:pt idx="87">
                  <c:v>290</c:v>
                </c:pt>
                <c:pt idx="88">
                  <c:v>290</c:v>
                </c:pt>
                <c:pt idx="89">
                  <c:v>225</c:v>
                </c:pt>
                <c:pt idx="90">
                  <c:v>285</c:v>
                </c:pt>
                <c:pt idx="91">
                  <c:v>345</c:v>
                </c:pt>
                <c:pt idx="92">
                  <c:v>232.5</c:v>
                </c:pt>
                <c:pt idx="93">
                  <c:v>232.5</c:v>
                </c:pt>
                <c:pt idx="94">
                  <c:v>232.5</c:v>
                </c:pt>
                <c:pt idx="95">
                  <c:v>240.5</c:v>
                </c:pt>
                <c:pt idx="96">
                  <c:v>240</c:v>
                </c:pt>
                <c:pt idx="97">
                  <c:v>240</c:v>
                </c:pt>
                <c:pt idx="98">
                  <c:v>335</c:v>
                </c:pt>
                <c:pt idx="99">
                  <c:v>275</c:v>
                </c:pt>
                <c:pt idx="100">
                  <c:v>275</c:v>
                </c:pt>
                <c:pt idx="101">
                  <c:v>255</c:v>
                </c:pt>
                <c:pt idx="102">
                  <c:v>215</c:v>
                </c:pt>
                <c:pt idx="103">
                  <c:v>215</c:v>
                </c:pt>
                <c:pt idx="104">
                  <c:v>290</c:v>
                </c:pt>
                <c:pt idx="105">
                  <c:v>290</c:v>
                </c:pt>
                <c:pt idx="106">
                  <c:v>270</c:v>
                </c:pt>
                <c:pt idx="107">
                  <c:v>270</c:v>
                </c:pt>
                <c:pt idx="108">
                  <c:v>325</c:v>
                </c:pt>
                <c:pt idx="109">
                  <c:v>210</c:v>
                </c:pt>
                <c:pt idx="110">
                  <c:v>210</c:v>
                </c:pt>
                <c:pt idx="111">
                  <c:v>285</c:v>
                </c:pt>
                <c:pt idx="112">
                  <c:v>252.5</c:v>
                </c:pt>
                <c:pt idx="113">
                  <c:v>280</c:v>
                </c:pt>
                <c:pt idx="114">
                  <c:v>280</c:v>
                </c:pt>
                <c:pt idx="115">
                  <c:v>205</c:v>
                </c:pt>
                <c:pt idx="116">
                  <c:v>307.5</c:v>
                </c:pt>
                <c:pt idx="117">
                  <c:v>315</c:v>
                </c:pt>
                <c:pt idx="118">
                  <c:v>322.5</c:v>
                </c:pt>
                <c:pt idx="119">
                  <c:v>310</c:v>
                </c:pt>
                <c:pt idx="120">
                  <c:v>255</c:v>
                </c:pt>
                <c:pt idx="121">
                  <c:v>325</c:v>
                </c:pt>
                <c:pt idx="122">
                  <c:v>270</c:v>
                </c:pt>
                <c:pt idx="123">
                  <c:v>305</c:v>
                </c:pt>
                <c:pt idx="124">
                  <c:v>250</c:v>
                </c:pt>
                <c:pt idx="125">
                  <c:v>252.5</c:v>
                </c:pt>
                <c:pt idx="126">
                  <c:v>330</c:v>
                </c:pt>
                <c:pt idx="127">
                  <c:v>260</c:v>
                </c:pt>
                <c:pt idx="128">
                  <c:v>225</c:v>
                </c:pt>
                <c:pt idx="129">
                  <c:v>387.5</c:v>
                </c:pt>
                <c:pt idx="130">
                  <c:v>232.5</c:v>
                </c:pt>
                <c:pt idx="131">
                  <c:v>290</c:v>
                </c:pt>
                <c:pt idx="132">
                  <c:v>255</c:v>
                </c:pt>
                <c:pt idx="133">
                  <c:v>185</c:v>
                </c:pt>
                <c:pt idx="134">
                  <c:v>235</c:v>
                </c:pt>
                <c:pt idx="135">
                  <c:v>285</c:v>
                </c:pt>
                <c:pt idx="136">
                  <c:v>342.5</c:v>
                </c:pt>
                <c:pt idx="137">
                  <c:v>200</c:v>
                </c:pt>
                <c:pt idx="138">
                  <c:v>307.5</c:v>
                </c:pt>
                <c:pt idx="139">
                  <c:v>330</c:v>
                </c:pt>
                <c:pt idx="140">
                  <c:v>222.5</c:v>
                </c:pt>
                <c:pt idx="141">
                  <c:v>260</c:v>
                </c:pt>
                <c:pt idx="142">
                  <c:v>260</c:v>
                </c:pt>
                <c:pt idx="143">
                  <c:v>267.5</c:v>
                </c:pt>
                <c:pt idx="144">
                  <c:v>202.5</c:v>
                </c:pt>
                <c:pt idx="145">
                  <c:v>320</c:v>
                </c:pt>
                <c:pt idx="146">
                  <c:v>285</c:v>
                </c:pt>
                <c:pt idx="147">
                  <c:v>300</c:v>
                </c:pt>
                <c:pt idx="148">
                  <c:v>315</c:v>
                </c:pt>
                <c:pt idx="149">
                  <c:v>250</c:v>
                </c:pt>
                <c:pt idx="150">
                  <c:v>257.5</c:v>
                </c:pt>
                <c:pt idx="151">
                  <c:v>295</c:v>
                </c:pt>
                <c:pt idx="152">
                  <c:v>325</c:v>
                </c:pt>
                <c:pt idx="153">
                  <c:v>230</c:v>
                </c:pt>
                <c:pt idx="154">
                  <c:v>282.5</c:v>
                </c:pt>
                <c:pt idx="155">
                  <c:v>290</c:v>
                </c:pt>
                <c:pt idx="156">
                  <c:v>335</c:v>
                </c:pt>
                <c:pt idx="157">
                  <c:v>350</c:v>
                </c:pt>
                <c:pt idx="158">
                  <c:v>270</c:v>
                </c:pt>
                <c:pt idx="159">
                  <c:v>300</c:v>
                </c:pt>
                <c:pt idx="160">
                  <c:v>337.5</c:v>
                </c:pt>
                <c:pt idx="161">
                  <c:v>225</c:v>
                </c:pt>
                <c:pt idx="162">
                  <c:v>180</c:v>
                </c:pt>
                <c:pt idx="163">
                  <c:v>300</c:v>
                </c:pt>
                <c:pt idx="164">
                  <c:v>225</c:v>
                </c:pt>
                <c:pt idx="165">
                  <c:v>255</c:v>
                </c:pt>
                <c:pt idx="166">
                  <c:v>210</c:v>
                </c:pt>
                <c:pt idx="167">
                  <c:v>195</c:v>
                </c:pt>
                <c:pt idx="168">
                  <c:v>247.5</c:v>
                </c:pt>
                <c:pt idx="169">
                  <c:v>285</c:v>
                </c:pt>
                <c:pt idx="170">
                  <c:v>280</c:v>
                </c:pt>
                <c:pt idx="171">
                  <c:v>272.5</c:v>
                </c:pt>
                <c:pt idx="172">
                  <c:v>250</c:v>
                </c:pt>
                <c:pt idx="173">
                  <c:v>220</c:v>
                </c:pt>
                <c:pt idx="174">
                  <c:v>205</c:v>
                </c:pt>
                <c:pt idx="175">
                  <c:v>335</c:v>
                </c:pt>
                <c:pt idx="176">
                  <c:v>312.5</c:v>
                </c:pt>
                <c:pt idx="177">
                  <c:v>260</c:v>
                </c:pt>
                <c:pt idx="178">
                  <c:v>245</c:v>
                </c:pt>
                <c:pt idx="179">
                  <c:v>237.5</c:v>
                </c:pt>
                <c:pt idx="180">
                  <c:v>230</c:v>
                </c:pt>
                <c:pt idx="181">
                  <c:v>255</c:v>
                </c:pt>
                <c:pt idx="182">
                  <c:v>170</c:v>
                </c:pt>
                <c:pt idx="183">
                  <c:v>255</c:v>
                </c:pt>
                <c:pt idx="184">
                  <c:v>247.5</c:v>
                </c:pt>
                <c:pt idx="185">
                  <c:v>302.5</c:v>
                </c:pt>
                <c:pt idx="186">
                  <c:v>295</c:v>
                </c:pt>
                <c:pt idx="187">
                  <c:v>287.5</c:v>
                </c:pt>
                <c:pt idx="188">
                  <c:v>210</c:v>
                </c:pt>
                <c:pt idx="189">
                  <c:v>327.5</c:v>
                </c:pt>
                <c:pt idx="190">
                  <c:v>257.5</c:v>
                </c:pt>
                <c:pt idx="191">
                  <c:v>250</c:v>
                </c:pt>
                <c:pt idx="192">
                  <c:v>242.5</c:v>
                </c:pt>
                <c:pt idx="193">
                  <c:v>235</c:v>
                </c:pt>
                <c:pt idx="194">
                  <c:v>290</c:v>
                </c:pt>
                <c:pt idx="195">
                  <c:v>282.5</c:v>
                </c:pt>
                <c:pt idx="196">
                  <c:v>282.5</c:v>
                </c:pt>
                <c:pt idx="197">
                  <c:v>220</c:v>
                </c:pt>
                <c:pt idx="198">
                  <c:v>220</c:v>
                </c:pt>
                <c:pt idx="199">
                  <c:v>220</c:v>
                </c:pt>
                <c:pt idx="200">
                  <c:v>322.5</c:v>
                </c:pt>
                <c:pt idx="201">
                  <c:v>322.5</c:v>
                </c:pt>
                <c:pt idx="202">
                  <c:v>267.5</c:v>
                </c:pt>
                <c:pt idx="203">
                  <c:v>315</c:v>
                </c:pt>
                <c:pt idx="204">
                  <c:v>252.5</c:v>
                </c:pt>
                <c:pt idx="205">
                  <c:v>300</c:v>
                </c:pt>
                <c:pt idx="206">
                  <c:v>300</c:v>
                </c:pt>
                <c:pt idx="207">
                  <c:v>277.5</c:v>
                </c:pt>
                <c:pt idx="208">
                  <c:v>310</c:v>
                </c:pt>
                <c:pt idx="209">
                  <c:v>310</c:v>
                </c:pt>
                <c:pt idx="210">
                  <c:v>215</c:v>
                </c:pt>
                <c:pt idx="211">
                  <c:v>215</c:v>
                </c:pt>
                <c:pt idx="212">
                  <c:v>215</c:v>
                </c:pt>
                <c:pt idx="213">
                  <c:v>327.5</c:v>
                </c:pt>
                <c:pt idx="214">
                  <c:v>240</c:v>
                </c:pt>
                <c:pt idx="215">
                  <c:v>312.5</c:v>
                </c:pt>
                <c:pt idx="216">
                  <c:v>312.5</c:v>
                </c:pt>
                <c:pt idx="217">
                  <c:v>265</c:v>
                </c:pt>
                <c:pt idx="218">
                  <c:v>225</c:v>
                </c:pt>
                <c:pt idx="219">
                  <c:v>185</c:v>
                </c:pt>
                <c:pt idx="220">
                  <c:v>290</c:v>
                </c:pt>
                <c:pt idx="221">
                  <c:v>282.5</c:v>
                </c:pt>
                <c:pt idx="222">
                  <c:v>235</c:v>
                </c:pt>
                <c:pt idx="223">
                  <c:v>260</c:v>
                </c:pt>
                <c:pt idx="224">
                  <c:v>195</c:v>
                </c:pt>
                <c:pt idx="225">
                  <c:v>260</c:v>
                </c:pt>
                <c:pt idx="226">
                  <c:v>252.5</c:v>
                </c:pt>
                <c:pt idx="227">
                  <c:v>245</c:v>
                </c:pt>
                <c:pt idx="228">
                  <c:v>270</c:v>
                </c:pt>
                <c:pt idx="229">
                  <c:v>180</c:v>
                </c:pt>
                <c:pt idx="230">
                  <c:v>205</c:v>
                </c:pt>
                <c:pt idx="231">
                  <c:v>287.5</c:v>
                </c:pt>
                <c:pt idx="232">
                  <c:v>230</c:v>
                </c:pt>
                <c:pt idx="233">
                  <c:v>317.5</c:v>
                </c:pt>
                <c:pt idx="234">
                  <c:v>272.5</c:v>
                </c:pt>
                <c:pt idx="235">
                  <c:v>272.5</c:v>
                </c:pt>
                <c:pt idx="236">
                  <c:v>182.5</c:v>
                </c:pt>
                <c:pt idx="237">
                  <c:v>232.5</c:v>
                </c:pt>
                <c:pt idx="238">
                  <c:v>307.5</c:v>
                </c:pt>
                <c:pt idx="239">
                  <c:v>300</c:v>
                </c:pt>
                <c:pt idx="240">
                  <c:v>175</c:v>
                </c:pt>
                <c:pt idx="241">
                  <c:v>200</c:v>
                </c:pt>
                <c:pt idx="242">
                  <c:v>217.5</c:v>
                </c:pt>
                <c:pt idx="243">
                  <c:v>285</c:v>
                </c:pt>
                <c:pt idx="244">
                  <c:v>285</c:v>
                </c:pt>
                <c:pt idx="245">
                  <c:v>235</c:v>
                </c:pt>
                <c:pt idx="246">
                  <c:v>235</c:v>
                </c:pt>
                <c:pt idx="247">
                  <c:v>327.5</c:v>
                </c:pt>
                <c:pt idx="248">
                  <c:v>185</c:v>
                </c:pt>
                <c:pt idx="249">
                  <c:v>220</c:v>
                </c:pt>
                <c:pt idx="250">
                  <c:v>305</c:v>
                </c:pt>
                <c:pt idx="251">
                  <c:v>255</c:v>
                </c:pt>
                <c:pt idx="252">
                  <c:v>247.5</c:v>
                </c:pt>
                <c:pt idx="253">
                  <c:v>247.5</c:v>
                </c:pt>
                <c:pt idx="254">
                  <c:v>265</c:v>
                </c:pt>
                <c:pt idx="255">
                  <c:v>215</c:v>
                </c:pt>
                <c:pt idx="256">
                  <c:v>310</c:v>
                </c:pt>
                <c:pt idx="257">
                  <c:v>250</c:v>
                </c:pt>
                <c:pt idx="258">
                  <c:v>225</c:v>
                </c:pt>
                <c:pt idx="259">
                  <c:v>260</c:v>
                </c:pt>
                <c:pt idx="260">
                  <c:v>227.5</c:v>
                </c:pt>
                <c:pt idx="261">
                  <c:v>210</c:v>
                </c:pt>
                <c:pt idx="262">
                  <c:v>227.5</c:v>
                </c:pt>
                <c:pt idx="263">
                  <c:v>290</c:v>
                </c:pt>
                <c:pt idx="264">
                  <c:v>255</c:v>
                </c:pt>
                <c:pt idx="265">
                  <c:v>202.5</c:v>
                </c:pt>
                <c:pt idx="266">
                  <c:v>265</c:v>
                </c:pt>
                <c:pt idx="267">
                  <c:v>230</c:v>
                </c:pt>
                <c:pt idx="268">
                  <c:v>257.5</c:v>
                </c:pt>
                <c:pt idx="269">
                  <c:v>222.5</c:v>
                </c:pt>
                <c:pt idx="270">
                  <c:v>250</c:v>
                </c:pt>
                <c:pt idx="271">
                  <c:v>295</c:v>
                </c:pt>
                <c:pt idx="272">
                  <c:v>295</c:v>
                </c:pt>
                <c:pt idx="273">
                  <c:v>242.5</c:v>
                </c:pt>
                <c:pt idx="274">
                  <c:v>180</c:v>
                </c:pt>
                <c:pt idx="275">
                  <c:v>270</c:v>
                </c:pt>
                <c:pt idx="276">
                  <c:v>252.5</c:v>
                </c:pt>
                <c:pt idx="277">
                  <c:v>207.5</c:v>
                </c:pt>
                <c:pt idx="278">
                  <c:v>280</c:v>
                </c:pt>
                <c:pt idx="279">
                  <c:v>235</c:v>
                </c:pt>
                <c:pt idx="280">
                  <c:v>221</c:v>
                </c:pt>
                <c:pt idx="281">
                  <c:v>255</c:v>
                </c:pt>
                <c:pt idx="282">
                  <c:v>255</c:v>
                </c:pt>
                <c:pt idx="283">
                  <c:v>255</c:v>
                </c:pt>
                <c:pt idx="284">
                  <c:v>220</c:v>
                </c:pt>
                <c:pt idx="285">
                  <c:v>230</c:v>
                </c:pt>
                <c:pt idx="286">
                  <c:v>315</c:v>
                </c:pt>
                <c:pt idx="287">
                  <c:v>222.5</c:v>
                </c:pt>
                <c:pt idx="288">
                  <c:v>270</c:v>
                </c:pt>
                <c:pt idx="289">
                  <c:v>225.5</c:v>
                </c:pt>
                <c:pt idx="290">
                  <c:v>215</c:v>
                </c:pt>
                <c:pt idx="291">
                  <c:v>217.5</c:v>
                </c:pt>
                <c:pt idx="292">
                  <c:v>285</c:v>
                </c:pt>
                <c:pt idx="293">
                  <c:v>257.5</c:v>
                </c:pt>
                <c:pt idx="294">
                  <c:v>210</c:v>
                </c:pt>
                <c:pt idx="295">
                  <c:v>307.5</c:v>
                </c:pt>
                <c:pt idx="296">
                  <c:v>290</c:v>
                </c:pt>
                <c:pt idx="297">
                  <c:v>225</c:v>
                </c:pt>
                <c:pt idx="298">
                  <c:v>225</c:v>
                </c:pt>
                <c:pt idx="299">
                  <c:v>235</c:v>
                </c:pt>
                <c:pt idx="300">
                  <c:v>275</c:v>
                </c:pt>
                <c:pt idx="301">
                  <c:v>167.5</c:v>
                </c:pt>
                <c:pt idx="302">
                  <c:v>187.5</c:v>
                </c:pt>
                <c:pt idx="303">
                  <c:v>187.5</c:v>
                </c:pt>
                <c:pt idx="304">
                  <c:v>230</c:v>
                </c:pt>
                <c:pt idx="305">
                  <c:v>150</c:v>
                </c:pt>
                <c:pt idx="306">
                  <c:v>230</c:v>
                </c:pt>
                <c:pt idx="307">
                  <c:v>270</c:v>
                </c:pt>
                <c:pt idx="308">
                  <c:v>210</c:v>
                </c:pt>
                <c:pt idx="309">
                  <c:v>210</c:v>
                </c:pt>
                <c:pt idx="310">
                  <c:v>302.5</c:v>
                </c:pt>
                <c:pt idx="311">
                  <c:v>226</c:v>
                </c:pt>
                <c:pt idx="312">
                  <c:v>242.5</c:v>
                </c:pt>
                <c:pt idx="313">
                  <c:v>182.5</c:v>
                </c:pt>
                <c:pt idx="314">
                  <c:v>285</c:v>
                </c:pt>
                <c:pt idx="315">
                  <c:v>275</c:v>
                </c:pt>
                <c:pt idx="316">
                  <c:v>275</c:v>
                </c:pt>
                <c:pt idx="317">
                  <c:v>245</c:v>
                </c:pt>
                <c:pt idx="318">
                  <c:v>185</c:v>
                </c:pt>
                <c:pt idx="319">
                  <c:v>185</c:v>
                </c:pt>
                <c:pt idx="320">
                  <c:v>165</c:v>
                </c:pt>
                <c:pt idx="321">
                  <c:v>250</c:v>
                </c:pt>
                <c:pt idx="322">
                  <c:v>240</c:v>
                </c:pt>
                <c:pt idx="323">
                  <c:v>220</c:v>
                </c:pt>
                <c:pt idx="324">
                  <c:v>262.5</c:v>
                </c:pt>
                <c:pt idx="325">
                  <c:v>252.5</c:v>
                </c:pt>
                <c:pt idx="326">
                  <c:v>255</c:v>
                </c:pt>
                <c:pt idx="327">
                  <c:v>330</c:v>
                </c:pt>
                <c:pt idx="328">
                  <c:v>202.5</c:v>
                </c:pt>
                <c:pt idx="329">
                  <c:v>235</c:v>
                </c:pt>
                <c:pt idx="330">
                  <c:v>235</c:v>
                </c:pt>
                <c:pt idx="331">
                  <c:v>267.5</c:v>
                </c:pt>
                <c:pt idx="332">
                  <c:v>215</c:v>
                </c:pt>
                <c:pt idx="333">
                  <c:v>220</c:v>
                </c:pt>
                <c:pt idx="334">
                  <c:v>220</c:v>
                </c:pt>
                <c:pt idx="335">
                  <c:v>265</c:v>
                </c:pt>
                <c:pt idx="336">
                  <c:v>210</c:v>
                </c:pt>
                <c:pt idx="337">
                  <c:v>177.5</c:v>
                </c:pt>
                <c:pt idx="338">
                  <c:v>245</c:v>
                </c:pt>
                <c:pt idx="339">
                  <c:v>315</c:v>
                </c:pt>
                <c:pt idx="340">
                  <c:v>170</c:v>
                </c:pt>
                <c:pt idx="341">
                  <c:v>250</c:v>
                </c:pt>
                <c:pt idx="342">
                  <c:v>227.5</c:v>
                </c:pt>
                <c:pt idx="343">
                  <c:v>205</c:v>
                </c:pt>
                <c:pt idx="344">
                  <c:v>285</c:v>
                </c:pt>
                <c:pt idx="345">
                  <c:v>240</c:v>
                </c:pt>
                <c:pt idx="346">
                  <c:v>195</c:v>
                </c:pt>
                <c:pt idx="347">
                  <c:v>252.5</c:v>
                </c:pt>
                <c:pt idx="348">
                  <c:v>265</c:v>
                </c:pt>
                <c:pt idx="349">
                  <c:v>185</c:v>
                </c:pt>
                <c:pt idx="350">
                  <c:v>197.5</c:v>
                </c:pt>
                <c:pt idx="351">
                  <c:v>210</c:v>
                </c:pt>
                <c:pt idx="352">
                  <c:v>210</c:v>
                </c:pt>
                <c:pt idx="353">
                  <c:v>165</c:v>
                </c:pt>
                <c:pt idx="354">
                  <c:v>267.5</c:v>
                </c:pt>
                <c:pt idx="355">
                  <c:v>195</c:v>
                </c:pt>
                <c:pt idx="356">
                  <c:v>210</c:v>
                </c:pt>
                <c:pt idx="357">
                  <c:v>222.5</c:v>
                </c:pt>
                <c:pt idx="358">
                  <c:v>242.5</c:v>
                </c:pt>
                <c:pt idx="359">
                  <c:v>265</c:v>
                </c:pt>
                <c:pt idx="360">
                  <c:v>242.5</c:v>
                </c:pt>
                <c:pt idx="361">
                  <c:v>217.5</c:v>
                </c:pt>
                <c:pt idx="362">
                  <c:v>192.5</c:v>
                </c:pt>
                <c:pt idx="363">
                  <c:v>192.5</c:v>
                </c:pt>
                <c:pt idx="364">
                  <c:v>222.5</c:v>
                </c:pt>
                <c:pt idx="365">
                  <c:v>275</c:v>
                </c:pt>
                <c:pt idx="366">
                  <c:v>172.5</c:v>
                </c:pt>
                <c:pt idx="367">
                  <c:v>252.5</c:v>
                </c:pt>
                <c:pt idx="368">
                  <c:v>252.5</c:v>
                </c:pt>
                <c:pt idx="369">
                  <c:v>200</c:v>
                </c:pt>
                <c:pt idx="370">
                  <c:v>245</c:v>
                </c:pt>
                <c:pt idx="371">
                  <c:v>210</c:v>
                </c:pt>
                <c:pt idx="372">
                  <c:v>225</c:v>
                </c:pt>
                <c:pt idx="373">
                  <c:v>270</c:v>
                </c:pt>
                <c:pt idx="374">
                  <c:v>260</c:v>
                </c:pt>
                <c:pt idx="375">
                  <c:v>265</c:v>
                </c:pt>
                <c:pt idx="376">
                  <c:v>312.5</c:v>
                </c:pt>
                <c:pt idx="377">
                  <c:v>220</c:v>
                </c:pt>
                <c:pt idx="378">
                  <c:v>205</c:v>
                </c:pt>
                <c:pt idx="379">
                  <c:v>160</c:v>
                </c:pt>
                <c:pt idx="380">
                  <c:v>275</c:v>
                </c:pt>
                <c:pt idx="381">
                  <c:v>190</c:v>
                </c:pt>
                <c:pt idx="382">
                  <c:v>272.5</c:v>
                </c:pt>
                <c:pt idx="383">
                  <c:v>310</c:v>
                </c:pt>
                <c:pt idx="384">
                  <c:v>182.5</c:v>
                </c:pt>
                <c:pt idx="385">
                  <c:v>195</c:v>
                </c:pt>
                <c:pt idx="386">
                  <c:v>175</c:v>
                </c:pt>
                <c:pt idx="387">
                  <c:v>210</c:v>
                </c:pt>
                <c:pt idx="388">
                  <c:v>232.5</c:v>
                </c:pt>
                <c:pt idx="389">
                  <c:v>170</c:v>
                </c:pt>
                <c:pt idx="390">
                  <c:v>220</c:v>
                </c:pt>
                <c:pt idx="391">
                  <c:v>190</c:v>
                </c:pt>
                <c:pt idx="392">
                  <c:v>195</c:v>
                </c:pt>
                <c:pt idx="393">
                  <c:v>187.5</c:v>
                </c:pt>
                <c:pt idx="394">
                  <c:v>240</c:v>
                </c:pt>
                <c:pt idx="395">
                  <c:v>160</c:v>
                </c:pt>
                <c:pt idx="396">
                  <c:v>235</c:v>
                </c:pt>
                <c:pt idx="397">
                  <c:v>140</c:v>
                </c:pt>
                <c:pt idx="398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0-4B27-B7A7-DE8D62A18636}"/>
            </c:ext>
          </c:extLst>
        </c:ser>
        <c:ser>
          <c:idx val="4"/>
          <c:order val="3"/>
          <c:tx>
            <c:v>Women - Equipped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FFFF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'Data Squat'!$F$1090:$F$1373</c:f>
              <c:numCache>
                <c:formatCode>General</c:formatCode>
                <c:ptCount val="284"/>
                <c:pt idx="0">
                  <c:v>55</c:v>
                </c:pt>
                <c:pt idx="1">
                  <c:v>52.5</c:v>
                </c:pt>
                <c:pt idx="2">
                  <c:v>70</c:v>
                </c:pt>
                <c:pt idx="3">
                  <c:v>60</c:v>
                </c:pt>
                <c:pt idx="4">
                  <c:v>80</c:v>
                </c:pt>
                <c:pt idx="5">
                  <c:v>80</c:v>
                </c:pt>
                <c:pt idx="6">
                  <c:v>77.5</c:v>
                </c:pt>
                <c:pt idx="7">
                  <c:v>85</c:v>
                </c:pt>
                <c:pt idx="8">
                  <c:v>85</c:v>
                </c:pt>
                <c:pt idx="9">
                  <c:v>77.5</c:v>
                </c:pt>
                <c:pt idx="10">
                  <c:v>100</c:v>
                </c:pt>
                <c:pt idx="11">
                  <c:v>45</c:v>
                </c:pt>
                <c:pt idx="12">
                  <c:v>97.5</c:v>
                </c:pt>
                <c:pt idx="13">
                  <c:v>75</c:v>
                </c:pt>
                <c:pt idx="14">
                  <c:v>45</c:v>
                </c:pt>
                <c:pt idx="15">
                  <c:v>77.5</c:v>
                </c:pt>
                <c:pt idx="16">
                  <c:v>90</c:v>
                </c:pt>
                <c:pt idx="17">
                  <c:v>92.5</c:v>
                </c:pt>
                <c:pt idx="18">
                  <c:v>105</c:v>
                </c:pt>
                <c:pt idx="19">
                  <c:v>90</c:v>
                </c:pt>
                <c:pt idx="20">
                  <c:v>102.5</c:v>
                </c:pt>
                <c:pt idx="21">
                  <c:v>75</c:v>
                </c:pt>
                <c:pt idx="22">
                  <c:v>85</c:v>
                </c:pt>
                <c:pt idx="23">
                  <c:v>97.5</c:v>
                </c:pt>
                <c:pt idx="24">
                  <c:v>100</c:v>
                </c:pt>
                <c:pt idx="25">
                  <c:v>65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97.5</c:v>
                </c:pt>
                <c:pt idx="31">
                  <c:v>110</c:v>
                </c:pt>
                <c:pt idx="32">
                  <c:v>115</c:v>
                </c:pt>
                <c:pt idx="33">
                  <c:v>92.5</c:v>
                </c:pt>
                <c:pt idx="34">
                  <c:v>82.5</c:v>
                </c:pt>
                <c:pt idx="35">
                  <c:v>82.5</c:v>
                </c:pt>
                <c:pt idx="36">
                  <c:v>67.5</c:v>
                </c:pt>
                <c:pt idx="37">
                  <c:v>115</c:v>
                </c:pt>
                <c:pt idx="38">
                  <c:v>97.5</c:v>
                </c:pt>
                <c:pt idx="39">
                  <c:v>122.5</c:v>
                </c:pt>
                <c:pt idx="40">
                  <c:v>120</c:v>
                </c:pt>
                <c:pt idx="41">
                  <c:v>112.5</c:v>
                </c:pt>
                <c:pt idx="42">
                  <c:v>92.5</c:v>
                </c:pt>
                <c:pt idx="43">
                  <c:v>90</c:v>
                </c:pt>
                <c:pt idx="44">
                  <c:v>85</c:v>
                </c:pt>
                <c:pt idx="45">
                  <c:v>77.5</c:v>
                </c:pt>
                <c:pt idx="46">
                  <c:v>77.5</c:v>
                </c:pt>
                <c:pt idx="47">
                  <c:v>72.5</c:v>
                </c:pt>
                <c:pt idx="48">
                  <c:v>102.5</c:v>
                </c:pt>
                <c:pt idx="49">
                  <c:v>65</c:v>
                </c:pt>
                <c:pt idx="50">
                  <c:v>95</c:v>
                </c:pt>
                <c:pt idx="51">
                  <c:v>92.5</c:v>
                </c:pt>
                <c:pt idx="52">
                  <c:v>120</c:v>
                </c:pt>
                <c:pt idx="53">
                  <c:v>85</c:v>
                </c:pt>
                <c:pt idx="54">
                  <c:v>122.5</c:v>
                </c:pt>
                <c:pt idx="55">
                  <c:v>95</c:v>
                </c:pt>
                <c:pt idx="56">
                  <c:v>90</c:v>
                </c:pt>
                <c:pt idx="57">
                  <c:v>82.5</c:v>
                </c:pt>
                <c:pt idx="58">
                  <c:v>82.5</c:v>
                </c:pt>
                <c:pt idx="59">
                  <c:v>80</c:v>
                </c:pt>
                <c:pt idx="60">
                  <c:v>135</c:v>
                </c:pt>
                <c:pt idx="61">
                  <c:v>95</c:v>
                </c:pt>
                <c:pt idx="62">
                  <c:v>112.5</c:v>
                </c:pt>
                <c:pt idx="63">
                  <c:v>90</c:v>
                </c:pt>
                <c:pt idx="64">
                  <c:v>107.5</c:v>
                </c:pt>
                <c:pt idx="65">
                  <c:v>87.5</c:v>
                </c:pt>
                <c:pt idx="66">
                  <c:v>87.5</c:v>
                </c:pt>
                <c:pt idx="67">
                  <c:v>100</c:v>
                </c:pt>
                <c:pt idx="68">
                  <c:v>65</c:v>
                </c:pt>
                <c:pt idx="69">
                  <c:v>77.5</c:v>
                </c:pt>
                <c:pt idx="70">
                  <c:v>75</c:v>
                </c:pt>
                <c:pt idx="71">
                  <c:v>100</c:v>
                </c:pt>
                <c:pt idx="72">
                  <c:v>112.5</c:v>
                </c:pt>
                <c:pt idx="73">
                  <c:v>95</c:v>
                </c:pt>
                <c:pt idx="74">
                  <c:v>107.5</c:v>
                </c:pt>
                <c:pt idx="75">
                  <c:v>92.5</c:v>
                </c:pt>
                <c:pt idx="76">
                  <c:v>92.5</c:v>
                </c:pt>
                <c:pt idx="77">
                  <c:v>92.5</c:v>
                </c:pt>
                <c:pt idx="78">
                  <c:v>102.5</c:v>
                </c:pt>
                <c:pt idx="79">
                  <c:v>87.5</c:v>
                </c:pt>
                <c:pt idx="80">
                  <c:v>125</c:v>
                </c:pt>
                <c:pt idx="81">
                  <c:v>97.5</c:v>
                </c:pt>
                <c:pt idx="82">
                  <c:v>97.5</c:v>
                </c:pt>
                <c:pt idx="83">
                  <c:v>95</c:v>
                </c:pt>
                <c:pt idx="84">
                  <c:v>95</c:v>
                </c:pt>
                <c:pt idx="85">
                  <c:v>92.5</c:v>
                </c:pt>
                <c:pt idx="86">
                  <c:v>92.5</c:v>
                </c:pt>
                <c:pt idx="87">
                  <c:v>125</c:v>
                </c:pt>
                <c:pt idx="88">
                  <c:v>90</c:v>
                </c:pt>
                <c:pt idx="89">
                  <c:v>90</c:v>
                </c:pt>
                <c:pt idx="90">
                  <c:v>155</c:v>
                </c:pt>
                <c:pt idx="91">
                  <c:v>97.5</c:v>
                </c:pt>
                <c:pt idx="92">
                  <c:v>97.5</c:v>
                </c:pt>
                <c:pt idx="93">
                  <c:v>107.5</c:v>
                </c:pt>
                <c:pt idx="94">
                  <c:v>117.5</c:v>
                </c:pt>
                <c:pt idx="95">
                  <c:v>85</c:v>
                </c:pt>
                <c:pt idx="96">
                  <c:v>95</c:v>
                </c:pt>
                <c:pt idx="97">
                  <c:v>145</c:v>
                </c:pt>
                <c:pt idx="98">
                  <c:v>112.5</c:v>
                </c:pt>
                <c:pt idx="99">
                  <c:v>40</c:v>
                </c:pt>
                <c:pt idx="100">
                  <c:v>127.5</c:v>
                </c:pt>
                <c:pt idx="101">
                  <c:v>117.5</c:v>
                </c:pt>
                <c:pt idx="102">
                  <c:v>97.5</c:v>
                </c:pt>
                <c:pt idx="103">
                  <c:v>115</c:v>
                </c:pt>
                <c:pt idx="104">
                  <c:v>95</c:v>
                </c:pt>
                <c:pt idx="105">
                  <c:v>150</c:v>
                </c:pt>
                <c:pt idx="106">
                  <c:v>130</c:v>
                </c:pt>
                <c:pt idx="107">
                  <c:v>92.5</c:v>
                </c:pt>
                <c:pt idx="108">
                  <c:v>120</c:v>
                </c:pt>
                <c:pt idx="109">
                  <c:v>147.5</c:v>
                </c:pt>
                <c:pt idx="110">
                  <c:v>110</c:v>
                </c:pt>
                <c:pt idx="111">
                  <c:v>100</c:v>
                </c:pt>
                <c:pt idx="112">
                  <c:v>90</c:v>
                </c:pt>
                <c:pt idx="113">
                  <c:v>152.5</c:v>
                </c:pt>
                <c:pt idx="114">
                  <c:v>125</c:v>
                </c:pt>
                <c:pt idx="115">
                  <c:v>105</c:v>
                </c:pt>
                <c:pt idx="116">
                  <c:v>137.5</c:v>
                </c:pt>
                <c:pt idx="117">
                  <c:v>162.5</c:v>
                </c:pt>
                <c:pt idx="118">
                  <c:v>102.5</c:v>
                </c:pt>
                <c:pt idx="119">
                  <c:v>145</c:v>
                </c:pt>
                <c:pt idx="120">
                  <c:v>85</c:v>
                </c:pt>
                <c:pt idx="121">
                  <c:v>125</c:v>
                </c:pt>
                <c:pt idx="122">
                  <c:v>140</c:v>
                </c:pt>
                <c:pt idx="123">
                  <c:v>90</c:v>
                </c:pt>
                <c:pt idx="124">
                  <c:v>122.5</c:v>
                </c:pt>
                <c:pt idx="125">
                  <c:v>95</c:v>
                </c:pt>
                <c:pt idx="126">
                  <c:v>95</c:v>
                </c:pt>
                <c:pt idx="127">
                  <c:v>157.5</c:v>
                </c:pt>
                <c:pt idx="128">
                  <c:v>92.5</c:v>
                </c:pt>
                <c:pt idx="129">
                  <c:v>160</c:v>
                </c:pt>
                <c:pt idx="130">
                  <c:v>100</c:v>
                </c:pt>
                <c:pt idx="131">
                  <c:v>152.5</c:v>
                </c:pt>
                <c:pt idx="132">
                  <c:v>30</c:v>
                </c:pt>
                <c:pt idx="133">
                  <c:v>157.5</c:v>
                </c:pt>
                <c:pt idx="134">
                  <c:v>102.5</c:v>
                </c:pt>
                <c:pt idx="135">
                  <c:v>102.5</c:v>
                </c:pt>
                <c:pt idx="136">
                  <c:v>102.5</c:v>
                </c:pt>
                <c:pt idx="137">
                  <c:v>87.5</c:v>
                </c:pt>
                <c:pt idx="138">
                  <c:v>145</c:v>
                </c:pt>
                <c:pt idx="139">
                  <c:v>122.5</c:v>
                </c:pt>
                <c:pt idx="140">
                  <c:v>122.5</c:v>
                </c:pt>
                <c:pt idx="141">
                  <c:v>142.5</c:v>
                </c:pt>
                <c:pt idx="142">
                  <c:v>120</c:v>
                </c:pt>
                <c:pt idx="143">
                  <c:v>112.5</c:v>
                </c:pt>
                <c:pt idx="144">
                  <c:v>182.5</c:v>
                </c:pt>
                <c:pt idx="145">
                  <c:v>102.5</c:v>
                </c:pt>
                <c:pt idx="146">
                  <c:v>75</c:v>
                </c:pt>
                <c:pt idx="147">
                  <c:v>135</c:v>
                </c:pt>
                <c:pt idx="148">
                  <c:v>127.5</c:v>
                </c:pt>
                <c:pt idx="149">
                  <c:v>100</c:v>
                </c:pt>
                <c:pt idx="150">
                  <c:v>132.5</c:v>
                </c:pt>
                <c:pt idx="151">
                  <c:v>92.5</c:v>
                </c:pt>
                <c:pt idx="152">
                  <c:v>117.5</c:v>
                </c:pt>
                <c:pt idx="153">
                  <c:v>130</c:v>
                </c:pt>
                <c:pt idx="154">
                  <c:v>130</c:v>
                </c:pt>
                <c:pt idx="155">
                  <c:v>135</c:v>
                </c:pt>
                <c:pt idx="156">
                  <c:v>95</c:v>
                </c:pt>
                <c:pt idx="157">
                  <c:v>120</c:v>
                </c:pt>
                <c:pt idx="158">
                  <c:v>145</c:v>
                </c:pt>
                <c:pt idx="159">
                  <c:v>112.5</c:v>
                </c:pt>
                <c:pt idx="160">
                  <c:v>112.5</c:v>
                </c:pt>
                <c:pt idx="161">
                  <c:v>125</c:v>
                </c:pt>
                <c:pt idx="162">
                  <c:v>100</c:v>
                </c:pt>
                <c:pt idx="163">
                  <c:v>105</c:v>
                </c:pt>
                <c:pt idx="164">
                  <c:v>147.5</c:v>
                </c:pt>
                <c:pt idx="165">
                  <c:v>135</c:v>
                </c:pt>
                <c:pt idx="166">
                  <c:v>135</c:v>
                </c:pt>
                <c:pt idx="167">
                  <c:v>115</c:v>
                </c:pt>
                <c:pt idx="168">
                  <c:v>102.5</c:v>
                </c:pt>
                <c:pt idx="169">
                  <c:v>180</c:v>
                </c:pt>
                <c:pt idx="170">
                  <c:v>180</c:v>
                </c:pt>
                <c:pt idx="171">
                  <c:v>112.5</c:v>
                </c:pt>
                <c:pt idx="172">
                  <c:v>130</c:v>
                </c:pt>
                <c:pt idx="173">
                  <c:v>157.5</c:v>
                </c:pt>
                <c:pt idx="174">
                  <c:v>122.5</c:v>
                </c:pt>
                <c:pt idx="175">
                  <c:v>127.5</c:v>
                </c:pt>
                <c:pt idx="176">
                  <c:v>92.5</c:v>
                </c:pt>
                <c:pt idx="177">
                  <c:v>115</c:v>
                </c:pt>
                <c:pt idx="178">
                  <c:v>120</c:v>
                </c:pt>
                <c:pt idx="179">
                  <c:v>120</c:v>
                </c:pt>
                <c:pt idx="180">
                  <c:v>107.5</c:v>
                </c:pt>
                <c:pt idx="181">
                  <c:v>130</c:v>
                </c:pt>
                <c:pt idx="182">
                  <c:v>135</c:v>
                </c:pt>
                <c:pt idx="183">
                  <c:v>135</c:v>
                </c:pt>
                <c:pt idx="184">
                  <c:v>112.5</c:v>
                </c:pt>
                <c:pt idx="185">
                  <c:v>145</c:v>
                </c:pt>
                <c:pt idx="186">
                  <c:v>122.5</c:v>
                </c:pt>
                <c:pt idx="187">
                  <c:v>127.5</c:v>
                </c:pt>
                <c:pt idx="188">
                  <c:v>142.5</c:v>
                </c:pt>
                <c:pt idx="189">
                  <c:v>115</c:v>
                </c:pt>
                <c:pt idx="190">
                  <c:v>150</c:v>
                </c:pt>
                <c:pt idx="191">
                  <c:v>141</c:v>
                </c:pt>
                <c:pt idx="192">
                  <c:v>170</c:v>
                </c:pt>
                <c:pt idx="193">
                  <c:v>170</c:v>
                </c:pt>
                <c:pt idx="194">
                  <c:v>95</c:v>
                </c:pt>
                <c:pt idx="195">
                  <c:v>150</c:v>
                </c:pt>
                <c:pt idx="196">
                  <c:v>112.5</c:v>
                </c:pt>
                <c:pt idx="197">
                  <c:v>122.5</c:v>
                </c:pt>
                <c:pt idx="198">
                  <c:v>137.5</c:v>
                </c:pt>
                <c:pt idx="199">
                  <c:v>157.5</c:v>
                </c:pt>
                <c:pt idx="200">
                  <c:v>120</c:v>
                </c:pt>
                <c:pt idx="201">
                  <c:v>160</c:v>
                </c:pt>
                <c:pt idx="202">
                  <c:v>140</c:v>
                </c:pt>
                <c:pt idx="203">
                  <c:v>140</c:v>
                </c:pt>
                <c:pt idx="204">
                  <c:v>145</c:v>
                </c:pt>
                <c:pt idx="205">
                  <c:v>95</c:v>
                </c:pt>
                <c:pt idx="206">
                  <c:v>90</c:v>
                </c:pt>
                <c:pt idx="207">
                  <c:v>140</c:v>
                </c:pt>
                <c:pt idx="208">
                  <c:v>137.5</c:v>
                </c:pt>
                <c:pt idx="209">
                  <c:v>117.5</c:v>
                </c:pt>
                <c:pt idx="210">
                  <c:v>97.5</c:v>
                </c:pt>
                <c:pt idx="211">
                  <c:v>190</c:v>
                </c:pt>
                <c:pt idx="212">
                  <c:v>87.5</c:v>
                </c:pt>
                <c:pt idx="213">
                  <c:v>125</c:v>
                </c:pt>
                <c:pt idx="214">
                  <c:v>125</c:v>
                </c:pt>
                <c:pt idx="215">
                  <c:v>115</c:v>
                </c:pt>
                <c:pt idx="216">
                  <c:v>172.5</c:v>
                </c:pt>
                <c:pt idx="217">
                  <c:v>157.5</c:v>
                </c:pt>
                <c:pt idx="218">
                  <c:v>142.5</c:v>
                </c:pt>
                <c:pt idx="219">
                  <c:v>132.5</c:v>
                </c:pt>
                <c:pt idx="220">
                  <c:v>132.5</c:v>
                </c:pt>
                <c:pt idx="221">
                  <c:v>175</c:v>
                </c:pt>
                <c:pt idx="222">
                  <c:v>130</c:v>
                </c:pt>
                <c:pt idx="223">
                  <c:v>125</c:v>
                </c:pt>
                <c:pt idx="224">
                  <c:v>152.5</c:v>
                </c:pt>
                <c:pt idx="225">
                  <c:v>170</c:v>
                </c:pt>
                <c:pt idx="226">
                  <c:v>137.5</c:v>
                </c:pt>
                <c:pt idx="227">
                  <c:v>110</c:v>
                </c:pt>
                <c:pt idx="228">
                  <c:v>172.5</c:v>
                </c:pt>
                <c:pt idx="229">
                  <c:v>162.5</c:v>
                </c:pt>
                <c:pt idx="230">
                  <c:v>167.5</c:v>
                </c:pt>
                <c:pt idx="231">
                  <c:v>117.5</c:v>
                </c:pt>
                <c:pt idx="232">
                  <c:v>162.5</c:v>
                </c:pt>
                <c:pt idx="233">
                  <c:v>152.5</c:v>
                </c:pt>
                <c:pt idx="234">
                  <c:v>168</c:v>
                </c:pt>
                <c:pt idx="235">
                  <c:v>131.5</c:v>
                </c:pt>
                <c:pt idx="236">
                  <c:v>130</c:v>
                </c:pt>
                <c:pt idx="237">
                  <c:v>155</c:v>
                </c:pt>
                <c:pt idx="238">
                  <c:v>150</c:v>
                </c:pt>
                <c:pt idx="239">
                  <c:v>180</c:v>
                </c:pt>
                <c:pt idx="240">
                  <c:v>97.5</c:v>
                </c:pt>
                <c:pt idx="241">
                  <c:v>152.5</c:v>
                </c:pt>
                <c:pt idx="242">
                  <c:v>135</c:v>
                </c:pt>
                <c:pt idx="243">
                  <c:v>165</c:v>
                </c:pt>
                <c:pt idx="244">
                  <c:v>77.5</c:v>
                </c:pt>
                <c:pt idx="245">
                  <c:v>142.5</c:v>
                </c:pt>
                <c:pt idx="246">
                  <c:v>182.5</c:v>
                </c:pt>
                <c:pt idx="247">
                  <c:v>150</c:v>
                </c:pt>
                <c:pt idx="248">
                  <c:v>105</c:v>
                </c:pt>
                <c:pt idx="249">
                  <c:v>140</c:v>
                </c:pt>
                <c:pt idx="250">
                  <c:v>165.5</c:v>
                </c:pt>
                <c:pt idx="251">
                  <c:v>142.5</c:v>
                </c:pt>
                <c:pt idx="252">
                  <c:v>177.5</c:v>
                </c:pt>
                <c:pt idx="253">
                  <c:v>157.5</c:v>
                </c:pt>
                <c:pt idx="254">
                  <c:v>170</c:v>
                </c:pt>
                <c:pt idx="255">
                  <c:v>160</c:v>
                </c:pt>
                <c:pt idx="256">
                  <c:v>120</c:v>
                </c:pt>
                <c:pt idx="257">
                  <c:v>171.5</c:v>
                </c:pt>
                <c:pt idx="258">
                  <c:v>181</c:v>
                </c:pt>
                <c:pt idx="259">
                  <c:v>157.5</c:v>
                </c:pt>
                <c:pt idx="260">
                  <c:v>175</c:v>
                </c:pt>
                <c:pt idx="261">
                  <c:v>152.5</c:v>
                </c:pt>
                <c:pt idx="262">
                  <c:v>177.5</c:v>
                </c:pt>
                <c:pt idx="263">
                  <c:v>162.5</c:v>
                </c:pt>
                <c:pt idx="264">
                  <c:v>130.5</c:v>
                </c:pt>
                <c:pt idx="265">
                  <c:v>107.5</c:v>
                </c:pt>
                <c:pt idx="266">
                  <c:v>192.5</c:v>
                </c:pt>
                <c:pt idx="267">
                  <c:v>160</c:v>
                </c:pt>
                <c:pt idx="268">
                  <c:v>188</c:v>
                </c:pt>
                <c:pt idx="269">
                  <c:v>180</c:v>
                </c:pt>
                <c:pt idx="270">
                  <c:v>190</c:v>
                </c:pt>
                <c:pt idx="271">
                  <c:v>175</c:v>
                </c:pt>
                <c:pt idx="272">
                  <c:v>190</c:v>
                </c:pt>
                <c:pt idx="273">
                  <c:v>177.5</c:v>
                </c:pt>
                <c:pt idx="274">
                  <c:v>192.5</c:v>
                </c:pt>
                <c:pt idx="275">
                  <c:v>218</c:v>
                </c:pt>
                <c:pt idx="276">
                  <c:v>205</c:v>
                </c:pt>
                <c:pt idx="277">
                  <c:v>227</c:v>
                </c:pt>
                <c:pt idx="278">
                  <c:v>142.5</c:v>
                </c:pt>
                <c:pt idx="279">
                  <c:v>92.5</c:v>
                </c:pt>
                <c:pt idx="280">
                  <c:v>170</c:v>
                </c:pt>
                <c:pt idx="281">
                  <c:v>172.5</c:v>
                </c:pt>
                <c:pt idx="282">
                  <c:v>172.5</c:v>
                </c:pt>
                <c:pt idx="283">
                  <c:v>181.5</c:v>
                </c:pt>
              </c:numCache>
            </c:numRef>
          </c:xVal>
          <c:yVal>
            <c:numRef>
              <c:f>'Data Squat'!$E$1090:$E$1373</c:f>
              <c:numCache>
                <c:formatCode>General</c:formatCode>
                <c:ptCount val="284"/>
                <c:pt idx="0">
                  <c:v>185</c:v>
                </c:pt>
                <c:pt idx="1">
                  <c:v>152.5</c:v>
                </c:pt>
                <c:pt idx="2">
                  <c:v>195</c:v>
                </c:pt>
                <c:pt idx="3">
                  <c:v>150</c:v>
                </c:pt>
                <c:pt idx="4">
                  <c:v>185</c:v>
                </c:pt>
                <c:pt idx="5">
                  <c:v>182.5</c:v>
                </c:pt>
                <c:pt idx="6">
                  <c:v>175</c:v>
                </c:pt>
                <c:pt idx="7">
                  <c:v>190</c:v>
                </c:pt>
                <c:pt idx="8">
                  <c:v>190</c:v>
                </c:pt>
                <c:pt idx="9">
                  <c:v>172.5</c:v>
                </c:pt>
                <c:pt idx="10">
                  <c:v>222.5</c:v>
                </c:pt>
                <c:pt idx="11">
                  <c:v>100</c:v>
                </c:pt>
                <c:pt idx="12">
                  <c:v>215</c:v>
                </c:pt>
                <c:pt idx="13">
                  <c:v>162.5</c:v>
                </c:pt>
                <c:pt idx="14">
                  <c:v>97.5</c:v>
                </c:pt>
                <c:pt idx="15">
                  <c:v>165</c:v>
                </c:pt>
                <c:pt idx="16">
                  <c:v>190</c:v>
                </c:pt>
                <c:pt idx="17">
                  <c:v>195</c:v>
                </c:pt>
                <c:pt idx="18">
                  <c:v>220</c:v>
                </c:pt>
                <c:pt idx="19">
                  <c:v>187.5</c:v>
                </c:pt>
                <c:pt idx="20">
                  <c:v>212.5</c:v>
                </c:pt>
                <c:pt idx="21">
                  <c:v>155</c:v>
                </c:pt>
                <c:pt idx="22">
                  <c:v>175</c:v>
                </c:pt>
                <c:pt idx="23">
                  <c:v>200</c:v>
                </c:pt>
                <c:pt idx="24">
                  <c:v>205</c:v>
                </c:pt>
                <c:pt idx="25">
                  <c:v>132.5</c:v>
                </c:pt>
                <c:pt idx="26">
                  <c:v>132.5</c:v>
                </c:pt>
                <c:pt idx="27">
                  <c:v>142.5</c:v>
                </c:pt>
                <c:pt idx="28">
                  <c:v>162.5</c:v>
                </c:pt>
                <c:pt idx="29">
                  <c:v>182.5</c:v>
                </c:pt>
                <c:pt idx="30">
                  <c:v>197.5</c:v>
                </c:pt>
                <c:pt idx="31">
                  <c:v>222.5</c:v>
                </c:pt>
                <c:pt idx="32">
                  <c:v>232.5</c:v>
                </c:pt>
                <c:pt idx="33">
                  <c:v>185</c:v>
                </c:pt>
                <c:pt idx="34">
                  <c:v>165</c:v>
                </c:pt>
                <c:pt idx="35">
                  <c:v>165</c:v>
                </c:pt>
                <c:pt idx="36">
                  <c:v>135</c:v>
                </c:pt>
                <c:pt idx="37">
                  <c:v>227.5</c:v>
                </c:pt>
                <c:pt idx="38">
                  <c:v>192.5</c:v>
                </c:pt>
                <c:pt idx="39">
                  <c:v>240</c:v>
                </c:pt>
                <c:pt idx="40">
                  <c:v>235</c:v>
                </c:pt>
                <c:pt idx="41">
                  <c:v>220</c:v>
                </c:pt>
                <c:pt idx="42">
                  <c:v>180</c:v>
                </c:pt>
                <c:pt idx="43">
                  <c:v>175</c:v>
                </c:pt>
                <c:pt idx="44">
                  <c:v>165</c:v>
                </c:pt>
                <c:pt idx="45">
                  <c:v>150</c:v>
                </c:pt>
                <c:pt idx="46">
                  <c:v>150</c:v>
                </c:pt>
                <c:pt idx="47">
                  <c:v>140</c:v>
                </c:pt>
                <c:pt idx="48">
                  <c:v>197.5</c:v>
                </c:pt>
                <c:pt idx="49">
                  <c:v>125</c:v>
                </c:pt>
                <c:pt idx="50">
                  <c:v>182.5</c:v>
                </c:pt>
                <c:pt idx="51">
                  <c:v>177.5</c:v>
                </c:pt>
                <c:pt idx="52">
                  <c:v>230</c:v>
                </c:pt>
                <c:pt idx="53">
                  <c:v>162.5</c:v>
                </c:pt>
                <c:pt idx="54">
                  <c:v>232.5</c:v>
                </c:pt>
                <c:pt idx="55">
                  <c:v>180</c:v>
                </c:pt>
                <c:pt idx="56">
                  <c:v>170</c:v>
                </c:pt>
                <c:pt idx="57">
                  <c:v>155</c:v>
                </c:pt>
                <c:pt idx="58">
                  <c:v>155</c:v>
                </c:pt>
                <c:pt idx="59">
                  <c:v>150</c:v>
                </c:pt>
                <c:pt idx="60">
                  <c:v>252.5</c:v>
                </c:pt>
                <c:pt idx="61">
                  <c:v>177.5</c:v>
                </c:pt>
                <c:pt idx="62">
                  <c:v>210</c:v>
                </c:pt>
                <c:pt idx="63">
                  <c:v>167.5</c:v>
                </c:pt>
                <c:pt idx="64">
                  <c:v>200</c:v>
                </c:pt>
                <c:pt idx="65">
                  <c:v>162.5</c:v>
                </c:pt>
                <c:pt idx="66">
                  <c:v>162.5</c:v>
                </c:pt>
                <c:pt idx="67">
                  <c:v>185</c:v>
                </c:pt>
                <c:pt idx="68">
                  <c:v>120</c:v>
                </c:pt>
                <c:pt idx="69">
                  <c:v>142.5</c:v>
                </c:pt>
                <c:pt idx="70">
                  <c:v>137.5</c:v>
                </c:pt>
                <c:pt idx="71">
                  <c:v>182.5</c:v>
                </c:pt>
                <c:pt idx="72">
                  <c:v>205</c:v>
                </c:pt>
                <c:pt idx="73">
                  <c:v>172.5</c:v>
                </c:pt>
                <c:pt idx="74">
                  <c:v>195</c:v>
                </c:pt>
                <c:pt idx="75">
                  <c:v>167.5</c:v>
                </c:pt>
                <c:pt idx="76">
                  <c:v>167.5</c:v>
                </c:pt>
                <c:pt idx="77">
                  <c:v>167.5</c:v>
                </c:pt>
                <c:pt idx="78">
                  <c:v>185</c:v>
                </c:pt>
                <c:pt idx="79">
                  <c:v>157.5</c:v>
                </c:pt>
                <c:pt idx="80">
                  <c:v>225</c:v>
                </c:pt>
                <c:pt idx="81">
                  <c:v>175</c:v>
                </c:pt>
                <c:pt idx="82">
                  <c:v>175</c:v>
                </c:pt>
                <c:pt idx="83">
                  <c:v>170</c:v>
                </c:pt>
                <c:pt idx="84">
                  <c:v>170</c:v>
                </c:pt>
                <c:pt idx="85">
                  <c:v>165</c:v>
                </c:pt>
                <c:pt idx="86">
                  <c:v>165</c:v>
                </c:pt>
                <c:pt idx="87">
                  <c:v>222.5</c:v>
                </c:pt>
                <c:pt idx="88">
                  <c:v>160</c:v>
                </c:pt>
                <c:pt idx="89">
                  <c:v>160</c:v>
                </c:pt>
                <c:pt idx="90">
                  <c:v>275</c:v>
                </c:pt>
                <c:pt idx="91">
                  <c:v>172.5</c:v>
                </c:pt>
                <c:pt idx="92">
                  <c:v>172.5</c:v>
                </c:pt>
                <c:pt idx="93">
                  <c:v>190</c:v>
                </c:pt>
                <c:pt idx="94">
                  <c:v>207.5</c:v>
                </c:pt>
                <c:pt idx="95">
                  <c:v>150</c:v>
                </c:pt>
                <c:pt idx="96">
                  <c:v>167.5</c:v>
                </c:pt>
                <c:pt idx="97">
                  <c:v>255</c:v>
                </c:pt>
                <c:pt idx="98">
                  <c:v>197.5</c:v>
                </c:pt>
                <c:pt idx="99">
                  <c:v>70</c:v>
                </c:pt>
                <c:pt idx="100">
                  <c:v>222.5</c:v>
                </c:pt>
                <c:pt idx="101">
                  <c:v>205</c:v>
                </c:pt>
                <c:pt idx="102">
                  <c:v>170</c:v>
                </c:pt>
                <c:pt idx="103">
                  <c:v>200</c:v>
                </c:pt>
                <c:pt idx="104">
                  <c:v>165</c:v>
                </c:pt>
                <c:pt idx="105">
                  <c:v>260</c:v>
                </c:pt>
                <c:pt idx="106">
                  <c:v>225</c:v>
                </c:pt>
                <c:pt idx="107">
                  <c:v>160</c:v>
                </c:pt>
                <c:pt idx="108">
                  <c:v>207.5</c:v>
                </c:pt>
                <c:pt idx="109">
                  <c:v>255</c:v>
                </c:pt>
                <c:pt idx="110">
                  <c:v>190</c:v>
                </c:pt>
                <c:pt idx="111">
                  <c:v>172.5</c:v>
                </c:pt>
                <c:pt idx="112">
                  <c:v>155</c:v>
                </c:pt>
                <c:pt idx="113">
                  <c:v>262.5</c:v>
                </c:pt>
                <c:pt idx="114">
                  <c:v>215</c:v>
                </c:pt>
                <c:pt idx="115">
                  <c:v>180</c:v>
                </c:pt>
                <c:pt idx="116">
                  <c:v>235</c:v>
                </c:pt>
                <c:pt idx="117">
                  <c:v>277.5</c:v>
                </c:pt>
                <c:pt idx="118">
                  <c:v>175</c:v>
                </c:pt>
                <c:pt idx="119">
                  <c:v>247.5</c:v>
                </c:pt>
                <c:pt idx="120">
                  <c:v>145</c:v>
                </c:pt>
                <c:pt idx="121">
                  <c:v>212.5</c:v>
                </c:pt>
                <c:pt idx="122">
                  <c:v>237.5</c:v>
                </c:pt>
                <c:pt idx="123">
                  <c:v>152.5</c:v>
                </c:pt>
                <c:pt idx="124">
                  <c:v>207.5</c:v>
                </c:pt>
                <c:pt idx="125">
                  <c:v>160</c:v>
                </c:pt>
                <c:pt idx="126">
                  <c:v>160</c:v>
                </c:pt>
                <c:pt idx="127">
                  <c:v>265</c:v>
                </c:pt>
                <c:pt idx="128">
                  <c:v>155</c:v>
                </c:pt>
                <c:pt idx="129">
                  <c:v>268</c:v>
                </c:pt>
                <c:pt idx="130">
                  <c:v>167.5</c:v>
                </c:pt>
                <c:pt idx="131">
                  <c:v>255</c:v>
                </c:pt>
                <c:pt idx="132">
                  <c:v>50</c:v>
                </c:pt>
                <c:pt idx="133">
                  <c:v>262.5</c:v>
                </c:pt>
                <c:pt idx="134">
                  <c:v>170</c:v>
                </c:pt>
                <c:pt idx="135">
                  <c:v>170</c:v>
                </c:pt>
                <c:pt idx="136">
                  <c:v>170</c:v>
                </c:pt>
                <c:pt idx="137">
                  <c:v>145</c:v>
                </c:pt>
                <c:pt idx="138">
                  <c:v>240</c:v>
                </c:pt>
                <c:pt idx="139">
                  <c:v>202.5</c:v>
                </c:pt>
                <c:pt idx="140">
                  <c:v>202.5</c:v>
                </c:pt>
                <c:pt idx="141">
                  <c:v>235</c:v>
                </c:pt>
                <c:pt idx="142">
                  <c:v>197.5</c:v>
                </c:pt>
                <c:pt idx="143">
                  <c:v>185</c:v>
                </c:pt>
                <c:pt idx="144">
                  <c:v>300</c:v>
                </c:pt>
                <c:pt idx="145">
                  <c:v>167.5</c:v>
                </c:pt>
                <c:pt idx="146">
                  <c:v>122.5</c:v>
                </c:pt>
                <c:pt idx="147">
                  <c:v>220</c:v>
                </c:pt>
                <c:pt idx="148">
                  <c:v>207.5</c:v>
                </c:pt>
                <c:pt idx="149">
                  <c:v>162.5</c:v>
                </c:pt>
                <c:pt idx="150">
                  <c:v>215</c:v>
                </c:pt>
                <c:pt idx="151">
                  <c:v>150</c:v>
                </c:pt>
                <c:pt idx="152">
                  <c:v>190</c:v>
                </c:pt>
                <c:pt idx="153">
                  <c:v>210</c:v>
                </c:pt>
                <c:pt idx="154">
                  <c:v>210</c:v>
                </c:pt>
                <c:pt idx="155">
                  <c:v>217.5</c:v>
                </c:pt>
                <c:pt idx="156">
                  <c:v>152.5</c:v>
                </c:pt>
                <c:pt idx="157">
                  <c:v>192.5</c:v>
                </c:pt>
                <c:pt idx="158">
                  <c:v>232.5</c:v>
                </c:pt>
                <c:pt idx="159">
                  <c:v>180</c:v>
                </c:pt>
                <c:pt idx="160">
                  <c:v>180</c:v>
                </c:pt>
                <c:pt idx="161">
                  <c:v>200</c:v>
                </c:pt>
                <c:pt idx="162">
                  <c:v>160</c:v>
                </c:pt>
                <c:pt idx="163">
                  <c:v>167.5</c:v>
                </c:pt>
                <c:pt idx="164">
                  <c:v>235</c:v>
                </c:pt>
                <c:pt idx="165">
                  <c:v>215</c:v>
                </c:pt>
                <c:pt idx="166">
                  <c:v>215</c:v>
                </c:pt>
                <c:pt idx="167">
                  <c:v>182.5</c:v>
                </c:pt>
                <c:pt idx="168">
                  <c:v>162.5</c:v>
                </c:pt>
                <c:pt idx="169">
                  <c:v>285</c:v>
                </c:pt>
                <c:pt idx="170">
                  <c:v>285</c:v>
                </c:pt>
                <c:pt idx="171">
                  <c:v>177.5</c:v>
                </c:pt>
                <c:pt idx="172">
                  <c:v>205</c:v>
                </c:pt>
                <c:pt idx="173">
                  <c:v>248</c:v>
                </c:pt>
                <c:pt idx="174">
                  <c:v>192.5</c:v>
                </c:pt>
                <c:pt idx="175">
                  <c:v>200</c:v>
                </c:pt>
                <c:pt idx="176">
                  <c:v>145</c:v>
                </c:pt>
                <c:pt idx="177">
                  <c:v>180</c:v>
                </c:pt>
                <c:pt idx="178">
                  <c:v>187.5</c:v>
                </c:pt>
                <c:pt idx="179">
                  <c:v>187.5</c:v>
                </c:pt>
                <c:pt idx="180">
                  <c:v>167.5</c:v>
                </c:pt>
                <c:pt idx="181">
                  <c:v>202.5</c:v>
                </c:pt>
                <c:pt idx="182">
                  <c:v>210</c:v>
                </c:pt>
                <c:pt idx="183">
                  <c:v>210</c:v>
                </c:pt>
                <c:pt idx="184">
                  <c:v>175</c:v>
                </c:pt>
                <c:pt idx="185">
                  <c:v>225</c:v>
                </c:pt>
                <c:pt idx="186">
                  <c:v>190</c:v>
                </c:pt>
                <c:pt idx="187">
                  <c:v>197.5</c:v>
                </c:pt>
                <c:pt idx="188">
                  <c:v>220</c:v>
                </c:pt>
                <c:pt idx="189">
                  <c:v>177.5</c:v>
                </c:pt>
                <c:pt idx="190">
                  <c:v>230</c:v>
                </c:pt>
                <c:pt idx="191">
                  <c:v>216</c:v>
                </c:pt>
                <c:pt idx="192">
                  <c:v>260</c:v>
                </c:pt>
                <c:pt idx="193">
                  <c:v>260</c:v>
                </c:pt>
                <c:pt idx="194">
                  <c:v>145</c:v>
                </c:pt>
                <c:pt idx="195">
                  <c:v>227.5</c:v>
                </c:pt>
                <c:pt idx="196">
                  <c:v>170</c:v>
                </c:pt>
                <c:pt idx="197">
                  <c:v>185</c:v>
                </c:pt>
                <c:pt idx="198">
                  <c:v>207.5</c:v>
                </c:pt>
                <c:pt idx="199">
                  <c:v>237.5</c:v>
                </c:pt>
                <c:pt idx="200">
                  <c:v>180</c:v>
                </c:pt>
                <c:pt idx="201">
                  <c:v>240</c:v>
                </c:pt>
                <c:pt idx="202">
                  <c:v>210</c:v>
                </c:pt>
                <c:pt idx="203">
                  <c:v>210</c:v>
                </c:pt>
                <c:pt idx="204">
                  <c:v>217.5</c:v>
                </c:pt>
                <c:pt idx="205">
                  <c:v>142.5</c:v>
                </c:pt>
                <c:pt idx="206">
                  <c:v>135</c:v>
                </c:pt>
                <c:pt idx="207">
                  <c:v>210</c:v>
                </c:pt>
                <c:pt idx="208">
                  <c:v>205</c:v>
                </c:pt>
                <c:pt idx="209">
                  <c:v>175</c:v>
                </c:pt>
                <c:pt idx="210">
                  <c:v>145</c:v>
                </c:pt>
                <c:pt idx="211">
                  <c:v>282.5</c:v>
                </c:pt>
                <c:pt idx="212">
                  <c:v>130</c:v>
                </c:pt>
                <c:pt idx="213">
                  <c:v>185</c:v>
                </c:pt>
                <c:pt idx="214">
                  <c:v>185</c:v>
                </c:pt>
                <c:pt idx="215">
                  <c:v>170</c:v>
                </c:pt>
                <c:pt idx="216">
                  <c:v>255</c:v>
                </c:pt>
                <c:pt idx="217">
                  <c:v>232.5</c:v>
                </c:pt>
                <c:pt idx="218">
                  <c:v>210</c:v>
                </c:pt>
                <c:pt idx="219">
                  <c:v>195</c:v>
                </c:pt>
                <c:pt idx="220">
                  <c:v>195</c:v>
                </c:pt>
                <c:pt idx="221">
                  <c:v>257.5</c:v>
                </c:pt>
                <c:pt idx="222">
                  <c:v>190</c:v>
                </c:pt>
                <c:pt idx="223">
                  <c:v>182.5</c:v>
                </c:pt>
                <c:pt idx="224">
                  <c:v>222.5</c:v>
                </c:pt>
                <c:pt idx="225">
                  <c:v>247.5</c:v>
                </c:pt>
                <c:pt idx="226">
                  <c:v>200</c:v>
                </c:pt>
                <c:pt idx="227">
                  <c:v>160</c:v>
                </c:pt>
                <c:pt idx="228">
                  <c:v>250</c:v>
                </c:pt>
                <c:pt idx="229">
                  <c:v>235.5</c:v>
                </c:pt>
                <c:pt idx="230">
                  <c:v>242.5</c:v>
                </c:pt>
                <c:pt idx="231">
                  <c:v>170</c:v>
                </c:pt>
                <c:pt idx="232">
                  <c:v>235</c:v>
                </c:pt>
                <c:pt idx="233">
                  <c:v>220</c:v>
                </c:pt>
                <c:pt idx="234">
                  <c:v>240.5</c:v>
                </c:pt>
                <c:pt idx="235">
                  <c:v>187.5</c:v>
                </c:pt>
                <c:pt idx="236">
                  <c:v>185</c:v>
                </c:pt>
                <c:pt idx="237">
                  <c:v>220</c:v>
                </c:pt>
                <c:pt idx="238">
                  <c:v>212.5</c:v>
                </c:pt>
                <c:pt idx="239">
                  <c:v>255</c:v>
                </c:pt>
                <c:pt idx="240">
                  <c:v>137.5</c:v>
                </c:pt>
                <c:pt idx="241">
                  <c:v>215</c:v>
                </c:pt>
                <c:pt idx="242">
                  <c:v>190</c:v>
                </c:pt>
                <c:pt idx="243">
                  <c:v>230</c:v>
                </c:pt>
                <c:pt idx="244">
                  <c:v>107.5</c:v>
                </c:pt>
                <c:pt idx="245">
                  <c:v>197.5</c:v>
                </c:pt>
                <c:pt idx="246">
                  <c:v>252.5</c:v>
                </c:pt>
                <c:pt idx="247">
                  <c:v>207.5</c:v>
                </c:pt>
                <c:pt idx="248">
                  <c:v>145</c:v>
                </c:pt>
                <c:pt idx="249">
                  <c:v>192.5</c:v>
                </c:pt>
                <c:pt idx="250">
                  <c:v>227.5</c:v>
                </c:pt>
                <c:pt idx="251">
                  <c:v>195</c:v>
                </c:pt>
                <c:pt idx="252">
                  <c:v>242.5</c:v>
                </c:pt>
                <c:pt idx="253">
                  <c:v>215</c:v>
                </c:pt>
                <c:pt idx="254">
                  <c:v>230</c:v>
                </c:pt>
                <c:pt idx="255">
                  <c:v>215</c:v>
                </c:pt>
                <c:pt idx="256">
                  <c:v>160</c:v>
                </c:pt>
                <c:pt idx="257">
                  <c:v>227.5</c:v>
                </c:pt>
                <c:pt idx="258">
                  <c:v>240</c:v>
                </c:pt>
                <c:pt idx="259">
                  <c:v>207.5</c:v>
                </c:pt>
                <c:pt idx="260">
                  <c:v>230</c:v>
                </c:pt>
                <c:pt idx="261">
                  <c:v>200</c:v>
                </c:pt>
                <c:pt idx="262">
                  <c:v>232.5</c:v>
                </c:pt>
                <c:pt idx="263">
                  <c:v>212.5</c:v>
                </c:pt>
                <c:pt idx="264">
                  <c:v>170</c:v>
                </c:pt>
                <c:pt idx="265">
                  <c:v>140</c:v>
                </c:pt>
                <c:pt idx="266">
                  <c:v>250</c:v>
                </c:pt>
                <c:pt idx="267">
                  <c:v>205</c:v>
                </c:pt>
                <c:pt idx="268">
                  <c:v>240</c:v>
                </c:pt>
                <c:pt idx="269">
                  <c:v>227.5</c:v>
                </c:pt>
                <c:pt idx="270">
                  <c:v>240</c:v>
                </c:pt>
                <c:pt idx="271">
                  <c:v>220</c:v>
                </c:pt>
                <c:pt idx="272">
                  <c:v>232.5</c:v>
                </c:pt>
                <c:pt idx="273">
                  <c:v>215</c:v>
                </c:pt>
                <c:pt idx="274">
                  <c:v>230</c:v>
                </c:pt>
                <c:pt idx="275">
                  <c:v>260</c:v>
                </c:pt>
                <c:pt idx="276">
                  <c:v>240</c:v>
                </c:pt>
                <c:pt idx="277">
                  <c:v>265</c:v>
                </c:pt>
                <c:pt idx="278">
                  <c:v>162.5</c:v>
                </c:pt>
                <c:pt idx="279">
                  <c:v>100</c:v>
                </c:pt>
                <c:pt idx="280">
                  <c:v>175</c:v>
                </c:pt>
                <c:pt idx="281">
                  <c:v>175</c:v>
                </c:pt>
                <c:pt idx="282">
                  <c:v>170</c:v>
                </c:pt>
                <c:pt idx="283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60-4B27-B7A7-DE8D62A18636}"/>
            </c:ext>
          </c:extLst>
        </c:ser>
        <c:ser>
          <c:idx val="1"/>
          <c:order val="4"/>
          <c:tx>
            <c:v>Women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Squat'!$F$402:$F$661</c:f>
              <c:numCache>
                <c:formatCode>General</c:formatCode>
                <c:ptCount val="260"/>
                <c:pt idx="0">
                  <c:v>40</c:v>
                </c:pt>
                <c:pt idx="1">
                  <c:v>75</c:v>
                </c:pt>
                <c:pt idx="2">
                  <c:v>42.5</c:v>
                </c:pt>
                <c:pt idx="3">
                  <c:v>87.5</c:v>
                </c:pt>
                <c:pt idx="4">
                  <c:v>40</c:v>
                </c:pt>
                <c:pt idx="5">
                  <c:v>102.5</c:v>
                </c:pt>
                <c:pt idx="6">
                  <c:v>102.5</c:v>
                </c:pt>
                <c:pt idx="7">
                  <c:v>52.5</c:v>
                </c:pt>
                <c:pt idx="8">
                  <c:v>70</c:v>
                </c:pt>
                <c:pt idx="9">
                  <c:v>77.5</c:v>
                </c:pt>
                <c:pt idx="10">
                  <c:v>67.5</c:v>
                </c:pt>
                <c:pt idx="11">
                  <c:v>70</c:v>
                </c:pt>
                <c:pt idx="12">
                  <c:v>70</c:v>
                </c:pt>
                <c:pt idx="13">
                  <c:v>75</c:v>
                </c:pt>
                <c:pt idx="14">
                  <c:v>72.5</c:v>
                </c:pt>
                <c:pt idx="15">
                  <c:v>85</c:v>
                </c:pt>
                <c:pt idx="16">
                  <c:v>60</c:v>
                </c:pt>
                <c:pt idx="17">
                  <c:v>92.5</c:v>
                </c:pt>
                <c:pt idx="18">
                  <c:v>65</c:v>
                </c:pt>
                <c:pt idx="19">
                  <c:v>112.5</c:v>
                </c:pt>
                <c:pt idx="20">
                  <c:v>82.5</c:v>
                </c:pt>
                <c:pt idx="21">
                  <c:v>95</c:v>
                </c:pt>
                <c:pt idx="22">
                  <c:v>55</c:v>
                </c:pt>
                <c:pt idx="23">
                  <c:v>55</c:v>
                </c:pt>
                <c:pt idx="24">
                  <c:v>112.5</c:v>
                </c:pt>
                <c:pt idx="25">
                  <c:v>77.5</c:v>
                </c:pt>
                <c:pt idx="26">
                  <c:v>80</c:v>
                </c:pt>
                <c:pt idx="27">
                  <c:v>85</c:v>
                </c:pt>
                <c:pt idx="28">
                  <c:v>82.5</c:v>
                </c:pt>
                <c:pt idx="29">
                  <c:v>55</c:v>
                </c:pt>
                <c:pt idx="30">
                  <c:v>45</c:v>
                </c:pt>
                <c:pt idx="31">
                  <c:v>55</c:v>
                </c:pt>
                <c:pt idx="32">
                  <c:v>95</c:v>
                </c:pt>
                <c:pt idx="33">
                  <c:v>65</c:v>
                </c:pt>
                <c:pt idx="34">
                  <c:v>80</c:v>
                </c:pt>
                <c:pt idx="35">
                  <c:v>100</c:v>
                </c:pt>
                <c:pt idx="36">
                  <c:v>85</c:v>
                </c:pt>
                <c:pt idx="37">
                  <c:v>72.5</c:v>
                </c:pt>
                <c:pt idx="38">
                  <c:v>110</c:v>
                </c:pt>
                <c:pt idx="39">
                  <c:v>102.5</c:v>
                </c:pt>
                <c:pt idx="40">
                  <c:v>92.5</c:v>
                </c:pt>
                <c:pt idx="41">
                  <c:v>75</c:v>
                </c:pt>
                <c:pt idx="42">
                  <c:v>72.5</c:v>
                </c:pt>
                <c:pt idx="43">
                  <c:v>72.5</c:v>
                </c:pt>
                <c:pt idx="44">
                  <c:v>92.5</c:v>
                </c:pt>
                <c:pt idx="45">
                  <c:v>85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75</c:v>
                </c:pt>
                <c:pt idx="50">
                  <c:v>97.5</c:v>
                </c:pt>
                <c:pt idx="51">
                  <c:v>72.5</c:v>
                </c:pt>
                <c:pt idx="52">
                  <c:v>67.5</c:v>
                </c:pt>
                <c:pt idx="53">
                  <c:v>65</c:v>
                </c:pt>
                <c:pt idx="54">
                  <c:v>65</c:v>
                </c:pt>
                <c:pt idx="55">
                  <c:v>97.5</c:v>
                </c:pt>
                <c:pt idx="56">
                  <c:v>77.5</c:v>
                </c:pt>
                <c:pt idx="57">
                  <c:v>77.5</c:v>
                </c:pt>
                <c:pt idx="58">
                  <c:v>75</c:v>
                </c:pt>
                <c:pt idx="59">
                  <c:v>75</c:v>
                </c:pt>
                <c:pt idx="60">
                  <c:v>70</c:v>
                </c:pt>
                <c:pt idx="61">
                  <c:v>87.5</c:v>
                </c:pt>
                <c:pt idx="62">
                  <c:v>85</c:v>
                </c:pt>
                <c:pt idx="63">
                  <c:v>67.5</c:v>
                </c:pt>
                <c:pt idx="64">
                  <c:v>50</c:v>
                </c:pt>
                <c:pt idx="65">
                  <c:v>65</c:v>
                </c:pt>
                <c:pt idx="66">
                  <c:v>65</c:v>
                </c:pt>
                <c:pt idx="67">
                  <c:v>80</c:v>
                </c:pt>
                <c:pt idx="68">
                  <c:v>110</c:v>
                </c:pt>
                <c:pt idx="69">
                  <c:v>62.5</c:v>
                </c:pt>
                <c:pt idx="70">
                  <c:v>62.5</c:v>
                </c:pt>
                <c:pt idx="71">
                  <c:v>77.5</c:v>
                </c:pt>
                <c:pt idx="72">
                  <c:v>92.5</c:v>
                </c:pt>
                <c:pt idx="73">
                  <c:v>60</c:v>
                </c:pt>
                <c:pt idx="74">
                  <c:v>87.5</c:v>
                </c:pt>
                <c:pt idx="75">
                  <c:v>72.5</c:v>
                </c:pt>
                <c:pt idx="76">
                  <c:v>85</c:v>
                </c:pt>
                <c:pt idx="77">
                  <c:v>85</c:v>
                </c:pt>
                <c:pt idx="78">
                  <c:v>70</c:v>
                </c:pt>
                <c:pt idx="79">
                  <c:v>55</c:v>
                </c:pt>
                <c:pt idx="80">
                  <c:v>55</c:v>
                </c:pt>
                <c:pt idx="81">
                  <c:v>80</c:v>
                </c:pt>
                <c:pt idx="82">
                  <c:v>80</c:v>
                </c:pt>
                <c:pt idx="83">
                  <c:v>105</c:v>
                </c:pt>
                <c:pt idx="84">
                  <c:v>75</c:v>
                </c:pt>
                <c:pt idx="85">
                  <c:v>85</c:v>
                </c:pt>
                <c:pt idx="86">
                  <c:v>82.5</c:v>
                </c:pt>
                <c:pt idx="87">
                  <c:v>70</c:v>
                </c:pt>
                <c:pt idx="88">
                  <c:v>70</c:v>
                </c:pt>
                <c:pt idx="89">
                  <c:v>67.5</c:v>
                </c:pt>
                <c:pt idx="90">
                  <c:v>67.5</c:v>
                </c:pt>
                <c:pt idx="91">
                  <c:v>77.5</c:v>
                </c:pt>
                <c:pt idx="92">
                  <c:v>65</c:v>
                </c:pt>
                <c:pt idx="93">
                  <c:v>75</c:v>
                </c:pt>
                <c:pt idx="94">
                  <c:v>52.5</c:v>
                </c:pt>
                <c:pt idx="95">
                  <c:v>72.5</c:v>
                </c:pt>
                <c:pt idx="96">
                  <c:v>80</c:v>
                </c:pt>
                <c:pt idx="97">
                  <c:v>110</c:v>
                </c:pt>
                <c:pt idx="98">
                  <c:v>72.5</c:v>
                </c:pt>
                <c:pt idx="99">
                  <c:v>90</c:v>
                </c:pt>
                <c:pt idx="100">
                  <c:v>70</c:v>
                </c:pt>
                <c:pt idx="101">
                  <c:v>102.5</c:v>
                </c:pt>
                <c:pt idx="102">
                  <c:v>85</c:v>
                </c:pt>
                <c:pt idx="103">
                  <c:v>92.5</c:v>
                </c:pt>
                <c:pt idx="104">
                  <c:v>145.5</c:v>
                </c:pt>
                <c:pt idx="105">
                  <c:v>75</c:v>
                </c:pt>
                <c:pt idx="106">
                  <c:v>82.5</c:v>
                </c:pt>
                <c:pt idx="107">
                  <c:v>57.5</c:v>
                </c:pt>
                <c:pt idx="108">
                  <c:v>65</c:v>
                </c:pt>
                <c:pt idx="109">
                  <c:v>65</c:v>
                </c:pt>
                <c:pt idx="110">
                  <c:v>72.5</c:v>
                </c:pt>
                <c:pt idx="111">
                  <c:v>72.5</c:v>
                </c:pt>
                <c:pt idx="112">
                  <c:v>80</c:v>
                </c:pt>
                <c:pt idx="113">
                  <c:v>127.5</c:v>
                </c:pt>
                <c:pt idx="114">
                  <c:v>87.5</c:v>
                </c:pt>
                <c:pt idx="115">
                  <c:v>105</c:v>
                </c:pt>
                <c:pt idx="116">
                  <c:v>75</c:v>
                </c:pt>
                <c:pt idx="117">
                  <c:v>75</c:v>
                </c:pt>
                <c:pt idx="118">
                  <c:v>82.5</c:v>
                </c:pt>
                <c:pt idx="119">
                  <c:v>100</c:v>
                </c:pt>
                <c:pt idx="120">
                  <c:v>100</c:v>
                </c:pt>
                <c:pt idx="121">
                  <c:v>85</c:v>
                </c:pt>
                <c:pt idx="122">
                  <c:v>70</c:v>
                </c:pt>
                <c:pt idx="123">
                  <c:v>70</c:v>
                </c:pt>
                <c:pt idx="124">
                  <c:v>62.5</c:v>
                </c:pt>
                <c:pt idx="125">
                  <c:v>55</c:v>
                </c:pt>
                <c:pt idx="126">
                  <c:v>110</c:v>
                </c:pt>
                <c:pt idx="127">
                  <c:v>75</c:v>
                </c:pt>
                <c:pt idx="128">
                  <c:v>95</c:v>
                </c:pt>
                <c:pt idx="129">
                  <c:v>67.5</c:v>
                </c:pt>
                <c:pt idx="130">
                  <c:v>67.5</c:v>
                </c:pt>
                <c:pt idx="131">
                  <c:v>87.5</c:v>
                </c:pt>
                <c:pt idx="132">
                  <c:v>60</c:v>
                </c:pt>
                <c:pt idx="133">
                  <c:v>100</c:v>
                </c:pt>
                <c:pt idx="134">
                  <c:v>52.5</c:v>
                </c:pt>
                <c:pt idx="135">
                  <c:v>85</c:v>
                </c:pt>
                <c:pt idx="136">
                  <c:v>85</c:v>
                </c:pt>
                <c:pt idx="137">
                  <c:v>97.5</c:v>
                </c:pt>
                <c:pt idx="138">
                  <c:v>77.5</c:v>
                </c:pt>
                <c:pt idx="139">
                  <c:v>77.5</c:v>
                </c:pt>
                <c:pt idx="140">
                  <c:v>45</c:v>
                </c:pt>
                <c:pt idx="141">
                  <c:v>102.5</c:v>
                </c:pt>
                <c:pt idx="142">
                  <c:v>82.5</c:v>
                </c:pt>
                <c:pt idx="143">
                  <c:v>107.5</c:v>
                </c:pt>
                <c:pt idx="144">
                  <c:v>62.5</c:v>
                </c:pt>
                <c:pt idx="145">
                  <c:v>92.5</c:v>
                </c:pt>
                <c:pt idx="146">
                  <c:v>80</c:v>
                </c:pt>
                <c:pt idx="147">
                  <c:v>80</c:v>
                </c:pt>
                <c:pt idx="148">
                  <c:v>67.5</c:v>
                </c:pt>
                <c:pt idx="149">
                  <c:v>85</c:v>
                </c:pt>
                <c:pt idx="150">
                  <c:v>115</c:v>
                </c:pt>
                <c:pt idx="151">
                  <c:v>72.5</c:v>
                </c:pt>
                <c:pt idx="152">
                  <c:v>60</c:v>
                </c:pt>
                <c:pt idx="153">
                  <c:v>60</c:v>
                </c:pt>
                <c:pt idx="154">
                  <c:v>90</c:v>
                </c:pt>
                <c:pt idx="155">
                  <c:v>107.5</c:v>
                </c:pt>
                <c:pt idx="156">
                  <c:v>107.5</c:v>
                </c:pt>
                <c:pt idx="157">
                  <c:v>77.5</c:v>
                </c:pt>
                <c:pt idx="158">
                  <c:v>95</c:v>
                </c:pt>
                <c:pt idx="159">
                  <c:v>112.5</c:v>
                </c:pt>
                <c:pt idx="160">
                  <c:v>65</c:v>
                </c:pt>
                <c:pt idx="161">
                  <c:v>82.5</c:v>
                </c:pt>
                <c:pt idx="162">
                  <c:v>82.5</c:v>
                </c:pt>
                <c:pt idx="163">
                  <c:v>70</c:v>
                </c:pt>
                <c:pt idx="164">
                  <c:v>52.5</c:v>
                </c:pt>
                <c:pt idx="165">
                  <c:v>125</c:v>
                </c:pt>
                <c:pt idx="166">
                  <c:v>112.5</c:v>
                </c:pt>
                <c:pt idx="167">
                  <c:v>67.5</c:v>
                </c:pt>
                <c:pt idx="168">
                  <c:v>95</c:v>
                </c:pt>
                <c:pt idx="169">
                  <c:v>60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127.5</c:v>
                </c:pt>
                <c:pt idx="174">
                  <c:v>90</c:v>
                </c:pt>
                <c:pt idx="175">
                  <c:v>95</c:v>
                </c:pt>
                <c:pt idx="176">
                  <c:v>105</c:v>
                </c:pt>
                <c:pt idx="177">
                  <c:v>67.5</c:v>
                </c:pt>
                <c:pt idx="178">
                  <c:v>135</c:v>
                </c:pt>
                <c:pt idx="179">
                  <c:v>72.5</c:v>
                </c:pt>
                <c:pt idx="180">
                  <c:v>122.5</c:v>
                </c:pt>
                <c:pt idx="181">
                  <c:v>92.5</c:v>
                </c:pt>
                <c:pt idx="182">
                  <c:v>102.5</c:v>
                </c:pt>
                <c:pt idx="183">
                  <c:v>122.5</c:v>
                </c:pt>
                <c:pt idx="184">
                  <c:v>95</c:v>
                </c:pt>
                <c:pt idx="185">
                  <c:v>90</c:v>
                </c:pt>
                <c:pt idx="186">
                  <c:v>70</c:v>
                </c:pt>
                <c:pt idx="187">
                  <c:v>70</c:v>
                </c:pt>
                <c:pt idx="188">
                  <c:v>80</c:v>
                </c:pt>
                <c:pt idx="189">
                  <c:v>107.5</c:v>
                </c:pt>
                <c:pt idx="190">
                  <c:v>72.5</c:v>
                </c:pt>
                <c:pt idx="191">
                  <c:v>72.5</c:v>
                </c:pt>
                <c:pt idx="192">
                  <c:v>120</c:v>
                </c:pt>
                <c:pt idx="193">
                  <c:v>115</c:v>
                </c:pt>
                <c:pt idx="194">
                  <c:v>110</c:v>
                </c:pt>
                <c:pt idx="195">
                  <c:v>135.5</c:v>
                </c:pt>
                <c:pt idx="196">
                  <c:v>90</c:v>
                </c:pt>
                <c:pt idx="197">
                  <c:v>75</c:v>
                </c:pt>
                <c:pt idx="198">
                  <c:v>97.5</c:v>
                </c:pt>
                <c:pt idx="199">
                  <c:v>65</c:v>
                </c:pt>
                <c:pt idx="200">
                  <c:v>136</c:v>
                </c:pt>
                <c:pt idx="201">
                  <c:v>50</c:v>
                </c:pt>
                <c:pt idx="202">
                  <c:v>80</c:v>
                </c:pt>
                <c:pt idx="203">
                  <c:v>75</c:v>
                </c:pt>
                <c:pt idx="204">
                  <c:v>87.5</c:v>
                </c:pt>
                <c:pt idx="205">
                  <c:v>87.5</c:v>
                </c:pt>
                <c:pt idx="206">
                  <c:v>105</c:v>
                </c:pt>
                <c:pt idx="207">
                  <c:v>95</c:v>
                </c:pt>
                <c:pt idx="208">
                  <c:v>77.5</c:v>
                </c:pt>
                <c:pt idx="209">
                  <c:v>85</c:v>
                </c:pt>
                <c:pt idx="210">
                  <c:v>85</c:v>
                </c:pt>
                <c:pt idx="211">
                  <c:v>92.5</c:v>
                </c:pt>
                <c:pt idx="212">
                  <c:v>50</c:v>
                </c:pt>
                <c:pt idx="213">
                  <c:v>75</c:v>
                </c:pt>
                <c:pt idx="214">
                  <c:v>115</c:v>
                </c:pt>
                <c:pt idx="215">
                  <c:v>90</c:v>
                </c:pt>
                <c:pt idx="216">
                  <c:v>110</c:v>
                </c:pt>
                <c:pt idx="217">
                  <c:v>97.5</c:v>
                </c:pt>
                <c:pt idx="218">
                  <c:v>65</c:v>
                </c:pt>
                <c:pt idx="219">
                  <c:v>72.5</c:v>
                </c:pt>
                <c:pt idx="220">
                  <c:v>100</c:v>
                </c:pt>
                <c:pt idx="221">
                  <c:v>80</c:v>
                </c:pt>
                <c:pt idx="222">
                  <c:v>87.5</c:v>
                </c:pt>
                <c:pt idx="223">
                  <c:v>95</c:v>
                </c:pt>
                <c:pt idx="224">
                  <c:v>75</c:v>
                </c:pt>
                <c:pt idx="225">
                  <c:v>102.5</c:v>
                </c:pt>
                <c:pt idx="226">
                  <c:v>105</c:v>
                </c:pt>
                <c:pt idx="227">
                  <c:v>105</c:v>
                </c:pt>
                <c:pt idx="228">
                  <c:v>82.5</c:v>
                </c:pt>
                <c:pt idx="229">
                  <c:v>112.5</c:v>
                </c:pt>
                <c:pt idx="230">
                  <c:v>52.5</c:v>
                </c:pt>
                <c:pt idx="231">
                  <c:v>82.5</c:v>
                </c:pt>
                <c:pt idx="232">
                  <c:v>107.5</c:v>
                </c:pt>
                <c:pt idx="233">
                  <c:v>85</c:v>
                </c:pt>
                <c:pt idx="234">
                  <c:v>70</c:v>
                </c:pt>
                <c:pt idx="235">
                  <c:v>117.5</c:v>
                </c:pt>
                <c:pt idx="236">
                  <c:v>80</c:v>
                </c:pt>
                <c:pt idx="237">
                  <c:v>65</c:v>
                </c:pt>
                <c:pt idx="238">
                  <c:v>90.5</c:v>
                </c:pt>
                <c:pt idx="239">
                  <c:v>77.5</c:v>
                </c:pt>
                <c:pt idx="240">
                  <c:v>112.5</c:v>
                </c:pt>
                <c:pt idx="241">
                  <c:v>70</c:v>
                </c:pt>
                <c:pt idx="242">
                  <c:v>97.5</c:v>
                </c:pt>
                <c:pt idx="243">
                  <c:v>80</c:v>
                </c:pt>
                <c:pt idx="244">
                  <c:v>90</c:v>
                </c:pt>
                <c:pt idx="245">
                  <c:v>90</c:v>
                </c:pt>
                <c:pt idx="246">
                  <c:v>72.5</c:v>
                </c:pt>
                <c:pt idx="247">
                  <c:v>92.5</c:v>
                </c:pt>
                <c:pt idx="248">
                  <c:v>75</c:v>
                </c:pt>
                <c:pt idx="249">
                  <c:v>91</c:v>
                </c:pt>
                <c:pt idx="250">
                  <c:v>57.5</c:v>
                </c:pt>
                <c:pt idx="251">
                  <c:v>90</c:v>
                </c:pt>
                <c:pt idx="252">
                  <c:v>90</c:v>
                </c:pt>
                <c:pt idx="253">
                  <c:v>72.5</c:v>
                </c:pt>
                <c:pt idx="254">
                  <c:v>91.5</c:v>
                </c:pt>
                <c:pt idx="255">
                  <c:v>112.5</c:v>
                </c:pt>
                <c:pt idx="256">
                  <c:v>110</c:v>
                </c:pt>
                <c:pt idx="257">
                  <c:v>132.5</c:v>
                </c:pt>
                <c:pt idx="258">
                  <c:v>137.5</c:v>
                </c:pt>
                <c:pt idx="259">
                  <c:v>140.5</c:v>
                </c:pt>
              </c:numCache>
            </c:numRef>
          </c:xVal>
          <c:yVal>
            <c:numRef>
              <c:f>'Data Squat'!$E$402:$E$661</c:f>
              <c:numCache>
                <c:formatCode>General</c:formatCode>
                <c:ptCount val="260"/>
                <c:pt idx="0">
                  <c:v>105</c:v>
                </c:pt>
                <c:pt idx="1">
                  <c:v>192.5</c:v>
                </c:pt>
                <c:pt idx="2">
                  <c:v>105</c:v>
                </c:pt>
                <c:pt idx="3">
                  <c:v>212.5</c:v>
                </c:pt>
                <c:pt idx="4">
                  <c:v>90</c:v>
                </c:pt>
                <c:pt idx="5">
                  <c:v>230.5</c:v>
                </c:pt>
                <c:pt idx="6">
                  <c:v>230</c:v>
                </c:pt>
                <c:pt idx="7">
                  <c:v>115</c:v>
                </c:pt>
                <c:pt idx="8">
                  <c:v>152.5</c:v>
                </c:pt>
                <c:pt idx="9">
                  <c:v>167.5</c:v>
                </c:pt>
                <c:pt idx="10">
                  <c:v>145</c:v>
                </c:pt>
                <c:pt idx="11">
                  <c:v>150</c:v>
                </c:pt>
                <c:pt idx="12">
                  <c:v>150</c:v>
                </c:pt>
                <c:pt idx="13">
                  <c:v>160</c:v>
                </c:pt>
                <c:pt idx="14">
                  <c:v>152.5</c:v>
                </c:pt>
                <c:pt idx="15">
                  <c:v>177.5</c:v>
                </c:pt>
                <c:pt idx="16">
                  <c:v>125</c:v>
                </c:pt>
                <c:pt idx="17">
                  <c:v>192.5</c:v>
                </c:pt>
                <c:pt idx="18">
                  <c:v>135</c:v>
                </c:pt>
                <c:pt idx="19">
                  <c:v>232.5</c:v>
                </c:pt>
                <c:pt idx="20">
                  <c:v>170</c:v>
                </c:pt>
                <c:pt idx="21">
                  <c:v>195</c:v>
                </c:pt>
                <c:pt idx="22">
                  <c:v>112.5</c:v>
                </c:pt>
                <c:pt idx="23">
                  <c:v>112.5</c:v>
                </c:pt>
                <c:pt idx="24">
                  <c:v>230</c:v>
                </c:pt>
                <c:pt idx="25">
                  <c:v>157.5</c:v>
                </c:pt>
                <c:pt idx="26">
                  <c:v>162.5</c:v>
                </c:pt>
                <c:pt idx="27">
                  <c:v>172.5</c:v>
                </c:pt>
                <c:pt idx="28">
                  <c:v>165</c:v>
                </c:pt>
                <c:pt idx="29">
                  <c:v>110</c:v>
                </c:pt>
                <c:pt idx="30">
                  <c:v>90</c:v>
                </c:pt>
                <c:pt idx="31">
                  <c:v>110</c:v>
                </c:pt>
                <c:pt idx="32">
                  <c:v>190</c:v>
                </c:pt>
                <c:pt idx="33">
                  <c:v>130</c:v>
                </c:pt>
                <c:pt idx="34">
                  <c:v>160</c:v>
                </c:pt>
                <c:pt idx="35">
                  <c:v>197.5</c:v>
                </c:pt>
                <c:pt idx="36">
                  <c:v>167.5</c:v>
                </c:pt>
                <c:pt idx="37">
                  <c:v>142.5</c:v>
                </c:pt>
                <c:pt idx="38">
                  <c:v>215</c:v>
                </c:pt>
                <c:pt idx="39">
                  <c:v>200</c:v>
                </c:pt>
                <c:pt idx="40">
                  <c:v>180</c:v>
                </c:pt>
                <c:pt idx="41">
                  <c:v>145</c:v>
                </c:pt>
                <c:pt idx="42">
                  <c:v>140</c:v>
                </c:pt>
                <c:pt idx="43">
                  <c:v>140</c:v>
                </c:pt>
                <c:pt idx="44">
                  <c:v>177.5</c:v>
                </c:pt>
                <c:pt idx="45">
                  <c:v>162.5</c:v>
                </c:pt>
                <c:pt idx="46">
                  <c:v>152.5</c:v>
                </c:pt>
                <c:pt idx="47">
                  <c:v>152.5</c:v>
                </c:pt>
                <c:pt idx="48">
                  <c:v>152.5</c:v>
                </c:pt>
                <c:pt idx="49">
                  <c:v>142.5</c:v>
                </c:pt>
                <c:pt idx="50">
                  <c:v>185</c:v>
                </c:pt>
                <c:pt idx="51">
                  <c:v>137.5</c:v>
                </c:pt>
                <c:pt idx="52">
                  <c:v>127.5</c:v>
                </c:pt>
                <c:pt idx="53">
                  <c:v>122.5</c:v>
                </c:pt>
                <c:pt idx="54">
                  <c:v>122.5</c:v>
                </c:pt>
                <c:pt idx="55">
                  <c:v>182.5</c:v>
                </c:pt>
                <c:pt idx="56">
                  <c:v>145</c:v>
                </c:pt>
                <c:pt idx="57">
                  <c:v>145</c:v>
                </c:pt>
                <c:pt idx="58">
                  <c:v>140</c:v>
                </c:pt>
                <c:pt idx="59">
                  <c:v>140</c:v>
                </c:pt>
                <c:pt idx="60">
                  <c:v>130</c:v>
                </c:pt>
                <c:pt idx="61">
                  <c:v>162.5</c:v>
                </c:pt>
                <c:pt idx="62">
                  <c:v>157.5</c:v>
                </c:pt>
                <c:pt idx="63">
                  <c:v>125</c:v>
                </c:pt>
                <c:pt idx="64">
                  <c:v>92.5</c:v>
                </c:pt>
                <c:pt idx="65">
                  <c:v>120</c:v>
                </c:pt>
                <c:pt idx="66">
                  <c:v>120</c:v>
                </c:pt>
                <c:pt idx="67">
                  <c:v>147.5</c:v>
                </c:pt>
                <c:pt idx="68">
                  <c:v>202.5</c:v>
                </c:pt>
                <c:pt idx="69">
                  <c:v>115</c:v>
                </c:pt>
                <c:pt idx="70">
                  <c:v>115</c:v>
                </c:pt>
                <c:pt idx="71">
                  <c:v>142.5</c:v>
                </c:pt>
                <c:pt idx="72">
                  <c:v>170</c:v>
                </c:pt>
                <c:pt idx="73">
                  <c:v>110</c:v>
                </c:pt>
                <c:pt idx="74">
                  <c:v>160</c:v>
                </c:pt>
                <c:pt idx="75">
                  <c:v>132.5</c:v>
                </c:pt>
                <c:pt idx="76">
                  <c:v>155</c:v>
                </c:pt>
                <c:pt idx="77">
                  <c:v>155</c:v>
                </c:pt>
                <c:pt idx="78">
                  <c:v>127.5</c:v>
                </c:pt>
                <c:pt idx="79">
                  <c:v>100</c:v>
                </c:pt>
                <c:pt idx="80">
                  <c:v>100</c:v>
                </c:pt>
                <c:pt idx="81">
                  <c:v>145</c:v>
                </c:pt>
                <c:pt idx="82">
                  <c:v>145</c:v>
                </c:pt>
                <c:pt idx="83">
                  <c:v>190</c:v>
                </c:pt>
                <c:pt idx="84">
                  <c:v>135</c:v>
                </c:pt>
                <c:pt idx="85">
                  <c:v>152.5</c:v>
                </c:pt>
                <c:pt idx="86">
                  <c:v>147.5</c:v>
                </c:pt>
                <c:pt idx="87">
                  <c:v>125</c:v>
                </c:pt>
                <c:pt idx="88">
                  <c:v>125</c:v>
                </c:pt>
                <c:pt idx="89">
                  <c:v>120</c:v>
                </c:pt>
                <c:pt idx="90">
                  <c:v>120</c:v>
                </c:pt>
                <c:pt idx="91">
                  <c:v>137.5</c:v>
                </c:pt>
                <c:pt idx="92">
                  <c:v>115</c:v>
                </c:pt>
                <c:pt idx="93">
                  <c:v>132.5</c:v>
                </c:pt>
                <c:pt idx="94">
                  <c:v>92.5</c:v>
                </c:pt>
                <c:pt idx="95">
                  <c:v>127.5</c:v>
                </c:pt>
                <c:pt idx="96">
                  <c:v>140</c:v>
                </c:pt>
                <c:pt idx="97">
                  <c:v>192.5</c:v>
                </c:pt>
                <c:pt idx="98">
                  <c:v>125</c:v>
                </c:pt>
                <c:pt idx="99">
                  <c:v>155</c:v>
                </c:pt>
                <c:pt idx="100">
                  <c:v>120</c:v>
                </c:pt>
                <c:pt idx="101">
                  <c:v>175</c:v>
                </c:pt>
                <c:pt idx="102">
                  <c:v>145</c:v>
                </c:pt>
                <c:pt idx="103">
                  <c:v>157.5</c:v>
                </c:pt>
                <c:pt idx="104">
                  <c:v>247.5</c:v>
                </c:pt>
                <c:pt idx="105">
                  <c:v>127.5</c:v>
                </c:pt>
                <c:pt idx="106">
                  <c:v>140</c:v>
                </c:pt>
                <c:pt idx="107">
                  <c:v>97.5</c:v>
                </c:pt>
                <c:pt idx="108">
                  <c:v>110</c:v>
                </c:pt>
                <c:pt idx="109">
                  <c:v>110</c:v>
                </c:pt>
                <c:pt idx="110">
                  <c:v>122.5</c:v>
                </c:pt>
                <c:pt idx="111">
                  <c:v>122.5</c:v>
                </c:pt>
                <c:pt idx="112">
                  <c:v>135</c:v>
                </c:pt>
                <c:pt idx="113">
                  <c:v>215</c:v>
                </c:pt>
                <c:pt idx="114">
                  <c:v>147.5</c:v>
                </c:pt>
                <c:pt idx="115">
                  <c:v>175</c:v>
                </c:pt>
                <c:pt idx="116">
                  <c:v>125</c:v>
                </c:pt>
                <c:pt idx="117">
                  <c:v>125</c:v>
                </c:pt>
                <c:pt idx="118">
                  <c:v>137.5</c:v>
                </c:pt>
                <c:pt idx="119">
                  <c:v>165</c:v>
                </c:pt>
                <c:pt idx="120">
                  <c:v>165</c:v>
                </c:pt>
                <c:pt idx="121">
                  <c:v>140</c:v>
                </c:pt>
                <c:pt idx="122">
                  <c:v>115</c:v>
                </c:pt>
                <c:pt idx="123">
                  <c:v>115</c:v>
                </c:pt>
                <c:pt idx="124">
                  <c:v>102.5</c:v>
                </c:pt>
                <c:pt idx="125">
                  <c:v>90</c:v>
                </c:pt>
                <c:pt idx="126">
                  <c:v>180</c:v>
                </c:pt>
                <c:pt idx="127">
                  <c:v>122.5</c:v>
                </c:pt>
                <c:pt idx="128">
                  <c:v>155</c:v>
                </c:pt>
                <c:pt idx="129">
                  <c:v>110</c:v>
                </c:pt>
                <c:pt idx="130">
                  <c:v>110</c:v>
                </c:pt>
                <c:pt idx="131">
                  <c:v>142.5</c:v>
                </c:pt>
                <c:pt idx="132">
                  <c:v>97.5</c:v>
                </c:pt>
                <c:pt idx="133">
                  <c:v>162.5</c:v>
                </c:pt>
                <c:pt idx="134">
                  <c:v>85</c:v>
                </c:pt>
                <c:pt idx="135">
                  <c:v>137.5</c:v>
                </c:pt>
                <c:pt idx="136">
                  <c:v>137.5</c:v>
                </c:pt>
                <c:pt idx="137">
                  <c:v>157.5</c:v>
                </c:pt>
                <c:pt idx="138">
                  <c:v>125</c:v>
                </c:pt>
                <c:pt idx="139">
                  <c:v>125</c:v>
                </c:pt>
                <c:pt idx="140">
                  <c:v>72.5</c:v>
                </c:pt>
                <c:pt idx="141">
                  <c:v>165</c:v>
                </c:pt>
                <c:pt idx="142">
                  <c:v>132.5</c:v>
                </c:pt>
                <c:pt idx="143">
                  <c:v>172.5</c:v>
                </c:pt>
                <c:pt idx="144">
                  <c:v>100</c:v>
                </c:pt>
                <c:pt idx="145">
                  <c:v>147.5</c:v>
                </c:pt>
                <c:pt idx="146">
                  <c:v>127.5</c:v>
                </c:pt>
                <c:pt idx="147">
                  <c:v>127.5</c:v>
                </c:pt>
                <c:pt idx="148">
                  <c:v>107.5</c:v>
                </c:pt>
                <c:pt idx="149">
                  <c:v>135</c:v>
                </c:pt>
                <c:pt idx="150">
                  <c:v>182.5</c:v>
                </c:pt>
                <c:pt idx="151">
                  <c:v>115</c:v>
                </c:pt>
                <c:pt idx="152">
                  <c:v>95</c:v>
                </c:pt>
                <c:pt idx="153">
                  <c:v>95</c:v>
                </c:pt>
                <c:pt idx="154">
                  <c:v>142.5</c:v>
                </c:pt>
                <c:pt idx="155">
                  <c:v>170</c:v>
                </c:pt>
                <c:pt idx="156">
                  <c:v>170</c:v>
                </c:pt>
                <c:pt idx="157">
                  <c:v>122.5</c:v>
                </c:pt>
                <c:pt idx="158">
                  <c:v>150</c:v>
                </c:pt>
                <c:pt idx="159">
                  <c:v>177.5</c:v>
                </c:pt>
                <c:pt idx="160">
                  <c:v>102.5</c:v>
                </c:pt>
                <c:pt idx="161">
                  <c:v>130</c:v>
                </c:pt>
                <c:pt idx="162">
                  <c:v>130</c:v>
                </c:pt>
                <c:pt idx="163">
                  <c:v>110</c:v>
                </c:pt>
                <c:pt idx="164">
                  <c:v>82.5</c:v>
                </c:pt>
                <c:pt idx="165">
                  <c:v>195</c:v>
                </c:pt>
                <c:pt idx="166">
                  <c:v>175</c:v>
                </c:pt>
                <c:pt idx="167">
                  <c:v>105</c:v>
                </c:pt>
                <c:pt idx="168">
                  <c:v>147.5</c:v>
                </c:pt>
                <c:pt idx="169">
                  <c:v>92.5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195</c:v>
                </c:pt>
                <c:pt idx="174">
                  <c:v>137.5</c:v>
                </c:pt>
                <c:pt idx="175">
                  <c:v>145</c:v>
                </c:pt>
                <c:pt idx="176">
                  <c:v>160</c:v>
                </c:pt>
                <c:pt idx="177">
                  <c:v>102.5</c:v>
                </c:pt>
                <c:pt idx="178">
                  <c:v>205</c:v>
                </c:pt>
                <c:pt idx="179">
                  <c:v>110</c:v>
                </c:pt>
                <c:pt idx="180">
                  <c:v>185.5</c:v>
                </c:pt>
                <c:pt idx="181">
                  <c:v>140</c:v>
                </c:pt>
                <c:pt idx="182">
                  <c:v>155</c:v>
                </c:pt>
                <c:pt idx="183">
                  <c:v>185</c:v>
                </c:pt>
                <c:pt idx="184">
                  <c:v>142.5</c:v>
                </c:pt>
                <c:pt idx="185">
                  <c:v>135</c:v>
                </c:pt>
                <c:pt idx="186">
                  <c:v>105</c:v>
                </c:pt>
                <c:pt idx="187">
                  <c:v>105</c:v>
                </c:pt>
                <c:pt idx="188">
                  <c:v>120</c:v>
                </c:pt>
                <c:pt idx="189">
                  <c:v>160</c:v>
                </c:pt>
                <c:pt idx="190">
                  <c:v>107.5</c:v>
                </c:pt>
                <c:pt idx="191">
                  <c:v>107.5</c:v>
                </c:pt>
                <c:pt idx="192">
                  <c:v>177.5</c:v>
                </c:pt>
                <c:pt idx="193">
                  <c:v>170</c:v>
                </c:pt>
                <c:pt idx="194">
                  <c:v>162.5</c:v>
                </c:pt>
                <c:pt idx="195">
                  <c:v>200</c:v>
                </c:pt>
                <c:pt idx="196">
                  <c:v>132.5</c:v>
                </c:pt>
                <c:pt idx="197">
                  <c:v>110</c:v>
                </c:pt>
                <c:pt idx="198">
                  <c:v>142.5</c:v>
                </c:pt>
                <c:pt idx="199">
                  <c:v>95</c:v>
                </c:pt>
                <c:pt idx="200">
                  <c:v>197.5</c:v>
                </c:pt>
                <c:pt idx="201">
                  <c:v>72.5</c:v>
                </c:pt>
                <c:pt idx="202">
                  <c:v>115</c:v>
                </c:pt>
                <c:pt idx="203">
                  <c:v>107.5</c:v>
                </c:pt>
                <c:pt idx="204">
                  <c:v>125</c:v>
                </c:pt>
                <c:pt idx="205">
                  <c:v>125</c:v>
                </c:pt>
                <c:pt idx="206">
                  <c:v>150</c:v>
                </c:pt>
                <c:pt idx="207">
                  <c:v>135</c:v>
                </c:pt>
                <c:pt idx="208">
                  <c:v>110</c:v>
                </c:pt>
                <c:pt idx="209">
                  <c:v>120</c:v>
                </c:pt>
                <c:pt idx="210">
                  <c:v>120</c:v>
                </c:pt>
                <c:pt idx="211">
                  <c:v>130</c:v>
                </c:pt>
                <c:pt idx="212">
                  <c:v>70</c:v>
                </c:pt>
                <c:pt idx="213">
                  <c:v>105</c:v>
                </c:pt>
                <c:pt idx="214">
                  <c:v>160</c:v>
                </c:pt>
                <c:pt idx="215">
                  <c:v>125</c:v>
                </c:pt>
                <c:pt idx="216">
                  <c:v>152.5</c:v>
                </c:pt>
                <c:pt idx="217">
                  <c:v>135</c:v>
                </c:pt>
                <c:pt idx="218">
                  <c:v>90</c:v>
                </c:pt>
                <c:pt idx="219">
                  <c:v>100</c:v>
                </c:pt>
                <c:pt idx="220">
                  <c:v>137.5</c:v>
                </c:pt>
                <c:pt idx="221">
                  <c:v>110</c:v>
                </c:pt>
                <c:pt idx="222">
                  <c:v>120</c:v>
                </c:pt>
                <c:pt idx="223">
                  <c:v>130</c:v>
                </c:pt>
                <c:pt idx="224">
                  <c:v>102.5</c:v>
                </c:pt>
                <c:pt idx="225">
                  <c:v>140</c:v>
                </c:pt>
                <c:pt idx="226">
                  <c:v>142.5</c:v>
                </c:pt>
                <c:pt idx="227">
                  <c:v>142.5</c:v>
                </c:pt>
                <c:pt idx="228">
                  <c:v>110</c:v>
                </c:pt>
                <c:pt idx="229">
                  <c:v>150</c:v>
                </c:pt>
                <c:pt idx="230">
                  <c:v>70</c:v>
                </c:pt>
                <c:pt idx="231">
                  <c:v>110</c:v>
                </c:pt>
                <c:pt idx="232">
                  <c:v>142.5</c:v>
                </c:pt>
                <c:pt idx="233">
                  <c:v>112.5</c:v>
                </c:pt>
                <c:pt idx="234">
                  <c:v>92.5</c:v>
                </c:pt>
                <c:pt idx="235">
                  <c:v>155</c:v>
                </c:pt>
                <c:pt idx="236">
                  <c:v>105</c:v>
                </c:pt>
                <c:pt idx="237">
                  <c:v>85</c:v>
                </c:pt>
                <c:pt idx="238">
                  <c:v>117.5</c:v>
                </c:pt>
                <c:pt idx="239">
                  <c:v>100</c:v>
                </c:pt>
                <c:pt idx="240">
                  <c:v>145</c:v>
                </c:pt>
                <c:pt idx="241">
                  <c:v>90</c:v>
                </c:pt>
                <c:pt idx="242">
                  <c:v>125</c:v>
                </c:pt>
                <c:pt idx="243">
                  <c:v>102.5</c:v>
                </c:pt>
                <c:pt idx="244">
                  <c:v>115</c:v>
                </c:pt>
                <c:pt idx="245">
                  <c:v>115</c:v>
                </c:pt>
                <c:pt idx="246">
                  <c:v>92.5</c:v>
                </c:pt>
                <c:pt idx="247">
                  <c:v>117.5</c:v>
                </c:pt>
                <c:pt idx="248">
                  <c:v>95</c:v>
                </c:pt>
                <c:pt idx="249">
                  <c:v>115</c:v>
                </c:pt>
                <c:pt idx="250">
                  <c:v>72.5</c:v>
                </c:pt>
                <c:pt idx="251">
                  <c:v>112.5</c:v>
                </c:pt>
                <c:pt idx="252">
                  <c:v>112.5</c:v>
                </c:pt>
                <c:pt idx="253">
                  <c:v>90</c:v>
                </c:pt>
                <c:pt idx="254">
                  <c:v>110</c:v>
                </c:pt>
                <c:pt idx="255">
                  <c:v>132.5</c:v>
                </c:pt>
                <c:pt idx="256">
                  <c:v>122.5</c:v>
                </c:pt>
                <c:pt idx="257">
                  <c:v>142.5</c:v>
                </c:pt>
                <c:pt idx="258">
                  <c:v>142.5</c:v>
                </c:pt>
                <c:pt idx="259">
                  <c:v>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60-4B27-B7A7-DE8D62A18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10512"/>
        <c:axId val="397911296"/>
      </c:scatterChart>
      <c:valAx>
        <c:axId val="39791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Bench Press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11296"/>
        <c:crosses val="autoZero"/>
        <c:crossBetween val="midCat"/>
      </c:valAx>
      <c:valAx>
        <c:axId val="3979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Squat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10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Bodyweight vs. Bench to Squat Ratio</a:t>
            </a:r>
            <a:endParaRPr lang="en-US" sz="14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400"/>
              <a:t>IPF Open (Equipped)</a:t>
            </a:r>
            <a:r>
              <a:rPr lang="en-US" sz="1400" baseline="0"/>
              <a:t> Championship Data 2012–2015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Men - Open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Squat'!$D$663:$D$1088</c:f>
              <c:numCache>
                <c:formatCode>General</c:formatCode>
                <c:ptCount val="426"/>
                <c:pt idx="0">
                  <c:v>103.78</c:v>
                </c:pt>
                <c:pt idx="1">
                  <c:v>142.9</c:v>
                </c:pt>
                <c:pt idx="2">
                  <c:v>65.69</c:v>
                </c:pt>
                <c:pt idx="3">
                  <c:v>92.6</c:v>
                </c:pt>
                <c:pt idx="4">
                  <c:v>65.849999999999994</c:v>
                </c:pt>
                <c:pt idx="5">
                  <c:v>127.88</c:v>
                </c:pt>
                <c:pt idx="6">
                  <c:v>81.55</c:v>
                </c:pt>
                <c:pt idx="7">
                  <c:v>116.95</c:v>
                </c:pt>
                <c:pt idx="8">
                  <c:v>92</c:v>
                </c:pt>
                <c:pt idx="9">
                  <c:v>72.2</c:v>
                </c:pt>
                <c:pt idx="10">
                  <c:v>65.88</c:v>
                </c:pt>
                <c:pt idx="11">
                  <c:v>119.14</c:v>
                </c:pt>
                <c:pt idx="12">
                  <c:v>91.78</c:v>
                </c:pt>
                <c:pt idx="13">
                  <c:v>72.239999999999995</c:v>
                </c:pt>
                <c:pt idx="14">
                  <c:v>104.1</c:v>
                </c:pt>
                <c:pt idx="15">
                  <c:v>179.9</c:v>
                </c:pt>
                <c:pt idx="16">
                  <c:v>73.44</c:v>
                </c:pt>
                <c:pt idx="17">
                  <c:v>82.91</c:v>
                </c:pt>
                <c:pt idx="18">
                  <c:v>58.46</c:v>
                </c:pt>
                <c:pt idx="19">
                  <c:v>92.8</c:v>
                </c:pt>
                <c:pt idx="20">
                  <c:v>91.88</c:v>
                </c:pt>
                <c:pt idx="21">
                  <c:v>66.52</c:v>
                </c:pt>
                <c:pt idx="22">
                  <c:v>58.92</c:v>
                </c:pt>
                <c:pt idx="23">
                  <c:v>65.239999999999995</c:v>
                </c:pt>
                <c:pt idx="24">
                  <c:v>137.06</c:v>
                </c:pt>
                <c:pt idx="25">
                  <c:v>58.82</c:v>
                </c:pt>
                <c:pt idx="26">
                  <c:v>93.98</c:v>
                </c:pt>
                <c:pt idx="27">
                  <c:v>82.65</c:v>
                </c:pt>
                <c:pt idx="28">
                  <c:v>123.8</c:v>
                </c:pt>
                <c:pt idx="29">
                  <c:v>92.7</c:v>
                </c:pt>
                <c:pt idx="30">
                  <c:v>81.06</c:v>
                </c:pt>
                <c:pt idx="31">
                  <c:v>64.89</c:v>
                </c:pt>
                <c:pt idx="32">
                  <c:v>104.27</c:v>
                </c:pt>
                <c:pt idx="33">
                  <c:v>82.22</c:v>
                </c:pt>
                <c:pt idx="34">
                  <c:v>65.5</c:v>
                </c:pt>
                <c:pt idx="35">
                  <c:v>58.51</c:v>
                </c:pt>
                <c:pt idx="36">
                  <c:v>125.08</c:v>
                </c:pt>
                <c:pt idx="37">
                  <c:v>73.39</c:v>
                </c:pt>
                <c:pt idx="38">
                  <c:v>101.21</c:v>
                </c:pt>
                <c:pt idx="39">
                  <c:v>73.319999999999993</c:v>
                </c:pt>
                <c:pt idx="40">
                  <c:v>72.849999999999994</c:v>
                </c:pt>
                <c:pt idx="41">
                  <c:v>73.5</c:v>
                </c:pt>
                <c:pt idx="42">
                  <c:v>72.989999999999995</c:v>
                </c:pt>
                <c:pt idx="43">
                  <c:v>73.319999999999993</c:v>
                </c:pt>
                <c:pt idx="44">
                  <c:v>65.44</c:v>
                </c:pt>
                <c:pt idx="45">
                  <c:v>104.45</c:v>
                </c:pt>
                <c:pt idx="46">
                  <c:v>110.95</c:v>
                </c:pt>
                <c:pt idx="47">
                  <c:v>72.900000000000006</c:v>
                </c:pt>
                <c:pt idx="48">
                  <c:v>73.75</c:v>
                </c:pt>
                <c:pt idx="49">
                  <c:v>82.35</c:v>
                </c:pt>
                <c:pt idx="50">
                  <c:v>91.66</c:v>
                </c:pt>
                <c:pt idx="51">
                  <c:v>58.68</c:v>
                </c:pt>
                <c:pt idx="52">
                  <c:v>64.930000000000007</c:v>
                </c:pt>
                <c:pt idx="53">
                  <c:v>82.56</c:v>
                </c:pt>
                <c:pt idx="54">
                  <c:v>72.19</c:v>
                </c:pt>
                <c:pt idx="55">
                  <c:v>107.42</c:v>
                </c:pt>
                <c:pt idx="56">
                  <c:v>58.8</c:v>
                </c:pt>
                <c:pt idx="57">
                  <c:v>58.56</c:v>
                </c:pt>
                <c:pt idx="58">
                  <c:v>92.72</c:v>
                </c:pt>
                <c:pt idx="59">
                  <c:v>58.73</c:v>
                </c:pt>
                <c:pt idx="60">
                  <c:v>65.58</c:v>
                </c:pt>
                <c:pt idx="61">
                  <c:v>82.69</c:v>
                </c:pt>
                <c:pt idx="62">
                  <c:v>64.55</c:v>
                </c:pt>
                <c:pt idx="63">
                  <c:v>113.45</c:v>
                </c:pt>
                <c:pt idx="64">
                  <c:v>65.89</c:v>
                </c:pt>
                <c:pt idx="65">
                  <c:v>104.36</c:v>
                </c:pt>
                <c:pt idx="66">
                  <c:v>58.5</c:v>
                </c:pt>
                <c:pt idx="67">
                  <c:v>65.239999999999995</c:v>
                </c:pt>
                <c:pt idx="68">
                  <c:v>99.14</c:v>
                </c:pt>
                <c:pt idx="69">
                  <c:v>92.83</c:v>
                </c:pt>
                <c:pt idx="70">
                  <c:v>82.53</c:v>
                </c:pt>
                <c:pt idx="71">
                  <c:v>82.83</c:v>
                </c:pt>
                <c:pt idx="72">
                  <c:v>58.29</c:v>
                </c:pt>
                <c:pt idx="73">
                  <c:v>91.59</c:v>
                </c:pt>
                <c:pt idx="74">
                  <c:v>82.56</c:v>
                </c:pt>
                <c:pt idx="75">
                  <c:v>81.47</c:v>
                </c:pt>
                <c:pt idx="76">
                  <c:v>58.62</c:v>
                </c:pt>
                <c:pt idx="77">
                  <c:v>72.39</c:v>
                </c:pt>
                <c:pt idx="78">
                  <c:v>73.28</c:v>
                </c:pt>
                <c:pt idx="79">
                  <c:v>72.62</c:v>
                </c:pt>
                <c:pt idx="80">
                  <c:v>57.03</c:v>
                </c:pt>
                <c:pt idx="81">
                  <c:v>118.95</c:v>
                </c:pt>
                <c:pt idx="82">
                  <c:v>118.95</c:v>
                </c:pt>
                <c:pt idx="83">
                  <c:v>101.56</c:v>
                </c:pt>
                <c:pt idx="84">
                  <c:v>65.2</c:v>
                </c:pt>
                <c:pt idx="85">
                  <c:v>80.16</c:v>
                </c:pt>
                <c:pt idx="86">
                  <c:v>82.78</c:v>
                </c:pt>
                <c:pt idx="87">
                  <c:v>101.5</c:v>
                </c:pt>
                <c:pt idx="88">
                  <c:v>71.7</c:v>
                </c:pt>
                <c:pt idx="89">
                  <c:v>82.9</c:v>
                </c:pt>
                <c:pt idx="90">
                  <c:v>139.46</c:v>
                </c:pt>
                <c:pt idx="91">
                  <c:v>103.64</c:v>
                </c:pt>
                <c:pt idx="92">
                  <c:v>82.88</c:v>
                </c:pt>
                <c:pt idx="93">
                  <c:v>118.84</c:v>
                </c:pt>
                <c:pt idx="94">
                  <c:v>73.760000000000005</c:v>
                </c:pt>
                <c:pt idx="95">
                  <c:v>73.88</c:v>
                </c:pt>
                <c:pt idx="96">
                  <c:v>58.32</c:v>
                </c:pt>
                <c:pt idx="97">
                  <c:v>82.37</c:v>
                </c:pt>
                <c:pt idx="98">
                  <c:v>73.849999999999994</c:v>
                </c:pt>
                <c:pt idx="99">
                  <c:v>65.959999999999994</c:v>
                </c:pt>
                <c:pt idx="100">
                  <c:v>82.68</c:v>
                </c:pt>
                <c:pt idx="101">
                  <c:v>92.44</c:v>
                </c:pt>
                <c:pt idx="102">
                  <c:v>141</c:v>
                </c:pt>
                <c:pt idx="103">
                  <c:v>58.6</c:v>
                </c:pt>
                <c:pt idx="104">
                  <c:v>58.32</c:v>
                </c:pt>
                <c:pt idx="105">
                  <c:v>82.2</c:v>
                </c:pt>
                <c:pt idx="106">
                  <c:v>92.2</c:v>
                </c:pt>
                <c:pt idx="107">
                  <c:v>58.8</c:v>
                </c:pt>
                <c:pt idx="108">
                  <c:v>152.9</c:v>
                </c:pt>
                <c:pt idx="109">
                  <c:v>73.680000000000007</c:v>
                </c:pt>
                <c:pt idx="110">
                  <c:v>114.62</c:v>
                </c:pt>
                <c:pt idx="111">
                  <c:v>100.85</c:v>
                </c:pt>
                <c:pt idx="112">
                  <c:v>73.77</c:v>
                </c:pt>
                <c:pt idx="113">
                  <c:v>92.9</c:v>
                </c:pt>
                <c:pt idx="114">
                  <c:v>92.92</c:v>
                </c:pt>
                <c:pt idx="115">
                  <c:v>71.349999999999994</c:v>
                </c:pt>
                <c:pt idx="116">
                  <c:v>104.39</c:v>
                </c:pt>
                <c:pt idx="117">
                  <c:v>58.6</c:v>
                </c:pt>
                <c:pt idx="118">
                  <c:v>98.91</c:v>
                </c:pt>
                <c:pt idx="119">
                  <c:v>65.94</c:v>
                </c:pt>
                <c:pt idx="120">
                  <c:v>73.88</c:v>
                </c:pt>
                <c:pt idx="121">
                  <c:v>114.2</c:v>
                </c:pt>
                <c:pt idx="122">
                  <c:v>91.63</c:v>
                </c:pt>
                <c:pt idx="123">
                  <c:v>114.75</c:v>
                </c:pt>
                <c:pt idx="124">
                  <c:v>82.2</c:v>
                </c:pt>
                <c:pt idx="125">
                  <c:v>82.03</c:v>
                </c:pt>
                <c:pt idx="126">
                  <c:v>114.26</c:v>
                </c:pt>
                <c:pt idx="127">
                  <c:v>65.930000000000007</c:v>
                </c:pt>
                <c:pt idx="128">
                  <c:v>82.54</c:v>
                </c:pt>
                <c:pt idx="129">
                  <c:v>82.54</c:v>
                </c:pt>
                <c:pt idx="130">
                  <c:v>125.94</c:v>
                </c:pt>
                <c:pt idx="131">
                  <c:v>83</c:v>
                </c:pt>
                <c:pt idx="132">
                  <c:v>119.68</c:v>
                </c:pt>
                <c:pt idx="133">
                  <c:v>82.33</c:v>
                </c:pt>
                <c:pt idx="134">
                  <c:v>73.540000000000006</c:v>
                </c:pt>
                <c:pt idx="135">
                  <c:v>118.1</c:v>
                </c:pt>
                <c:pt idx="136">
                  <c:v>73.69</c:v>
                </c:pt>
                <c:pt idx="137">
                  <c:v>81.900000000000006</c:v>
                </c:pt>
                <c:pt idx="138">
                  <c:v>58.77</c:v>
                </c:pt>
                <c:pt idx="139">
                  <c:v>83</c:v>
                </c:pt>
                <c:pt idx="140">
                  <c:v>65.45</c:v>
                </c:pt>
                <c:pt idx="141">
                  <c:v>138.29</c:v>
                </c:pt>
                <c:pt idx="142">
                  <c:v>104.96</c:v>
                </c:pt>
                <c:pt idx="143">
                  <c:v>104.69</c:v>
                </c:pt>
                <c:pt idx="144">
                  <c:v>104.34</c:v>
                </c:pt>
                <c:pt idx="145">
                  <c:v>92.55</c:v>
                </c:pt>
                <c:pt idx="146">
                  <c:v>102.95</c:v>
                </c:pt>
                <c:pt idx="147">
                  <c:v>118.94</c:v>
                </c:pt>
                <c:pt idx="148">
                  <c:v>65.7</c:v>
                </c:pt>
                <c:pt idx="149">
                  <c:v>72.760000000000005</c:v>
                </c:pt>
                <c:pt idx="150">
                  <c:v>72.95</c:v>
                </c:pt>
                <c:pt idx="151">
                  <c:v>104.23</c:v>
                </c:pt>
                <c:pt idx="152">
                  <c:v>92.82</c:v>
                </c:pt>
                <c:pt idx="153">
                  <c:v>119.52</c:v>
                </c:pt>
                <c:pt idx="154">
                  <c:v>138.19999999999999</c:v>
                </c:pt>
                <c:pt idx="155">
                  <c:v>58.92</c:v>
                </c:pt>
                <c:pt idx="156">
                  <c:v>104.42</c:v>
                </c:pt>
                <c:pt idx="157">
                  <c:v>138.83000000000001</c:v>
                </c:pt>
                <c:pt idx="158">
                  <c:v>89.17</c:v>
                </c:pt>
                <c:pt idx="159">
                  <c:v>144.65</c:v>
                </c:pt>
                <c:pt idx="160">
                  <c:v>82</c:v>
                </c:pt>
                <c:pt idx="161">
                  <c:v>104.7</c:v>
                </c:pt>
                <c:pt idx="162">
                  <c:v>73.16</c:v>
                </c:pt>
                <c:pt idx="163">
                  <c:v>65.94</c:v>
                </c:pt>
                <c:pt idx="164">
                  <c:v>58.06</c:v>
                </c:pt>
                <c:pt idx="165">
                  <c:v>158.27000000000001</c:v>
                </c:pt>
                <c:pt idx="166">
                  <c:v>118.82</c:v>
                </c:pt>
                <c:pt idx="167">
                  <c:v>118.54</c:v>
                </c:pt>
                <c:pt idx="168">
                  <c:v>104.55</c:v>
                </c:pt>
                <c:pt idx="169">
                  <c:v>93</c:v>
                </c:pt>
                <c:pt idx="170">
                  <c:v>65.86</c:v>
                </c:pt>
                <c:pt idx="171">
                  <c:v>73.64</c:v>
                </c:pt>
                <c:pt idx="172">
                  <c:v>65.599999999999994</c:v>
                </c:pt>
                <c:pt idx="173">
                  <c:v>69.489999999999995</c:v>
                </c:pt>
                <c:pt idx="174">
                  <c:v>91.94</c:v>
                </c:pt>
                <c:pt idx="175">
                  <c:v>58.89</c:v>
                </c:pt>
                <c:pt idx="176">
                  <c:v>104.93</c:v>
                </c:pt>
                <c:pt idx="177">
                  <c:v>71.739999999999995</c:v>
                </c:pt>
                <c:pt idx="178">
                  <c:v>57.63</c:v>
                </c:pt>
                <c:pt idx="179">
                  <c:v>151.52000000000001</c:v>
                </c:pt>
                <c:pt idx="180">
                  <c:v>104.2</c:v>
                </c:pt>
                <c:pt idx="181">
                  <c:v>58.68</c:v>
                </c:pt>
                <c:pt idx="182">
                  <c:v>92.42</c:v>
                </c:pt>
                <c:pt idx="183">
                  <c:v>104.39</c:v>
                </c:pt>
                <c:pt idx="184">
                  <c:v>92.6</c:v>
                </c:pt>
                <c:pt idx="185">
                  <c:v>82.68</c:v>
                </c:pt>
                <c:pt idx="186">
                  <c:v>65.5</c:v>
                </c:pt>
                <c:pt idx="187">
                  <c:v>82.7</c:v>
                </c:pt>
                <c:pt idx="188">
                  <c:v>104.03</c:v>
                </c:pt>
                <c:pt idx="189">
                  <c:v>65.84</c:v>
                </c:pt>
                <c:pt idx="190">
                  <c:v>141.09</c:v>
                </c:pt>
                <c:pt idx="191">
                  <c:v>65.78</c:v>
                </c:pt>
                <c:pt idx="192">
                  <c:v>73.62</c:v>
                </c:pt>
                <c:pt idx="193">
                  <c:v>82.32</c:v>
                </c:pt>
                <c:pt idx="194">
                  <c:v>100.55</c:v>
                </c:pt>
                <c:pt idx="195">
                  <c:v>87.4</c:v>
                </c:pt>
                <c:pt idx="196">
                  <c:v>119.91</c:v>
                </c:pt>
                <c:pt idx="197">
                  <c:v>58.41</c:v>
                </c:pt>
                <c:pt idx="198">
                  <c:v>73.7</c:v>
                </c:pt>
                <c:pt idx="199">
                  <c:v>102.78</c:v>
                </c:pt>
                <c:pt idx="200">
                  <c:v>65.62</c:v>
                </c:pt>
                <c:pt idx="201">
                  <c:v>82.87</c:v>
                </c:pt>
                <c:pt idx="202">
                  <c:v>79.599999999999994</c:v>
                </c:pt>
                <c:pt idx="203">
                  <c:v>119.96</c:v>
                </c:pt>
                <c:pt idx="204">
                  <c:v>97.32</c:v>
                </c:pt>
                <c:pt idx="205">
                  <c:v>114.45</c:v>
                </c:pt>
                <c:pt idx="206">
                  <c:v>164</c:v>
                </c:pt>
                <c:pt idx="207">
                  <c:v>104.7</c:v>
                </c:pt>
                <c:pt idx="208">
                  <c:v>73.94</c:v>
                </c:pt>
                <c:pt idx="209">
                  <c:v>58.79</c:v>
                </c:pt>
                <c:pt idx="210">
                  <c:v>57.94</c:v>
                </c:pt>
                <c:pt idx="211">
                  <c:v>89.7</c:v>
                </c:pt>
                <c:pt idx="212">
                  <c:v>91.4</c:v>
                </c:pt>
                <c:pt idx="213">
                  <c:v>58.62</c:v>
                </c:pt>
                <c:pt idx="214">
                  <c:v>58.2</c:v>
                </c:pt>
                <c:pt idx="215">
                  <c:v>104.32</c:v>
                </c:pt>
                <c:pt idx="216">
                  <c:v>92.65</c:v>
                </c:pt>
                <c:pt idx="217">
                  <c:v>104.76</c:v>
                </c:pt>
                <c:pt idx="218">
                  <c:v>118.56</c:v>
                </c:pt>
                <c:pt idx="219">
                  <c:v>104.38</c:v>
                </c:pt>
                <c:pt idx="220">
                  <c:v>112.68</c:v>
                </c:pt>
                <c:pt idx="221">
                  <c:v>57.6</c:v>
                </c:pt>
                <c:pt idx="222">
                  <c:v>92.59</c:v>
                </c:pt>
                <c:pt idx="223">
                  <c:v>133.69999999999999</c:v>
                </c:pt>
                <c:pt idx="224">
                  <c:v>103.62</c:v>
                </c:pt>
                <c:pt idx="225">
                  <c:v>146.47</c:v>
                </c:pt>
                <c:pt idx="226">
                  <c:v>91.91</c:v>
                </c:pt>
                <c:pt idx="227">
                  <c:v>119.05</c:v>
                </c:pt>
                <c:pt idx="228">
                  <c:v>104.23</c:v>
                </c:pt>
                <c:pt idx="229">
                  <c:v>135.19999999999999</c:v>
                </c:pt>
                <c:pt idx="230">
                  <c:v>144.65</c:v>
                </c:pt>
                <c:pt idx="231">
                  <c:v>104.27</c:v>
                </c:pt>
                <c:pt idx="232">
                  <c:v>73.73</c:v>
                </c:pt>
                <c:pt idx="233">
                  <c:v>82.8</c:v>
                </c:pt>
                <c:pt idx="234">
                  <c:v>58.46</c:v>
                </c:pt>
                <c:pt idx="235">
                  <c:v>119.64</c:v>
                </c:pt>
                <c:pt idx="236">
                  <c:v>125.2</c:v>
                </c:pt>
                <c:pt idx="237">
                  <c:v>103.93</c:v>
                </c:pt>
                <c:pt idx="238">
                  <c:v>119.82</c:v>
                </c:pt>
                <c:pt idx="239">
                  <c:v>92.72</c:v>
                </c:pt>
                <c:pt idx="240">
                  <c:v>155.6</c:v>
                </c:pt>
                <c:pt idx="241">
                  <c:v>65.010000000000005</c:v>
                </c:pt>
                <c:pt idx="242">
                  <c:v>168.02</c:v>
                </c:pt>
                <c:pt idx="243">
                  <c:v>119.5</c:v>
                </c:pt>
                <c:pt idx="244">
                  <c:v>82</c:v>
                </c:pt>
                <c:pt idx="245">
                  <c:v>73.44</c:v>
                </c:pt>
                <c:pt idx="246">
                  <c:v>82.58</c:v>
                </c:pt>
                <c:pt idx="247">
                  <c:v>96</c:v>
                </c:pt>
                <c:pt idx="248">
                  <c:v>92.52</c:v>
                </c:pt>
                <c:pt idx="249">
                  <c:v>73.72</c:v>
                </c:pt>
                <c:pt idx="250">
                  <c:v>104.48</c:v>
                </c:pt>
                <c:pt idx="251">
                  <c:v>160.06</c:v>
                </c:pt>
                <c:pt idx="252">
                  <c:v>92.66</c:v>
                </c:pt>
                <c:pt idx="253">
                  <c:v>91.83</c:v>
                </c:pt>
                <c:pt idx="254">
                  <c:v>135.4</c:v>
                </c:pt>
                <c:pt idx="255">
                  <c:v>82.98</c:v>
                </c:pt>
                <c:pt idx="256">
                  <c:v>119.2</c:v>
                </c:pt>
                <c:pt idx="257">
                  <c:v>87.76</c:v>
                </c:pt>
                <c:pt idx="258">
                  <c:v>118.62</c:v>
                </c:pt>
                <c:pt idx="259">
                  <c:v>104.38</c:v>
                </c:pt>
                <c:pt idx="260">
                  <c:v>82.48</c:v>
                </c:pt>
                <c:pt idx="261">
                  <c:v>118.92</c:v>
                </c:pt>
                <c:pt idx="262">
                  <c:v>92.6</c:v>
                </c:pt>
                <c:pt idx="263">
                  <c:v>82.94</c:v>
                </c:pt>
                <c:pt idx="264">
                  <c:v>90.82</c:v>
                </c:pt>
                <c:pt idx="265">
                  <c:v>103.65</c:v>
                </c:pt>
                <c:pt idx="266">
                  <c:v>73</c:v>
                </c:pt>
                <c:pt idx="267">
                  <c:v>119.74</c:v>
                </c:pt>
                <c:pt idx="268">
                  <c:v>82.07</c:v>
                </c:pt>
                <c:pt idx="269">
                  <c:v>72.45</c:v>
                </c:pt>
                <c:pt idx="270">
                  <c:v>104.02</c:v>
                </c:pt>
                <c:pt idx="271">
                  <c:v>104.14</c:v>
                </c:pt>
                <c:pt idx="272">
                  <c:v>135.1</c:v>
                </c:pt>
                <c:pt idx="273">
                  <c:v>119.66</c:v>
                </c:pt>
                <c:pt idx="274">
                  <c:v>92.15</c:v>
                </c:pt>
                <c:pt idx="275">
                  <c:v>82.12</c:v>
                </c:pt>
                <c:pt idx="276">
                  <c:v>73.8</c:v>
                </c:pt>
                <c:pt idx="277">
                  <c:v>92.58</c:v>
                </c:pt>
                <c:pt idx="278">
                  <c:v>118.26</c:v>
                </c:pt>
                <c:pt idx="279">
                  <c:v>73.91</c:v>
                </c:pt>
                <c:pt idx="280">
                  <c:v>92.54</c:v>
                </c:pt>
                <c:pt idx="281">
                  <c:v>104.74</c:v>
                </c:pt>
                <c:pt idx="282">
                  <c:v>134.19999999999999</c:v>
                </c:pt>
                <c:pt idx="283">
                  <c:v>162.44999999999999</c:v>
                </c:pt>
                <c:pt idx="284">
                  <c:v>126.98</c:v>
                </c:pt>
                <c:pt idx="285">
                  <c:v>92.15</c:v>
                </c:pt>
                <c:pt idx="286">
                  <c:v>82.66</c:v>
                </c:pt>
                <c:pt idx="287">
                  <c:v>82.58</c:v>
                </c:pt>
                <c:pt idx="288">
                  <c:v>163.47</c:v>
                </c:pt>
                <c:pt idx="289">
                  <c:v>73.91</c:v>
                </c:pt>
                <c:pt idx="290">
                  <c:v>117.89</c:v>
                </c:pt>
                <c:pt idx="291">
                  <c:v>91.28</c:v>
                </c:pt>
                <c:pt idx="292">
                  <c:v>65.55</c:v>
                </c:pt>
                <c:pt idx="293">
                  <c:v>104.54</c:v>
                </c:pt>
                <c:pt idx="294">
                  <c:v>119.26</c:v>
                </c:pt>
                <c:pt idx="295">
                  <c:v>62.5</c:v>
                </c:pt>
                <c:pt idx="296">
                  <c:v>73.09</c:v>
                </c:pt>
                <c:pt idx="297">
                  <c:v>73.540000000000006</c:v>
                </c:pt>
                <c:pt idx="298">
                  <c:v>89.6</c:v>
                </c:pt>
                <c:pt idx="299">
                  <c:v>118.93</c:v>
                </c:pt>
                <c:pt idx="300">
                  <c:v>90.5</c:v>
                </c:pt>
                <c:pt idx="301">
                  <c:v>118.98</c:v>
                </c:pt>
                <c:pt idx="302">
                  <c:v>118.31</c:v>
                </c:pt>
                <c:pt idx="303">
                  <c:v>119.52</c:v>
                </c:pt>
                <c:pt idx="304">
                  <c:v>104.45</c:v>
                </c:pt>
                <c:pt idx="305">
                  <c:v>101.37</c:v>
                </c:pt>
                <c:pt idx="306">
                  <c:v>170.52</c:v>
                </c:pt>
                <c:pt idx="307">
                  <c:v>73.63</c:v>
                </c:pt>
                <c:pt idx="308">
                  <c:v>63.1</c:v>
                </c:pt>
                <c:pt idx="309">
                  <c:v>82.7</c:v>
                </c:pt>
                <c:pt idx="310">
                  <c:v>92</c:v>
                </c:pt>
                <c:pt idx="311">
                  <c:v>73.23</c:v>
                </c:pt>
                <c:pt idx="312">
                  <c:v>119.55</c:v>
                </c:pt>
                <c:pt idx="313">
                  <c:v>92.06</c:v>
                </c:pt>
                <c:pt idx="314">
                  <c:v>118.68</c:v>
                </c:pt>
                <c:pt idx="315">
                  <c:v>104.3</c:v>
                </c:pt>
                <c:pt idx="316">
                  <c:v>119.91</c:v>
                </c:pt>
                <c:pt idx="317">
                  <c:v>162</c:v>
                </c:pt>
                <c:pt idx="318">
                  <c:v>92.4</c:v>
                </c:pt>
                <c:pt idx="319">
                  <c:v>160.94999999999999</c:v>
                </c:pt>
                <c:pt idx="320">
                  <c:v>92.99</c:v>
                </c:pt>
                <c:pt idx="321">
                  <c:v>132.69999999999999</c:v>
                </c:pt>
                <c:pt idx="322">
                  <c:v>140.26</c:v>
                </c:pt>
                <c:pt idx="323">
                  <c:v>116.58</c:v>
                </c:pt>
                <c:pt idx="324">
                  <c:v>143.30000000000001</c:v>
                </c:pt>
                <c:pt idx="325">
                  <c:v>73.19</c:v>
                </c:pt>
                <c:pt idx="326">
                  <c:v>104.42</c:v>
                </c:pt>
                <c:pt idx="327">
                  <c:v>64.64</c:v>
                </c:pt>
                <c:pt idx="328">
                  <c:v>65.55</c:v>
                </c:pt>
                <c:pt idx="329">
                  <c:v>91.7</c:v>
                </c:pt>
                <c:pt idx="330">
                  <c:v>73.959999999999994</c:v>
                </c:pt>
                <c:pt idx="331">
                  <c:v>92.65</c:v>
                </c:pt>
                <c:pt idx="332">
                  <c:v>113.58</c:v>
                </c:pt>
                <c:pt idx="333">
                  <c:v>92.52</c:v>
                </c:pt>
                <c:pt idx="334">
                  <c:v>82.4</c:v>
                </c:pt>
                <c:pt idx="335">
                  <c:v>130.4</c:v>
                </c:pt>
                <c:pt idx="336">
                  <c:v>104.27</c:v>
                </c:pt>
                <c:pt idx="337">
                  <c:v>82.53</c:v>
                </c:pt>
                <c:pt idx="338">
                  <c:v>111.8</c:v>
                </c:pt>
                <c:pt idx="339">
                  <c:v>104.16</c:v>
                </c:pt>
                <c:pt idx="340">
                  <c:v>101.36</c:v>
                </c:pt>
                <c:pt idx="341">
                  <c:v>65.69</c:v>
                </c:pt>
                <c:pt idx="342">
                  <c:v>119.83</c:v>
                </c:pt>
                <c:pt idx="343">
                  <c:v>73.099999999999994</c:v>
                </c:pt>
                <c:pt idx="344">
                  <c:v>58.55</c:v>
                </c:pt>
                <c:pt idx="345">
                  <c:v>90.4</c:v>
                </c:pt>
                <c:pt idx="346">
                  <c:v>83</c:v>
                </c:pt>
                <c:pt idx="347">
                  <c:v>73.23</c:v>
                </c:pt>
                <c:pt idx="348">
                  <c:v>102.14</c:v>
                </c:pt>
                <c:pt idx="349">
                  <c:v>105.32</c:v>
                </c:pt>
                <c:pt idx="350">
                  <c:v>73.8</c:v>
                </c:pt>
                <c:pt idx="351">
                  <c:v>92.67</c:v>
                </c:pt>
                <c:pt idx="352">
                  <c:v>65.42</c:v>
                </c:pt>
                <c:pt idx="353">
                  <c:v>92.85</c:v>
                </c:pt>
                <c:pt idx="354">
                  <c:v>102.69</c:v>
                </c:pt>
                <c:pt idx="355">
                  <c:v>93</c:v>
                </c:pt>
                <c:pt idx="356">
                  <c:v>65.650000000000006</c:v>
                </c:pt>
                <c:pt idx="357">
                  <c:v>64.88</c:v>
                </c:pt>
                <c:pt idx="358">
                  <c:v>65.25</c:v>
                </c:pt>
                <c:pt idx="359">
                  <c:v>72.680000000000007</c:v>
                </c:pt>
                <c:pt idx="360">
                  <c:v>82.32</c:v>
                </c:pt>
                <c:pt idx="361">
                  <c:v>117.14</c:v>
                </c:pt>
                <c:pt idx="362">
                  <c:v>167.27</c:v>
                </c:pt>
                <c:pt idx="363">
                  <c:v>159.5</c:v>
                </c:pt>
                <c:pt idx="364">
                  <c:v>104.92</c:v>
                </c:pt>
                <c:pt idx="365">
                  <c:v>104.66</c:v>
                </c:pt>
                <c:pt idx="366">
                  <c:v>92.49</c:v>
                </c:pt>
                <c:pt idx="367">
                  <c:v>82.13</c:v>
                </c:pt>
                <c:pt idx="368">
                  <c:v>101.77</c:v>
                </c:pt>
                <c:pt idx="369">
                  <c:v>91.48</c:v>
                </c:pt>
                <c:pt idx="370">
                  <c:v>119.63</c:v>
                </c:pt>
                <c:pt idx="371">
                  <c:v>104.02</c:v>
                </c:pt>
                <c:pt idx="372">
                  <c:v>104.49</c:v>
                </c:pt>
                <c:pt idx="373">
                  <c:v>118.86</c:v>
                </c:pt>
                <c:pt idx="374">
                  <c:v>92.58</c:v>
                </c:pt>
                <c:pt idx="375">
                  <c:v>102.02</c:v>
                </c:pt>
                <c:pt idx="376">
                  <c:v>103.38</c:v>
                </c:pt>
                <c:pt idx="377">
                  <c:v>117.11</c:v>
                </c:pt>
                <c:pt idx="378">
                  <c:v>82.1</c:v>
                </c:pt>
                <c:pt idx="379">
                  <c:v>82.7</c:v>
                </c:pt>
                <c:pt idx="380">
                  <c:v>92.26</c:v>
                </c:pt>
                <c:pt idx="381">
                  <c:v>163.5</c:v>
                </c:pt>
                <c:pt idx="382">
                  <c:v>131.96</c:v>
                </c:pt>
                <c:pt idx="383">
                  <c:v>102.45</c:v>
                </c:pt>
                <c:pt idx="384">
                  <c:v>72.349999999999994</c:v>
                </c:pt>
                <c:pt idx="385">
                  <c:v>73.36</c:v>
                </c:pt>
                <c:pt idx="386">
                  <c:v>74</c:v>
                </c:pt>
                <c:pt idx="387">
                  <c:v>137.94</c:v>
                </c:pt>
                <c:pt idx="388">
                  <c:v>168.7</c:v>
                </c:pt>
                <c:pt idx="389">
                  <c:v>103.69</c:v>
                </c:pt>
                <c:pt idx="390">
                  <c:v>58.89</c:v>
                </c:pt>
                <c:pt idx="391">
                  <c:v>73.040000000000006</c:v>
                </c:pt>
                <c:pt idx="392">
                  <c:v>140.22</c:v>
                </c:pt>
                <c:pt idx="393">
                  <c:v>141.6</c:v>
                </c:pt>
                <c:pt idx="394">
                  <c:v>141.80000000000001</c:v>
                </c:pt>
                <c:pt idx="395">
                  <c:v>143.19999999999999</c:v>
                </c:pt>
                <c:pt idx="396">
                  <c:v>84.07</c:v>
                </c:pt>
                <c:pt idx="397">
                  <c:v>119.9</c:v>
                </c:pt>
                <c:pt idx="398">
                  <c:v>89.96</c:v>
                </c:pt>
                <c:pt idx="399">
                  <c:v>65.59</c:v>
                </c:pt>
                <c:pt idx="400">
                  <c:v>82.32</c:v>
                </c:pt>
                <c:pt idx="401">
                  <c:v>92.5</c:v>
                </c:pt>
                <c:pt idx="402">
                  <c:v>82.65</c:v>
                </c:pt>
                <c:pt idx="403">
                  <c:v>119.05</c:v>
                </c:pt>
                <c:pt idx="404">
                  <c:v>159</c:v>
                </c:pt>
                <c:pt idx="405">
                  <c:v>92.92</c:v>
                </c:pt>
                <c:pt idx="406">
                  <c:v>164.33</c:v>
                </c:pt>
                <c:pt idx="407">
                  <c:v>112.25</c:v>
                </c:pt>
                <c:pt idx="408">
                  <c:v>119.1</c:v>
                </c:pt>
                <c:pt idx="409">
                  <c:v>64.88</c:v>
                </c:pt>
                <c:pt idx="410">
                  <c:v>92.36</c:v>
                </c:pt>
                <c:pt idx="411">
                  <c:v>143.56</c:v>
                </c:pt>
                <c:pt idx="412">
                  <c:v>72.8</c:v>
                </c:pt>
                <c:pt idx="413">
                  <c:v>166.25</c:v>
                </c:pt>
                <c:pt idx="414">
                  <c:v>119.33</c:v>
                </c:pt>
                <c:pt idx="415">
                  <c:v>119.38</c:v>
                </c:pt>
                <c:pt idx="416">
                  <c:v>169.7</c:v>
                </c:pt>
                <c:pt idx="417">
                  <c:v>92.39</c:v>
                </c:pt>
                <c:pt idx="418">
                  <c:v>160.80000000000001</c:v>
                </c:pt>
                <c:pt idx="419">
                  <c:v>147.30000000000001</c:v>
                </c:pt>
                <c:pt idx="420">
                  <c:v>86.53</c:v>
                </c:pt>
                <c:pt idx="421">
                  <c:v>150.9</c:v>
                </c:pt>
                <c:pt idx="422">
                  <c:v>64.5</c:v>
                </c:pt>
                <c:pt idx="423">
                  <c:v>119.47</c:v>
                </c:pt>
                <c:pt idx="424">
                  <c:v>73.349999999999994</c:v>
                </c:pt>
                <c:pt idx="425">
                  <c:v>92.53</c:v>
                </c:pt>
              </c:numCache>
            </c:numRef>
          </c:xVal>
          <c:yVal>
            <c:numRef>
              <c:f>'Data Squat'!$L$663:$L$1088</c:f>
              <c:numCache>
                <c:formatCode>0.000</c:formatCode>
                <c:ptCount val="426"/>
                <c:pt idx="0">
                  <c:v>0.1875</c:v>
                </c:pt>
                <c:pt idx="1">
                  <c:v>0.36231884057971014</c:v>
                </c:pt>
                <c:pt idx="2">
                  <c:v>0.3867924528301887</c:v>
                </c:pt>
                <c:pt idx="3">
                  <c:v>0.390625</c:v>
                </c:pt>
                <c:pt idx="4">
                  <c:v>0.4</c:v>
                </c:pt>
                <c:pt idx="5">
                  <c:v>0.48275862068965519</c:v>
                </c:pt>
                <c:pt idx="6">
                  <c:v>0.52307692307692311</c:v>
                </c:pt>
                <c:pt idx="7">
                  <c:v>0.52459016393442626</c:v>
                </c:pt>
                <c:pt idx="8">
                  <c:v>0.52830188679245282</c:v>
                </c:pt>
                <c:pt idx="9">
                  <c:v>0.53333333333333333</c:v>
                </c:pt>
                <c:pt idx="10">
                  <c:v>0.53448275862068961</c:v>
                </c:pt>
                <c:pt idx="11">
                  <c:v>0.53521126760563376</c:v>
                </c:pt>
                <c:pt idx="12">
                  <c:v>0.53968253968253965</c:v>
                </c:pt>
                <c:pt idx="13">
                  <c:v>0.54545454545454541</c:v>
                </c:pt>
                <c:pt idx="14">
                  <c:v>0.546875</c:v>
                </c:pt>
                <c:pt idx="15">
                  <c:v>0.5494505494505495</c:v>
                </c:pt>
                <c:pt idx="16">
                  <c:v>0.55172413793103448</c:v>
                </c:pt>
                <c:pt idx="17">
                  <c:v>0.55882352941176472</c:v>
                </c:pt>
                <c:pt idx="18">
                  <c:v>0.56000000000000005</c:v>
                </c:pt>
                <c:pt idx="19">
                  <c:v>0.5625</c:v>
                </c:pt>
                <c:pt idx="20">
                  <c:v>0.56375838926174493</c:v>
                </c:pt>
                <c:pt idx="21">
                  <c:v>0.56382978723404253</c:v>
                </c:pt>
                <c:pt idx="22">
                  <c:v>0.56521739130434778</c:v>
                </c:pt>
                <c:pt idx="23">
                  <c:v>0.56748466257668717</c:v>
                </c:pt>
                <c:pt idx="24">
                  <c:v>0.56804733727810652</c:v>
                </c:pt>
                <c:pt idx="25">
                  <c:v>0.56842105263157894</c:v>
                </c:pt>
                <c:pt idx="26">
                  <c:v>0.56862745098039214</c:v>
                </c:pt>
                <c:pt idx="27">
                  <c:v>0.5714285714285714</c:v>
                </c:pt>
                <c:pt idx="28">
                  <c:v>0.57236842105263153</c:v>
                </c:pt>
                <c:pt idx="29">
                  <c:v>0.57692307692307687</c:v>
                </c:pt>
                <c:pt idx="30">
                  <c:v>0.57692307692307687</c:v>
                </c:pt>
                <c:pt idx="31">
                  <c:v>0.57731958762886593</c:v>
                </c:pt>
                <c:pt idx="32">
                  <c:v>0.58064516129032262</c:v>
                </c:pt>
                <c:pt idx="33">
                  <c:v>0.58088235294117652</c:v>
                </c:pt>
                <c:pt idx="34">
                  <c:v>0.58139534883720934</c:v>
                </c:pt>
                <c:pt idx="35">
                  <c:v>0.58333333333333337</c:v>
                </c:pt>
                <c:pt idx="36">
                  <c:v>0.58552631578947367</c:v>
                </c:pt>
                <c:pt idx="37">
                  <c:v>0.58620689655172409</c:v>
                </c:pt>
                <c:pt idx="38">
                  <c:v>0.58695652173913049</c:v>
                </c:pt>
                <c:pt idx="39">
                  <c:v>0.59027777777777779</c:v>
                </c:pt>
                <c:pt idx="40">
                  <c:v>0.59027777777777779</c:v>
                </c:pt>
                <c:pt idx="41">
                  <c:v>0.59090909090909094</c:v>
                </c:pt>
                <c:pt idx="42">
                  <c:v>0.59154929577464788</c:v>
                </c:pt>
                <c:pt idx="43">
                  <c:v>0.59183673469387754</c:v>
                </c:pt>
                <c:pt idx="44">
                  <c:v>0.59433962264150941</c:v>
                </c:pt>
                <c:pt idx="45">
                  <c:v>0.59459459459459463</c:v>
                </c:pt>
                <c:pt idx="46">
                  <c:v>0.59493670886075944</c:v>
                </c:pt>
                <c:pt idx="47">
                  <c:v>0.59558823529411764</c:v>
                </c:pt>
                <c:pt idx="48">
                  <c:v>0.59649122807017541</c:v>
                </c:pt>
                <c:pt idx="49">
                  <c:v>0.59649122807017541</c:v>
                </c:pt>
                <c:pt idx="50">
                  <c:v>0.5968992248062015</c:v>
                </c:pt>
                <c:pt idx="51">
                  <c:v>0.59803921568627449</c:v>
                </c:pt>
                <c:pt idx="52">
                  <c:v>0.59813084112149528</c:v>
                </c:pt>
                <c:pt idx="53">
                  <c:v>0.59842519685039375</c:v>
                </c:pt>
                <c:pt idx="54">
                  <c:v>0.6</c:v>
                </c:pt>
                <c:pt idx="55">
                  <c:v>0.60416666666666663</c:v>
                </c:pt>
                <c:pt idx="56">
                  <c:v>0.60416666666666663</c:v>
                </c:pt>
                <c:pt idx="57">
                  <c:v>0.60416666666666663</c:v>
                </c:pt>
                <c:pt idx="58">
                  <c:v>0.60563380281690138</c:v>
                </c:pt>
                <c:pt idx="59">
                  <c:v>0.60784313725490191</c:v>
                </c:pt>
                <c:pt idx="60">
                  <c:v>0.60799999999999998</c:v>
                </c:pt>
                <c:pt idx="61">
                  <c:v>0.60833333333333328</c:v>
                </c:pt>
                <c:pt idx="62">
                  <c:v>0.60833333333333328</c:v>
                </c:pt>
                <c:pt idx="63">
                  <c:v>0.60869565217391308</c:v>
                </c:pt>
                <c:pt idx="64">
                  <c:v>0.61016949152542377</c:v>
                </c:pt>
                <c:pt idx="65">
                  <c:v>0.61073825503355705</c:v>
                </c:pt>
                <c:pt idx="66">
                  <c:v>0.61224489795918369</c:v>
                </c:pt>
                <c:pt idx="67">
                  <c:v>0.61538461538461542</c:v>
                </c:pt>
                <c:pt idx="68">
                  <c:v>0.61538461538461542</c:v>
                </c:pt>
                <c:pt idx="69">
                  <c:v>0.61538461538461542</c:v>
                </c:pt>
                <c:pt idx="70">
                  <c:v>0.61538461538461542</c:v>
                </c:pt>
                <c:pt idx="71">
                  <c:v>0.61643835616438358</c:v>
                </c:pt>
                <c:pt idx="72">
                  <c:v>0.61855670103092786</c:v>
                </c:pt>
                <c:pt idx="73">
                  <c:v>0.61940298507462688</c:v>
                </c:pt>
                <c:pt idx="74">
                  <c:v>0.61971830985915488</c:v>
                </c:pt>
                <c:pt idx="75">
                  <c:v>0.62222222222222223</c:v>
                </c:pt>
                <c:pt idx="76">
                  <c:v>0.62244897959183676</c:v>
                </c:pt>
                <c:pt idx="77">
                  <c:v>0.62264150943396224</c:v>
                </c:pt>
                <c:pt idx="78">
                  <c:v>0.62385321100917435</c:v>
                </c:pt>
                <c:pt idx="79">
                  <c:v>0.625</c:v>
                </c:pt>
                <c:pt idx="80">
                  <c:v>0.6271186440677966</c:v>
                </c:pt>
                <c:pt idx="81">
                  <c:v>0.62857142857142856</c:v>
                </c:pt>
                <c:pt idx="82">
                  <c:v>0.62857142857142856</c:v>
                </c:pt>
                <c:pt idx="83">
                  <c:v>0.62857142857142856</c:v>
                </c:pt>
                <c:pt idx="84">
                  <c:v>0.62886597938144329</c:v>
                </c:pt>
                <c:pt idx="85">
                  <c:v>0.62886597938144329</c:v>
                </c:pt>
                <c:pt idx="86">
                  <c:v>0.62962962962962965</c:v>
                </c:pt>
                <c:pt idx="87">
                  <c:v>0.62962962962962965</c:v>
                </c:pt>
                <c:pt idx="88">
                  <c:v>0.63157894736842102</c:v>
                </c:pt>
                <c:pt idx="89">
                  <c:v>0.63194444444444442</c:v>
                </c:pt>
                <c:pt idx="90">
                  <c:v>0.63235294117647056</c:v>
                </c:pt>
                <c:pt idx="91">
                  <c:v>0.6333333333333333</c:v>
                </c:pt>
                <c:pt idx="92">
                  <c:v>0.6333333333333333</c:v>
                </c:pt>
                <c:pt idx="93">
                  <c:v>0.63461538461538458</c:v>
                </c:pt>
                <c:pt idx="94">
                  <c:v>0.63793103448275867</c:v>
                </c:pt>
                <c:pt idx="95">
                  <c:v>0.63888888888888884</c:v>
                </c:pt>
                <c:pt idx="96">
                  <c:v>0.63888888888888884</c:v>
                </c:pt>
                <c:pt idx="97">
                  <c:v>0.64</c:v>
                </c:pt>
                <c:pt idx="98">
                  <c:v>0.64035087719298245</c:v>
                </c:pt>
                <c:pt idx="99">
                  <c:v>0.64130434782608692</c:v>
                </c:pt>
                <c:pt idx="100">
                  <c:v>0.64137931034482754</c:v>
                </c:pt>
                <c:pt idx="101">
                  <c:v>0.64137931034482754</c:v>
                </c:pt>
                <c:pt idx="102">
                  <c:v>0.64197530864197527</c:v>
                </c:pt>
                <c:pt idx="103">
                  <c:v>0.64220183486238536</c:v>
                </c:pt>
                <c:pt idx="104">
                  <c:v>0.6428571428571429</c:v>
                </c:pt>
                <c:pt idx="105">
                  <c:v>0.64341085271317833</c:v>
                </c:pt>
                <c:pt idx="106">
                  <c:v>0.64393939393939392</c:v>
                </c:pt>
                <c:pt idx="107">
                  <c:v>0.64423076923076927</c:v>
                </c:pt>
                <c:pt idx="108">
                  <c:v>0.64429530201342278</c:v>
                </c:pt>
                <c:pt idx="109">
                  <c:v>0.64473684210526316</c:v>
                </c:pt>
                <c:pt idx="110">
                  <c:v>0.64492753623188404</c:v>
                </c:pt>
                <c:pt idx="111">
                  <c:v>0.6454545454545455</c:v>
                </c:pt>
                <c:pt idx="112">
                  <c:v>0.64754098360655743</c:v>
                </c:pt>
                <c:pt idx="113">
                  <c:v>0.647887323943662</c:v>
                </c:pt>
                <c:pt idx="114">
                  <c:v>0.64900662251655628</c:v>
                </c:pt>
                <c:pt idx="115">
                  <c:v>0.64912280701754388</c:v>
                </c:pt>
                <c:pt idx="116">
                  <c:v>0.65</c:v>
                </c:pt>
                <c:pt idx="117">
                  <c:v>0.65</c:v>
                </c:pt>
                <c:pt idx="118">
                  <c:v>0.65040650406504064</c:v>
                </c:pt>
                <c:pt idx="119">
                  <c:v>0.65079365079365081</c:v>
                </c:pt>
                <c:pt idx="120">
                  <c:v>0.65137614678899081</c:v>
                </c:pt>
                <c:pt idx="121">
                  <c:v>0.65151515151515149</c:v>
                </c:pt>
                <c:pt idx="122">
                  <c:v>0.65217391304347827</c:v>
                </c:pt>
                <c:pt idx="123">
                  <c:v>0.65277777777777779</c:v>
                </c:pt>
                <c:pt idx="124">
                  <c:v>0.65354330708661412</c:v>
                </c:pt>
                <c:pt idx="125">
                  <c:v>0.65384615384615385</c:v>
                </c:pt>
                <c:pt idx="126">
                  <c:v>0.65384615384615385</c:v>
                </c:pt>
                <c:pt idx="127">
                  <c:v>0.65384615384615385</c:v>
                </c:pt>
                <c:pt idx="128">
                  <c:v>0.6556291390728477</c:v>
                </c:pt>
                <c:pt idx="129">
                  <c:v>0.65573770491803274</c:v>
                </c:pt>
                <c:pt idx="130">
                  <c:v>0.65671641791044777</c:v>
                </c:pt>
                <c:pt idx="131">
                  <c:v>0.65714285714285714</c:v>
                </c:pt>
                <c:pt idx="132">
                  <c:v>0.65714285714285714</c:v>
                </c:pt>
                <c:pt idx="133">
                  <c:v>0.65734265734265729</c:v>
                </c:pt>
                <c:pt idx="134">
                  <c:v>0.65833333333333333</c:v>
                </c:pt>
                <c:pt idx="135">
                  <c:v>0.65909090909090906</c:v>
                </c:pt>
                <c:pt idx="136">
                  <c:v>0.65957446808510634</c:v>
                </c:pt>
                <c:pt idx="137">
                  <c:v>0.66</c:v>
                </c:pt>
                <c:pt idx="138">
                  <c:v>0.66019417475728159</c:v>
                </c:pt>
                <c:pt idx="139">
                  <c:v>0.66115702479338845</c:v>
                </c:pt>
                <c:pt idx="140">
                  <c:v>0.66129032258064513</c:v>
                </c:pt>
                <c:pt idx="141">
                  <c:v>0.66153846153846152</c:v>
                </c:pt>
                <c:pt idx="142">
                  <c:v>0.66176470588235292</c:v>
                </c:pt>
                <c:pt idx="143">
                  <c:v>0.66185318892900125</c:v>
                </c:pt>
                <c:pt idx="144">
                  <c:v>0.66187050359712229</c:v>
                </c:pt>
                <c:pt idx="145">
                  <c:v>0.6619718309859155</c:v>
                </c:pt>
                <c:pt idx="146">
                  <c:v>0.66249999999999998</c:v>
                </c:pt>
                <c:pt idx="147">
                  <c:v>0.66265060240963858</c:v>
                </c:pt>
                <c:pt idx="148">
                  <c:v>0.66346153846153844</c:v>
                </c:pt>
                <c:pt idx="149">
                  <c:v>0.66379310344827591</c:v>
                </c:pt>
                <c:pt idx="150">
                  <c:v>0.66400000000000003</c:v>
                </c:pt>
                <c:pt idx="151">
                  <c:v>0.66438356164383561</c:v>
                </c:pt>
                <c:pt idx="152">
                  <c:v>0.66442953020134232</c:v>
                </c:pt>
                <c:pt idx="153">
                  <c:v>0.6645962732919255</c:v>
                </c:pt>
                <c:pt idx="154">
                  <c:v>0.66470588235294115</c:v>
                </c:pt>
                <c:pt idx="155">
                  <c:v>0.66666666666666663</c:v>
                </c:pt>
                <c:pt idx="156">
                  <c:v>0.66666666666666663</c:v>
                </c:pt>
                <c:pt idx="157">
                  <c:v>0.66666666666666663</c:v>
                </c:pt>
                <c:pt idx="158">
                  <c:v>0.66666666666666663</c:v>
                </c:pt>
                <c:pt idx="159">
                  <c:v>0.66666666666666663</c:v>
                </c:pt>
                <c:pt idx="160">
                  <c:v>0.66666666666666663</c:v>
                </c:pt>
                <c:pt idx="161">
                  <c:v>0.66666666666666663</c:v>
                </c:pt>
                <c:pt idx="162">
                  <c:v>0.66935483870967738</c:v>
                </c:pt>
                <c:pt idx="163">
                  <c:v>0.66972477064220182</c:v>
                </c:pt>
                <c:pt idx="164">
                  <c:v>0.67</c:v>
                </c:pt>
                <c:pt idx="165">
                  <c:v>0.67045454545454541</c:v>
                </c:pt>
                <c:pt idx="166">
                  <c:v>0.67088607594936711</c:v>
                </c:pt>
                <c:pt idx="167">
                  <c:v>0.67088607594936711</c:v>
                </c:pt>
                <c:pt idx="168">
                  <c:v>0.67142857142857137</c:v>
                </c:pt>
                <c:pt idx="169">
                  <c:v>0.67142857142857137</c:v>
                </c:pt>
                <c:pt idx="170">
                  <c:v>0.67241379310344829</c:v>
                </c:pt>
                <c:pt idx="171">
                  <c:v>0.67256637168141598</c:v>
                </c:pt>
                <c:pt idx="172">
                  <c:v>0.67346938775510201</c:v>
                </c:pt>
                <c:pt idx="173">
                  <c:v>0.67346938775510201</c:v>
                </c:pt>
                <c:pt idx="174">
                  <c:v>0.67361111111111116</c:v>
                </c:pt>
                <c:pt idx="175">
                  <c:v>0.67368421052631577</c:v>
                </c:pt>
                <c:pt idx="176">
                  <c:v>0.67391304347826086</c:v>
                </c:pt>
                <c:pt idx="177">
                  <c:v>0.6741573033707865</c:v>
                </c:pt>
                <c:pt idx="178">
                  <c:v>0.67521367521367526</c:v>
                </c:pt>
                <c:pt idx="179">
                  <c:v>0.67532467532467533</c:v>
                </c:pt>
                <c:pt idx="180">
                  <c:v>0.67647058823529416</c:v>
                </c:pt>
                <c:pt idx="181">
                  <c:v>0.67708333333333337</c:v>
                </c:pt>
                <c:pt idx="182">
                  <c:v>0.67763157894736847</c:v>
                </c:pt>
                <c:pt idx="183">
                  <c:v>0.67883211678832112</c:v>
                </c:pt>
                <c:pt idx="184">
                  <c:v>0.68</c:v>
                </c:pt>
                <c:pt idx="185">
                  <c:v>0.68055555555555558</c:v>
                </c:pt>
                <c:pt idx="186">
                  <c:v>0.68316831683168322</c:v>
                </c:pt>
                <c:pt idx="187">
                  <c:v>0.68531468531468531</c:v>
                </c:pt>
                <c:pt idx="188">
                  <c:v>0.68571428571428572</c:v>
                </c:pt>
                <c:pt idx="189">
                  <c:v>0.68571428571428572</c:v>
                </c:pt>
                <c:pt idx="190">
                  <c:v>0.68571428571428572</c:v>
                </c:pt>
                <c:pt idx="191">
                  <c:v>0.68627450980392157</c:v>
                </c:pt>
                <c:pt idx="192">
                  <c:v>0.68695652173913047</c:v>
                </c:pt>
                <c:pt idx="193">
                  <c:v>0.6875</c:v>
                </c:pt>
                <c:pt idx="194">
                  <c:v>0.68840579710144922</c:v>
                </c:pt>
                <c:pt idx="195">
                  <c:v>0.68867924528301883</c:v>
                </c:pt>
                <c:pt idx="196">
                  <c:v>0.68902439024390238</c:v>
                </c:pt>
                <c:pt idx="197">
                  <c:v>0.69</c:v>
                </c:pt>
                <c:pt idx="198">
                  <c:v>0.69090909090909092</c:v>
                </c:pt>
                <c:pt idx="199">
                  <c:v>0.69135802469135799</c:v>
                </c:pt>
                <c:pt idx="200">
                  <c:v>0.69166666666666665</c:v>
                </c:pt>
                <c:pt idx="201">
                  <c:v>0.69172932330827064</c:v>
                </c:pt>
                <c:pt idx="202">
                  <c:v>0.69230769230769229</c:v>
                </c:pt>
                <c:pt idx="203">
                  <c:v>0.69374999999999998</c:v>
                </c:pt>
                <c:pt idx="204">
                  <c:v>0.69402985074626866</c:v>
                </c:pt>
                <c:pt idx="205">
                  <c:v>0.69444444444444442</c:v>
                </c:pt>
                <c:pt idx="206">
                  <c:v>0.69473684210526321</c:v>
                </c:pt>
                <c:pt idx="207">
                  <c:v>0.69480519480519476</c:v>
                </c:pt>
                <c:pt idx="208">
                  <c:v>0.69491525423728817</c:v>
                </c:pt>
                <c:pt idx="209">
                  <c:v>0.69565217391304346</c:v>
                </c:pt>
                <c:pt idx="210">
                  <c:v>0.69565217391304346</c:v>
                </c:pt>
                <c:pt idx="211">
                  <c:v>0.69565217391304346</c:v>
                </c:pt>
                <c:pt idx="212">
                  <c:v>0.69565217391304346</c:v>
                </c:pt>
                <c:pt idx="213">
                  <c:v>0.69607843137254899</c:v>
                </c:pt>
                <c:pt idx="214">
                  <c:v>0.6966292134831461</c:v>
                </c:pt>
                <c:pt idx="215">
                  <c:v>0.69696969696969702</c:v>
                </c:pt>
                <c:pt idx="216">
                  <c:v>0.69798657718120805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0.70175438596491224</c:v>
                </c:pt>
                <c:pt idx="222">
                  <c:v>0.70270270270270274</c:v>
                </c:pt>
                <c:pt idx="223">
                  <c:v>0.70270270270270274</c:v>
                </c:pt>
                <c:pt idx="224">
                  <c:v>0.70370370370370372</c:v>
                </c:pt>
                <c:pt idx="225">
                  <c:v>0.70454545454545459</c:v>
                </c:pt>
                <c:pt idx="226">
                  <c:v>0.7053571428571429</c:v>
                </c:pt>
                <c:pt idx="227">
                  <c:v>0.70588235294117652</c:v>
                </c:pt>
                <c:pt idx="228">
                  <c:v>0.70629370629370625</c:v>
                </c:pt>
                <c:pt idx="229">
                  <c:v>0.70629370629370625</c:v>
                </c:pt>
                <c:pt idx="230">
                  <c:v>0.70666666666666667</c:v>
                </c:pt>
                <c:pt idx="231">
                  <c:v>0.70714285714285718</c:v>
                </c:pt>
                <c:pt idx="232">
                  <c:v>0.70769230769230773</c:v>
                </c:pt>
                <c:pt idx="233">
                  <c:v>0.70833333333333337</c:v>
                </c:pt>
                <c:pt idx="234">
                  <c:v>0.71</c:v>
                </c:pt>
                <c:pt idx="235">
                  <c:v>0.71034482758620687</c:v>
                </c:pt>
                <c:pt idx="236">
                  <c:v>0.71111111111111114</c:v>
                </c:pt>
                <c:pt idx="237">
                  <c:v>0.71126760563380287</c:v>
                </c:pt>
                <c:pt idx="238">
                  <c:v>0.71232876712328763</c:v>
                </c:pt>
                <c:pt idx="239">
                  <c:v>0.71232876712328763</c:v>
                </c:pt>
                <c:pt idx="240">
                  <c:v>0.71232876712328763</c:v>
                </c:pt>
                <c:pt idx="241">
                  <c:v>0.71250000000000002</c:v>
                </c:pt>
                <c:pt idx="242">
                  <c:v>0.7142857142857143</c:v>
                </c:pt>
                <c:pt idx="243">
                  <c:v>0.7151515151515152</c:v>
                </c:pt>
                <c:pt idx="244">
                  <c:v>0.71532846715328469</c:v>
                </c:pt>
                <c:pt idx="245">
                  <c:v>0.71551724137931039</c:v>
                </c:pt>
                <c:pt idx="246">
                  <c:v>0.71631205673758869</c:v>
                </c:pt>
                <c:pt idx="247">
                  <c:v>0.71666666666666667</c:v>
                </c:pt>
                <c:pt idx="248">
                  <c:v>0.71724137931034482</c:v>
                </c:pt>
                <c:pt idx="249">
                  <c:v>0.717741935483871</c:v>
                </c:pt>
                <c:pt idx="250">
                  <c:v>0.71917808219178081</c:v>
                </c:pt>
                <c:pt idx="251">
                  <c:v>0.7231638418079096</c:v>
                </c:pt>
                <c:pt idx="252">
                  <c:v>0.72340425531914898</c:v>
                </c:pt>
                <c:pt idx="253">
                  <c:v>0.72413793103448276</c:v>
                </c:pt>
                <c:pt idx="254">
                  <c:v>0.72463768115942029</c:v>
                </c:pt>
                <c:pt idx="255">
                  <c:v>0.72463768115942029</c:v>
                </c:pt>
                <c:pt idx="256">
                  <c:v>0.72535211267605637</c:v>
                </c:pt>
                <c:pt idx="257">
                  <c:v>0.72580645161290325</c:v>
                </c:pt>
                <c:pt idx="258">
                  <c:v>0.72666666666666668</c:v>
                </c:pt>
                <c:pt idx="259">
                  <c:v>0.72666666666666668</c:v>
                </c:pt>
                <c:pt idx="260">
                  <c:v>0.72727272727272729</c:v>
                </c:pt>
                <c:pt idx="261">
                  <c:v>0.72839506172839508</c:v>
                </c:pt>
                <c:pt idx="262">
                  <c:v>0.72847682119205293</c:v>
                </c:pt>
                <c:pt idx="263">
                  <c:v>0.72857142857142854</c:v>
                </c:pt>
                <c:pt idx="264">
                  <c:v>0.72881355932203384</c:v>
                </c:pt>
                <c:pt idx="265">
                  <c:v>0.73026315789473684</c:v>
                </c:pt>
                <c:pt idx="266">
                  <c:v>0.7321428571428571</c:v>
                </c:pt>
                <c:pt idx="267">
                  <c:v>0.73248407643312097</c:v>
                </c:pt>
                <c:pt idx="268">
                  <c:v>0.73333333333333328</c:v>
                </c:pt>
                <c:pt idx="269">
                  <c:v>0.73333333333333328</c:v>
                </c:pt>
                <c:pt idx="270">
                  <c:v>0.7338709677419355</c:v>
                </c:pt>
                <c:pt idx="271">
                  <c:v>0.73417721518987344</c:v>
                </c:pt>
                <c:pt idx="272">
                  <c:v>0.73529411764705888</c:v>
                </c:pt>
                <c:pt idx="273">
                  <c:v>0.73529411764705888</c:v>
                </c:pt>
                <c:pt idx="274">
                  <c:v>0.73548387096774193</c:v>
                </c:pt>
                <c:pt idx="275">
                  <c:v>0.73584905660377353</c:v>
                </c:pt>
                <c:pt idx="276">
                  <c:v>0.73636363636363633</c:v>
                </c:pt>
                <c:pt idx="277">
                  <c:v>0.73643410852713176</c:v>
                </c:pt>
                <c:pt idx="278">
                  <c:v>0.73648648648648651</c:v>
                </c:pt>
                <c:pt idx="279">
                  <c:v>0.73684210526315785</c:v>
                </c:pt>
                <c:pt idx="280">
                  <c:v>0.73722627737226276</c:v>
                </c:pt>
                <c:pt idx="281">
                  <c:v>0.73750000000000004</c:v>
                </c:pt>
                <c:pt idx="282">
                  <c:v>0.73825503355704702</c:v>
                </c:pt>
                <c:pt idx="283">
                  <c:v>0.73913043478260865</c:v>
                </c:pt>
                <c:pt idx="284">
                  <c:v>0.74015748031496065</c:v>
                </c:pt>
                <c:pt idx="285">
                  <c:v>0.7407407407407407</c:v>
                </c:pt>
                <c:pt idx="286">
                  <c:v>0.74100719424460426</c:v>
                </c:pt>
                <c:pt idx="287">
                  <c:v>0.74125874125874125</c:v>
                </c:pt>
                <c:pt idx="288">
                  <c:v>0.7415730337078652</c:v>
                </c:pt>
                <c:pt idx="289">
                  <c:v>0.74193548387096775</c:v>
                </c:pt>
                <c:pt idx="290">
                  <c:v>0.74213836477987416</c:v>
                </c:pt>
                <c:pt idx="291">
                  <c:v>0.7421875</c:v>
                </c:pt>
                <c:pt idx="292">
                  <c:v>0.74285714285714288</c:v>
                </c:pt>
                <c:pt idx="293">
                  <c:v>0.74358974358974361</c:v>
                </c:pt>
                <c:pt idx="294">
                  <c:v>0.74390243902439024</c:v>
                </c:pt>
                <c:pt idx="295">
                  <c:v>0.74545454545454548</c:v>
                </c:pt>
                <c:pt idx="296">
                  <c:v>0.74576271186440679</c:v>
                </c:pt>
                <c:pt idx="297">
                  <c:v>0.74728682170542637</c:v>
                </c:pt>
                <c:pt idx="298">
                  <c:v>0.74796747967479671</c:v>
                </c:pt>
                <c:pt idx="299">
                  <c:v>0.75</c:v>
                </c:pt>
                <c:pt idx="300">
                  <c:v>0.75</c:v>
                </c:pt>
                <c:pt idx="301">
                  <c:v>0.75</c:v>
                </c:pt>
                <c:pt idx="302">
                  <c:v>0.75308641975308643</c:v>
                </c:pt>
                <c:pt idx="303">
                  <c:v>0.75316455696202533</c:v>
                </c:pt>
                <c:pt idx="304">
                  <c:v>0.75373134328358204</c:v>
                </c:pt>
                <c:pt idx="305">
                  <c:v>0.75384615384615383</c:v>
                </c:pt>
                <c:pt idx="306">
                  <c:v>0.75418994413407825</c:v>
                </c:pt>
                <c:pt idx="307">
                  <c:v>0.75438596491228072</c:v>
                </c:pt>
                <c:pt idx="308">
                  <c:v>0.75471698113207553</c:v>
                </c:pt>
                <c:pt idx="309">
                  <c:v>0.75507246376811599</c:v>
                </c:pt>
                <c:pt idx="310">
                  <c:v>0.75555555555555554</c:v>
                </c:pt>
                <c:pt idx="311">
                  <c:v>0.75630252100840334</c:v>
                </c:pt>
                <c:pt idx="312">
                  <c:v>0.75641025641025639</c:v>
                </c:pt>
                <c:pt idx="313">
                  <c:v>0.75657894736842102</c:v>
                </c:pt>
                <c:pt idx="314">
                  <c:v>0.7567567567567568</c:v>
                </c:pt>
                <c:pt idx="315">
                  <c:v>0.75757575757575757</c:v>
                </c:pt>
                <c:pt idx="316">
                  <c:v>0.75757575757575757</c:v>
                </c:pt>
                <c:pt idx="317">
                  <c:v>0.75935828877005351</c:v>
                </c:pt>
                <c:pt idx="318">
                  <c:v>0.76027397260273977</c:v>
                </c:pt>
                <c:pt idx="319">
                  <c:v>0.76063829787234039</c:v>
                </c:pt>
                <c:pt idx="320">
                  <c:v>0.76190476190476186</c:v>
                </c:pt>
                <c:pt idx="321">
                  <c:v>0.76223776223776218</c:v>
                </c:pt>
                <c:pt idx="322">
                  <c:v>0.76428571428571423</c:v>
                </c:pt>
                <c:pt idx="323">
                  <c:v>0.76506024096385539</c:v>
                </c:pt>
                <c:pt idx="324">
                  <c:v>0.76551724137931032</c:v>
                </c:pt>
                <c:pt idx="325">
                  <c:v>0.76724137931034486</c:v>
                </c:pt>
                <c:pt idx="326">
                  <c:v>0.76829268292682928</c:v>
                </c:pt>
                <c:pt idx="327">
                  <c:v>0.76851851851851849</c:v>
                </c:pt>
                <c:pt idx="328">
                  <c:v>0.77</c:v>
                </c:pt>
                <c:pt idx="329">
                  <c:v>0.77181208053691275</c:v>
                </c:pt>
                <c:pt idx="330">
                  <c:v>0.77192982456140347</c:v>
                </c:pt>
                <c:pt idx="331">
                  <c:v>0.77272727272727271</c:v>
                </c:pt>
                <c:pt idx="332">
                  <c:v>0.77500000000000002</c:v>
                </c:pt>
                <c:pt idx="333">
                  <c:v>0.77519379844961245</c:v>
                </c:pt>
                <c:pt idx="334">
                  <c:v>0.77611940298507465</c:v>
                </c:pt>
                <c:pt idx="335">
                  <c:v>0.77622377622377625</c:v>
                </c:pt>
                <c:pt idx="336">
                  <c:v>0.77692307692307694</c:v>
                </c:pt>
                <c:pt idx="337">
                  <c:v>0.77868852459016391</c:v>
                </c:pt>
                <c:pt idx="338">
                  <c:v>0.77922077922077926</c:v>
                </c:pt>
                <c:pt idx="339">
                  <c:v>0.78048780487804881</c:v>
                </c:pt>
                <c:pt idx="340">
                  <c:v>0.78125</c:v>
                </c:pt>
                <c:pt idx="341">
                  <c:v>0.78217821782178221</c:v>
                </c:pt>
                <c:pt idx="342">
                  <c:v>0.7857142857142857</c:v>
                </c:pt>
                <c:pt idx="343">
                  <c:v>0.7857142857142857</c:v>
                </c:pt>
                <c:pt idx="344">
                  <c:v>0.7857142857142857</c:v>
                </c:pt>
                <c:pt idx="345">
                  <c:v>0.78688524590163933</c:v>
                </c:pt>
                <c:pt idx="346">
                  <c:v>0.78688524590163933</c:v>
                </c:pt>
                <c:pt idx="347">
                  <c:v>0.78761061946902655</c:v>
                </c:pt>
                <c:pt idx="348">
                  <c:v>0.78787878787878785</c:v>
                </c:pt>
                <c:pt idx="349">
                  <c:v>0.78787878787878785</c:v>
                </c:pt>
                <c:pt idx="350">
                  <c:v>0.79</c:v>
                </c:pt>
                <c:pt idx="351">
                  <c:v>0.79104477611940294</c:v>
                </c:pt>
                <c:pt idx="352">
                  <c:v>0.79245283018867929</c:v>
                </c:pt>
                <c:pt idx="353">
                  <c:v>0.79389312977099236</c:v>
                </c:pt>
                <c:pt idx="354">
                  <c:v>0.79411764705882348</c:v>
                </c:pt>
                <c:pt idx="355">
                  <c:v>0.79411764705882348</c:v>
                </c:pt>
                <c:pt idx="356">
                  <c:v>0.79411764705882348</c:v>
                </c:pt>
                <c:pt idx="357">
                  <c:v>0.79591836734693877</c:v>
                </c:pt>
                <c:pt idx="358">
                  <c:v>0.79629629629629628</c:v>
                </c:pt>
                <c:pt idx="359">
                  <c:v>0.79629629629629628</c:v>
                </c:pt>
                <c:pt idx="360">
                  <c:v>0.796875</c:v>
                </c:pt>
                <c:pt idx="361">
                  <c:v>0.8</c:v>
                </c:pt>
                <c:pt idx="362">
                  <c:v>0.80219780219780223</c:v>
                </c:pt>
                <c:pt idx="363">
                  <c:v>0.80246913580246915</c:v>
                </c:pt>
                <c:pt idx="364">
                  <c:v>0.80248447204968942</c:v>
                </c:pt>
                <c:pt idx="365">
                  <c:v>0.80303030303030298</c:v>
                </c:pt>
                <c:pt idx="366">
                  <c:v>0.80327868852459017</c:v>
                </c:pt>
                <c:pt idx="367">
                  <c:v>0.8035714285714286</c:v>
                </c:pt>
                <c:pt idx="368">
                  <c:v>0.80487804878048785</c:v>
                </c:pt>
                <c:pt idx="369">
                  <c:v>0.80555555555555558</c:v>
                </c:pt>
                <c:pt idx="370">
                  <c:v>0.80597014925373134</c:v>
                </c:pt>
                <c:pt idx="371">
                  <c:v>0.80714285714285716</c:v>
                </c:pt>
                <c:pt idx="372">
                  <c:v>0.80851063829787229</c:v>
                </c:pt>
                <c:pt idx="373">
                  <c:v>0.80882352941176472</c:v>
                </c:pt>
                <c:pt idx="374">
                  <c:v>0.80916030534351147</c:v>
                </c:pt>
                <c:pt idx="375">
                  <c:v>0.80952380952380953</c:v>
                </c:pt>
                <c:pt idx="376">
                  <c:v>0.8098591549295775</c:v>
                </c:pt>
                <c:pt idx="377">
                  <c:v>0.8125</c:v>
                </c:pt>
                <c:pt idx="378">
                  <c:v>0.81395348837209303</c:v>
                </c:pt>
                <c:pt idx="379">
                  <c:v>0.81451612903225812</c:v>
                </c:pt>
                <c:pt idx="380">
                  <c:v>0.81538461538461537</c:v>
                </c:pt>
                <c:pt idx="381">
                  <c:v>0.81595092024539873</c:v>
                </c:pt>
                <c:pt idx="382">
                  <c:v>0.81679389312977102</c:v>
                </c:pt>
                <c:pt idx="383">
                  <c:v>0.81879194630872487</c:v>
                </c:pt>
                <c:pt idx="384">
                  <c:v>0.82</c:v>
                </c:pt>
                <c:pt idx="385">
                  <c:v>0.82105263157894737</c:v>
                </c:pt>
                <c:pt idx="386">
                  <c:v>0.8214285714285714</c:v>
                </c:pt>
                <c:pt idx="387">
                  <c:v>0.82183908045977017</c:v>
                </c:pt>
                <c:pt idx="388">
                  <c:v>0.82317073170731703</c:v>
                </c:pt>
                <c:pt idx="389">
                  <c:v>0.82706766917293228</c:v>
                </c:pt>
                <c:pt idx="390">
                  <c:v>0.82926829268292679</c:v>
                </c:pt>
                <c:pt idx="391">
                  <c:v>0.83018867924528306</c:v>
                </c:pt>
                <c:pt idx="392">
                  <c:v>0.83030303030303032</c:v>
                </c:pt>
                <c:pt idx="393">
                  <c:v>0.83030303030303032</c:v>
                </c:pt>
                <c:pt idx="394">
                  <c:v>0.83132530120481929</c:v>
                </c:pt>
                <c:pt idx="395">
                  <c:v>0.8314606741573034</c:v>
                </c:pt>
                <c:pt idx="396">
                  <c:v>0.83333333333333337</c:v>
                </c:pt>
                <c:pt idx="397">
                  <c:v>0.83823529411764708</c:v>
                </c:pt>
                <c:pt idx="398">
                  <c:v>0.84057971014492749</c:v>
                </c:pt>
                <c:pt idx="399">
                  <c:v>0.84375</c:v>
                </c:pt>
                <c:pt idx="400">
                  <c:v>0.84615384615384615</c:v>
                </c:pt>
                <c:pt idx="401">
                  <c:v>0.84848484848484851</c:v>
                </c:pt>
                <c:pt idx="402">
                  <c:v>0.85087719298245612</c:v>
                </c:pt>
                <c:pt idx="403">
                  <c:v>0.85344827586206895</c:v>
                </c:pt>
                <c:pt idx="404">
                  <c:v>0.86</c:v>
                </c:pt>
                <c:pt idx="405">
                  <c:v>0.86764705882352944</c:v>
                </c:pt>
                <c:pt idx="406">
                  <c:v>0.87037037037037035</c:v>
                </c:pt>
                <c:pt idx="407">
                  <c:v>0.87068965517241381</c:v>
                </c:pt>
                <c:pt idx="408">
                  <c:v>0.87323943661971826</c:v>
                </c:pt>
                <c:pt idx="409">
                  <c:v>0.875</c:v>
                </c:pt>
                <c:pt idx="410">
                  <c:v>0.88235294117647056</c:v>
                </c:pt>
                <c:pt idx="411">
                  <c:v>0.88819875776397517</c:v>
                </c:pt>
                <c:pt idx="412">
                  <c:v>0.89130434782608692</c:v>
                </c:pt>
                <c:pt idx="413">
                  <c:v>0.89610389610389607</c:v>
                </c:pt>
                <c:pt idx="414">
                  <c:v>0.90151515151515149</c:v>
                </c:pt>
                <c:pt idx="415">
                  <c:v>0.90909090909090906</c:v>
                </c:pt>
                <c:pt idx="416">
                  <c:v>0.91666666666666663</c:v>
                </c:pt>
                <c:pt idx="417">
                  <c:v>0.93333333333333335</c:v>
                </c:pt>
                <c:pt idx="418">
                  <c:v>0.95270270270270274</c:v>
                </c:pt>
                <c:pt idx="419">
                  <c:v>0.95302013422818788</c:v>
                </c:pt>
                <c:pt idx="420">
                  <c:v>0.95833333333333337</c:v>
                </c:pt>
                <c:pt idx="421">
                  <c:v>0.97297297297297303</c:v>
                </c:pt>
                <c:pt idx="422">
                  <c:v>1.05</c:v>
                </c:pt>
                <c:pt idx="423">
                  <c:v>1.0583333333333333</c:v>
                </c:pt>
                <c:pt idx="424">
                  <c:v>1.1125</c:v>
                </c:pt>
                <c:pt idx="425">
                  <c:v>1.2272727272727273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0-47A4-A504-7F006BD4A7C4}"/>
            </c:ext>
          </c:extLst>
        </c:ser>
        <c:ser>
          <c:idx val="1"/>
          <c:order val="1"/>
          <c:tx>
            <c:v>Women - Open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Squat'!$D$1090:$D$1373</c:f>
              <c:numCache>
                <c:formatCode>General</c:formatCode>
                <c:ptCount val="284"/>
                <c:pt idx="0">
                  <c:v>91.87</c:v>
                </c:pt>
                <c:pt idx="1">
                  <c:v>60.99</c:v>
                </c:pt>
                <c:pt idx="2">
                  <c:v>72.59</c:v>
                </c:pt>
                <c:pt idx="3">
                  <c:v>75.73</c:v>
                </c:pt>
                <c:pt idx="4">
                  <c:v>56</c:v>
                </c:pt>
                <c:pt idx="5">
                  <c:v>50.79</c:v>
                </c:pt>
                <c:pt idx="6">
                  <c:v>50.38</c:v>
                </c:pt>
                <c:pt idx="7">
                  <c:v>46.29</c:v>
                </c:pt>
                <c:pt idx="8">
                  <c:v>51.4</c:v>
                </c:pt>
                <c:pt idx="9">
                  <c:v>73.97</c:v>
                </c:pt>
                <c:pt idx="10">
                  <c:v>56.54</c:v>
                </c:pt>
                <c:pt idx="11">
                  <c:v>45.96</c:v>
                </c:pt>
                <c:pt idx="12">
                  <c:v>51.88</c:v>
                </c:pt>
                <c:pt idx="13">
                  <c:v>56.52</c:v>
                </c:pt>
                <c:pt idx="14">
                  <c:v>45.69</c:v>
                </c:pt>
                <c:pt idx="15">
                  <c:v>50.52</c:v>
                </c:pt>
                <c:pt idx="16">
                  <c:v>56.9</c:v>
                </c:pt>
                <c:pt idx="17">
                  <c:v>55.78</c:v>
                </c:pt>
                <c:pt idx="18">
                  <c:v>56.66</c:v>
                </c:pt>
                <c:pt idx="19">
                  <c:v>55.79</c:v>
                </c:pt>
                <c:pt idx="20">
                  <c:v>51.7</c:v>
                </c:pt>
                <c:pt idx="21">
                  <c:v>49.78</c:v>
                </c:pt>
                <c:pt idx="22">
                  <c:v>50.73</c:v>
                </c:pt>
                <c:pt idx="23">
                  <c:v>45.6</c:v>
                </c:pt>
                <c:pt idx="24">
                  <c:v>51.81</c:v>
                </c:pt>
                <c:pt idx="25">
                  <c:v>51.18</c:v>
                </c:pt>
                <c:pt idx="26">
                  <c:v>55.84</c:v>
                </c:pt>
                <c:pt idx="27">
                  <c:v>56.04</c:v>
                </c:pt>
                <c:pt idx="28">
                  <c:v>62.01</c:v>
                </c:pt>
                <c:pt idx="29">
                  <c:v>51.56</c:v>
                </c:pt>
                <c:pt idx="30">
                  <c:v>46.56</c:v>
                </c:pt>
                <c:pt idx="31">
                  <c:v>62.3</c:v>
                </c:pt>
                <c:pt idx="32">
                  <c:v>61.68</c:v>
                </c:pt>
                <c:pt idx="33">
                  <c:v>56.8</c:v>
                </c:pt>
                <c:pt idx="34">
                  <c:v>56.52</c:v>
                </c:pt>
                <c:pt idx="35">
                  <c:v>50.82</c:v>
                </c:pt>
                <c:pt idx="36">
                  <c:v>50.76</c:v>
                </c:pt>
                <c:pt idx="37">
                  <c:v>82.9</c:v>
                </c:pt>
                <c:pt idx="38">
                  <c:v>63.5</c:v>
                </c:pt>
                <c:pt idx="39">
                  <c:v>98.3</c:v>
                </c:pt>
                <c:pt idx="40">
                  <c:v>113.15</c:v>
                </c:pt>
                <c:pt idx="41">
                  <c:v>54.81</c:v>
                </c:pt>
                <c:pt idx="42">
                  <c:v>66.48</c:v>
                </c:pt>
                <c:pt idx="43">
                  <c:v>61.11</c:v>
                </c:pt>
                <c:pt idx="44">
                  <c:v>61.73</c:v>
                </c:pt>
                <c:pt idx="45">
                  <c:v>56.05</c:v>
                </c:pt>
                <c:pt idx="46">
                  <c:v>51.07</c:v>
                </c:pt>
                <c:pt idx="47">
                  <c:v>50.92</c:v>
                </c:pt>
                <c:pt idx="48">
                  <c:v>61.97</c:v>
                </c:pt>
                <c:pt idx="49">
                  <c:v>51.71</c:v>
                </c:pt>
                <c:pt idx="50">
                  <c:v>51.84</c:v>
                </c:pt>
                <c:pt idx="51">
                  <c:v>72</c:v>
                </c:pt>
                <c:pt idx="52">
                  <c:v>62.78</c:v>
                </c:pt>
                <c:pt idx="53">
                  <c:v>57.68</c:v>
                </c:pt>
                <c:pt idx="54">
                  <c:v>71.06</c:v>
                </c:pt>
                <c:pt idx="55">
                  <c:v>55.74</c:v>
                </c:pt>
                <c:pt idx="56">
                  <c:v>56.47</c:v>
                </c:pt>
                <c:pt idx="57">
                  <c:v>51.71</c:v>
                </c:pt>
                <c:pt idx="58">
                  <c:v>51.26</c:v>
                </c:pt>
                <c:pt idx="59">
                  <c:v>46.67</c:v>
                </c:pt>
                <c:pt idx="60">
                  <c:v>80.11</c:v>
                </c:pt>
                <c:pt idx="61">
                  <c:v>46.83</c:v>
                </c:pt>
                <c:pt idx="62">
                  <c:v>62.06</c:v>
                </c:pt>
                <c:pt idx="63">
                  <c:v>46.14</c:v>
                </c:pt>
                <c:pt idx="64">
                  <c:v>62.74</c:v>
                </c:pt>
                <c:pt idx="65">
                  <c:v>50.78</c:v>
                </c:pt>
                <c:pt idx="66">
                  <c:v>50.38</c:v>
                </c:pt>
                <c:pt idx="67">
                  <c:v>46.42</c:v>
                </c:pt>
                <c:pt idx="68">
                  <c:v>50.62</c:v>
                </c:pt>
                <c:pt idx="69">
                  <c:v>45.96</c:v>
                </c:pt>
                <c:pt idx="70">
                  <c:v>51.42</c:v>
                </c:pt>
                <c:pt idx="71">
                  <c:v>46.35</c:v>
                </c:pt>
                <c:pt idx="72">
                  <c:v>62.12</c:v>
                </c:pt>
                <c:pt idx="73">
                  <c:v>56.75</c:v>
                </c:pt>
                <c:pt idx="74">
                  <c:v>71.61</c:v>
                </c:pt>
                <c:pt idx="75">
                  <c:v>51.49</c:v>
                </c:pt>
                <c:pt idx="76">
                  <c:v>51.29</c:v>
                </c:pt>
                <c:pt idx="77">
                  <c:v>54.74</c:v>
                </c:pt>
                <c:pt idx="78">
                  <c:v>56.16</c:v>
                </c:pt>
                <c:pt idx="79">
                  <c:v>56.39</c:v>
                </c:pt>
                <c:pt idx="80">
                  <c:v>71.19</c:v>
                </c:pt>
                <c:pt idx="81">
                  <c:v>71.400000000000006</c:v>
                </c:pt>
                <c:pt idx="82">
                  <c:v>56.33</c:v>
                </c:pt>
                <c:pt idx="83">
                  <c:v>46.52</c:v>
                </c:pt>
                <c:pt idx="84">
                  <c:v>62.18</c:v>
                </c:pt>
                <c:pt idx="85">
                  <c:v>51.12</c:v>
                </c:pt>
                <c:pt idx="86">
                  <c:v>56.16</c:v>
                </c:pt>
                <c:pt idx="87">
                  <c:v>86.78</c:v>
                </c:pt>
                <c:pt idx="88">
                  <c:v>56.91</c:v>
                </c:pt>
                <c:pt idx="89">
                  <c:v>56.6</c:v>
                </c:pt>
                <c:pt idx="90">
                  <c:v>90.05</c:v>
                </c:pt>
                <c:pt idx="91">
                  <c:v>51.63</c:v>
                </c:pt>
                <c:pt idx="92">
                  <c:v>62.8</c:v>
                </c:pt>
                <c:pt idx="93">
                  <c:v>68.760000000000005</c:v>
                </c:pt>
                <c:pt idx="94">
                  <c:v>71.56</c:v>
                </c:pt>
                <c:pt idx="95">
                  <c:v>56.94</c:v>
                </c:pt>
                <c:pt idx="96">
                  <c:v>56.56</c:v>
                </c:pt>
                <c:pt idx="97">
                  <c:v>71.010000000000005</c:v>
                </c:pt>
                <c:pt idx="98">
                  <c:v>59.82</c:v>
                </c:pt>
                <c:pt idx="99">
                  <c:v>67.17</c:v>
                </c:pt>
                <c:pt idx="100">
                  <c:v>71.040000000000006</c:v>
                </c:pt>
                <c:pt idx="101">
                  <c:v>56.88</c:v>
                </c:pt>
                <c:pt idx="102">
                  <c:v>46.44</c:v>
                </c:pt>
                <c:pt idx="103">
                  <c:v>69.36</c:v>
                </c:pt>
                <c:pt idx="104">
                  <c:v>56.43</c:v>
                </c:pt>
                <c:pt idx="105">
                  <c:v>78.89</c:v>
                </c:pt>
                <c:pt idx="106">
                  <c:v>60.5</c:v>
                </c:pt>
                <c:pt idx="107">
                  <c:v>51.45</c:v>
                </c:pt>
                <c:pt idx="108">
                  <c:v>70.88</c:v>
                </c:pt>
                <c:pt idx="109">
                  <c:v>88.17</c:v>
                </c:pt>
                <c:pt idx="110">
                  <c:v>83.47</c:v>
                </c:pt>
                <c:pt idx="111">
                  <c:v>56.76</c:v>
                </c:pt>
                <c:pt idx="112">
                  <c:v>51.84</c:v>
                </c:pt>
                <c:pt idx="113">
                  <c:v>125.41</c:v>
                </c:pt>
                <c:pt idx="114">
                  <c:v>93.1</c:v>
                </c:pt>
                <c:pt idx="115">
                  <c:v>70.8</c:v>
                </c:pt>
                <c:pt idx="116">
                  <c:v>71.17</c:v>
                </c:pt>
                <c:pt idx="117">
                  <c:v>93.02</c:v>
                </c:pt>
                <c:pt idx="118">
                  <c:v>56.91</c:v>
                </c:pt>
                <c:pt idx="119">
                  <c:v>83.18</c:v>
                </c:pt>
                <c:pt idx="120">
                  <c:v>54.92</c:v>
                </c:pt>
                <c:pt idx="121">
                  <c:v>70.58</c:v>
                </c:pt>
                <c:pt idx="122">
                  <c:v>82.02</c:v>
                </c:pt>
                <c:pt idx="123">
                  <c:v>51.65</c:v>
                </c:pt>
                <c:pt idx="124">
                  <c:v>71.73</c:v>
                </c:pt>
                <c:pt idx="125">
                  <c:v>56.48</c:v>
                </c:pt>
                <c:pt idx="126">
                  <c:v>56.67</c:v>
                </c:pt>
                <c:pt idx="127">
                  <c:v>123.95</c:v>
                </c:pt>
                <c:pt idx="128">
                  <c:v>46.03</c:v>
                </c:pt>
                <c:pt idx="129">
                  <c:v>78.62</c:v>
                </c:pt>
                <c:pt idx="130">
                  <c:v>56.76</c:v>
                </c:pt>
                <c:pt idx="131">
                  <c:v>89.89</c:v>
                </c:pt>
                <c:pt idx="132">
                  <c:v>65.42</c:v>
                </c:pt>
                <c:pt idx="133">
                  <c:v>80.400000000000006</c:v>
                </c:pt>
                <c:pt idx="134">
                  <c:v>55.91</c:v>
                </c:pt>
                <c:pt idx="135">
                  <c:v>62.91</c:v>
                </c:pt>
                <c:pt idx="136">
                  <c:v>56.2</c:v>
                </c:pt>
                <c:pt idx="137">
                  <c:v>56.78</c:v>
                </c:pt>
                <c:pt idx="138">
                  <c:v>81.78</c:v>
                </c:pt>
                <c:pt idx="139">
                  <c:v>70.5</c:v>
                </c:pt>
                <c:pt idx="140">
                  <c:v>83.63</c:v>
                </c:pt>
                <c:pt idx="141">
                  <c:v>82.14</c:v>
                </c:pt>
                <c:pt idx="142">
                  <c:v>56.38</c:v>
                </c:pt>
                <c:pt idx="143">
                  <c:v>51.28</c:v>
                </c:pt>
                <c:pt idx="144">
                  <c:v>120.95</c:v>
                </c:pt>
                <c:pt idx="145">
                  <c:v>56.65</c:v>
                </c:pt>
                <c:pt idx="146">
                  <c:v>45.99</c:v>
                </c:pt>
                <c:pt idx="147">
                  <c:v>60.52</c:v>
                </c:pt>
                <c:pt idx="148">
                  <c:v>83.82</c:v>
                </c:pt>
                <c:pt idx="149">
                  <c:v>50.98</c:v>
                </c:pt>
                <c:pt idx="150">
                  <c:v>109.98</c:v>
                </c:pt>
                <c:pt idx="151">
                  <c:v>50.5</c:v>
                </c:pt>
                <c:pt idx="152">
                  <c:v>56.93</c:v>
                </c:pt>
                <c:pt idx="153">
                  <c:v>83.58</c:v>
                </c:pt>
                <c:pt idx="154">
                  <c:v>103.4</c:v>
                </c:pt>
                <c:pt idx="155">
                  <c:v>56.86</c:v>
                </c:pt>
                <c:pt idx="156">
                  <c:v>56.49</c:v>
                </c:pt>
                <c:pt idx="157">
                  <c:v>51.98</c:v>
                </c:pt>
                <c:pt idx="158">
                  <c:v>78.22</c:v>
                </c:pt>
                <c:pt idx="159">
                  <c:v>70.48</c:v>
                </c:pt>
                <c:pt idx="160">
                  <c:v>71.52</c:v>
                </c:pt>
                <c:pt idx="161">
                  <c:v>51.24</c:v>
                </c:pt>
                <c:pt idx="162">
                  <c:v>70.400000000000006</c:v>
                </c:pt>
                <c:pt idx="163">
                  <c:v>66.64</c:v>
                </c:pt>
                <c:pt idx="164">
                  <c:v>83.33</c:v>
                </c:pt>
                <c:pt idx="165">
                  <c:v>71.73</c:v>
                </c:pt>
                <c:pt idx="166">
                  <c:v>56.38</c:v>
                </c:pt>
                <c:pt idx="167">
                  <c:v>50.7</c:v>
                </c:pt>
                <c:pt idx="168">
                  <c:v>51.91</c:v>
                </c:pt>
                <c:pt idx="169">
                  <c:v>115.39</c:v>
                </c:pt>
                <c:pt idx="170">
                  <c:v>115.94</c:v>
                </c:pt>
                <c:pt idx="171">
                  <c:v>71.08</c:v>
                </c:pt>
                <c:pt idx="172">
                  <c:v>56.15</c:v>
                </c:pt>
                <c:pt idx="173">
                  <c:v>70.989999999999995</c:v>
                </c:pt>
                <c:pt idx="174">
                  <c:v>62.46</c:v>
                </c:pt>
                <c:pt idx="175">
                  <c:v>56.94</c:v>
                </c:pt>
                <c:pt idx="176">
                  <c:v>46.62</c:v>
                </c:pt>
                <c:pt idx="177">
                  <c:v>46.86</c:v>
                </c:pt>
                <c:pt idx="178">
                  <c:v>51.03</c:v>
                </c:pt>
                <c:pt idx="179">
                  <c:v>56.21</c:v>
                </c:pt>
                <c:pt idx="180">
                  <c:v>57.86</c:v>
                </c:pt>
                <c:pt idx="181">
                  <c:v>50.75</c:v>
                </c:pt>
                <c:pt idx="182">
                  <c:v>50.96</c:v>
                </c:pt>
                <c:pt idx="183">
                  <c:v>56.34</c:v>
                </c:pt>
                <c:pt idx="184">
                  <c:v>51.39</c:v>
                </c:pt>
                <c:pt idx="185">
                  <c:v>71.37</c:v>
                </c:pt>
                <c:pt idx="186">
                  <c:v>82.45</c:v>
                </c:pt>
                <c:pt idx="187">
                  <c:v>71.92</c:v>
                </c:pt>
                <c:pt idx="188">
                  <c:v>60.4</c:v>
                </c:pt>
                <c:pt idx="189">
                  <c:v>62.87</c:v>
                </c:pt>
                <c:pt idx="190">
                  <c:v>71.7</c:v>
                </c:pt>
                <c:pt idx="191">
                  <c:v>56.03</c:v>
                </c:pt>
                <c:pt idx="192">
                  <c:v>104.03</c:v>
                </c:pt>
                <c:pt idx="193">
                  <c:v>81.14</c:v>
                </c:pt>
                <c:pt idx="194">
                  <c:v>46.1</c:v>
                </c:pt>
                <c:pt idx="195">
                  <c:v>62.8</c:v>
                </c:pt>
                <c:pt idx="196">
                  <c:v>56.68</c:v>
                </c:pt>
                <c:pt idx="197">
                  <c:v>51.52</c:v>
                </c:pt>
                <c:pt idx="198">
                  <c:v>71.349999999999994</c:v>
                </c:pt>
                <c:pt idx="199">
                  <c:v>81.709999999999994</c:v>
                </c:pt>
                <c:pt idx="200">
                  <c:v>62.72</c:v>
                </c:pt>
                <c:pt idx="201">
                  <c:v>82.89</c:v>
                </c:pt>
                <c:pt idx="202">
                  <c:v>99.6</c:v>
                </c:pt>
                <c:pt idx="203">
                  <c:v>73.11</c:v>
                </c:pt>
                <c:pt idx="204">
                  <c:v>71.510000000000005</c:v>
                </c:pt>
                <c:pt idx="205">
                  <c:v>51.83</c:v>
                </c:pt>
                <c:pt idx="206">
                  <c:v>51.7</c:v>
                </c:pt>
                <c:pt idx="207">
                  <c:v>70.209999999999994</c:v>
                </c:pt>
                <c:pt idx="208">
                  <c:v>51.36</c:v>
                </c:pt>
                <c:pt idx="209">
                  <c:v>45.67</c:v>
                </c:pt>
                <c:pt idx="210">
                  <c:v>51.77</c:v>
                </c:pt>
                <c:pt idx="211">
                  <c:v>129.94</c:v>
                </c:pt>
                <c:pt idx="212">
                  <c:v>51.95</c:v>
                </c:pt>
                <c:pt idx="213">
                  <c:v>51.69</c:v>
                </c:pt>
                <c:pt idx="214">
                  <c:v>56.66</c:v>
                </c:pt>
                <c:pt idx="215">
                  <c:v>62.94</c:v>
                </c:pt>
                <c:pt idx="216">
                  <c:v>69.25</c:v>
                </c:pt>
                <c:pt idx="217">
                  <c:v>72</c:v>
                </c:pt>
                <c:pt idx="218">
                  <c:v>71.349999999999994</c:v>
                </c:pt>
                <c:pt idx="219">
                  <c:v>79.34</c:v>
                </c:pt>
                <c:pt idx="220">
                  <c:v>71.77</c:v>
                </c:pt>
                <c:pt idx="221">
                  <c:v>83.6</c:v>
                </c:pt>
                <c:pt idx="222">
                  <c:v>56.13</c:v>
                </c:pt>
                <c:pt idx="223">
                  <c:v>62.2</c:v>
                </c:pt>
                <c:pt idx="224">
                  <c:v>71.400000000000006</c:v>
                </c:pt>
                <c:pt idx="225">
                  <c:v>69.459999999999994</c:v>
                </c:pt>
                <c:pt idx="226">
                  <c:v>117.39</c:v>
                </c:pt>
                <c:pt idx="227">
                  <c:v>78.97</c:v>
                </c:pt>
                <c:pt idx="228">
                  <c:v>83.55</c:v>
                </c:pt>
                <c:pt idx="229">
                  <c:v>62.84</c:v>
                </c:pt>
                <c:pt idx="230">
                  <c:v>70.319999999999993</c:v>
                </c:pt>
                <c:pt idx="231">
                  <c:v>83.91</c:v>
                </c:pt>
                <c:pt idx="232">
                  <c:v>63</c:v>
                </c:pt>
                <c:pt idx="233">
                  <c:v>62.8</c:v>
                </c:pt>
                <c:pt idx="234">
                  <c:v>62.62</c:v>
                </c:pt>
                <c:pt idx="235">
                  <c:v>46.09</c:v>
                </c:pt>
                <c:pt idx="236">
                  <c:v>83.82</c:v>
                </c:pt>
                <c:pt idx="237">
                  <c:v>71.55</c:v>
                </c:pt>
                <c:pt idx="238">
                  <c:v>62.28</c:v>
                </c:pt>
                <c:pt idx="239">
                  <c:v>83.07</c:v>
                </c:pt>
                <c:pt idx="240">
                  <c:v>51.59</c:v>
                </c:pt>
                <c:pt idx="241">
                  <c:v>71.64</c:v>
                </c:pt>
                <c:pt idx="242">
                  <c:v>62.94</c:v>
                </c:pt>
                <c:pt idx="243">
                  <c:v>69.16</c:v>
                </c:pt>
                <c:pt idx="244">
                  <c:v>61.25</c:v>
                </c:pt>
                <c:pt idx="245">
                  <c:v>70.540000000000006</c:v>
                </c:pt>
                <c:pt idx="246">
                  <c:v>105.77</c:v>
                </c:pt>
                <c:pt idx="247">
                  <c:v>62.24</c:v>
                </c:pt>
                <c:pt idx="248">
                  <c:v>46.68</c:v>
                </c:pt>
                <c:pt idx="249">
                  <c:v>61.1</c:v>
                </c:pt>
                <c:pt idx="250">
                  <c:v>62.87</c:v>
                </c:pt>
                <c:pt idx="251">
                  <c:v>61.02</c:v>
                </c:pt>
                <c:pt idx="252">
                  <c:v>106.72</c:v>
                </c:pt>
                <c:pt idx="253">
                  <c:v>62.49</c:v>
                </c:pt>
                <c:pt idx="254">
                  <c:v>66.12</c:v>
                </c:pt>
                <c:pt idx="255">
                  <c:v>71.61</c:v>
                </c:pt>
                <c:pt idx="256">
                  <c:v>56.58</c:v>
                </c:pt>
                <c:pt idx="257">
                  <c:v>62.53</c:v>
                </c:pt>
                <c:pt idx="258">
                  <c:v>82.26</c:v>
                </c:pt>
                <c:pt idx="259">
                  <c:v>62.72</c:v>
                </c:pt>
                <c:pt idx="260">
                  <c:v>108.23</c:v>
                </c:pt>
                <c:pt idx="261">
                  <c:v>96.31</c:v>
                </c:pt>
                <c:pt idx="262">
                  <c:v>81.94</c:v>
                </c:pt>
                <c:pt idx="263">
                  <c:v>62.23</c:v>
                </c:pt>
                <c:pt idx="264">
                  <c:v>46.42</c:v>
                </c:pt>
                <c:pt idx="265">
                  <c:v>50.94</c:v>
                </c:pt>
                <c:pt idx="266">
                  <c:v>107.88</c:v>
                </c:pt>
                <c:pt idx="267">
                  <c:v>62.72</c:v>
                </c:pt>
                <c:pt idx="268">
                  <c:v>82.59</c:v>
                </c:pt>
                <c:pt idx="269">
                  <c:v>112.31</c:v>
                </c:pt>
                <c:pt idx="270">
                  <c:v>108.66</c:v>
                </c:pt>
                <c:pt idx="271">
                  <c:v>66.86</c:v>
                </c:pt>
                <c:pt idx="272">
                  <c:v>93.83</c:v>
                </c:pt>
                <c:pt idx="273">
                  <c:v>66.680000000000007</c:v>
                </c:pt>
                <c:pt idx="274">
                  <c:v>110.55</c:v>
                </c:pt>
                <c:pt idx="275">
                  <c:v>127.05</c:v>
                </c:pt>
                <c:pt idx="276">
                  <c:v>100.16</c:v>
                </c:pt>
                <c:pt idx="277">
                  <c:v>128.94</c:v>
                </c:pt>
                <c:pt idx="278">
                  <c:v>71.16</c:v>
                </c:pt>
                <c:pt idx="279">
                  <c:v>50.98</c:v>
                </c:pt>
                <c:pt idx="280">
                  <c:v>83.75</c:v>
                </c:pt>
                <c:pt idx="281">
                  <c:v>83.36</c:v>
                </c:pt>
                <c:pt idx="282">
                  <c:v>83.34</c:v>
                </c:pt>
                <c:pt idx="283">
                  <c:v>83.5</c:v>
                </c:pt>
              </c:numCache>
            </c:numRef>
          </c:xVal>
          <c:yVal>
            <c:numRef>
              <c:f>'Data Squat'!$L$1090:$L$1373</c:f>
              <c:numCache>
                <c:formatCode>0.000</c:formatCode>
                <c:ptCount val="284"/>
                <c:pt idx="0">
                  <c:v>0.29729729729729731</c:v>
                </c:pt>
                <c:pt idx="1">
                  <c:v>0.34426229508196721</c:v>
                </c:pt>
                <c:pt idx="2">
                  <c:v>0.35897435897435898</c:v>
                </c:pt>
                <c:pt idx="3">
                  <c:v>0.4</c:v>
                </c:pt>
                <c:pt idx="4">
                  <c:v>0.43243243243243246</c:v>
                </c:pt>
                <c:pt idx="5">
                  <c:v>0.43835616438356162</c:v>
                </c:pt>
                <c:pt idx="6">
                  <c:v>0.44285714285714284</c:v>
                </c:pt>
                <c:pt idx="7">
                  <c:v>0.44736842105263158</c:v>
                </c:pt>
                <c:pt idx="8">
                  <c:v>0.44736842105263158</c:v>
                </c:pt>
                <c:pt idx="9">
                  <c:v>0.44927536231884058</c:v>
                </c:pt>
                <c:pt idx="10">
                  <c:v>0.449438202247191</c:v>
                </c:pt>
                <c:pt idx="11">
                  <c:v>0.45</c:v>
                </c:pt>
                <c:pt idx="12">
                  <c:v>0.45348837209302323</c:v>
                </c:pt>
                <c:pt idx="13">
                  <c:v>0.46153846153846156</c:v>
                </c:pt>
                <c:pt idx="14">
                  <c:v>0.46153846153846156</c:v>
                </c:pt>
                <c:pt idx="15">
                  <c:v>0.46969696969696972</c:v>
                </c:pt>
                <c:pt idx="16">
                  <c:v>0.47368421052631576</c:v>
                </c:pt>
                <c:pt idx="17">
                  <c:v>0.47435897435897434</c:v>
                </c:pt>
                <c:pt idx="18">
                  <c:v>0.47727272727272729</c:v>
                </c:pt>
                <c:pt idx="19">
                  <c:v>0.48</c:v>
                </c:pt>
                <c:pt idx="20">
                  <c:v>0.4823529411764706</c:v>
                </c:pt>
                <c:pt idx="21">
                  <c:v>0.4838709677419355</c:v>
                </c:pt>
                <c:pt idx="22">
                  <c:v>0.48571428571428571</c:v>
                </c:pt>
                <c:pt idx="23">
                  <c:v>0.48749999999999999</c:v>
                </c:pt>
                <c:pt idx="24">
                  <c:v>0.48780487804878048</c:v>
                </c:pt>
                <c:pt idx="25">
                  <c:v>0.49056603773584906</c:v>
                </c:pt>
                <c:pt idx="26">
                  <c:v>0.49056603773584906</c:v>
                </c:pt>
                <c:pt idx="27">
                  <c:v>0.49122807017543857</c:v>
                </c:pt>
                <c:pt idx="28">
                  <c:v>0.49230769230769234</c:v>
                </c:pt>
                <c:pt idx="29">
                  <c:v>0.49315068493150682</c:v>
                </c:pt>
                <c:pt idx="30">
                  <c:v>0.49367088607594939</c:v>
                </c:pt>
                <c:pt idx="31">
                  <c:v>0.4943820224719101</c:v>
                </c:pt>
                <c:pt idx="32">
                  <c:v>0.4946236559139785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0.50549450549450547</c:v>
                </c:pt>
                <c:pt idx="38">
                  <c:v>0.50649350649350644</c:v>
                </c:pt>
                <c:pt idx="39">
                  <c:v>0.51041666666666663</c:v>
                </c:pt>
                <c:pt idx="40">
                  <c:v>0.51063829787234039</c:v>
                </c:pt>
                <c:pt idx="41">
                  <c:v>0.51136363636363635</c:v>
                </c:pt>
                <c:pt idx="42">
                  <c:v>0.51388888888888884</c:v>
                </c:pt>
                <c:pt idx="43">
                  <c:v>0.51428571428571423</c:v>
                </c:pt>
                <c:pt idx="44">
                  <c:v>0.51515151515151514</c:v>
                </c:pt>
                <c:pt idx="45">
                  <c:v>0.51666666666666672</c:v>
                </c:pt>
                <c:pt idx="46">
                  <c:v>0.51666666666666672</c:v>
                </c:pt>
                <c:pt idx="47">
                  <c:v>0.5178571428571429</c:v>
                </c:pt>
                <c:pt idx="48">
                  <c:v>0.51898734177215189</c:v>
                </c:pt>
                <c:pt idx="49">
                  <c:v>0.52</c:v>
                </c:pt>
                <c:pt idx="50">
                  <c:v>0.52054794520547942</c:v>
                </c:pt>
                <c:pt idx="51">
                  <c:v>0.52112676056338025</c:v>
                </c:pt>
                <c:pt idx="52">
                  <c:v>0.52173913043478259</c:v>
                </c:pt>
                <c:pt idx="53">
                  <c:v>0.52307692307692311</c:v>
                </c:pt>
                <c:pt idx="54">
                  <c:v>0.5268817204301075</c:v>
                </c:pt>
                <c:pt idx="55">
                  <c:v>0.52777777777777779</c:v>
                </c:pt>
                <c:pt idx="56">
                  <c:v>0.52941176470588236</c:v>
                </c:pt>
                <c:pt idx="57">
                  <c:v>0.532258064516129</c:v>
                </c:pt>
                <c:pt idx="58">
                  <c:v>0.532258064516129</c:v>
                </c:pt>
                <c:pt idx="59">
                  <c:v>0.53333333333333333</c:v>
                </c:pt>
                <c:pt idx="60">
                  <c:v>0.53465346534653468</c:v>
                </c:pt>
                <c:pt idx="61">
                  <c:v>0.53521126760563376</c:v>
                </c:pt>
                <c:pt idx="62">
                  <c:v>0.5357142857142857</c:v>
                </c:pt>
                <c:pt idx="63">
                  <c:v>0.53731343283582089</c:v>
                </c:pt>
                <c:pt idx="64">
                  <c:v>0.53749999999999998</c:v>
                </c:pt>
                <c:pt idx="65">
                  <c:v>0.53846153846153844</c:v>
                </c:pt>
                <c:pt idx="66">
                  <c:v>0.53846153846153844</c:v>
                </c:pt>
                <c:pt idx="67">
                  <c:v>0.54054054054054057</c:v>
                </c:pt>
                <c:pt idx="68">
                  <c:v>0.54166666666666663</c:v>
                </c:pt>
                <c:pt idx="69">
                  <c:v>0.54385964912280704</c:v>
                </c:pt>
                <c:pt idx="70">
                  <c:v>0.54545454545454541</c:v>
                </c:pt>
                <c:pt idx="71">
                  <c:v>0.54794520547945202</c:v>
                </c:pt>
                <c:pt idx="72">
                  <c:v>0.54878048780487809</c:v>
                </c:pt>
                <c:pt idx="73">
                  <c:v>0.55072463768115942</c:v>
                </c:pt>
                <c:pt idx="74">
                  <c:v>0.55128205128205132</c:v>
                </c:pt>
                <c:pt idx="75">
                  <c:v>0.55223880597014929</c:v>
                </c:pt>
                <c:pt idx="76">
                  <c:v>0.55223880597014929</c:v>
                </c:pt>
                <c:pt idx="77">
                  <c:v>0.55223880597014929</c:v>
                </c:pt>
                <c:pt idx="78">
                  <c:v>0.55405405405405406</c:v>
                </c:pt>
                <c:pt idx="79">
                  <c:v>0.55555555555555558</c:v>
                </c:pt>
                <c:pt idx="80">
                  <c:v>0.55555555555555558</c:v>
                </c:pt>
                <c:pt idx="81">
                  <c:v>0.55714285714285716</c:v>
                </c:pt>
                <c:pt idx="82">
                  <c:v>0.55714285714285716</c:v>
                </c:pt>
                <c:pt idx="83">
                  <c:v>0.55882352941176472</c:v>
                </c:pt>
                <c:pt idx="84">
                  <c:v>0.55882352941176472</c:v>
                </c:pt>
                <c:pt idx="85">
                  <c:v>0.56060606060606055</c:v>
                </c:pt>
                <c:pt idx="86">
                  <c:v>0.56060606060606055</c:v>
                </c:pt>
                <c:pt idx="87">
                  <c:v>0.5617977528089888</c:v>
                </c:pt>
                <c:pt idx="88">
                  <c:v>0.5625</c:v>
                </c:pt>
                <c:pt idx="89">
                  <c:v>0.5625</c:v>
                </c:pt>
                <c:pt idx="90">
                  <c:v>0.5636363636363636</c:v>
                </c:pt>
                <c:pt idx="91">
                  <c:v>0.56521739130434778</c:v>
                </c:pt>
                <c:pt idx="92">
                  <c:v>0.56521739130434778</c:v>
                </c:pt>
                <c:pt idx="93">
                  <c:v>0.56578947368421051</c:v>
                </c:pt>
                <c:pt idx="94">
                  <c:v>0.5662650602409639</c:v>
                </c:pt>
                <c:pt idx="95">
                  <c:v>0.56666666666666665</c:v>
                </c:pt>
                <c:pt idx="96">
                  <c:v>0.56716417910447758</c:v>
                </c:pt>
                <c:pt idx="97">
                  <c:v>0.56862745098039214</c:v>
                </c:pt>
                <c:pt idx="98">
                  <c:v>0.569620253164557</c:v>
                </c:pt>
                <c:pt idx="99">
                  <c:v>0.5714285714285714</c:v>
                </c:pt>
                <c:pt idx="100">
                  <c:v>0.5730337078651685</c:v>
                </c:pt>
                <c:pt idx="101">
                  <c:v>0.57317073170731703</c:v>
                </c:pt>
                <c:pt idx="102">
                  <c:v>0.57352941176470584</c:v>
                </c:pt>
                <c:pt idx="103">
                  <c:v>0.57499999999999996</c:v>
                </c:pt>
                <c:pt idx="104">
                  <c:v>0.5757575757575758</c:v>
                </c:pt>
                <c:pt idx="105">
                  <c:v>0.57692307692307687</c:v>
                </c:pt>
                <c:pt idx="106">
                  <c:v>0.57777777777777772</c:v>
                </c:pt>
                <c:pt idx="107">
                  <c:v>0.578125</c:v>
                </c:pt>
                <c:pt idx="108">
                  <c:v>0.57831325301204817</c:v>
                </c:pt>
                <c:pt idx="109">
                  <c:v>0.57843137254901966</c:v>
                </c:pt>
                <c:pt idx="110">
                  <c:v>0.57894736842105265</c:v>
                </c:pt>
                <c:pt idx="111">
                  <c:v>0.57971014492753625</c:v>
                </c:pt>
                <c:pt idx="112">
                  <c:v>0.58064516129032262</c:v>
                </c:pt>
                <c:pt idx="113">
                  <c:v>0.580952380952381</c:v>
                </c:pt>
                <c:pt idx="114">
                  <c:v>0.58139534883720934</c:v>
                </c:pt>
                <c:pt idx="115">
                  <c:v>0.58333333333333337</c:v>
                </c:pt>
                <c:pt idx="116">
                  <c:v>0.58510638297872342</c:v>
                </c:pt>
                <c:pt idx="117">
                  <c:v>0.5855855855855856</c:v>
                </c:pt>
                <c:pt idx="118">
                  <c:v>0.58571428571428574</c:v>
                </c:pt>
                <c:pt idx="119">
                  <c:v>0.58585858585858586</c:v>
                </c:pt>
                <c:pt idx="120">
                  <c:v>0.58620689655172409</c:v>
                </c:pt>
                <c:pt idx="121">
                  <c:v>0.58823529411764708</c:v>
                </c:pt>
                <c:pt idx="122">
                  <c:v>0.58947368421052626</c:v>
                </c:pt>
                <c:pt idx="123">
                  <c:v>0.5901639344262295</c:v>
                </c:pt>
                <c:pt idx="124">
                  <c:v>0.59036144578313254</c:v>
                </c:pt>
                <c:pt idx="125">
                  <c:v>0.59375</c:v>
                </c:pt>
                <c:pt idx="126">
                  <c:v>0.59375</c:v>
                </c:pt>
                <c:pt idx="127">
                  <c:v>0.59433962264150941</c:v>
                </c:pt>
                <c:pt idx="128">
                  <c:v>0.59677419354838712</c:v>
                </c:pt>
                <c:pt idx="129">
                  <c:v>0.59701492537313428</c:v>
                </c:pt>
                <c:pt idx="130">
                  <c:v>0.59701492537313428</c:v>
                </c:pt>
                <c:pt idx="131">
                  <c:v>0.59803921568627449</c:v>
                </c:pt>
                <c:pt idx="132">
                  <c:v>0.6</c:v>
                </c:pt>
                <c:pt idx="133">
                  <c:v>0.6</c:v>
                </c:pt>
                <c:pt idx="134">
                  <c:v>0.6029411764705882</c:v>
                </c:pt>
                <c:pt idx="135">
                  <c:v>0.6029411764705882</c:v>
                </c:pt>
                <c:pt idx="136">
                  <c:v>0.6029411764705882</c:v>
                </c:pt>
                <c:pt idx="137">
                  <c:v>0.60344827586206895</c:v>
                </c:pt>
                <c:pt idx="138">
                  <c:v>0.60416666666666663</c:v>
                </c:pt>
                <c:pt idx="139">
                  <c:v>0.60493827160493829</c:v>
                </c:pt>
                <c:pt idx="140">
                  <c:v>0.60493827160493829</c:v>
                </c:pt>
                <c:pt idx="141">
                  <c:v>0.6063829787234043</c:v>
                </c:pt>
                <c:pt idx="142">
                  <c:v>0.60759493670886078</c:v>
                </c:pt>
                <c:pt idx="143">
                  <c:v>0.60810810810810811</c:v>
                </c:pt>
                <c:pt idx="144">
                  <c:v>0.60833333333333328</c:v>
                </c:pt>
                <c:pt idx="145">
                  <c:v>0.61194029850746268</c:v>
                </c:pt>
                <c:pt idx="146">
                  <c:v>0.61224489795918369</c:v>
                </c:pt>
                <c:pt idx="147">
                  <c:v>0.61363636363636365</c:v>
                </c:pt>
                <c:pt idx="148">
                  <c:v>0.61445783132530118</c:v>
                </c:pt>
                <c:pt idx="149">
                  <c:v>0.61538461538461542</c:v>
                </c:pt>
                <c:pt idx="150">
                  <c:v>0.61627906976744184</c:v>
                </c:pt>
                <c:pt idx="151">
                  <c:v>0.6166666666666667</c:v>
                </c:pt>
                <c:pt idx="152">
                  <c:v>0.61842105263157898</c:v>
                </c:pt>
                <c:pt idx="153">
                  <c:v>0.61904761904761907</c:v>
                </c:pt>
                <c:pt idx="154">
                  <c:v>0.61904761904761907</c:v>
                </c:pt>
                <c:pt idx="155">
                  <c:v>0.62068965517241381</c:v>
                </c:pt>
                <c:pt idx="156">
                  <c:v>0.62295081967213117</c:v>
                </c:pt>
                <c:pt idx="157">
                  <c:v>0.62337662337662336</c:v>
                </c:pt>
                <c:pt idx="158">
                  <c:v>0.62365591397849462</c:v>
                </c:pt>
                <c:pt idx="159">
                  <c:v>0.625</c:v>
                </c:pt>
                <c:pt idx="160">
                  <c:v>0.625</c:v>
                </c:pt>
                <c:pt idx="161">
                  <c:v>0.625</c:v>
                </c:pt>
                <c:pt idx="162">
                  <c:v>0.625</c:v>
                </c:pt>
                <c:pt idx="163">
                  <c:v>0.62686567164179108</c:v>
                </c:pt>
                <c:pt idx="164">
                  <c:v>0.62765957446808507</c:v>
                </c:pt>
                <c:pt idx="165">
                  <c:v>0.62790697674418605</c:v>
                </c:pt>
                <c:pt idx="166">
                  <c:v>0.62790697674418605</c:v>
                </c:pt>
                <c:pt idx="167">
                  <c:v>0.63013698630136983</c:v>
                </c:pt>
                <c:pt idx="168">
                  <c:v>0.63076923076923075</c:v>
                </c:pt>
                <c:pt idx="169">
                  <c:v>0.63157894736842102</c:v>
                </c:pt>
                <c:pt idx="170">
                  <c:v>0.63157894736842102</c:v>
                </c:pt>
                <c:pt idx="171">
                  <c:v>0.63380281690140849</c:v>
                </c:pt>
                <c:pt idx="172">
                  <c:v>0.63414634146341464</c:v>
                </c:pt>
                <c:pt idx="173">
                  <c:v>0.63508064516129037</c:v>
                </c:pt>
                <c:pt idx="174">
                  <c:v>0.63636363636363635</c:v>
                </c:pt>
                <c:pt idx="175">
                  <c:v>0.63749999999999996</c:v>
                </c:pt>
                <c:pt idx="176">
                  <c:v>0.63793103448275867</c:v>
                </c:pt>
                <c:pt idx="177">
                  <c:v>0.63888888888888884</c:v>
                </c:pt>
                <c:pt idx="178">
                  <c:v>0.64</c:v>
                </c:pt>
                <c:pt idx="179">
                  <c:v>0.64</c:v>
                </c:pt>
                <c:pt idx="180">
                  <c:v>0.64179104477611937</c:v>
                </c:pt>
                <c:pt idx="181">
                  <c:v>0.64197530864197527</c:v>
                </c:pt>
                <c:pt idx="182">
                  <c:v>0.6428571428571429</c:v>
                </c:pt>
                <c:pt idx="183">
                  <c:v>0.6428571428571429</c:v>
                </c:pt>
                <c:pt idx="184">
                  <c:v>0.6428571428571429</c:v>
                </c:pt>
                <c:pt idx="185">
                  <c:v>0.64444444444444449</c:v>
                </c:pt>
                <c:pt idx="186">
                  <c:v>0.64473684210526316</c:v>
                </c:pt>
                <c:pt idx="187">
                  <c:v>0.64556962025316456</c:v>
                </c:pt>
                <c:pt idx="188">
                  <c:v>0.64772727272727271</c:v>
                </c:pt>
                <c:pt idx="189">
                  <c:v>0.647887323943662</c:v>
                </c:pt>
                <c:pt idx="190">
                  <c:v>0.65217391304347827</c:v>
                </c:pt>
                <c:pt idx="191">
                  <c:v>0.65277777777777779</c:v>
                </c:pt>
                <c:pt idx="192">
                  <c:v>0.65384615384615385</c:v>
                </c:pt>
                <c:pt idx="193">
                  <c:v>0.65384615384615385</c:v>
                </c:pt>
                <c:pt idx="194">
                  <c:v>0.65517241379310343</c:v>
                </c:pt>
                <c:pt idx="195">
                  <c:v>0.65934065934065933</c:v>
                </c:pt>
                <c:pt idx="196">
                  <c:v>0.66176470588235292</c:v>
                </c:pt>
                <c:pt idx="197">
                  <c:v>0.66216216216216217</c:v>
                </c:pt>
                <c:pt idx="198">
                  <c:v>0.66265060240963858</c:v>
                </c:pt>
                <c:pt idx="199">
                  <c:v>0.66315789473684206</c:v>
                </c:pt>
                <c:pt idx="200">
                  <c:v>0.66666666666666663</c:v>
                </c:pt>
                <c:pt idx="201">
                  <c:v>0.66666666666666663</c:v>
                </c:pt>
                <c:pt idx="202">
                  <c:v>0.66666666666666663</c:v>
                </c:pt>
                <c:pt idx="203">
                  <c:v>0.66666666666666663</c:v>
                </c:pt>
                <c:pt idx="204">
                  <c:v>0.66666666666666663</c:v>
                </c:pt>
                <c:pt idx="205">
                  <c:v>0.66666666666666663</c:v>
                </c:pt>
                <c:pt idx="206">
                  <c:v>0.66666666666666663</c:v>
                </c:pt>
                <c:pt idx="207">
                  <c:v>0.66666666666666663</c:v>
                </c:pt>
                <c:pt idx="208">
                  <c:v>0.67073170731707321</c:v>
                </c:pt>
                <c:pt idx="209">
                  <c:v>0.67142857142857137</c:v>
                </c:pt>
                <c:pt idx="210">
                  <c:v>0.67241379310344829</c:v>
                </c:pt>
                <c:pt idx="211">
                  <c:v>0.67256637168141598</c:v>
                </c:pt>
                <c:pt idx="212">
                  <c:v>0.67307692307692313</c:v>
                </c:pt>
                <c:pt idx="213">
                  <c:v>0.67567567567567566</c:v>
                </c:pt>
                <c:pt idx="214">
                  <c:v>0.67567567567567566</c:v>
                </c:pt>
                <c:pt idx="215">
                  <c:v>0.67647058823529416</c:v>
                </c:pt>
                <c:pt idx="216">
                  <c:v>0.67647058823529416</c:v>
                </c:pt>
                <c:pt idx="217">
                  <c:v>0.67741935483870963</c:v>
                </c:pt>
                <c:pt idx="218">
                  <c:v>0.6785714285714286</c:v>
                </c:pt>
                <c:pt idx="219">
                  <c:v>0.67948717948717952</c:v>
                </c:pt>
                <c:pt idx="220">
                  <c:v>0.67948717948717952</c:v>
                </c:pt>
                <c:pt idx="221">
                  <c:v>0.67961165048543692</c:v>
                </c:pt>
                <c:pt idx="222">
                  <c:v>0.68421052631578949</c:v>
                </c:pt>
                <c:pt idx="223">
                  <c:v>0.68493150684931503</c:v>
                </c:pt>
                <c:pt idx="224">
                  <c:v>0.6853932584269663</c:v>
                </c:pt>
                <c:pt idx="225">
                  <c:v>0.68686868686868685</c:v>
                </c:pt>
                <c:pt idx="226">
                  <c:v>0.6875</c:v>
                </c:pt>
                <c:pt idx="227">
                  <c:v>0.6875</c:v>
                </c:pt>
                <c:pt idx="228">
                  <c:v>0.69</c:v>
                </c:pt>
                <c:pt idx="229">
                  <c:v>0.69002123142250527</c:v>
                </c:pt>
                <c:pt idx="230">
                  <c:v>0.69072164948453607</c:v>
                </c:pt>
                <c:pt idx="231">
                  <c:v>0.69117647058823528</c:v>
                </c:pt>
                <c:pt idx="232">
                  <c:v>0.69148936170212771</c:v>
                </c:pt>
                <c:pt idx="233">
                  <c:v>0.69318181818181823</c:v>
                </c:pt>
                <c:pt idx="234">
                  <c:v>0.69854469854469858</c:v>
                </c:pt>
                <c:pt idx="235">
                  <c:v>0.70133333333333336</c:v>
                </c:pt>
                <c:pt idx="236">
                  <c:v>0.70270270270270274</c:v>
                </c:pt>
                <c:pt idx="237">
                  <c:v>0.70454545454545459</c:v>
                </c:pt>
                <c:pt idx="238">
                  <c:v>0.70588235294117652</c:v>
                </c:pt>
                <c:pt idx="239">
                  <c:v>0.70588235294117652</c:v>
                </c:pt>
                <c:pt idx="240">
                  <c:v>0.70909090909090911</c:v>
                </c:pt>
                <c:pt idx="241">
                  <c:v>0.70930232558139539</c:v>
                </c:pt>
                <c:pt idx="242">
                  <c:v>0.71052631578947367</c:v>
                </c:pt>
                <c:pt idx="243">
                  <c:v>0.71739130434782605</c:v>
                </c:pt>
                <c:pt idx="244">
                  <c:v>0.72093023255813948</c:v>
                </c:pt>
                <c:pt idx="245">
                  <c:v>0.72151898734177211</c:v>
                </c:pt>
                <c:pt idx="246">
                  <c:v>0.72277227722772275</c:v>
                </c:pt>
                <c:pt idx="247">
                  <c:v>0.72289156626506024</c:v>
                </c:pt>
                <c:pt idx="248">
                  <c:v>0.72413793103448276</c:v>
                </c:pt>
                <c:pt idx="249">
                  <c:v>0.72727272727272729</c:v>
                </c:pt>
                <c:pt idx="250">
                  <c:v>0.72747252747252744</c:v>
                </c:pt>
                <c:pt idx="251">
                  <c:v>0.73076923076923073</c:v>
                </c:pt>
                <c:pt idx="252">
                  <c:v>0.73195876288659789</c:v>
                </c:pt>
                <c:pt idx="253">
                  <c:v>0.73255813953488369</c:v>
                </c:pt>
                <c:pt idx="254">
                  <c:v>0.73913043478260865</c:v>
                </c:pt>
                <c:pt idx="255">
                  <c:v>0.7441860465116279</c:v>
                </c:pt>
                <c:pt idx="256">
                  <c:v>0.75</c:v>
                </c:pt>
                <c:pt idx="257">
                  <c:v>0.75384615384615383</c:v>
                </c:pt>
                <c:pt idx="258">
                  <c:v>0.75416666666666665</c:v>
                </c:pt>
                <c:pt idx="259">
                  <c:v>0.75903614457831325</c:v>
                </c:pt>
                <c:pt idx="260">
                  <c:v>0.76086956521739135</c:v>
                </c:pt>
                <c:pt idx="261">
                  <c:v>0.76249999999999996</c:v>
                </c:pt>
                <c:pt idx="262">
                  <c:v>0.76344086021505375</c:v>
                </c:pt>
                <c:pt idx="263">
                  <c:v>0.76470588235294112</c:v>
                </c:pt>
                <c:pt idx="264">
                  <c:v>0.76764705882352946</c:v>
                </c:pt>
                <c:pt idx="265">
                  <c:v>0.7678571428571429</c:v>
                </c:pt>
                <c:pt idx="266">
                  <c:v>0.77</c:v>
                </c:pt>
                <c:pt idx="267">
                  <c:v>0.78048780487804881</c:v>
                </c:pt>
                <c:pt idx="268">
                  <c:v>0.78333333333333333</c:v>
                </c:pt>
                <c:pt idx="269">
                  <c:v>0.79120879120879117</c:v>
                </c:pt>
                <c:pt idx="270">
                  <c:v>0.79166666666666663</c:v>
                </c:pt>
                <c:pt idx="271">
                  <c:v>0.79545454545454541</c:v>
                </c:pt>
                <c:pt idx="272">
                  <c:v>0.81720430107526887</c:v>
                </c:pt>
                <c:pt idx="273">
                  <c:v>0.82558139534883723</c:v>
                </c:pt>
                <c:pt idx="274">
                  <c:v>0.83695652173913049</c:v>
                </c:pt>
                <c:pt idx="275">
                  <c:v>0.83846153846153848</c:v>
                </c:pt>
                <c:pt idx="276">
                  <c:v>0.85416666666666663</c:v>
                </c:pt>
                <c:pt idx="277">
                  <c:v>0.85660377358490569</c:v>
                </c:pt>
                <c:pt idx="278">
                  <c:v>0.87692307692307692</c:v>
                </c:pt>
                <c:pt idx="279">
                  <c:v>0.92500000000000004</c:v>
                </c:pt>
                <c:pt idx="280">
                  <c:v>0.97142857142857142</c:v>
                </c:pt>
                <c:pt idx="281">
                  <c:v>0.98571428571428577</c:v>
                </c:pt>
                <c:pt idx="282">
                  <c:v>1.0147058823529411</c:v>
                </c:pt>
                <c:pt idx="283">
                  <c:v>1.0371428571428571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F0-47A4-A504-7F006BD4A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102440"/>
        <c:axId val="401101656"/>
      </c:scatterChart>
      <c:valAx>
        <c:axId val="401102440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Bodyweight 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01656"/>
        <c:crosses val="autoZero"/>
        <c:crossBetween val="midCat"/>
      </c:valAx>
      <c:valAx>
        <c:axId val="40110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Bench</a:t>
                </a:r>
                <a:r>
                  <a:rPr lang="en-US" baseline="0"/>
                  <a:t> Press to Squat Ratio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02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Bodyweight vs. Bench to Squat Ratio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IPF Classic (Unequipped) Championship Data 2012–2015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5636482681342918E-3"/>
                  <c:y val="-0.10752452852498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Squat'!$D$2:$D$400</c:f>
              <c:numCache>
                <c:formatCode>General</c:formatCode>
                <c:ptCount val="399"/>
                <c:pt idx="0">
                  <c:v>58.7</c:v>
                </c:pt>
                <c:pt idx="1">
                  <c:v>58.55</c:v>
                </c:pt>
                <c:pt idx="2">
                  <c:v>103.85</c:v>
                </c:pt>
                <c:pt idx="3">
                  <c:v>90.9</c:v>
                </c:pt>
                <c:pt idx="4">
                  <c:v>57.75</c:v>
                </c:pt>
                <c:pt idx="5">
                  <c:v>58.75</c:v>
                </c:pt>
                <c:pt idx="6">
                  <c:v>58.5</c:v>
                </c:pt>
                <c:pt idx="7">
                  <c:v>58.25</c:v>
                </c:pt>
                <c:pt idx="8">
                  <c:v>104.65</c:v>
                </c:pt>
                <c:pt idx="9">
                  <c:v>58.55</c:v>
                </c:pt>
                <c:pt idx="10">
                  <c:v>118.45</c:v>
                </c:pt>
                <c:pt idx="11">
                  <c:v>102.5</c:v>
                </c:pt>
                <c:pt idx="12">
                  <c:v>73.849999999999994</c:v>
                </c:pt>
                <c:pt idx="13">
                  <c:v>156.85</c:v>
                </c:pt>
                <c:pt idx="14">
                  <c:v>92.3</c:v>
                </c:pt>
                <c:pt idx="15">
                  <c:v>59</c:v>
                </c:pt>
                <c:pt idx="16">
                  <c:v>125.69</c:v>
                </c:pt>
                <c:pt idx="17">
                  <c:v>78.900000000000006</c:v>
                </c:pt>
                <c:pt idx="18">
                  <c:v>171.65</c:v>
                </c:pt>
                <c:pt idx="19">
                  <c:v>103.6</c:v>
                </c:pt>
                <c:pt idx="20">
                  <c:v>73.849999999999994</c:v>
                </c:pt>
                <c:pt idx="21">
                  <c:v>65.900000000000006</c:v>
                </c:pt>
                <c:pt idx="22">
                  <c:v>73.22</c:v>
                </c:pt>
                <c:pt idx="23">
                  <c:v>119.7</c:v>
                </c:pt>
                <c:pt idx="24">
                  <c:v>151.4</c:v>
                </c:pt>
                <c:pt idx="25">
                  <c:v>142.29</c:v>
                </c:pt>
                <c:pt idx="26">
                  <c:v>58.9</c:v>
                </c:pt>
                <c:pt idx="27">
                  <c:v>65.45</c:v>
                </c:pt>
                <c:pt idx="28">
                  <c:v>103.8</c:v>
                </c:pt>
                <c:pt idx="29">
                  <c:v>167.02</c:v>
                </c:pt>
                <c:pt idx="30">
                  <c:v>73.25</c:v>
                </c:pt>
                <c:pt idx="31">
                  <c:v>91.48</c:v>
                </c:pt>
                <c:pt idx="32">
                  <c:v>162.4</c:v>
                </c:pt>
                <c:pt idx="33">
                  <c:v>156.15</c:v>
                </c:pt>
                <c:pt idx="34">
                  <c:v>65.900000000000006</c:v>
                </c:pt>
                <c:pt idx="35">
                  <c:v>158.75</c:v>
                </c:pt>
                <c:pt idx="36">
                  <c:v>82.3</c:v>
                </c:pt>
                <c:pt idx="37">
                  <c:v>92.45</c:v>
                </c:pt>
                <c:pt idx="38">
                  <c:v>65.150000000000006</c:v>
                </c:pt>
                <c:pt idx="39">
                  <c:v>118.75</c:v>
                </c:pt>
                <c:pt idx="40">
                  <c:v>113.75</c:v>
                </c:pt>
                <c:pt idx="41">
                  <c:v>117.15</c:v>
                </c:pt>
                <c:pt idx="42">
                  <c:v>118.2</c:v>
                </c:pt>
                <c:pt idx="43">
                  <c:v>82.63</c:v>
                </c:pt>
                <c:pt idx="44">
                  <c:v>117.95</c:v>
                </c:pt>
                <c:pt idx="45">
                  <c:v>90.95</c:v>
                </c:pt>
                <c:pt idx="46">
                  <c:v>73.099999999999994</c:v>
                </c:pt>
                <c:pt idx="47">
                  <c:v>152.9</c:v>
                </c:pt>
                <c:pt idx="48">
                  <c:v>118.85</c:v>
                </c:pt>
                <c:pt idx="49">
                  <c:v>73.56</c:v>
                </c:pt>
                <c:pt idx="50">
                  <c:v>92.6</c:v>
                </c:pt>
                <c:pt idx="51">
                  <c:v>137.15</c:v>
                </c:pt>
                <c:pt idx="52">
                  <c:v>168.15</c:v>
                </c:pt>
                <c:pt idx="53">
                  <c:v>82.55</c:v>
                </c:pt>
                <c:pt idx="54">
                  <c:v>82.4</c:v>
                </c:pt>
                <c:pt idx="55">
                  <c:v>103.05</c:v>
                </c:pt>
                <c:pt idx="56">
                  <c:v>162.25</c:v>
                </c:pt>
                <c:pt idx="57">
                  <c:v>145.06</c:v>
                </c:pt>
                <c:pt idx="58">
                  <c:v>91.85</c:v>
                </c:pt>
                <c:pt idx="59">
                  <c:v>91.4</c:v>
                </c:pt>
                <c:pt idx="60">
                  <c:v>146.19999999999999</c:v>
                </c:pt>
                <c:pt idx="61">
                  <c:v>63.3</c:v>
                </c:pt>
                <c:pt idx="62">
                  <c:v>82.2</c:v>
                </c:pt>
                <c:pt idx="63">
                  <c:v>119.85</c:v>
                </c:pt>
                <c:pt idx="64">
                  <c:v>71.5</c:v>
                </c:pt>
                <c:pt idx="65">
                  <c:v>73.84</c:v>
                </c:pt>
                <c:pt idx="66">
                  <c:v>136</c:v>
                </c:pt>
                <c:pt idx="67">
                  <c:v>163.95</c:v>
                </c:pt>
                <c:pt idx="68">
                  <c:v>65.430000000000007</c:v>
                </c:pt>
                <c:pt idx="69">
                  <c:v>118.96</c:v>
                </c:pt>
                <c:pt idx="70">
                  <c:v>119.48</c:v>
                </c:pt>
                <c:pt idx="71">
                  <c:v>119</c:v>
                </c:pt>
                <c:pt idx="72">
                  <c:v>101.25</c:v>
                </c:pt>
                <c:pt idx="73">
                  <c:v>72.650000000000006</c:v>
                </c:pt>
                <c:pt idx="74">
                  <c:v>72.5</c:v>
                </c:pt>
                <c:pt idx="75">
                  <c:v>118.94</c:v>
                </c:pt>
                <c:pt idx="76">
                  <c:v>79.3</c:v>
                </c:pt>
                <c:pt idx="77">
                  <c:v>91.3</c:v>
                </c:pt>
                <c:pt idx="78">
                  <c:v>116.65</c:v>
                </c:pt>
                <c:pt idx="79">
                  <c:v>72.599999999999994</c:v>
                </c:pt>
                <c:pt idx="80">
                  <c:v>103.79</c:v>
                </c:pt>
                <c:pt idx="81">
                  <c:v>160.85</c:v>
                </c:pt>
                <c:pt idx="82">
                  <c:v>119.72</c:v>
                </c:pt>
                <c:pt idx="83">
                  <c:v>73.05</c:v>
                </c:pt>
                <c:pt idx="84">
                  <c:v>153.33000000000001</c:v>
                </c:pt>
                <c:pt idx="85">
                  <c:v>160</c:v>
                </c:pt>
                <c:pt idx="86">
                  <c:v>72.5</c:v>
                </c:pt>
                <c:pt idx="87">
                  <c:v>104.4</c:v>
                </c:pt>
                <c:pt idx="88">
                  <c:v>115.7</c:v>
                </c:pt>
                <c:pt idx="89">
                  <c:v>73.150000000000006</c:v>
                </c:pt>
                <c:pt idx="90">
                  <c:v>115.8</c:v>
                </c:pt>
                <c:pt idx="91">
                  <c:v>142.94999999999999</c:v>
                </c:pt>
                <c:pt idx="92">
                  <c:v>92.35</c:v>
                </c:pt>
                <c:pt idx="93">
                  <c:v>65.599999999999994</c:v>
                </c:pt>
                <c:pt idx="94">
                  <c:v>81.88</c:v>
                </c:pt>
                <c:pt idx="95">
                  <c:v>64.87</c:v>
                </c:pt>
                <c:pt idx="96">
                  <c:v>73.040000000000006</c:v>
                </c:pt>
                <c:pt idx="97">
                  <c:v>80.48</c:v>
                </c:pt>
                <c:pt idx="98">
                  <c:v>118.2</c:v>
                </c:pt>
                <c:pt idx="99">
                  <c:v>104.09</c:v>
                </c:pt>
                <c:pt idx="100">
                  <c:v>104.37</c:v>
                </c:pt>
                <c:pt idx="101">
                  <c:v>82.2</c:v>
                </c:pt>
                <c:pt idx="102">
                  <c:v>65.75</c:v>
                </c:pt>
                <c:pt idx="103">
                  <c:v>82.4</c:v>
                </c:pt>
                <c:pt idx="104">
                  <c:v>144.30000000000001</c:v>
                </c:pt>
                <c:pt idx="105">
                  <c:v>81.93</c:v>
                </c:pt>
                <c:pt idx="106">
                  <c:v>103.35</c:v>
                </c:pt>
                <c:pt idx="107">
                  <c:v>103.1</c:v>
                </c:pt>
                <c:pt idx="108">
                  <c:v>142.5</c:v>
                </c:pt>
                <c:pt idx="109">
                  <c:v>65.45</c:v>
                </c:pt>
                <c:pt idx="110">
                  <c:v>65.2</c:v>
                </c:pt>
                <c:pt idx="111">
                  <c:v>92.01</c:v>
                </c:pt>
                <c:pt idx="112">
                  <c:v>73.88</c:v>
                </c:pt>
                <c:pt idx="113">
                  <c:v>92.2</c:v>
                </c:pt>
                <c:pt idx="114">
                  <c:v>103.55</c:v>
                </c:pt>
                <c:pt idx="115">
                  <c:v>72.069999999999993</c:v>
                </c:pt>
                <c:pt idx="116">
                  <c:v>119.78</c:v>
                </c:pt>
                <c:pt idx="117">
                  <c:v>107.29</c:v>
                </c:pt>
                <c:pt idx="118">
                  <c:v>162.19999999999999</c:v>
                </c:pt>
                <c:pt idx="119">
                  <c:v>103.85</c:v>
                </c:pt>
                <c:pt idx="120">
                  <c:v>82.2</c:v>
                </c:pt>
                <c:pt idx="121">
                  <c:v>104.2</c:v>
                </c:pt>
                <c:pt idx="122">
                  <c:v>92.07</c:v>
                </c:pt>
                <c:pt idx="123">
                  <c:v>142.75</c:v>
                </c:pt>
                <c:pt idx="124">
                  <c:v>91.39</c:v>
                </c:pt>
                <c:pt idx="125">
                  <c:v>90.58</c:v>
                </c:pt>
                <c:pt idx="126">
                  <c:v>104.6</c:v>
                </c:pt>
                <c:pt idx="127">
                  <c:v>82.6</c:v>
                </c:pt>
                <c:pt idx="128">
                  <c:v>65.66</c:v>
                </c:pt>
                <c:pt idx="129">
                  <c:v>149.81</c:v>
                </c:pt>
                <c:pt idx="130">
                  <c:v>81.41</c:v>
                </c:pt>
                <c:pt idx="131">
                  <c:v>92.52</c:v>
                </c:pt>
                <c:pt idx="132">
                  <c:v>81.2</c:v>
                </c:pt>
                <c:pt idx="133">
                  <c:v>65.599999999999994</c:v>
                </c:pt>
                <c:pt idx="134">
                  <c:v>82.62</c:v>
                </c:pt>
                <c:pt idx="135">
                  <c:v>104.07</c:v>
                </c:pt>
                <c:pt idx="136">
                  <c:v>119.93</c:v>
                </c:pt>
                <c:pt idx="137">
                  <c:v>73.25</c:v>
                </c:pt>
                <c:pt idx="138">
                  <c:v>104.05</c:v>
                </c:pt>
                <c:pt idx="139">
                  <c:v>132</c:v>
                </c:pt>
                <c:pt idx="140">
                  <c:v>72.55</c:v>
                </c:pt>
                <c:pt idx="141">
                  <c:v>92.3</c:v>
                </c:pt>
                <c:pt idx="142">
                  <c:v>130.12</c:v>
                </c:pt>
                <c:pt idx="143">
                  <c:v>92.5</c:v>
                </c:pt>
                <c:pt idx="144">
                  <c:v>73.650000000000006</c:v>
                </c:pt>
                <c:pt idx="145">
                  <c:v>103.35</c:v>
                </c:pt>
                <c:pt idx="146">
                  <c:v>104.7</c:v>
                </c:pt>
                <c:pt idx="147">
                  <c:v>115.05</c:v>
                </c:pt>
                <c:pt idx="148">
                  <c:v>118.7</c:v>
                </c:pt>
                <c:pt idx="149">
                  <c:v>82.72</c:v>
                </c:pt>
                <c:pt idx="150">
                  <c:v>92.7</c:v>
                </c:pt>
                <c:pt idx="151">
                  <c:v>128.05000000000001</c:v>
                </c:pt>
                <c:pt idx="152">
                  <c:v>133.94999999999999</c:v>
                </c:pt>
                <c:pt idx="153">
                  <c:v>73.760000000000005</c:v>
                </c:pt>
                <c:pt idx="154">
                  <c:v>103.8</c:v>
                </c:pt>
                <c:pt idx="155">
                  <c:v>92.1</c:v>
                </c:pt>
                <c:pt idx="156">
                  <c:v>140.30000000000001</c:v>
                </c:pt>
                <c:pt idx="157">
                  <c:v>160.30000000000001</c:v>
                </c:pt>
                <c:pt idx="158">
                  <c:v>99</c:v>
                </c:pt>
                <c:pt idx="159">
                  <c:v>129.55000000000001</c:v>
                </c:pt>
                <c:pt idx="160">
                  <c:v>118.85</c:v>
                </c:pt>
                <c:pt idx="161">
                  <c:v>73.62</c:v>
                </c:pt>
                <c:pt idx="162">
                  <c:v>64.7</c:v>
                </c:pt>
                <c:pt idx="163">
                  <c:v>104.45</c:v>
                </c:pt>
                <c:pt idx="164">
                  <c:v>73.650000000000006</c:v>
                </c:pt>
                <c:pt idx="165">
                  <c:v>92.6</c:v>
                </c:pt>
                <c:pt idx="166">
                  <c:v>73.92</c:v>
                </c:pt>
                <c:pt idx="167">
                  <c:v>72.8</c:v>
                </c:pt>
                <c:pt idx="168">
                  <c:v>81.45</c:v>
                </c:pt>
                <c:pt idx="169">
                  <c:v>92.25</c:v>
                </c:pt>
                <c:pt idx="170">
                  <c:v>92.95</c:v>
                </c:pt>
                <c:pt idx="171">
                  <c:v>82.4</c:v>
                </c:pt>
                <c:pt idx="172">
                  <c:v>72.7</c:v>
                </c:pt>
                <c:pt idx="173">
                  <c:v>82.09</c:v>
                </c:pt>
                <c:pt idx="174">
                  <c:v>73.55</c:v>
                </c:pt>
                <c:pt idx="175">
                  <c:v>174.25</c:v>
                </c:pt>
                <c:pt idx="176">
                  <c:v>103.55</c:v>
                </c:pt>
                <c:pt idx="177">
                  <c:v>91.8</c:v>
                </c:pt>
                <c:pt idx="178">
                  <c:v>73.25</c:v>
                </c:pt>
                <c:pt idx="179">
                  <c:v>73.599999999999994</c:v>
                </c:pt>
                <c:pt idx="180">
                  <c:v>91.11</c:v>
                </c:pt>
                <c:pt idx="181">
                  <c:v>93</c:v>
                </c:pt>
                <c:pt idx="182">
                  <c:v>66.45</c:v>
                </c:pt>
                <c:pt idx="183">
                  <c:v>92.8</c:v>
                </c:pt>
                <c:pt idx="184">
                  <c:v>73.569999999999993</c:v>
                </c:pt>
                <c:pt idx="185">
                  <c:v>119.25</c:v>
                </c:pt>
                <c:pt idx="186">
                  <c:v>103</c:v>
                </c:pt>
                <c:pt idx="187">
                  <c:v>92.85</c:v>
                </c:pt>
                <c:pt idx="188">
                  <c:v>58.62</c:v>
                </c:pt>
                <c:pt idx="189">
                  <c:v>119.75</c:v>
                </c:pt>
                <c:pt idx="190">
                  <c:v>91.33</c:v>
                </c:pt>
                <c:pt idx="191">
                  <c:v>89.05</c:v>
                </c:pt>
                <c:pt idx="192">
                  <c:v>82.35</c:v>
                </c:pt>
                <c:pt idx="193">
                  <c:v>73.650000000000006</c:v>
                </c:pt>
                <c:pt idx="194">
                  <c:v>104.65</c:v>
                </c:pt>
                <c:pt idx="195">
                  <c:v>104.5</c:v>
                </c:pt>
                <c:pt idx="196">
                  <c:v>92.65</c:v>
                </c:pt>
                <c:pt idx="197">
                  <c:v>73.55</c:v>
                </c:pt>
                <c:pt idx="198">
                  <c:v>73.2</c:v>
                </c:pt>
                <c:pt idx="199">
                  <c:v>72.2</c:v>
                </c:pt>
                <c:pt idx="200">
                  <c:v>118.65</c:v>
                </c:pt>
                <c:pt idx="201">
                  <c:v>118.55</c:v>
                </c:pt>
                <c:pt idx="202">
                  <c:v>82.3</c:v>
                </c:pt>
                <c:pt idx="203">
                  <c:v>103.56</c:v>
                </c:pt>
                <c:pt idx="204">
                  <c:v>80</c:v>
                </c:pt>
                <c:pt idx="205">
                  <c:v>104.45</c:v>
                </c:pt>
                <c:pt idx="206">
                  <c:v>93</c:v>
                </c:pt>
                <c:pt idx="207">
                  <c:v>92.76</c:v>
                </c:pt>
                <c:pt idx="208">
                  <c:v>104.65</c:v>
                </c:pt>
                <c:pt idx="209">
                  <c:v>103.35</c:v>
                </c:pt>
                <c:pt idx="210">
                  <c:v>91.76</c:v>
                </c:pt>
                <c:pt idx="211">
                  <c:v>58.55</c:v>
                </c:pt>
                <c:pt idx="212">
                  <c:v>58.3</c:v>
                </c:pt>
                <c:pt idx="213">
                  <c:v>182.5</c:v>
                </c:pt>
                <c:pt idx="214">
                  <c:v>81.45</c:v>
                </c:pt>
                <c:pt idx="215">
                  <c:v>119.15</c:v>
                </c:pt>
                <c:pt idx="216">
                  <c:v>145.44999999999999</c:v>
                </c:pt>
                <c:pt idx="217">
                  <c:v>81.849999999999994</c:v>
                </c:pt>
                <c:pt idx="218">
                  <c:v>73.900000000000006</c:v>
                </c:pt>
                <c:pt idx="219">
                  <c:v>65.25</c:v>
                </c:pt>
                <c:pt idx="220">
                  <c:v>116.94</c:v>
                </c:pt>
                <c:pt idx="221">
                  <c:v>116.2</c:v>
                </c:pt>
                <c:pt idx="222">
                  <c:v>82.9</c:v>
                </c:pt>
                <c:pt idx="223">
                  <c:v>91.6</c:v>
                </c:pt>
                <c:pt idx="224">
                  <c:v>58.48</c:v>
                </c:pt>
                <c:pt idx="225">
                  <c:v>126</c:v>
                </c:pt>
                <c:pt idx="226">
                  <c:v>81.150000000000006</c:v>
                </c:pt>
                <c:pt idx="227">
                  <c:v>103.7</c:v>
                </c:pt>
                <c:pt idx="228">
                  <c:v>104.65</c:v>
                </c:pt>
                <c:pt idx="229">
                  <c:v>84.5</c:v>
                </c:pt>
                <c:pt idx="230">
                  <c:v>82.7</c:v>
                </c:pt>
                <c:pt idx="231">
                  <c:v>130</c:v>
                </c:pt>
                <c:pt idx="232">
                  <c:v>81.349999999999994</c:v>
                </c:pt>
                <c:pt idx="233">
                  <c:v>103.1</c:v>
                </c:pt>
                <c:pt idx="234">
                  <c:v>104.55</c:v>
                </c:pt>
                <c:pt idx="235">
                  <c:v>118.6</c:v>
                </c:pt>
                <c:pt idx="236">
                  <c:v>58.29</c:v>
                </c:pt>
                <c:pt idx="237">
                  <c:v>104.75</c:v>
                </c:pt>
                <c:pt idx="238">
                  <c:v>139.35</c:v>
                </c:pt>
                <c:pt idx="239">
                  <c:v>117.2</c:v>
                </c:pt>
                <c:pt idx="240">
                  <c:v>65.87</c:v>
                </c:pt>
                <c:pt idx="241">
                  <c:v>58.45</c:v>
                </c:pt>
                <c:pt idx="242">
                  <c:v>82.4</c:v>
                </c:pt>
                <c:pt idx="243">
                  <c:v>138.05000000000001</c:v>
                </c:pt>
                <c:pt idx="244">
                  <c:v>131.85</c:v>
                </c:pt>
                <c:pt idx="245">
                  <c:v>73.55</c:v>
                </c:pt>
                <c:pt idx="246">
                  <c:v>104.25</c:v>
                </c:pt>
                <c:pt idx="247">
                  <c:v>118.51</c:v>
                </c:pt>
                <c:pt idx="248">
                  <c:v>64.2</c:v>
                </c:pt>
                <c:pt idx="249">
                  <c:v>73.25</c:v>
                </c:pt>
                <c:pt idx="250">
                  <c:v>141.30000000000001</c:v>
                </c:pt>
                <c:pt idx="251">
                  <c:v>104.15</c:v>
                </c:pt>
                <c:pt idx="252">
                  <c:v>117</c:v>
                </c:pt>
                <c:pt idx="253">
                  <c:v>92.39</c:v>
                </c:pt>
                <c:pt idx="254">
                  <c:v>117.3</c:v>
                </c:pt>
                <c:pt idx="255">
                  <c:v>58.3</c:v>
                </c:pt>
                <c:pt idx="256">
                  <c:v>119.2</c:v>
                </c:pt>
                <c:pt idx="257">
                  <c:v>82.3</c:v>
                </c:pt>
                <c:pt idx="258">
                  <c:v>82.95</c:v>
                </c:pt>
                <c:pt idx="259">
                  <c:v>116.6</c:v>
                </c:pt>
                <c:pt idx="260">
                  <c:v>73.8</c:v>
                </c:pt>
                <c:pt idx="261">
                  <c:v>72.180000000000007</c:v>
                </c:pt>
                <c:pt idx="262">
                  <c:v>101.75</c:v>
                </c:pt>
                <c:pt idx="263">
                  <c:v>104.49</c:v>
                </c:pt>
                <c:pt idx="264">
                  <c:v>102.71</c:v>
                </c:pt>
                <c:pt idx="265">
                  <c:v>57.8</c:v>
                </c:pt>
                <c:pt idx="266">
                  <c:v>92.95</c:v>
                </c:pt>
                <c:pt idx="267">
                  <c:v>79.95</c:v>
                </c:pt>
                <c:pt idx="268">
                  <c:v>104.4</c:v>
                </c:pt>
                <c:pt idx="269">
                  <c:v>66</c:v>
                </c:pt>
                <c:pt idx="270">
                  <c:v>91.95</c:v>
                </c:pt>
                <c:pt idx="271">
                  <c:v>136.33000000000001</c:v>
                </c:pt>
                <c:pt idx="272">
                  <c:v>103.69</c:v>
                </c:pt>
                <c:pt idx="273">
                  <c:v>117.85</c:v>
                </c:pt>
                <c:pt idx="274">
                  <c:v>65.8</c:v>
                </c:pt>
                <c:pt idx="275">
                  <c:v>118.66</c:v>
                </c:pt>
                <c:pt idx="276">
                  <c:v>89.3</c:v>
                </c:pt>
                <c:pt idx="277">
                  <c:v>82.3</c:v>
                </c:pt>
                <c:pt idx="278">
                  <c:v>104.05</c:v>
                </c:pt>
                <c:pt idx="279">
                  <c:v>99.75</c:v>
                </c:pt>
                <c:pt idx="280">
                  <c:v>57.6</c:v>
                </c:pt>
                <c:pt idx="281">
                  <c:v>103.75</c:v>
                </c:pt>
                <c:pt idx="282">
                  <c:v>103.35</c:v>
                </c:pt>
                <c:pt idx="283">
                  <c:v>82.05</c:v>
                </c:pt>
                <c:pt idx="284">
                  <c:v>64</c:v>
                </c:pt>
                <c:pt idx="285">
                  <c:v>82.35</c:v>
                </c:pt>
                <c:pt idx="286">
                  <c:v>147.05000000000001</c:v>
                </c:pt>
                <c:pt idx="287">
                  <c:v>63.27</c:v>
                </c:pt>
                <c:pt idx="288">
                  <c:v>103.3</c:v>
                </c:pt>
                <c:pt idx="289">
                  <c:v>58.2</c:v>
                </c:pt>
                <c:pt idx="290">
                  <c:v>65.56</c:v>
                </c:pt>
                <c:pt idx="291">
                  <c:v>72.849999999999994</c:v>
                </c:pt>
                <c:pt idx="292">
                  <c:v>103.1</c:v>
                </c:pt>
                <c:pt idx="293">
                  <c:v>92.39</c:v>
                </c:pt>
                <c:pt idx="294">
                  <c:v>65.5</c:v>
                </c:pt>
                <c:pt idx="295">
                  <c:v>137.5</c:v>
                </c:pt>
                <c:pt idx="296">
                  <c:v>91.38</c:v>
                </c:pt>
                <c:pt idx="297">
                  <c:v>73.400000000000006</c:v>
                </c:pt>
                <c:pt idx="298">
                  <c:v>90.33</c:v>
                </c:pt>
                <c:pt idx="299">
                  <c:v>73.5</c:v>
                </c:pt>
                <c:pt idx="300">
                  <c:v>99.85</c:v>
                </c:pt>
                <c:pt idx="301">
                  <c:v>57.95</c:v>
                </c:pt>
                <c:pt idx="302">
                  <c:v>65.7</c:v>
                </c:pt>
                <c:pt idx="303">
                  <c:v>64.55</c:v>
                </c:pt>
                <c:pt idx="304">
                  <c:v>91.65</c:v>
                </c:pt>
                <c:pt idx="305">
                  <c:v>63.3</c:v>
                </c:pt>
                <c:pt idx="306">
                  <c:v>74</c:v>
                </c:pt>
                <c:pt idx="307">
                  <c:v>82.4</c:v>
                </c:pt>
                <c:pt idx="308">
                  <c:v>73.3</c:v>
                </c:pt>
                <c:pt idx="309">
                  <c:v>73.62</c:v>
                </c:pt>
                <c:pt idx="310">
                  <c:v>118.26</c:v>
                </c:pt>
                <c:pt idx="311">
                  <c:v>58.15</c:v>
                </c:pt>
                <c:pt idx="312">
                  <c:v>100.15</c:v>
                </c:pt>
                <c:pt idx="313">
                  <c:v>92.36</c:v>
                </c:pt>
                <c:pt idx="314">
                  <c:v>147.1</c:v>
                </c:pt>
                <c:pt idx="315">
                  <c:v>92.48</c:v>
                </c:pt>
                <c:pt idx="316">
                  <c:v>118.28</c:v>
                </c:pt>
                <c:pt idx="317">
                  <c:v>110.35</c:v>
                </c:pt>
                <c:pt idx="318">
                  <c:v>58.7</c:v>
                </c:pt>
                <c:pt idx="319">
                  <c:v>58.47</c:v>
                </c:pt>
                <c:pt idx="320">
                  <c:v>58.6</c:v>
                </c:pt>
                <c:pt idx="321">
                  <c:v>92.75</c:v>
                </c:pt>
                <c:pt idx="322">
                  <c:v>92.4</c:v>
                </c:pt>
                <c:pt idx="323">
                  <c:v>92</c:v>
                </c:pt>
                <c:pt idx="324">
                  <c:v>119.9</c:v>
                </c:pt>
                <c:pt idx="325">
                  <c:v>92.95</c:v>
                </c:pt>
                <c:pt idx="326">
                  <c:v>119</c:v>
                </c:pt>
                <c:pt idx="327">
                  <c:v>163.5</c:v>
                </c:pt>
                <c:pt idx="328">
                  <c:v>72</c:v>
                </c:pt>
                <c:pt idx="329">
                  <c:v>92.45</c:v>
                </c:pt>
                <c:pt idx="330">
                  <c:v>119.65</c:v>
                </c:pt>
                <c:pt idx="331">
                  <c:v>101.95</c:v>
                </c:pt>
                <c:pt idx="332">
                  <c:v>73.8</c:v>
                </c:pt>
                <c:pt idx="333">
                  <c:v>73.55</c:v>
                </c:pt>
                <c:pt idx="334">
                  <c:v>91.15</c:v>
                </c:pt>
                <c:pt idx="335">
                  <c:v>117.35</c:v>
                </c:pt>
                <c:pt idx="336">
                  <c:v>73.150000000000006</c:v>
                </c:pt>
                <c:pt idx="337">
                  <c:v>81.2</c:v>
                </c:pt>
                <c:pt idx="338">
                  <c:v>104.95</c:v>
                </c:pt>
                <c:pt idx="339">
                  <c:v>163.19999999999999</c:v>
                </c:pt>
                <c:pt idx="340">
                  <c:v>90.45</c:v>
                </c:pt>
                <c:pt idx="341">
                  <c:v>114.2</c:v>
                </c:pt>
                <c:pt idx="342">
                  <c:v>80.400000000000006</c:v>
                </c:pt>
                <c:pt idx="343">
                  <c:v>82.4</c:v>
                </c:pt>
                <c:pt idx="344">
                  <c:v>117.87</c:v>
                </c:pt>
                <c:pt idx="345">
                  <c:v>99.75</c:v>
                </c:pt>
                <c:pt idx="346">
                  <c:v>65.239999999999995</c:v>
                </c:pt>
                <c:pt idx="347">
                  <c:v>103.2</c:v>
                </c:pt>
                <c:pt idx="348">
                  <c:v>104.45</c:v>
                </c:pt>
                <c:pt idx="349">
                  <c:v>73.25</c:v>
                </c:pt>
                <c:pt idx="350">
                  <c:v>65.05</c:v>
                </c:pt>
                <c:pt idx="351">
                  <c:v>81.95</c:v>
                </c:pt>
                <c:pt idx="352">
                  <c:v>63.4</c:v>
                </c:pt>
                <c:pt idx="353">
                  <c:v>58.5</c:v>
                </c:pt>
                <c:pt idx="354">
                  <c:v>92.25</c:v>
                </c:pt>
                <c:pt idx="355">
                  <c:v>65.45</c:v>
                </c:pt>
                <c:pt idx="356">
                  <c:v>65.75</c:v>
                </c:pt>
                <c:pt idx="357">
                  <c:v>82.6</c:v>
                </c:pt>
                <c:pt idx="358">
                  <c:v>81.400000000000006</c:v>
                </c:pt>
                <c:pt idx="359">
                  <c:v>92.48</c:v>
                </c:pt>
                <c:pt idx="360">
                  <c:v>91.25</c:v>
                </c:pt>
                <c:pt idx="361">
                  <c:v>92.25</c:v>
                </c:pt>
                <c:pt idx="362">
                  <c:v>73.400000000000006</c:v>
                </c:pt>
                <c:pt idx="363">
                  <c:v>65.8</c:v>
                </c:pt>
                <c:pt idx="364">
                  <c:v>92.75</c:v>
                </c:pt>
                <c:pt idx="365">
                  <c:v>119.1</c:v>
                </c:pt>
                <c:pt idx="366">
                  <c:v>64.319999999999993</c:v>
                </c:pt>
                <c:pt idx="367">
                  <c:v>92.25</c:v>
                </c:pt>
                <c:pt idx="368">
                  <c:v>91.65</c:v>
                </c:pt>
                <c:pt idx="369">
                  <c:v>72.2</c:v>
                </c:pt>
                <c:pt idx="370">
                  <c:v>104.25</c:v>
                </c:pt>
                <c:pt idx="371">
                  <c:v>65.86</c:v>
                </c:pt>
                <c:pt idx="372">
                  <c:v>102.55</c:v>
                </c:pt>
                <c:pt idx="373">
                  <c:v>131.5</c:v>
                </c:pt>
                <c:pt idx="374">
                  <c:v>129.35</c:v>
                </c:pt>
                <c:pt idx="375">
                  <c:v>119.6</c:v>
                </c:pt>
                <c:pt idx="376">
                  <c:v>139.6</c:v>
                </c:pt>
                <c:pt idx="377">
                  <c:v>90.8</c:v>
                </c:pt>
                <c:pt idx="378">
                  <c:v>65.150000000000006</c:v>
                </c:pt>
                <c:pt idx="379">
                  <c:v>65.95</c:v>
                </c:pt>
                <c:pt idx="380">
                  <c:v>116.35</c:v>
                </c:pt>
                <c:pt idx="381">
                  <c:v>82</c:v>
                </c:pt>
                <c:pt idx="382">
                  <c:v>116.4</c:v>
                </c:pt>
                <c:pt idx="383">
                  <c:v>143.72</c:v>
                </c:pt>
                <c:pt idx="384">
                  <c:v>73.77</c:v>
                </c:pt>
                <c:pt idx="385">
                  <c:v>82.55</c:v>
                </c:pt>
                <c:pt idx="386">
                  <c:v>73.63</c:v>
                </c:pt>
                <c:pt idx="387">
                  <c:v>92.1</c:v>
                </c:pt>
                <c:pt idx="388">
                  <c:v>73.27</c:v>
                </c:pt>
                <c:pt idx="389">
                  <c:v>80.7</c:v>
                </c:pt>
                <c:pt idx="390">
                  <c:v>96.35</c:v>
                </c:pt>
                <c:pt idx="391">
                  <c:v>81.260000000000005</c:v>
                </c:pt>
                <c:pt idx="392">
                  <c:v>81.5</c:v>
                </c:pt>
                <c:pt idx="393">
                  <c:v>101.55</c:v>
                </c:pt>
                <c:pt idx="394">
                  <c:v>136.19999999999999</c:v>
                </c:pt>
                <c:pt idx="395">
                  <c:v>84.95</c:v>
                </c:pt>
                <c:pt idx="396">
                  <c:v>153.30000000000001</c:v>
                </c:pt>
                <c:pt idx="397">
                  <c:v>81.45</c:v>
                </c:pt>
                <c:pt idx="398">
                  <c:v>115.7</c:v>
                </c:pt>
              </c:numCache>
            </c:numRef>
          </c:xVal>
          <c:yVal>
            <c:numRef>
              <c:f>'Data Squat'!$L$2:$L$400</c:f>
              <c:numCache>
                <c:formatCode>0.000</c:formatCode>
                <c:ptCount val="399"/>
                <c:pt idx="0">
                  <c:v>0.43333333333333335</c:v>
                </c:pt>
                <c:pt idx="1">
                  <c:v>0.43478260869565216</c:v>
                </c:pt>
                <c:pt idx="2">
                  <c:v>0.5</c:v>
                </c:pt>
                <c:pt idx="3">
                  <c:v>0.51485148514851486</c:v>
                </c:pt>
                <c:pt idx="4">
                  <c:v>0.5161290322580645</c:v>
                </c:pt>
                <c:pt idx="5">
                  <c:v>0.51948051948051943</c:v>
                </c:pt>
                <c:pt idx="6">
                  <c:v>0.52380952380952384</c:v>
                </c:pt>
                <c:pt idx="7">
                  <c:v>0.52500000000000002</c:v>
                </c:pt>
                <c:pt idx="8">
                  <c:v>0.53271028037383172</c:v>
                </c:pt>
                <c:pt idx="9">
                  <c:v>0.53333333333333333</c:v>
                </c:pt>
                <c:pt idx="10">
                  <c:v>0.5337078651685393</c:v>
                </c:pt>
                <c:pt idx="11">
                  <c:v>0.53968253968253965</c:v>
                </c:pt>
                <c:pt idx="12">
                  <c:v>0.54666666666666663</c:v>
                </c:pt>
                <c:pt idx="13">
                  <c:v>0.54777070063694266</c:v>
                </c:pt>
                <c:pt idx="14">
                  <c:v>0.54807692307692313</c:v>
                </c:pt>
                <c:pt idx="15">
                  <c:v>0.55000000000000004</c:v>
                </c:pt>
                <c:pt idx="16">
                  <c:v>0.55000000000000004</c:v>
                </c:pt>
                <c:pt idx="17">
                  <c:v>0.55102040816326525</c:v>
                </c:pt>
                <c:pt idx="18">
                  <c:v>0.55229142185663926</c:v>
                </c:pt>
                <c:pt idx="19">
                  <c:v>0.55284552845528456</c:v>
                </c:pt>
                <c:pt idx="20">
                  <c:v>0.55405405405405406</c:v>
                </c:pt>
                <c:pt idx="21">
                  <c:v>0.55555555555555558</c:v>
                </c:pt>
                <c:pt idx="22">
                  <c:v>0.55670103092783507</c:v>
                </c:pt>
                <c:pt idx="23">
                  <c:v>0.56000000000000005</c:v>
                </c:pt>
                <c:pt idx="24">
                  <c:v>0.56060606060606055</c:v>
                </c:pt>
                <c:pt idx="25">
                  <c:v>0.56164383561643838</c:v>
                </c:pt>
                <c:pt idx="26">
                  <c:v>0.56451612903225812</c:v>
                </c:pt>
                <c:pt idx="27">
                  <c:v>0.56521739130434778</c:v>
                </c:pt>
                <c:pt idx="28">
                  <c:v>0.56603773584905659</c:v>
                </c:pt>
                <c:pt idx="29">
                  <c:v>0.56707317073170727</c:v>
                </c:pt>
                <c:pt idx="30">
                  <c:v>0.56818181818181823</c:v>
                </c:pt>
                <c:pt idx="31">
                  <c:v>0.56930693069306926</c:v>
                </c:pt>
                <c:pt idx="32">
                  <c:v>0.5696969696969697</c:v>
                </c:pt>
                <c:pt idx="33">
                  <c:v>0.57051282051282048</c:v>
                </c:pt>
                <c:pt idx="34">
                  <c:v>0.57291666666666663</c:v>
                </c:pt>
                <c:pt idx="35">
                  <c:v>0.57333333333333336</c:v>
                </c:pt>
                <c:pt idx="36">
                  <c:v>0.57446808510638303</c:v>
                </c:pt>
                <c:pt idx="37">
                  <c:v>0.57692307692307687</c:v>
                </c:pt>
                <c:pt idx="38">
                  <c:v>0.57777777777777772</c:v>
                </c:pt>
                <c:pt idx="39">
                  <c:v>0.58015267175572516</c:v>
                </c:pt>
                <c:pt idx="40">
                  <c:v>0.58088235294117652</c:v>
                </c:pt>
                <c:pt idx="41">
                  <c:v>0.58181818181818179</c:v>
                </c:pt>
                <c:pt idx="42">
                  <c:v>0.58181818181818179</c:v>
                </c:pt>
                <c:pt idx="43">
                  <c:v>0.58415841584158412</c:v>
                </c:pt>
                <c:pt idx="44">
                  <c:v>0.58695652173913049</c:v>
                </c:pt>
                <c:pt idx="45">
                  <c:v>0.58715596330275233</c:v>
                </c:pt>
                <c:pt idx="46">
                  <c:v>0.58762886597938147</c:v>
                </c:pt>
                <c:pt idx="47">
                  <c:v>0.58783783783783783</c:v>
                </c:pt>
                <c:pt idx="48">
                  <c:v>0.58914728682170547</c:v>
                </c:pt>
                <c:pt idx="49">
                  <c:v>0.58947368421052626</c:v>
                </c:pt>
                <c:pt idx="50">
                  <c:v>0.59090909090909094</c:v>
                </c:pt>
                <c:pt idx="51">
                  <c:v>0.59124087591240881</c:v>
                </c:pt>
                <c:pt idx="52">
                  <c:v>0.59146341463414631</c:v>
                </c:pt>
                <c:pt idx="53">
                  <c:v>0.59223300970873782</c:v>
                </c:pt>
                <c:pt idx="54">
                  <c:v>0.59223300970873782</c:v>
                </c:pt>
                <c:pt idx="55">
                  <c:v>0.59259259259259256</c:v>
                </c:pt>
                <c:pt idx="56">
                  <c:v>0.59398496240601506</c:v>
                </c:pt>
                <c:pt idx="57">
                  <c:v>0.5950413223140496</c:v>
                </c:pt>
                <c:pt idx="58">
                  <c:v>0.5957446808510638</c:v>
                </c:pt>
                <c:pt idx="59">
                  <c:v>0.59615384615384615</c:v>
                </c:pt>
                <c:pt idx="60">
                  <c:v>0.59649122807017541</c:v>
                </c:pt>
                <c:pt idx="61">
                  <c:v>0.59701492537313428</c:v>
                </c:pt>
                <c:pt idx="62">
                  <c:v>0.59793814432989689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0.60144927536231885</c:v>
                </c:pt>
                <c:pt idx="68">
                  <c:v>0.60273972602739723</c:v>
                </c:pt>
                <c:pt idx="69">
                  <c:v>0.60629921259842523</c:v>
                </c:pt>
                <c:pt idx="70">
                  <c:v>0.6071428571428571</c:v>
                </c:pt>
                <c:pt idx="71">
                  <c:v>0.60869565217391308</c:v>
                </c:pt>
                <c:pt idx="72">
                  <c:v>0.60909090909090913</c:v>
                </c:pt>
                <c:pt idx="73">
                  <c:v>0.6097560975609756</c:v>
                </c:pt>
                <c:pt idx="74">
                  <c:v>0.61052631578947369</c:v>
                </c:pt>
                <c:pt idx="75">
                  <c:v>0.61111111111111116</c:v>
                </c:pt>
                <c:pt idx="76">
                  <c:v>0.61290322580645162</c:v>
                </c:pt>
                <c:pt idx="77">
                  <c:v>0.6132075471698113</c:v>
                </c:pt>
                <c:pt idx="78">
                  <c:v>0.6132075471698113</c:v>
                </c:pt>
                <c:pt idx="79">
                  <c:v>0.61363636363636365</c:v>
                </c:pt>
                <c:pt idx="80">
                  <c:v>0.61475409836065575</c:v>
                </c:pt>
                <c:pt idx="81">
                  <c:v>0.61538461538461542</c:v>
                </c:pt>
                <c:pt idx="82">
                  <c:v>0.61538461538461542</c:v>
                </c:pt>
                <c:pt idx="83">
                  <c:v>0.61627906976744184</c:v>
                </c:pt>
                <c:pt idx="84">
                  <c:v>0.61654135338345861</c:v>
                </c:pt>
                <c:pt idx="85">
                  <c:v>0.6166666666666667</c:v>
                </c:pt>
                <c:pt idx="86">
                  <c:v>0.61855670103092786</c:v>
                </c:pt>
                <c:pt idx="87">
                  <c:v>0.62068965517241381</c:v>
                </c:pt>
                <c:pt idx="88">
                  <c:v>0.62068965517241381</c:v>
                </c:pt>
                <c:pt idx="89">
                  <c:v>0.62222222222222223</c:v>
                </c:pt>
                <c:pt idx="90">
                  <c:v>0.6228070175438597</c:v>
                </c:pt>
                <c:pt idx="91">
                  <c:v>0.62318840579710144</c:v>
                </c:pt>
                <c:pt idx="92">
                  <c:v>0.62365591397849462</c:v>
                </c:pt>
                <c:pt idx="93">
                  <c:v>0.62365591397849462</c:v>
                </c:pt>
                <c:pt idx="94">
                  <c:v>0.62365591397849462</c:v>
                </c:pt>
                <c:pt idx="95">
                  <c:v>0.62370062370062374</c:v>
                </c:pt>
                <c:pt idx="96">
                  <c:v>0.625</c:v>
                </c:pt>
                <c:pt idx="97">
                  <c:v>0.625</c:v>
                </c:pt>
                <c:pt idx="98">
                  <c:v>0.62686567164179108</c:v>
                </c:pt>
                <c:pt idx="99">
                  <c:v>0.62727272727272732</c:v>
                </c:pt>
                <c:pt idx="100">
                  <c:v>0.62727272727272732</c:v>
                </c:pt>
                <c:pt idx="101">
                  <c:v>0.62745098039215685</c:v>
                </c:pt>
                <c:pt idx="102">
                  <c:v>0.62790697674418605</c:v>
                </c:pt>
                <c:pt idx="103">
                  <c:v>0.62790697674418605</c:v>
                </c:pt>
                <c:pt idx="104">
                  <c:v>0.62931034482758619</c:v>
                </c:pt>
                <c:pt idx="105">
                  <c:v>0.62931034482758619</c:v>
                </c:pt>
                <c:pt idx="106">
                  <c:v>0.62962962962962965</c:v>
                </c:pt>
                <c:pt idx="107">
                  <c:v>0.62962962962962965</c:v>
                </c:pt>
                <c:pt idx="108">
                  <c:v>0.63076923076923075</c:v>
                </c:pt>
                <c:pt idx="109">
                  <c:v>0.63095238095238093</c:v>
                </c:pt>
                <c:pt idx="110">
                  <c:v>0.63095238095238093</c:v>
                </c:pt>
                <c:pt idx="111">
                  <c:v>0.63157894736842102</c:v>
                </c:pt>
                <c:pt idx="112">
                  <c:v>0.63366336633663367</c:v>
                </c:pt>
                <c:pt idx="113">
                  <c:v>0.6339285714285714</c:v>
                </c:pt>
                <c:pt idx="114">
                  <c:v>0.6339285714285714</c:v>
                </c:pt>
                <c:pt idx="115">
                  <c:v>0.63414634146341464</c:v>
                </c:pt>
                <c:pt idx="116">
                  <c:v>0.63414634146341464</c:v>
                </c:pt>
                <c:pt idx="117">
                  <c:v>0.63492063492063489</c:v>
                </c:pt>
                <c:pt idx="118">
                  <c:v>0.63565891472868219</c:v>
                </c:pt>
                <c:pt idx="119">
                  <c:v>0.63709677419354838</c:v>
                </c:pt>
                <c:pt idx="120">
                  <c:v>0.63725490196078427</c:v>
                </c:pt>
                <c:pt idx="121">
                  <c:v>0.63846153846153841</c:v>
                </c:pt>
                <c:pt idx="122">
                  <c:v>0.63888888888888884</c:v>
                </c:pt>
                <c:pt idx="123">
                  <c:v>0.63934426229508201</c:v>
                </c:pt>
                <c:pt idx="124">
                  <c:v>0.64</c:v>
                </c:pt>
                <c:pt idx="125">
                  <c:v>0.64356435643564358</c:v>
                </c:pt>
                <c:pt idx="126">
                  <c:v>0.64393939393939392</c:v>
                </c:pt>
                <c:pt idx="127">
                  <c:v>0.64423076923076927</c:v>
                </c:pt>
                <c:pt idx="128">
                  <c:v>0.64444444444444449</c:v>
                </c:pt>
                <c:pt idx="129">
                  <c:v>0.64516129032258063</c:v>
                </c:pt>
                <c:pt idx="130">
                  <c:v>0.64516129032258063</c:v>
                </c:pt>
                <c:pt idx="131">
                  <c:v>0.64655172413793105</c:v>
                </c:pt>
                <c:pt idx="132">
                  <c:v>0.6470588235294118</c:v>
                </c:pt>
                <c:pt idx="133">
                  <c:v>0.64864864864864868</c:v>
                </c:pt>
                <c:pt idx="134">
                  <c:v>0.64893617021276595</c:v>
                </c:pt>
                <c:pt idx="135">
                  <c:v>0.64912280701754388</c:v>
                </c:pt>
                <c:pt idx="136">
                  <c:v>0.64963503649635035</c:v>
                </c:pt>
                <c:pt idx="137">
                  <c:v>0.65</c:v>
                </c:pt>
                <c:pt idx="138">
                  <c:v>0.65040650406504064</c:v>
                </c:pt>
                <c:pt idx="139">
                  <c:v>0.65151515151515149</c:v>
                </c:pt>
                <c:pt idx="140">
                  <c:v>0.651685393258427</c:v>
                </c:pt>
                <c:pt idx="141">
                  <c:v>0.65384615384615385</c:v>
                </c:pt>
                <c:pt idx="142">
                  <c:v>0.65384615384615385</c:v>
                </c:pt>
                <c:pt idx="143">
                  <c:v>0.65420560747663548</c:v>
                </c:pt>
                <c:pt idx="144">
                  <c:v>0.65432098765432101</c:v>
                </c:pt>
                <c:pt idx="145">
                  <c:v>0.65625</c:v>
                </c:pt>
                <c:pt idx="146">
                  <c:v>0.65789473684210531</c:v>
                </c:pt>
                <c:pt idx="147">
                  <c:v>0.65833333333333333</c:v>
                </c:pt>
                <c:pt idx="148">
                  <c:v>0.65873015873015872</c:v>
                </c:pt>
                <c:pt idx="149">
                  <c:v>0.66</c:v>
                </c:pt>
                <c:pt idx="150">
                  <c:v>0.66019417475728159</c:v>
                </c:pt>
                <c:pt idx="151">
                  <c:v>0.66101694915254239</c:v>
                </c:pt>
                <c:pt idx="152">
                  <c:v>0.66153846153846152</c:v>
                </c:pt>
                <c:pt idx="153">
                  <c:v>0.66304347826086951</c:v>
                </c:pt>
                <c:pt idx="154">
                  <c:v>0.66371681415929207</c:v>
                </c:pt>
                <c:pt idx="155">
                  <c:v>0.66379310344827591</c:v>
                </c:pt>
                <c:pt idx="156">
                  <c:v>0.66417910447761197</c:v>
                </c:pt>
                <c:pt idx="157">
                  <c:v>0.66428571428571426</c:v>
                </c:pt>
                <c:pt idx="158">
                  <c:v>0.66666666666666663</c:v>
                </c:pt>
                <c:pt idx="159">
                  <c:v>0.66666666666666663</c:v>
                </c:pt>
                <c:pt idx="160">
                  <c:v>0.66666666666666663</c:v>
                </c:pt>
                <c:pt idx="161">
                  <c:v>0.66666666666666663</c:v>
                </c:pt>
                <c:pt idx="162">
                  <c:v>0.66666666666666663</c:v>
                </c:pt>
                <c:pt idx="163">
                  <c:v>0.66666666666666663</c:v>
                </c:pt>
                <c:pt idx="164">
                  <c:v>0.66666666666666663</c:v>
                </c:pt>
                <c:pt idx="165">
                  <c:v>0.66666666666666663</c:v>
                </c:pt>
                <c:pt idx="166">
                  <c:v>0.66666666666666663</c:v>
                </c:pt>
                <c:pt idx="167">
                  <c:v>0.66666666666666663</c:v>
                </c:pt>
                <c:pt idx="168">
                  <c:v>0.66666666666666663</c:v>
                </c:pt>
                <c:pt idx="169">
                  <c:v>0.66666666666666663</c:v>
                </c:pt>
                <c:pt idx="170">
                  <c:v>0.6696428571428571</c:v>
                </c:pt>
                <c:pt idx="171">
                  <c:v>0.66972477064220182</c:v>
                </c:pt>
                <c:pt idx="172">
                  <c:v>0.67</c:v>
                </c:pt>
                <c:pt idx="173">
                  <c:v>0.67045454545454541</c:v>
                </c:pt>
                <c:pt idx="174">
                  <c:v>0.67073170731707321</c:v>
                </c:pt>
                <c:pt idx="175">
                  <c:v>0.67164179104477617</c:v>
                </c:pt>
                <c:pt idx="176">
                  <c:v>0.67200000000000004</c:v>
                </c:pt>
                <c:pt idx="177">
                  <c:v>0.67307692307692313</c:v>
                </c:pt>
                <c:pt idx="178">
                  <c:v>0.67346938775510201</c:v>
                </c:pt>
                <c:pt idx="179">
                  <c:v>0.67368421052631577</c:v>
                </c:pt>
                <c:pt idx="180">
                  <c:v>0.67391304347826086</c:v>
                </c:pt>
                <c:pt idx="181">
                  <c:v>0.67647058823529416</c:v>
                </c:pt>
                <c:pt idx="182">
                  <c:v>0.67647058823529416</c:v>
                </c:pt>
                <c:pt idx="183">
                  <c:v>0.67647058823529416</c:v>
                </c:pt>
                <c:pt idx="184">
                  <c:v>0.6767676767676768</c:v>
                </c:pt>
                <c:pt idx="185">
                  <c:v>0.6776859504132231</c:v>
                </c:pt>
                <c:pt idx="186">
                  <c:v>0.67796610169491522</c:v>
                </c:pt>
                <c:pt idx="187">
                  <c:v>0.67826086956521736</c:v>
                </c:pt>
                <c:pt idx="188">
                  <c:v>0.6785714285714286</c:v>
                </c:pt>
                <c:pt idx="189">
                  <c:v>0.67938931297709926</c:v>
                </c:pt>
                <c:pt idx="190">
                  <c:v>0.67961165048543692</c:v>
                </c:pt>
                <c:pt idx="191">
                  <c:v>0.68</c:v>
                </c:pt>
                <c:pt idx="192">
                  <c:v>0.68041237113402064</c:v>
                </c:pt>
                <c:pt idx="193">
                  <c:v>0.68085106382978722</c:v>
                </c:pt>
                <c:pt idx="194">
                  <c:v>0.68103448275862066</c:v>
                </c:pt>
                <c:pt idx="195">
                  <c:v>0.68141592920353977</c:v>
                </c:pt>
                <c:pt idx="196">
                  <c:v>0.68141592920353977</c:v>
                </c:pt>
                <c:pt idx="197">
                  <c:v>0.68181818181818177</c:v>
                </c:pt>
                <c:pt idx="198">
                  <c:v>0.68181818181818177</c:v>
                </c:pt>
                <c:pt idx="199">
                  <c:v>0.68181818181818177</c:v>
                </c:pt>
                <c:pt idx="200">
                  <c:v>0.68217054263565891</c:v>
                </c:pt>
                <c:pt idx="201">
                  <c:v>0.68217054263565891</c:v>
                </c:pt>
                <c:pt idx="202">
                  <c:v>0.68224299065420557</c:v>
                </c:pt>
                <c:pt idx="203">
                  <c:v>0.68253968253968256</c:v>
                </c:pt>
                <c:pt idx="204">
                  <c:v>0.68316831683168322</c:v>
                </c:pt>
                <c:pt idx="205">
                  <c:v>0.68333333333333335</c:v>
                </c:pt>
                <c:pt idx="206">
                  <c:v>0.68333333333333335</c:v>
                </c:pt>
                <c:pt idx="207">
                  <c:v>0.68468468468468469</c:v>
                </c:pt>
                <c:pt idx="208">
                  <c:v>0.68548387096774188</c:v>
                </c:pt>
                <c:pt idx="209">
                  <c:v>0.68548387096774188</c:v>
                </c:pt>
                <c:pt idx="210">
                  <c:v>0.68604651162790697</c:v>
                </c:pt>
                <c:pt idx="211">
                  <c:v>0.68604651162790697</c:v>
                </c:pt>
                <c:pt idx="212">
                  <c:v>0.68604651162790697</c:v>
                </c:pt>
                <c:pt idx="213">
                  <c:v>0.68702290076335881</c:v>
                </c:pt>
                <c:pt idx="214">
                  <c:v>0.6875</c:v>
                </c:pt>
                <c:pt idx="215">
                  <c:v>0.68799999999999994</c:v>
                </c:pt>
                <c:pt idx="216">
                  <c:v>0.68799999999999994</c:v>
                </c:pt>
                <c:pt idx="217">
                  <c:v>0.68867924528301883</c:v>
                </c:pt>
                <c:pt idx="218">
                  <c:v>0.68888888888888888</c:v>
                </c:pt>
                <c:pt idx="219">
                  <c:v>0.68918918918918914</c:v>
                </c:pt>
                <c:pt idx="220">
                  <c:v>0.68965517241379315</c:v>
                </c:pt>
                <c:pt idx="221">
                  <c:v>0.69026548672566368</c:v>
                </c:pt>
                <c:pt idx="222">
                  <c:v>0.69148936170212771</c:v>
                </c:pt>
                <c:pt idx="223">
                  <c:v>0.69230769230769229</c:v>
                </c:pt>
                <c:pt idx="224">
                  <c:v>0.69230769230769229</c:v>
                </c:pt>
                <c:pt idx="225">
                  <c:v>0.69230769230769229</c:v>
                </c:pt>
                <c:pt idx="226">
                  <c:v>0.69306930693069302</c:v>
                </c:pt>
                <c:pt idx="227">
                  <c:v>0.69387755102040816</c:v>
                </c:pt>
                <c:pt idx="228">
                  <c:v>0.69444444444444442</c:v>
                </c:pt>
                <c:pt idx="229">
                  <c:v>0.69444444444444442</c:v>
                </c:pt>
                <c:pt idx="230">
                  <c:v>0.69512195121951215</c:v>
                </c:pt>
                <c:pt idx="231">
                  <c:v>0.69565217391304346</c:v>
                </c:pt>
                <c:pt idx="232">
                  <c:v>0.69565217391304346</c:v>
                </c:pt>
                <c:pt idx="233">
                  <c:v>0.69606299212598421</c:v>
                </c:pt>
                <c:pt idx="234">
                  <c:v>0.69724770642201839</c:v>
                </c:pt>
                <c:pt idx="235">
                  <c:v>0.69724770642201839</c:v>
                </c:pt>
                <c:pt idx="236">
                  <c:v>0.69863013698630139</c:v>
                </c:pt>
                <c:pt idx="237">
                  <c:v>0.69892473118279574</c:v>
                </c:pt>
                <c:pt idx="238">
                  <c:v>0.69918699186991873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0.70114942528735635</c:v>
                </c:pt>
                <c:pt idx="243">
                  <c:v>0.70175438596491224</c:v>
                </c:pt>
                <c:pt idx="244">
                  <c:v>0.70175438596491224</c:v>
                </c:pt>
                <c:pt idx="245">
                  <c:v>0.7021276595744681</c:v>
                </c:pt>
                <c:pt idx="246">
                  <c:v>0.7021276595744681</c:v>
                </c:pt>
                <c:pt idx="247">
                  <c:v>0.70229007633587781</c:v>
                </c:pt>
                <c:pt idx="248">
                  <c:v>0.70270270270270274</c:v>
                </c:pt>
                <c:pt idx="249">
                  <c:v>0.70454545454545459</c:v>
                </c:pt>
                <c:pt idx="250">
                  <c:v>0.70491803278688525</c:v>
                </c:pt>
                <c:pt idx="251">
                  <c:v>0.70588235294117652</c:v>
                </c:pt>
                <c:pt idx="252">
                  <c:v>0.70707070707070707</c:v>
                </c:pt>
                <c:pt idx="253">
                  <c:v>0.70707070707070707</c:v>
                </c:pt>
                <c:pt idx="254">
                  <c:v>0.70754716981132071</c:v>
                </c:pt>
                <c:pt idx="255">
                  <c:v>0.70930232558139539</c:v>
                </c:pt>
                <c:pt idx="256">
                  <c:v>0.70967741935483875</c:v>
                </c:pt>
                <c:pt idx="257">
                  <c:v>0.71</c:v>
                </c:pt>
                <c:pt idx="258">
                  <c:v>0.71111111111111114</c:v>
                </c:pt>
                <c:pt idx="259">
                  <c:v>0.71153846153846156</c:v>
                </c:pt>
                <c:pt idx="260">
                  <c:v>0.7142857142857143</c:v>
                </c:pt>
                <c:pt idx="261">
                  <c:v>0.7142857142857143</c:v>
                </c:pt>
                <c:pt idx="262">
                  <c:v>0.7142857142857143</c:v>
                </c:pt>
                <c:pt idx="263">
                  <c:v>0.71551724137931039</c:v>
                </c:pt>
                <c:pt idx="264">
                  <c:v>0.71568627450980393</c:v>
                </c:pt>
                <c:pt idx="265">
                  <c:v>0.71604938271604934</c:v>
                </c:pt>
                <c:pt idx="266">
                  <c:v>0.71698113207547165</c:v>
                </c:pt>
                <c:pt idx="267">
                  <c:v>0.71739130434782605</c:v>
                </c:pt>
                <c:pt idx="268">
                  <c:v>0.71844660194174759</c:v>
                </c:pt>
                <c:pt idx="269">
                  <c:v>0.7191011235955056</c:v>
                </c:pt>
                <c:pt idx="270">
                  <c:v>0.72</c:v>
                </c:pt>
                <c:pt idx="271">
                  <c:v>0.72033898305084743</c:v>
                </c:pt>
                <c:pt idx="272">
                  <c:v>0.72033898305084743</c:v>
                </c:pt>
                <c:pt idx="273">
                  <c:v>0.72164948453608246</c:v>
                </c:pt>
                <c:pt idx="274">
                  <c:v>0.72222222222222221</c:v>
                </c:pt>
                <c:pt idx="275">
                  <c:v>0.72222222222222221</c:v>
                </c:pt>
                <c:pt idx="276">
                  <c:v>0.72277227722772275</c:v>
                </c:pt>
                <c:pt idx="277">
                  <c:v>0.72289156626506024</c:v>
                </c:pt>
                <c:pt idx="278">
                  <c:v>0.7232142857142857</c:v>
                </c:pt>
                <c:pt idx="279">
                  <c:v>0.72340425531914898</c:v>
                </c:pt>
                <c:pt idx="280">
                  <c:v>0.72398190045248867</c:v>
                </c:pt>
                <c:pt idx="281">
                  <c:v>0.72549019607843135</c:v>
                </c:pt>
                <c:pt idx="282">
                  <c:v>0.72549019607843135</c:v>
                </c:pt>
                <c:pt idx="283">
                  <c:v>0.72549019607843135</c:v>
                </c:pt>
                <c:pt idx="284">
                  <c:v>0.72727272727272729</c:v>
                </c:pt>
                <c:pt idx="285">
                  <c:v>0.72826086956521741</c:v>
                </c:pt>
                <c:pt idx="286">
                  <c:v>0.73015873015873012</c:v>
                </c:pt>
                <c:pt idx="287">
                  <c:v>0.7303370786516854</c:v>
                </c:pt>
                <c:pt idx="288">
                  <c:v>0.73148148148148151</c:v>
                </c:pt>
                <c:pt idx="289">
                  <c:v>0.73170731707317072</c:v>
                </c:pt>
                <c:pt idx="290">
                  <c:v>0.73255813953488369</c:v>
                </c:pt>
                <c:pt idx="291">
                  <c:v>0.73563218390804597</c:v>
                </c:pt>
                <c:pt idx="292">
                  <c:v>0.73684210526315785</c:v>
                </c:pt>
                <c:pt idx="293">
                  <c:v>0.73786407766990292</c:v>
                </c:pt>
                <c:pt idx="294">
                  <c:v>0.73809523809523814</c:v>
                </c:pt>
                <c:pt idx="295">
                  <c:v>0.73983739837398377</c:v>
                </c:pt>
                <c:pt idx="296">
                  <c:v>0.74137931034482762</c:v>
                </c:pt>
                <c:pt idx="297">
                  <c:v>0.74444444444444446</c:v>
                </c:pt>
                <c:pt idx="298">
                  <c:v>0.74444444444444446</c:v>
                </c:pt>
                <c:pt idx="299">
                  <c:v>0.74468085106382975</c:v>
                </c:pt>
                <c:pt idx="300">
                  <c:v>0.74545454545454548</c:v>
                </c:pt>
                <c:pt idx="301">
                  <c:v>0.74626865671641796</c:v>
                </c:pt>
                <c:pt idx="302">
                  <c:v>0.7466666666666667</c:v>
                </c:pt>
                <c:pt idx="303">
                  <c:v>0.7466666666666667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0.75206611570247939</c:v>
                </c:pt>
                <c:pt idx="311">
                  <c:v>0.75221238938053092</c:v>
                </c:pt>
                <c:pt idx="312">
                  <c:v>0.75257731958762886</c:v>
                </c:pt>
                <c:pt idx="313">
                  <c:v>0.75342465753424659</c:v>
                </c:pt>
                <c:pt idx="314">
                  <c:v>0.75438596491228072</c:v>
                </c:pt>
                <c:pt idx="315">
                  <c:v>0.75454545454545452</c:v>
                </c:pt>
                <c:pt idx="316">
                  <c:v>0.75454545454545452</c:v>
                </c:pt>
                <c:pt idx="317">
                  <c:v>0.75510204081632648</c:v>
                </c:pt>
                <c:pt idx="318">
                  <c:v>0.7567567567567568</c:v>
                </c:pt>
                <c:pt idx="319">
                  <c:v>0.7567567567567568</c:v>
                </c:pt>
                <c:pt idx="320">
                  <c:v>0.75757575757575757</c:v>
                </c:pt>
                <c:pt idx="321">
                  <c:v>0.76</c:v>
                </c:pt>
                <c:pt idx="322">
                  <c:v>0.76041666666666663</c:v>
                </c:pt>
                <c:pt idx="323">
                  <c:v>0.76136363636363635</c:v>
                </c:pt>
                <c:pt idx="324">
                  <c:v>0.76190476190476186</c:v>
                </c:pt>
                <c:pt idx="325">
                  <c:v>0.76237623762376239</c:v>
                </c:pt>
                <c:pt idx="326">
                  <c:v>0.76470588235294112</c:v>
                </c:pt>
                <c:pt idx="327">
                  <c:v>0.76515151515151514</c:v>
                </c:pt>
                <c:pt idx="328">
                  <c:v>0.76543209876543206</c:v>
                </c:pt>
                <c:pt idx="329">
                  <c:v>0.76595744680851063</c:v>
                </c:pt>
                <c:pt idx="330">
                  <c:v>0.76595744680851063</c:v>
                </c:pt>
                <c:pt idx="331">
                  <c:v>0.76635514018691586</c:v>
                </c:pt>
                <c:pt idx="332">
                  <c:v>0.76744186046511631</c:v>
                </c:pt>
                <c:pt idx="333">
                  <c:v>0.77272727272727271</c:v>
                </c:pt>
                <c:pt idx="334">
                  <c:v>0.77272727272727271</c:v>
                </c:pt>
                <c:pt idx="335">
                  <c:v>0.77358490566037741</c:v>
                </c:pt>
                <c:pt idx="336">
                  <c:v>0.77380952380952384</c:v>
                </c:pt>
                <c:pt idx="337">
                  <c:v>0.77464788732394363</c:v>
                </c:pt>
                <c:pt idx="338">
                  <c:v>0.77551020408163263</c:v>
                </c:pt>
                <c:pt idx="339">
                  <c:v>0.77777777777777779</c:v>
                </c:pt>
                <c:pt idx="340">
                  <c:v>0.77941176470588236</c:v>
                </c:pt>
                <c:pt idx="341">
                  <c:v>0.78</c:v>
                </c:pt>
                <c:pt idx="342">
                  <c:v>0.78021978021978022</c:v>
                </c:pt>
                <c:pt idx="343">
                  <c:v>0.78048780487804881</c:v>
                </c:pt>
                <c:pt idx="344">
                  <c:v>0.7807017543859649</c:v>
                </c:pt>
                <c:pt idx="345">
                  <c:v>0.78125</c:v>
                </c:pt>
                <c:pt idx="346">
                  <c:v>0.78205128205128205</c:v>
                </c:pt>
                <c:pt idx="347">
                  <c:v>0.78217821782178221</c:v>
                </c:pt>
                <c:pt idx="348">
                  <c:v>0.78301886792452835</c:v>
                </c:pt>
                <c:pt idx="349">
                  <c:v>0.78378378378378377</c:v>
                </c:pt>
                <c:pt idx="350">
                  <c:v>0.78481012658227844</c:v>
                </c:pt>
                <c:pt idx="351">
                  <c:v>0.7857142857142857</c:v>
                </c:pt>
                <c:pt idx="352">
                  <c:v>0.7857142857142857</c:v>
                </c:pt>
                <c:pt idx="353">
                  <c:v>0.78787878787878785</c:v>
                </c:pt>
                <c:pt idx="354">
                  <c:v>0.79439252336448596</c:v>
                </c:pt>
                <c:pt idx="355">
                  <c:v>0.79487179487179482</c:v>
                </c:pt>
                <c:pt idx="356">
                  <c:v>0.79761904761904767</c:v>
                </c:pt>
                <c:pt idx="357">
                  <c:v>0.797752808988764</c:v>
                </c:pt>
                <c:pt idx="358">
                  <c:v>0.79793814432989696</c:v>
                </c:pt>
                <c:pt idx="359">
                  <c:v>0.80188679245283023</c:v>
                </c:pt>
                <c:pt idx="360">
                  <c:v>0.80412371134020622</c:v>
                </c:pt>
                <c:pt idx="361">
                  <c:v>0.8045977011494253</c:v>
                </c:pt>
                <c:pt idx="362">
                  <c:v>0.80519480519480524</c:v>
                </c:pt>
                <c:pt idx="363">
                  <c:v>0.80519480519480524</c:v>
                </c:pt>
                <c:pt idx="364">
                  <c:v>0.8089887640449438</c:v>
                </c:pt>
                <c:pt idx="365">
                  <c:v>0.80909090909090908</c:v>
                </c:pt>
                <c:pt idx="366">
                  <c:v>0.81159420289855078</c:v>
                </c:pt>
                <c:pt idx="367">
                  <c:v>0.81188118811881194</c:v>
                </c:pt>
                <c:pt idx="368">
                  <c:v>0.81188118811881194</c:v>
                </c:pt>
                <c:pt idx="369">
                  <c:v>0.8125</c:v>
                </c:pt>
                <c:pt idx="370">
                  <c:v>0.81632653061224492</c:v>
                </c:pt>
                <c:pt idx="371">
                  <c:v>0.8214285714285714</c:v>
                </c:pt>
                <c:pt idx="372">
                  <c:v>0.82222222222222219</c:v>
                </c:pt>
                <c:pt idx="373">
                  <c:v>0.82407407407407407</c:v>
                </c:pt>
                <c:pt idx="374">
                  <c:v>0.82692307692307687</c:v>
                </c:pt>
                <c:pt idx="375">
                  <c:v>0.83018867924528306</c:v>
                </c:pt>
                <c:pt idx="376">
                  <c:v>0.83360000000000001</c:v>
                </c:pt>
                <c:pt idx="377">
                  <c:v>0.84090909090909094</c:v>
                </c:pt>
                <c:pt idx="378">
                  <c:v>0.84146341463414631</c:v>
                </c:pt>
                <c:pt idx="379">
                  <c:v>0.84375</c:v>
                </c:pt>
                <c:pt idx="380">
                  <c:v>0.8545454545454545</c:v>
                </c:pt>
                <c:pt idx="381">
                  <c:v>0.86842105263157898</c:v>
                </c:pt>
                <c:pt idx="382">
                  <c:v>0.87155963302752293</c:v>
                </c:pt>
                <c:pt idx="383">
                  <c:v>0.8725806451612903</c:v>
                </c:pt>
                <c:pt idx="384">
                  <c:v>0.87671232876712324</c:v>
                </c:pt>
                <c:pt idx="385">
                  <c:v>0.88461538461538458</c:v>
                </c:pt>
                <c:pt idx="386">
                  <c:v>0.88571428571428568</c:v>
                </c:pt>
                <c:pt idx="387">
                  <c:v>0.8928571428571429</c:v>
                </c:pt>
                <c:pt idx="388">
                  <c:v>0.90537634408602152</c:v>
                </c:pt>
                <c:pt idx="389">
                  <c:v>0.94117647058823528</c:v>
                </c:pt>
                <c:pt idx="390">
                  <c:v>0.94318181818181823</c:v>
                </c:pt>
                <c:pt idx="391">
                  <c:v>0.94736842105263153</c:v>
                </c:pt>
                <c:pt idx="392">
                  <c:v>0.98717948717948723</c:v>
                </c:pt>
                <c:pt idx="393">
                  <c:v>1</c:v>
                </c:pt>
                <c:pt idx="394">
                  <c:v>1</c:v>
                </c:pt>
                <c:pt idx="395">
                  <c:v>1.125</c:v>
                </c:pt>
                <c:pt idx="396">
                  <c:v>1.1489361702127661</c:v>
                </c:pt>
                <c:pt idx="397">
                  <c:v>1.25</c:v>
                </c:pt>
                <c:pt idx="398">
                  <c:v>1.3611111111111112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8-4ED6-92B3-FF49AF8E501D}"/>
            </c:ext>
          </c:extLst>
        </c:ser>
        <c:ser>
          <c:idx val="1"/>
          <c:order val="1"/>
          <c:tx>
            <c:v>Women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6006373397863042E-2"/>
                  <c:y val="0.120716547294034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Squat'!$D$402:$D$661</c:f>
              <c:numCache>
                <c:formatCode>General</c:formatCode>
                <c:ptCount val="260"/>
                <c:pt idx="0">
                  <c:v>47.7</c:v>
                </c:pt>
                <c:pt idx="1">
                  <c:v>105.92</c:v>
                </c:pt>
                <c:pt idx="2">
                  <c:v>56.1</c:v>
                </c:pt>
                <c:pt idx="3">
                  <c:v>123.56</c:v>
                </c:pt>
                <c:pt idx="4">
                  <c:v>42.15</c:v>
                </c:pt>
                <c:pt idx="5">
                  <c:v>112.5</c:v>
                </c:pt>
                <c:pt idx="6">
                  <c:v>107.55</c:v>
                </c:pt>
                <c:pt idx="7">
                  <c:v>46.05</c:v>
                </c:pt>
                <c:pt idx="8">
                  <c:v>68.44</c:v>
                </c:pt>
                <c:pt idx="9">
                  <c:v>55.95</c:v>
                </c:pt>
                <c:pt idx="10">
                  <c:v>79.27</c:v>
                </c:pt>
                <c:pt idx="11">
                  <c:v>51.15</c:v>
                </c:pt>
                <c:pt idx="12">
                  <c:v>68.25</c:v>
                </c:pt>
                <c:pt idx="13">
                  <c:v>61.98</c:v>
                </c:pt>
                <c:pt idx="14">
                  <c:v>62.35</c:v>
                </c:pt>
                <c:pt idx="15">
                  <c:v>82.56</c:v>
                </c:pt>
                <c:pt idx="16">
                  <c:v>66.2</c:v>
                </c:pt>
                <c:pt idx="17">
                  <c:v>79.28</c:v>
                </c:pt>
                <c:pt idx="18">
                  <c:v>46.57</c:v>
                </c:pt>
                <c:pt idx="19">
                  <c:v>113.68</c:v>
                </c:pt>
                <c:pt idx="20">
                  <c:v>108.75</c:v>
                </c:pt>
                <c:pt idx="21">
                  <c:v>90.3</c:v>
                </c:pt>
                <c:pt idx="22">
                  <c:v>51.35</c:v>
                </c:pt>
                <c:pt idx="23">
                  <c:v>46.6</c:v>
                </c:pt>
                <c:pt idx="24">
                  <c:v>121.8</c:v>
                </c:pt>
                <c:pt idx="25">
                  <c:v>62.49</c:v>
                </c:pt>
                <c:pt idx="26">
                  <c:v>62.48</c:v>
                </c:pt>
                <c:pt idx="27">
                  <c:v>56.54</c:v>
                </c:pt>
                <c:pt idx="28">
                  <c:v>101.84</c:v>
                </c:pt>
                <c:pt idx="29">
                  <c:v>67</c:v>
                </c:pt>
                <c:pt idx="30">
                  <c:v>42.95</c:v>
                </c:pt>
                <c:pt idx="31">
                  <c:v>46.7</c:v>
                </c:pt>
                <c:pt idx="32">
                  <c:v>103.75</c:v>
                </c:pt>
                <c:pt idx="33">
                  <c:v>56.9</c:v>
                </c:pt>
                <c:pt idx="34">
                  <c:v>61.85</c:v>
                </c:pt>
                <c:pt idx="35">
                  <c:v>83.5</c:v>
                </c:pt>
                <c:pt idx="36">
                  <c:v>62.77</c:v>
                </c:pt>
                <c:pt idx="37">
                  <c:v>68.150000000000006</c:v>
                </c:pt>
                <c:pt idx="38">
                  <c:v>91.59</c:v>
                </c:pt>
                <c:pt idx="39">
                  <c:v>93.43</c:v>
                </c:pt>
                <c:pt idx="40">
                  <c:v>71.3</c:v>
                </c:pt>
                <c:pt idx="41">
                  <c:v>51.09</c:v>
                </c:pt>
                <c:pt idx="42">
                  <c:v>46.42</c:v>
                </c:pt>
                <c:pt idx="43">
                  <c:v>50.65</c:v>
                </c:pt>
                <c:pt idx="44">
                  <c:v>59.8</c:v>
                </c:pt>
                <c:pt idx="45">
                  <c:v>82.85</c:v>
                </c:pt>
                <c:pt idx="46">
                  <c:v>46.56</c:v>
                </c:pt>
                <c:pt idx="47">
                  <c:v>85.8</c:v>
                </c:pt>
                <c:pt idx="48">
                  <c:v>67.650000000000006</c:v>
                </c:pt>
                <c:pt idx="49">
                  <c:v>70.17</c:v>
                </c:pt>
                <c:pt idx="50">
                  <c:v>101.74</c:v>
                </c:pt>
                <c:pt idx="51">
                  <c:v>69.849999999999994</c:v>
                </c:pt>
                <c:pt idx="52">
                  <c:v>82.5</c:v>
                </c:pt>
                <c:pt idx="53">
                  <c:v>50.45</c:v>
                </c:pt>
                <c:pt idx="54">
                  <c:v>68.849999999999994</c:v>
                </c:pt>
                <c:pt idx="55">
                  <c:v>70.69</c:v>
                </c:pt>
                <c:pt idx="56">
                  <c:v>46.7</c:v>
                </c:pt>
                <c:pt idx="57">
                  <c:v>101.35</c:v>
                </c:pt>
                <c:pt idx="58">
                  <c:v>71.48</c:v>
                </c:pt>
                <c:pt idx="59">
                  <c:v>51.65</c:v>
                </c:pt>
                <c:pt idx="60">
                  <c:v>61.42</c:v>
                </c:pt>
                <c:pt idx="61">
                  <c:v>56.21</c:v>
                </c:pt>
                <c:pt idx="62">
                  <c:v>83.6</c:v>
                </c:pt>
                <c:pt idx="63">
                  <c:v>56</c:v>
                </c:pt>
                <c:pt idx="64">
                  <c:v>45.68</c:v>
                </c:pt>
                <c:pt idx="65">
                  <c:v>56.41</c:v>
                </c:pt>
                <c:pt idx="66">
                  <c:v>52.9</c:v>
                </c:pt>
                <c:pt idx="67">
                  <c:v>80.349999999999994</c:v>
                </c:pt>
                <c:pt idx="68">
                  <c:v>82.65</c:v>
                </c:pt>
                <c:pt idx="69">
                  <c:v>56.59</c:v>
                </c:pt>
                <c:pt idx="70">
                  <c:v>51.21</c:v>
                </c:pt>
                <c:pt idx="71">
                  <c:v>71.400000000000006</c:v>
                </c:pt>
                <c:pt idx="72">
                  <c:v>75.41</c:v>
                </c:pt>
                <c:pt idx="73">
                  <c:v>56.75</c:v>
                </c:pt>
                <c:pt idx="74">
                  <c:v>106.1</c:v>
                </c:pt>
                <c:pt idx="75">
                  <c:v>62.5</c:v>
                </c:pt>
                <c:pt idx="76">
                  <c:v>71.400000000000006</c:v>
                </c:pt>
                <c:pt idx="77">
                  <c:v>84</c:v>
                </c:pt>
                <c:pt idx="78">
                  <c:v>62.04</c:v>
                </c:pt>
                <c:pt idx="79">
                  <c:v>56.84</c:v>
                </c:pt>
                <c:pt idx="80">
                  <c:v>107.8</c:v>
                </c:pt>
                <c:pt idx="81">
                  <c:v>85</c:v>
                </c:pt>
                <c:pt idx="82">
                  <c:v>51.55</c:v>
                </c:pt>
                <c:pt idx="83">
                  <c:v>83.1</c:v>
                </c:pt>
                <c:pt idx="84">
                  <c:v>80.8</c:v>
                </c:pt>
                <c:pt idx="85">
                  <c:v>56</c:v>
                </c:pt>
                <c:pt idx="86">
                  <c:v>51.9</c:v>
                </c:pt>
                <c:pt idx="87">
                  <c:v>50.13</c:v>
                </c:pt>
                <c:pt idx="88">
                  <c:v>56.76</c:v>
                </c:pt>
                <c:pt idx="89">
                  <c:v>67.5</c:v>
                </c:pt>
                <c:pt idx="90">
                  <c:v>62.44</c:v>
                </c:pt>
                <c:pt idx="91">
                  <c:v>61.25</c:v>
                </c:pt>
                <c:pt idx="92">
                  <c:v>51.4</c:v>
                </c:pt>
                <c:pt idx="93">
                  <c:v>51.4</c:v>
                </c:pt>
                <c:pt idx="94">
                  <c:v>61.1</c:v>
                </c:pt>
                <c:pt idx="95">
                  <c:v>103.29</c:v>
                </c:pt>
                <c:pt idx="96">
                  <c:v>51.59</c:v>
                </c:pt>
                <c:pt idx="97">
                  <c:v>105.75</c:v>
                </c:pt>
                <c:pt idx="98">
                  <c:v>62.84</c:v>
                </c:pt>
                <c:pt idx="99">
                  <c:v>62.95</c:v>
                </c:pt>
                <c:pt idx="100">
                  <c:v>61.69</c:v>
                </c:pt>
                <c:pt idx="101">
                  <c:v>124.15</c:v>
                </c:pt>
                <c:pt idx="102">
                  <c:v>56.99</c:v>
                </c:pt>
                <c:pt idx="103">
                  <c:v>71.099999999999994</c:v>
                </c:pt>
                <c:pt idx="104">
                  <c:v>130.29</c:v>
                </c:pt>
                <c:pt idx="105">
                  <c:v>52</c:v>
                </c:pt>
                <c:pt idx="106">
                  <c:v>50.55</c:v>
                </c:pt>
                <c:pt idx="107">
                  <c:v>46.15</c:v>
                </c:pt>
                <c:pt idx="108">
                  <c:v>56.35</c:v>
                </c:pt>
                <c:pt idx="109">
                  <c:v>46.78</c:v>
                </c:pt>
                <c:pt idx="110">
                  <c:v>56.48</c:v>
                </c:pt>
                <c:pt idx="111">
                  <c:v>60.65</c:v>
                </c:pt>
                <c:pt idx="112">
                  <c:v>77.55</c:v>
                </c:pt>
                <c:pt idx="113">
                  <c:v>110.32</c:v>
                </c:pt>
                <c:pt idx="114">
                  <c:v>56.6</c:v>
                </c:pt>
                <c:pt idx="115">
                  <c:v>76.03</c:v>
                </c:pt>
                <c:pt idx="116">
                  <c:v>62.7</c:v>
                </c:pt>
                <c:pt idx="117">
                  <c:v>50.7</c:v>
                </c:pt>
                <c:pt idx="118">
                  <c:v>66.95</c:v>
                </c:pt>
                <c:pt idx="119">
                  <c:v>81.08</c:v>
                </c:pt>
                <c:pt idx="120">
                  <c:v>81.510000000000005</c:v>
                </c:pt>
                <c:pt idx="121">
                  <c:v>51.3</c:v>
                </c:pt>
                <c:pt idx="122">
                  <c:v>56.2</c:v>
                </c:pt>
                <c:pt idx="123">
                  <c:v>46.1</c:v>
                </c:pt>
                <c:pt idx="124">
                  <c:v>56.5</c:v>
                </c:pt>
                <c:pt idx="125">
                  <c:v>46.15</c:v>
                </c:pt>
                <c:pt idx="126">
                  <c:v>79.849999999999994</c:v>
                </c:pt>
                <c:pt idx="127">
                  <c:v>49.9</c:v>
                </c:pt>
                <c:pt idx="128">
                  <c:v>94.84</c:v>
                </c:pt>
                <c:pt idx="129">
                  <c:v>60.6</c:v>
                </c:pt>
                <c:pt idx="130">
                  <c:v>62.7</c:v>
                </c:pt>
                <c:pt idx="131">
                  <c:v>56.8</c:v>
                </c:pt>
                <c:pt idx="132">
                  <c:v>45.55</c:v>
                </c:pt>
                <c:pt idx="133">
                  <c:v>75.5</c:v>
                </c:pt>
                <c:pt idx="134">
                  <c:v>51.25</c:v>
                </c:pt>
                <c:pt idx="135">
                  <c:v>56.84</c:v>
                </c:pt>
                <c:pt idx="136">
                  <c:v>70.8</c:v>
                </c:pt>
                <c:pt idx="137">
                  <c:v>62.25</c:v>
                </c:pt>
                <c:pt idx="138">
                  <c:v>62.12</c:v>
                </c:pt>
                <c:pt idx="139">
                  <c:v>55.7</c:v>
                </c:pt>
                <c:pt idx="140">
                  <c:v>50.65</c:v>
                </c:pt>
                <c:pt idx="141">
                  <c:v>71.05</c:v>
                </c:pt>
                <c:pt idx="142">
                  <c:v>69.349999999999994</c:v>
                </c:pt>
                <c:pt idx="143">
                  <c:v>65.25</c:v>
                </c:pt>
                <c:pt idx="144">
                  <c:v>51.3</c:v>
                </c:pt>
                <c:pt idx="145">
                  <c:v>51.14</c:v>
                </c:pt>
                <c:pt idx="146">
                  <c:v>61.93</c:v>
                </c:pt>
                <c:pt idx="147">
                  <c:v>55.85</c:v>
                </c:pt>
                <c:pt idx="148">
                  <c:v>56.4</c:v>
                </c:pt>
                <c:pt idx="149">
                  <c:v>62.1</c:v>
                </c:pt>
                <c:pt idx="150">
                  <c:v>95.4</c:v>
                </c:pt>
                <c:pt idx="151">
                  <c:v>83.5</c:v>
                </c:pt>
                <c:pt idx="152">
                  <c:v>53.74</c:v>
                </c:pt>
                <c:pt idx="153">
                  <c:v>61.35</c:v>
                </c:pt>
                <c:pt idx="154">
                  <c:v>62.75</c:v>
                </c:pt>
                <c:pt idx="155">
                  <c:v>93.5</c:v>
                </c:pt>
                <c:pt idx="156">
                  <c:v>77.900000000000006</c:v>
                </c:pt>
                <c:pt idx="157">
                  <c:v>55.65</c:v>
                </c:pt>
                <c:pt idx="158">
                  <c:v>56.65</c:v>
                </c:pt>
                <c:pt idx="159">
                  <c:v>126</c:v>
                </c:pt>
                <c:pt idx="160">
                  <c:v>51</c:v>
                </c:pt>
                <c:pt idx="161">
                  <c:v>56.6</c:v>
                </c:pt>
                <c:pt idx="162">
                  <c:v>54.85</c:v>
                </c:pt>
                <c:pt idx="163">
                  <c:v>46.75</c:v>
                </c:pt>
                <c:pt idx="164">
                  <c:v>46.25</c:v>
                </c:pt>
                <c:pt idx="165">
                  <c:v>95.7</c:v>
                </c:pt>
                <c:pt idx="166">
                  <c:v>69.02</c:v>
                </c:pt>
                <c:pt idx="167">
                  <c:v>53.7</c:v>
                </c:pt>
                <c:pt idx="168">
                  <c:v>74.55</c:v>
                </c:pt>
                <c:pt idx="169">
                  <c:v>52.05</c:v>
                </c:pt>
                <c:pt idx="170">
                  <c:v>51.2</c:v>
                </c:pt>
                <c:pt idx="171">
                  <c:v>71.849999999999994</c:v>
                </c:pt>
                <c:pt idx="172">
                  <c:v>71.900000000000006</c:v>
                </c:pt>
                <c:pt idx="173">
                  <c:v>83</c:v>
                </c:pt>
                <c:pt idx="174">
                  <c:v>58.15</c:v>
                </c:pt>
                <c:pt idx="175">
                  <c:v>62.25</c:v>
                </c:pt>
                <c:pt idx="176">
                  <c:v>80.099999999999994</c:v>
                </c:pt>
                <c:pt idx="177">
                  <c:v>46.6</c:v>
                </c:pt>
                <c:pt idx="178">
                  <c:v>83.35</c:v>
                </c:pt>
                <c:pt idx="179">
                  <c:v>46.36</c:v>
                </c:pt>
                <c:pt idx="180">
                  <c:v>68.150000000000006</c:v>
                </c:pt>
                <c:pt idx="181">
                  <c:v>56.7</c:v>
                </c:pt>
                <c:pt idx="182">
                  <c:v>70.95</c:v>
                </c:pt>
                <c:pt idx="183">
                  <c:v>102.65</c:v>
                </c:pt>
                <c:pt idx="184">
                  <c:v>61.99</c:v>
                </c:pt>
                <c:pt idx="185">
                  <c:v>67.3</c:v>
                </c:pt>
                <c:pt idx="186">
                  <c:v>46.6</c:v>
                </c:pt>
                <c:pt idx="187">
                  <c:v>46.6</c:v>
                </c:pt>
                <c:pt idx="188">
                  <c:v>62.35</c:v>
                </c:pt>
                <c:pt idx="189">
                  <c:v>70.709999999999994</c:v>
                </c:pt>
                <c:pt idx="190">
                  <c:v>114.35</c:v>
                </c:pt>
                <c:pt idx="191">
                  <c:v>46.5</c:v>
                </c:pt>
                <c:pt idx="192">
                  <c:v>128.30000000000001</c:v>
                </c:pt>
                <c:pt idx="193">
                  <c:v>71.69</c:v>
                </c:pt>
                <c:pt idx="194">
                  <c:v>71.5</c:v>
                </c:pt>
                <c:pt idx="195">
                  <c:v>83.45</c:v>
                </c:pt>
                <c:pt idx="196">
                  <c:v>51.65</c:v>
                </c:pt>
                <c:pt idx="197">
                  <c:v>62.75</c:v>
                </c:pt>
                <c:pt idx="198">
                  <c:v>60.15</c:v>
                </c:pt>
                <c:pt idx="199">
                  <c:v>56.15</c:v>
                </c:pt>
                <c:pt idx="200">
                  <c:v>83.71</c:v>
                </c:pt>
                <c:pt idx="201">
                  <c:v>45.4</c:v>
                </c:pt>
                <c:pt idx="202">
                  <c:v>56.5</c:v>
                </c:pt>
                <c:pt idx="203">
                  <c:v>56.25</c:v>
                </c:pt>
                <c:pt idx="204">
                  <c:v>54.98</c:v>
                </c:pt>
                <c:pt idx="205">
                  <c:v>61.95</c:v>
                </c:pt>
                <c:pt idx="206">
                  <c:v>75.8</c:v>
                </c:pt>
                <c:pt idx="207">
                  <c:v>55.35</c:v>
                </c:pt>
                <c:pt idx="208">
                  <c:v>57</c:v>
                </c:pt>
                <c:pt idx="209">
                  <c:v>50.92</c:v>
                </c:pt>
                <c:pt idx="210">
                  <c:v>46.65</c:v>
                </c:pt>
                <c:pt idx="211">
                  <c:v>56.5</c:v>
                </c:pt>
                <c:pt idx="212">
                  <c:v>44.55</c:v>
                </c:pt>
                <c:pt idx="213">
                  <c:v>51.5</c:v>
                </c:pt>
                <c:pt idx="214">
                  <c:v>70.45</c:v>
                </c:pt>
                <c:pt idx="215">
                  <c:v>54.72</c:v>
                </c:pt>
                <c:pt idx="216">
                  <c:v>62.54</c:v>
                </c:pt>
                <c:pt idx="217">
                  <c:v>51.48</c:v>
                </c:pt>
                <c:pt idx="218">
                  <c:v>53.5</c:v>
                </c:pt>
                <c:pt idx="219">
                  <c:v>51.75</c:v>
                </c:pt>
                <c:pt idx="220">
                  <c:v>56.63</c:v>
                </c:pt>
                <c:pt idx="221">
                  <c:v>56.45</c:v>
                </c:pt>
                <c:pt idx="222">
                  <c:v>62.55</c:v>
                </c:pt>
                <c:pt idx="223">
                  <c:v>56.7</c:v>
                </c:pt>
                <c:pt idx="224">
                  <c:v>51.7</c:v>
                </c:pt>
                <c:pt idx="225">
                  <c:v>71.349999999999994</c:v>
                </c:pt>
                <c:pt idx="226">
                  <c:v>70.599999999999994</c:v>
                </c:pt>
                <c:pt idx="227">
                  <c:v>61.65</c:v>
                </c:pt>
                <c:pt idx="228">
                  <c:v>62.59</c:v>
                </c:pt>
                <c:pt idx="229">
                  <c:v>62.4</c:v>
                </c:pt>
                <c:pt idx="230">
                  <c:v>46.7</c:v>
                </c:pt>
                <c:pt idx="231">
                  <c:v>56.95</c:v>
                </c:pt>
                <c:pt idx="232">
                  <c:v>61.95</c:v>
                </c:pt>
                <c:pt idx="233">
                  <c:v>56.55</c:v>
                </c:pt>
                <c:pt idx="234">
                  <c:v>45.95</c:v>
                </c:pt>
                <c:pt idx="235">
                  <c:v>86.65</c:v>
                </c:pt>
                <c:pt idx="236">
                  <c:v>62.75</c:v>
                </c:pt>
                <c:pt idx="237">
                  <c:v>57.65</c:v>
                </c:pt>
                <c:pt idx="238">
                  <c:v>46.75</c:v>
                </c:pt>
                <c:pt idx="239">
                  <c:v>56.75</c:v>
                </c:pt>
                <c:pt idx="240">
                  <c:v>64.2</c:v>
                </c:pt>
                <c:pt idx="241">
                  <c:v>50.9</c:v>
                </c:pt>
                <c:pt idx="242">
                  <c:v>56.3</c:v>
                </c:pt>
                <c:pt idx="243">
                  <c:v>51.55</c:v>
                </c:pt>
                <c:pt idx="244">
                  <c:v>55.95</c:v>
                </c:pt>
                <c:pt idx="245">
                  <c:v>51.3</c:v>
                </c:pt>
                <c:pt idx="246">
                  <c:v>51.75</c:v>
                </c:pt>
                <c:pt idx="247">
                  <c:v>51.2</c:v>
                </c:pt>
                <c:pt idx="248">
                  <c:v>46.85</c:v>
                </c:pt>
                <c:pt idx="249">
                  <c:v>46.9</c:v>
                </c:pt>
                <c:pt idx="250">
                  <c:v>46.35</c:v>
                </c:pt>
                <c:pt idx="251">
                  <c:v>51.15</c:v>
                </c:pt>
                <c:pt idx="252">
                  <c:v>69.45</c:v>
                </c:pt>
                <c:pt idx="253">
                  <c:v>51.95</c:v>
                </c:pt>
                <c:pt idx="254">
                  <c:v>46.9</c:v>
                </c:pt>
                <c:pt idx="255">
                  <c:v>115.2</c:v>
                </c:pt>
                <c:pt idx="256">
                  <c:v>81.900000000000006</c:v>
                </c:pt>
                <c:pt idx="257">
                  <c:v>61.6</c:v>
                </c:pt>
                <c:pt idx="258">
                  <c:v>60.65</c:v>
                </c:pt>
                <c:pt idx="259">
                  <c:v>61.4</c:v>
                </c:pt>
              </c:numCache>
            </c:numRef>
          </c:xVal>
          <c:yVal>
            <c:numRef>
              <c:f>'Data Squat'!$L$402:$L$661</c:f>
              <c:numCache>
                <c:formatCode>0.000</c:formatCode>
                <c:ptCount val="260"/>
                <c:pt idx="0">
                  <c:v>0.38095238095238093</c:v>
                </c:pt>
                <c:pt idx="1">
                  <c:v>0.38961038961038963</c:v>
                </c:pt>
                <c:pt idx="2">
                  <c:v>0.40476190476190477</c:v>
                </c:pt>
                <c:pt idx="3">
                  <c:v>0.41176470588235292</c:v>
                </c:pt>
                <c:pt idx="4">
                  <c:v>0.44444444444444442</c:v>
                </c:pt>
                <c:pt idx="5">
                  <c:v>0.44468546637744033</c:v>
                </c:pt>
                <c:pt idx="6">
                  <c:v>0.44565217391304346</c:v>
                </c:pt>
                <c:pt idx="7">
                  <c:v>0.45652173913043476</c:v>
                </c:pt>
                <c:pt idx="8">
                  <c:v>0.45901639344262296</c:v>
                </c:pt>
                <c:pt idx="9">
                  <c:v>0.46268656716417911</c:v>
                </c:pt>
                <c:pt idx="10">
                  <c:v>0.46551724137931033</c:v>
                </c:pt>
                <c:pt idx="11">
                  <c:v>0.46666666666666667</c:v>
                </c:pt>
                <c:pt idx="12">
                  <c:v>0.46666666666666667</c:v>
                </c:pt>
                <c:pt idx="13">
                  <c:v>0.46875</c:v>
                </c:pt>
                <c:pt idx="14">
                  <c:v>0.47540983606557374</c:v>
                </c:pt>
                <c:pt idx="15">
                  <c:v>0.47887323943661969</c:v>
                </c:pt>
                <c:pt idx="16">
                  <c:v>0.48</c:v>
                </c:pt>
                <c:pt idx="17">
                  <c:v>0.48051948051948051</c:v>
                </c:pt>
                <c:pt idx="18">
                  <c:v>0.48148148148148145</c:v>
                </c:pt>
                <c:pt idx="19">
                  <c:v>0.4838709677419355</c:v>
                </c:pt>
                <c:pt idx="20">
                  <c:v>0.48529411764705882</c:v>
                </c:pt>
                <c:pt idx="21">
                  <c:v>0.48717948717948717</c:v>
                </c:pt>
                <c:pt idx="22">
                  <c:v>0.48888888888888887</c:v>
                </c:pt>
                <c:pt idx="23">
                  <c:v>0.48888888888888887</c:v>
                </c:pt>
                <c:pt idx="24">
                  <c:v>0.4891304347826087</c:v>
                </c:pt>
                <c:pt idx="25">
                  <c:v>0.49206349206349204</c:v>
                </c:pt>
                <c:pt idx="26">
                  <c:v>0.49230769230769234</c:v>
                </c:pt>
                <c:pt idx="27">
                  <c:v>0.49275362318840582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0.50632911392405067</c:v>
                </c:pt>
                <c:pt idx="36">
                  <c:v>0.5074626865671642</c:v>
                </c:pt>
                <c:pt idx="37">
                  <c:v>0.50877192982456143</c:v>
                </c:pt>
                <c:pt idx="38">
                  <c:v>0.51162790697674421</c:v>
                </c:pt>
                <c:pt idx="39">
                  <c:v>0.51249999999999996</c:v>
                </c:pt>
                <c:pt idx="40">
                  <c:v>0.51388888888888884</c:v>
                </c:pt>
                <c:pt idx="41">
                  <c:v>0.51724137931034486</c:v>
                </c:pt>
                <c:pt idx="42">
                  <c:v>0.5178571428571429</c:v>
                </c:pt>
                <c:pt idx="43">
                  <c:v>0.5178571428571429</c:v>
                </c:pt>
                <c:pt idx="44">
                  <c:v>0.52112676056338025</c:v>
                </c:pt>
                <c:pt idx="45">
                  <c:v>0.52307692307692311</c:v>
                </c:pt>
                <c:pt idx="46">
                  <c:v>0.52459016393442626</c:v>
                </c:pt>
                <c:pt idx="47">
                  <c:v>0.52459016393442626</c:v>
                </c:pt>
                <c:pt idx="48">
                  <c:v>0.52459016393442626</c:v>
                </c:pt>
                <c:pt idx="49">
                  <c:v>0.52631578947368418</c:v>
                </c:pt>
                <c:pt idx="50">
                  <c:v>0.52702702702702697</c:v>
                </c:pt>
                <c:pt idx="51">
                  <c:v>0.52727272727272723</c:v>
                </c:pt>
                <c:pt idx="52">
                  <c:v>0.52941176470588236</c:v>
                </c:pt>
                <c:pt idx="53">
                  <c:v>0.53061224489795922</c:v>
                </c:pt>
                <c:pt idx="54">
                  <c:v>0.53061224489795922</c:v>
                </c:pt>
                <c:pt idx="55">
                  <c:v>0.53424657534246578</c:v>
                </c:pt>
                <c:pt idx="56">
                  <c:v>0.53448275862068961</c:v>
                </c:pt>
                <c:pt idx="57">
                  <c:v>0.53448275862068961</c:v>
                </c:pt>
                <c:pt idx="58">
                  <c:v>0.5357142857142857</c:v>
                </c:pt>
                <c:pt idx="59">
                  <c:v>0.5357142857142857</c:v>
                </c:pt>
                <c:pt idx="60">
                  <c:v>0.53846153846153844</c:v>
                </c:pt>
                <c:pt idx="61">
                  <c:v>0.53846153846153844</c:v>
                </c:pt>
                <c:pt idx="62">
                  <c:v>0.53968253968253965</c:v>
                </c:pt>
                <c:pt idx="63">
                  <c:v>0.54</c:v>
                </c:pt>
                <c:pt idx="64">
                  <c:v>0.54054054054054057</c:v>
                </c:pt>
                <c:pt idx="65">
                  <c:v>0.54166666666666663</c:v>
                </c:pt>
                <c:pt idx="66">
                  <c:v>0.54166666666666663</c:v>
                </c:pt>
                <c:pt idx="67">
                  <c:v>0.5423728813559322</c:v>
                </c:pt>
                <c:pt idx="68">
                  <c:v>0.54320987654320985</c:v>
                </c:pt>
                <c:pt idx="69">
                  <c:v>0.54347826086956519</c:v>
                </c:pt>
                <c:pt idx="70">
                  <c:v>0.54347826086956519</c:v>
                </c:pt>
                <c:pt idx="71">
                  <c:v>0.54385964912280704</c:v>
                </c:pt>
                <c:pt idx="72">
                  <c:v>0.54411764705882348</c:v>
                </c:pt>
                <c:pt idx="73">
                  <c:v>0.54545454545454541</c:v>
                </c:pt>
                <c:pt idx="74">
                  <c:v>0.546875</c:v>
                </c:pt>
                <c:pt idx="75">
                  <c:v>0.54716981132075471</c:v>
                </c:pt>
                <c:pt idx="76">
                  <c:v>0.54838709677419351</c:v>
                </c:pt>
                <c:pt idx="77">
                  <c:v>0.54838709677419351</c:v>
                </c:pt>
                <c:pt idx="78">
                  <c:v>0.5490196078431373</c:v>
                </c:pt>
                <c:pt idx="79">
                  <c:v>0.55000000000000004</c:v>
                </c:pt>
                <c:pt idx="80">
                  <c:v>0.55000000000000004</c:v>
                </c:pt>
                <c:pt idx="81">
                  <c:v>0.55172413793103448</c:v>
                </c:pt>
                <c:pt idx="82">
                  <c:v>0.55172413793103448</c:v>
                </c:pt>
                <c:pt idx="83">
                  <c:v>0.55263157894736847</c:v>
                </c:pt>
                <c:pt idx="84">
                  <c:v>0.55555555555555558</c:v>
                </c:pt>
                <c:pt idx="85">
                  <c:v>0.55737704918032782</c:v>
                </c:pt>
                <c:pt idx="86">
                  <c:v>0.55932203389830504</c:v>
                </c:pt>
                <c:pt idx="87">
                  <c:v>0.56000000000000005</c:v>
                </c:pt>
                <c:pt idx="88">
                  <c:v>0.56000000000000005</c:v>
                </c:pt>
                <c:pt idx="89">
                  <c:v>0.5625</c:v>
                </c:pt>
                <c:pt idx="90">
                  <c:v>0.5625</c:v>
                </c:pt>
                <c:pt idx="91">
                  <c:v>0.5636363636363636</c:v>
                </c:pt>
                <c:pt idx="92">
                  <c:v>0.56521739130434778</c:v>
                </c:pt>
                <c:pt idx="93">
                  <c:v>0.56603773584905659</c:v>
                </c:pt>
                <c:pt idx="94">
                  <c:v>0.56756756756756754</c:v>
                </c:pt>
                <c:pt idx="95">
                  <c:v>0.56862745098039214</c:v>
                </c:pt>
                <c:pt idx="96">
                  <c:v>0.5714285714285714</c:v>
                </c:pt>
                <c:pt idx="97">
                  <c:v>0.5714285714285714</c:v>
                </c:pt>
                <c:pt idx="98">
                  <c:v>0.57999999999999996</c:v>
                </c:pt>
                <c:pt idx="99">
                  <c:v>0.58064516129032262</c:v>
                </c:pt>
                <c:pt idx="100">
                  <c:v>0.58333333333333337</c:v>
                </c:pt>
                <c:pt idx="101">
                  <c:v>0.58571428571428574</c:v>
                </c:pt>
                <c:pt idx="102">
                  <c:v>0.58620689655172409</c:v>
                </c:pt>
                <c:pt idx="103">
                  <c:v>0.58730158730158732</c:v>
                </c:pt>
                <c:pt idx="104">
                  <c:v>0.58787878787878789</c:v>
                </c:pt>
                <c:pt idx="105">
                  <c:v>0.58823529411764708</c:v>
                </c:pt>
                <c:pt idx="106">
                  <c:v>0.5892857142857143</c:v>
                </c:pt>
                <c:pt idx="107">
                  <c:v>0.58974358974358976</c:v>
                </c:pt>
                <c:pt idx="108">
                  <c:v>0.59090909090909094</c:v>
                </c:pt>
                <c:pt idx="109">
                  <c:v>0.59090909090909094</c:v>
                </c:pt>
                <c:pt idx="110">
                  <c:v>0.59183673469387754</c:v>
                </c:pt>
                <c:pt idx="111">
                  <c:v>0.59183673469387754</c:v>
                </c:pt>
                <c:pt idx="112">
                  <c:v>0.59259259259259256</c:v>
                </c:pt>
                <c:pt idx="113">
                  <c:v>0.59302325581395354</c:v>
                </c:pt>
                <c:pt idx="114">
                  <c:v>0.59322033898305082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0.60606060606060608</c:v>
                </c:pt>
                <c:pt idx="120">
                  <c:v>0.60606060606060608</c:v>
                </c:pt>
                <c:pt idx="121">
                  <c:v>0.6071428571428571</c:v>
                </c:pt>
                <c:pt idx="122">
                  <c:v>0.60869565217391308</c:v>
                </c:pt>
                <c:pt idx="123">
                  <c:v>0.60869565217391308</c:v>
                </c:pt>
                <c:pt idx="124">
                  <c:v>0.6097560975609756</c:v>
                </c:pt>
                <c:pt idx="125">
                  <c:v>0.61111111111111116</c:v>
                </c:pt>
                <c:pt idx="126">
                  <c:v>0.61111111111111116</c:v>
                </c:pt>
                <c:pt idx="127">
                  <c:v>0.61224489795918369</c:v>
                </c:pt>
                <c:pt idx="128">
                  <c:v>0.61290322580645162</c:v>
                </c:pt>
                <c:pt idx="129">
                  <c:v>0.61363636363636365</c:v>
                </c:pt>
                <c:pt idx="130">
                  <c:v>0.61363636363636365</c:v>
                </c:pt>
                <c:pt idx="131">
                  <c:v>0.61403508771929827</c:v>
                </c:pt>
                <c:pt idx="132">
                  <c:v>0.61538461538461542</c:v>
                </c:pt>
                <c:pt idx="133">
                  <c:v>0.61538461538461542</c:v>
                </c:pt>
                <c:pt idx="134">
                  <c:v>0.61764705882352944</c:v>
                </c:pt>
                <c:pt idx="135">
                  <c:v>0.61818181818181817</c:v>
                </c:pt>
                <c:pt idx="136">
                  <c:v>0.61818181818181817</c:v>
                </c:pt>
                <c:pt idx="137">
                  <c:v>0.61904761904761907</c:v>
                </c:pt>
                <c:pt idx="138">
                  <c:v>0.62</c:v>
                </c:pt>
                <c:pt idx="139">
                  <c:v>0.62</c:v>
                </c:pt>
                <c:pt idx="140">
                  <c:v>0.62068965517241381</c:v>
                </c:pt>
                <c:pt idx="141">
                  <c:v>0.62121212121212122</c:v>
                </c:pt>
                <c:pt idx="142">
                  <c:v>0.62264150943396224</c:v>
                </c:pt>
                <c:pt idx="143">
                  <c:v>0.62318840579710144</c:v>
                </c:pt>
                <c:pt idx="144">
                  <c:v>0.625</c:v>
                </c:pt>
                <c:pt idx="145">
                  <c:v>0.6271186440677966</c:v>
                </c:pt>
                <c:pt idx="146">
                  <c:v>0.62745098039215685</c:v>
                </c:pt>
                <c:pt idx="147">
                  <c:v>0.62745098039215685</c:v>
                </c:pt>
                <c:pt idx="148">
                  <c:v>0.62790697674418605</c:v>
                </c:pt>
                <c:pt idx="149">
                  <c:v>0.62962962962962965</c:v>
                </c:pt>
                <c:pt idx="150">
                  <c:v>0.63013698630136983</c:v>
                </c:pt>
                <c:pt idx="151">
                  <c:v>0.63043478260869568</c:v>
                </c:pt>
                <c:pt idx="152">
                  <c:v>0.63157894736842102</c:v>
                </c:pt>
                <c:pt idx="153">
                  <c:v>0.63157894736842102</c:v>
                </c:pt>
                <c:pt idx="154">
                  <c:v>0.63157894736842102</c:v>
                </c:pt>
                <c:pt idx="155">
                  <c:v>0.63235294117647056</c:v>
                </c:pt>
                <c:pt idx="156">
                  <c:v>0.63235294117647056</c:v>
                </c:pt>
                <c:pt idx="157">
                  <c:v>0.63265306122448983</c:v>
                </c:pt>
                <c:pt idx="158">
                  <c:v>0.6333333333333333</c:v>
                </c:pt>
                <c:pt idx="159">
                  <c:v>0.63380281690140849</c:v>
                </c:pt>
                <c:pt idx="160">
                  <c:v>0.63414634146341464</c:v>
                </c:pt>
                <c:pt idx="161">
                  <c:v>0.63461538461538458</c:v>
                </c:pt>
                <c:pt idx="162">
                  <c:v>0.63461538461538458</c:v>
                </c:pt>
                <c:pt idx="163">
                  <c:v>0.63636363636363635</c:v>
                </c:pt>
                <c:pt idx="164">
                  <c:v>0.63636363636363635</c:v>
                </c:pt>
                <c:pt idx="165">
                  <c:v>0.64102564102564108</c:v>
                </c:pt>
                <c:pt idx="166">
                  <c:v>0.6428571428571429</c:v>
                </c:pt>
                <c:pt idx="167">
                  <c:v>0.6428571428571429</c:v>
                </c:pt>
                <c:pt idx="168">
                  <c:v>0.64406779661016944</c:v>
                </c:pt>
                <c:pt idx="169">
                  <c:v>0.64864864864864868</c:v>
                </c:pt>
                <c:pt idx="170">
                  <c:v>0.65</c:v>
                </c:pt>
                <c:pt idx="171">
                  <c:v>0.65</c:v>
                </c:pt>
                <c:pt idx="172">
                  <c:v>0.65</c:v>
                </c:pt>
                <c:pt idx="173">
                  <c:v>0.65384615384615385</c:v>
                </c:pt>
                <c:pt idx="174">
                  <c:v>0.65454545454545454</c:v>
                </c:pt>
                <c:pt idx="175">
                  <c:v>0.65517241379310343</c:v>
                </c:pt>
                <c:pt idx="176">
                  <c:v>0.65625</c:v>
                </c:pt>
                <c:pt idx="177">
                  <c:v>0.65853658536585369</c:v>
                </c:pt>
                <c:pt idx="178">
                  <c:v>0.65853658536585369</c:v>
                </c:pt>
                <c:pt idx="179">
                  <c:v>0.65909090909090906</c:v>
                </c:pt>
                <c:pt idx="180">
                  <c:v>0.660377358490566</c:v>
                </c:pt>
                <c:pt idx="181">
                  <c:v>0.6607142857142857</c:v>
                </c:pt>
                <c:pt idx="182">
                  <c:v>0.66129032258064513</c:v>
                </c:pt>
                <c:pt idx="183">
                  <c:v>0.66216216216216217</c:v>
                </c:pt>
                <c:pt idx="184">
                  <c:v>0.66666666666666663</c:v>
                </c:pt>
                <c:pt idx="185">
                  <c:v>0.66666666666666663</c:v>
                </c:pt>
                <c:pt idx="186">
                  <c:v>0.66666666666666663</c:v>
                </c:pt>
                <c:pt idx="187">
                  <c:v>0.66666666666666663</c:v>
                </c:pt>
                <c:pt idx="188">
                  <c:v>0.66666666666666663</c:v>
                </c:pt>
                <c:pt idx="189">
                  <c:v>0.671875</c:v>
                </c:pt>
                <c:pt idx="190">
                  <c:v>0.67441860465116277</c:v>
                </c:pt>
                <c:pt idx="191">
                  <c:v>0.67441860465116277</c:v>
                </c:pt>
                <c:pt idx="192">
                  <c:v>0.676056338028169</c:v>
                </c:pt>
                <c:pt idx="193">
                  <c:v>0.67647058823529416</c:v>
                </c:pt>
                <c:pt idx="194">
                  <c:v>0.67692307692307696</c:v>
                </c:pt>
                <c:pt idx="195">
                  <c:v>0.67749999999999999</c:v>
                </c:pt>
                <c:pt idx="196">
                  <c:v>0.67924528301886788</c:v>
                </c:pt>
                <c:pt idx="197">
                  <c:v>0.68181818181818177</c:v>
                </c:pt>
                <c:pt idx="198">
                  <c:v>0.68421052631578949</c:v>
                </c:pt>
                <c:pt idx="199">
                  <c:v>0.68421052631578949</c:v>
                </c:pt>
                <c:pt idx="200">
                  <c:v>0.68860759493670887</c:v>
                </c:pt>
                <c:pt idx="201">
                  <c:v>0.68965517241379315</c:v>
                </c:pt>
                <c:pt idx="202">
                  <c:v>0.69565217391304346</c:v>
                </c:pt>
                <c:pt idx="203">
                  <c:v>0.69767441860465118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0.70370370370370372</c:v>
                </c:pt>
                <c:pt idx="208">
                  <c:v>0.70454545454545459</c:v>
                </c:pt>
                <c:pt idx="209">
                  <c:v>0.70833333333333337</c:v>
                </c:pt>
                <c:pt idx="210">
                  <c:v>0.70833333333333337</c:v>
                </c:pt>
                <c:pt idx="211">
                  <c:v>0.71153846153846156</c:v>
                </c:pt>
                <c:pt idx="212">
                  <c:v>0.7142857142857143</c:v>
                </c:pt>
                <c:pt idx="213">
                  <c:v>0.7142857142857143</c:v>
                </c:pt>
                <c:pt idx="214">
                  <c:v>0.71875</c:v>
                </c:pt>
                <c:pt idx="215">
                  <c:v>0.72</c:v>
                </c:pt>
                <c:pt idx="216">
                  <c:v>0.72131147540983609</c:v>
                </c:pt>
                <c:pt idx="217">
                  <c:v>0.72222222222222221</c:v>
                </c:pt>
                <c:pt idx="218">
                  <c:v>0.72222222222222221</c:v>
                </c:pt>
                <c:pt idx="219">
                  <c:v>0.72499999999999998</c:v>
                </c:pt>
                <c:pt idx="220">
                  <c:v>0.72727272727272729</c:v>
                </c:pt>
                <c:pt idx="221">
                  <c:v>0.72727272727272729</c:v>
                </c:pt>
                <c:pt idx="222">
                  <c:v>0.72916666666666663</c:v>
                </c:pt>
                <c:pt idx="223">
                  <c:v>0.73076923076923073</c:v>
                </c:pt>
                <c:pt idx="224">
                  <c:v>0.73170731707317072</c:v>
                </c:pt>
                <c:pt idx="225">
                  <c:v>0.7321428571428571</c:v>
                </c:pt>
                <c:pt idx="226">
                  <c:v>0.73684210526315785</c:v>
                </c:pt>
                <c:pt idx="227">
                  <c:v>0.73684210526315785</c:v>
                </c:pt>
                <c:pt idx="228">
                  <c:v>0.75</c:v>
                </c:pt>
                <c:pt idx="229">
                  <c:v>0.75</c:v>
                </c:pt>
                <c:pt idx="230">
                  <c:v>0.75</c:v>
                </c:pt>
                <c:pt idx="231">
                  <c:v>0.75</c:v>
                </c:pt>
                <c:pt idx="232">
                  <c:v>0.75438596491228072</c:v>
                </c:pt>
                <c:pt idx="233">
                  <c:v>0.75555555555555554</c:v>
                </c:pt>
                <c:pt idx="234">
                  <c:v>0.7567567567567568</c:v>
                </c:pt>
                <c:pt idx="235">
                  <c:v>0.75806451612903225</c:v>
                </c:pt>
                <c:pt idx="236">
                  <c:v>0.76190476190476186</c:v>
                </c:pt>
                <c:pt idx="237">
                  <c:v>0.76470588235294112</c:v>
                </c:pt>
                <c:pt idx="238">
                  <c:v>0.77021276595744681</c:v>
                </c:pt>
                <c:pt idx="239">
                  <c:v>0.77500000000000002</c:v>
                </c:pt>
                <c:pt idx="240">
                  <c:v>0.77586206896551724</c:v>
                </c:pt>
                <c:pt idx="241">
                  <c:v>0.77777777777777779</c:v>
                </c:pt>
                <c:pt idx="242">
                  <c:v>0.78</c:v>
                </c:pt>
                <c:pt idx="243">
                  <c:v>0.78048780487804881</c:v>
                </c:pt>
                <c:pt idx="244">
                  <c:v>0.78260869565217395</c:v>
                </c:pt>
                <c:pt idx="245">
                  <c:v>0.78260869565217395</c:v>
                </c:pt>
                <c:pt idx="246">
                  <c:v>0.78378378378378377</c:v>
                </c:pt>
                <c:pt idx="247">
                  <c:v>0.78723404255319152</c:v>
                </c:pt>
                <c:pt idx="248">
                  <c:v>0.78947368421052633</c:v>
                </c:pt>
                <c:pt idx="249">
                  <c:v>0.79130434782608694</c:v>
                </c:pt>
                <c:pt idx="250">
                  <c:v>0.7931034482758621</c:v>
                </c:pt>
                <c:pt idx="251">
                  <c:v>0.8</c:v>
                </c:pt>
                <c:pt idx="252">
                  <c:v>0.8</c:v>
                </c:pt>
                <c:pt idx="253">
                  <c:v>0.80555555555555558</c:v>
                </c:pt>
                <c:pt idx="254">
                  <c:v>0.83181818181818179</c:v>
                </c:pt>
                <c:pt idx="255">
                  <c:v>0.84905660377358494</c:v>
                </c:pt>
                <c:pt idx="256">
                  <c:v>0.89795918367346939</c:v>
                </c:pt>
                <c:pt idx="257">
                  <c:v>0.92982456140350878</c:v>
                </c:pt>
                <c:pt idx="258">
                  <c:v>0.96491228070175439</c:v>
                </c:pt>
                <c:pt idx="259">
                  <c:v>0.98596491228070171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D8-4ED6-92B3-FF49AF8E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783504"/>
        <c:axId val="394783896"/>
      </c:scatterChart>
      <c:valAx>
        <c:axId val="394783504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Bodyweight 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3896"/>
        <c:crosses val="autoZero"/>
        <c:crossBetween val="midCat"/>
      </c:valAx>
      <c:valAx>
        <c:axId val="39478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Bench to Squat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8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Bench Press vs Squat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IPF Classic (Unequipped) Championship Data 2012–2015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155220496455973"/>
                  <c:y val="-2.51752128316599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Squat'!$F$2:$F$400</c:f>
              <c:numCache>
                <c:formatCode>General</c:formatCode>
                <c:ptCount val="399"/>
                <c:pt idx="0">
                  <c:v>97.5</c:v>
                </c:pt>
                <c:pt idx="1">
                  <c:v>75</c:v>
                </c:pt>
                <c:pt idx="2">
                  <c:v>120</c:v>
                </c:pt>
                <c:pt idx="3">
                  <c:v>130</c:v>
                </c:pt>
                <c:pt idx="4">
                  <c:v>80</c:v>
                </c:pt>
                <c:pt idx="5">
                  <c:v>100</c:v>
                </c:pt>
                <c:pt idx="6">
                  <c:v>110</c:v>
                </c:pt>
                <c:pt idx="7">
                  <c:v>105</c:v>
                </c:pt>
                <c:pt idx="8">
                  <c:v>142.5</c:v>
                </c:pt>
                <c:pt idx="9">
                  <c:v>100</c:v>
                </c:pt>
                <c:pt idx="10">
                  <c:v>190</c:v>
                </c:pt>
                <c:pt idx="11">
                  <c:v>170</c:v>
                </c:pt>
                <c:pt idx="12">
                  <c:v>102.5</c:v>
                </c:pt>
                <c:pt idx="13">
                  <c:v>215</c:v>
                </c:pt>
                <c:pt idx="14">
                  <c:v>142.5</c:v>
                </c:pt>
                <c:pt idx="15">
                  <c:v>110</c:v>
                </c:pt>
                <c:pt idx="16">
                  <c:v>165</c:v>
                </c:pt>
                <c:pt idx="17">
                  <c:v>135</c:v>
                </c:pt>
                <c:pt idx="18">
                  <c:v>235</c:v>
                </c:pt>
                <c:pt idx="19">
                  <c:v>170</c:v>
                </c:pt>
                <c:pt idx="20">
                  <c:v>102.5</c:v>
                </c:pt>
                <c:pt idx="21">
                  <c:v>100</c:v>
                </c:pt>
                <c:pt idx="22">
                  <c:v>135</c:v>
                </c:pt>
                <c:pt idx="23">
                  <c:v>210</c:v>
                </c:pt>
                <c:pt idx="24">
                  <c:v>185</c:v>
                </c:pt>
                <c:pt idx="25">
                  <c:v>205</c:v>
                </c:pt>
                <c:pt idx="26">
                  <c:v>87.5</c:v>
                </c:pt>
                <c:pt idx="27">
                  <c:v>97.5</c:v>
                </c:pt>
                <c:pt idx="28">
                  <c:v>150</c:v>
                </c:pt>
                <c:pt idx="29">
                  <c:v>232.5</c:v>
                </c:pt>
                <c:pt idx="30">
                  <c:v>125</c:v>
                </c:pt>
                <c:pt idx="31">
                  <c:v>172.5</c:v>
                </c:pt>
                <c:pt idx="32">
                  <c:v>235</c:v>
                </c:pt>
                <c:pt idx="33">
                  <c:v>222.5</c:v>
                </c:pt>
                <c:pt idx="34">
                  <c:v>137.5</c:v>
                </c:pt>
                <c:pt idx="35">
                  <c:v>215</c:v>
                </c:pt>
                <c:pt idx="36">
                  <c:v>135</c:v>
                </c:pt>
                <c:pt idx="37">
                  <c:v>150</c:v>
                </c:pt>
                <c:pt idx="38">
                  <c:v>130</c:v>
                </c:pt>
                <c:pt idx="39">
                  <c:v>190</c:v>
                </c:pt>
                <c:pt idx="40">
                  <c:v>197.5</c:v>
                </c:pt>
                <c:pt idx="41">
                  <c:v>160</c:v>
                </c:pt>
                <c:pt idx="42">
                  <c:v>160</c:v>
                </c:pt>
                <c:pt idx="43">
                  <c:v>147.5</c:v>
                </c:pt>
                <c:pt idx="44">
                  <c:v>202.5</c:v>
                </c:pt>
                <c:pt idx="45">
                  <c:v>160</c:v>
                </c:pt>
                <c:pt idx="46">
                  <c:v>142.5</c:v>
                </c:pt>
                <c:pt idx="47">
                  <c:v>217.5</c:v>
                </c:pt>
                <c:pt idx="48">
                  <c:v>190</c:v>
                </c:pt>
                <c:pt idx="49">
                  <c:v>140</c:v>
                </c:pt>
                <c:pt idx="50">
                  <c:v>130</c:v>
                </c:pt>
                <c:pt idx="51">
                  <c:v>202.5</c:v>
                </c:pt>
                <c:pt idx="52">
                  <c:v>242.5</c:v>
                </c:pt>
                <c:pt idx="53">
                  <c:v>152.5</c:v>
                </c:pt>
                <c:pt idx="54">
                  <c:v>152.5</c:v>
                </c:pt>
                <c:pt idx="55">
                  <c:v>160</c:v>
                </c:pt>
                <c:pt idx="56">
                  <c:v>197.5</c:v>
                </c:pt>
                <c:pt idx="57">
                  <c:v>180</c:v>
                </c:pt>
                <c:pt idx="58">
                  <c:v>140</c:v>
                </c:pt>
                <c:pt idx="59">
                  <c:v>155</c:v>
                </c:pt>
                <c:pt idx="60">
                  <c:v>170</c:v>
                </c:pt>
                <c:pt idx="61">
                  <c:v>100</c:v>
                </c:pt>
                <c:pt idx="62">
                  <c:v>145</c:v>
                </c:pt>
                <c:pt idx="63">
                  <c:v>210</c:v>
                </c:pt>
                <c:pt idx="64">
                  <c:v>120</c:v>
                </c:pt>
                <c:pt idx="65">
                  <c:v>150</c:v>
                </c:pt>
                <c:pt idx="66">
                  <c:v>165</c:v>
                </c:pt>
                <c:pt idx="67">
                  <c:v>207.5</c:v>
                </c:pt>
                <c:pt idx="68">
                  <c:v>110</c:v>
                </c:pt>
                <c:pt idx="69">
                  <c:v>192.5</c:v>
                </c:pt>
                <c:pt idx="70">
                  <c:v>212.5</c:v>
                </c:pt>
                <c:pt idx="71">
                  <c:v>210</c:v>
                </c:pt>
                <c:pt idx="72">
                  <c:v>167.5</c:v>
                </c:pt>
                <c:pt idx="73">
                  <c:v>125</c:v>
                </c:pt>
                <c:pt idx="74">
                  <c:v>145</c:v>
                </c:pt>
                <c:pt idx="75">
                  <c:v>165</c:v>
                </c:pt>
                <c:pt idx="76">
                  <c:v>142.5</c:v>
                </c:pt>
                <c:pt idx="77">
                  <c:v>162.5</c:v>
                </c:pt>
                <c:pt idx="78">
                  <c:v>162.5</c:v>
                </c:pt>
                <c:pt idx="79">
                  <c:v>135</c:v>
                </c:pt>
                <c:pt idx="80">
                  <c:v>187.5</c:v>
                </c:pt>
                <c:pt idx="81">
                  <c:v>220</c:v>
                </c:pt>
                <c:pt idx="82">
                  <c:v>200</c:v>
                </c:pt>
                <c:pt idx="83">
                  <c:v>132.5</c:v>
                </c:pt>
                <c:pt idx="84">
                  <c:v>205</c:v>
                </c:pt>
                <c:pt idx="85">
                  <c:v>185</c:v>
                </c:pt>
                <c:pt idx="86">
                  <c:v>150</c:v>
                </c:pt>
                <c:pt idx="87">
                  <c:v>180</c:v>
                </c:pt>
                <c:pt idx="88">
                  <c:v>180</c:v>
                </c:pt>
                <c:pt idx="89">
                  <c:v>140</c:v>
                </c:pt>
                <c:pt idx="90">
                  <c:v>177.5</c:v>
                </c:pt>
                <c:pt idx="91">
                  <c:v>215</c:v>
                </c:pt>
                <c:pt idx="92">
                  <c:v>145</c:v>
                </c:pt>
                <c:pt idx="93">
                  <c:v>145</c:v>
                </c:pt>
                <c:pt idx="94">
                  <c:v>145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210</c:v>
                </c:pt>
                <c:pt idx="99">
                  <c:v>172.5</c:v>
                </c:pt>
                <c:pt idx="100">
                  <c:v>172.5</c:v>
                </c:pt>
                <c:pt idx="101">
                  <c:v>160</c:v>
                </c:pt>
                <c:pt idx="102">
                  <c:v>135</c:v>
                </c:pt>
                <c:pt idx="103">
                  <c:v>135</c:v>
                </c:pt>
                <c:pt idx="104">
                  <c:v>182.5</c:v>
                </c:pt>
                <c:pt idx="105">
                  <c:v>182.5</c:v>
                </c:pt>
                <c:pt idx="106">
                  <c:v>170</c:v>
                </c:pt>
                <c:pt idx="107">
                  <c:v>170</c:v>
                </c:pt>
                <c:pt idx="108">
                  <c:v>205</c:v>
                </c:pt>
                <c:pt idx="109">
                  <c:v>132.5</c:v>
                </c:pt>
                <c:pt idx="110">
                  <c:v>132.5</c:v>
                </c:pt>
                <c:pt idx="111">
                  <c:v>180</c:v>
                </c:pt>
                <c:pt idx="112">
                  <c:v>160</c:v>
                </c:pt>
                <c:pt idx="113">
                  <c:v>177.5</c:v>
                </c:pt>
                <c:pt idx="114">
                  <c:v>177.5</c:v>
                </c:pt>
                <c:pt idx="115">
                  <c:v>130</c:v>
                </c:pt>
                <c:pt idx="116">
                  <c:v>195</c:v>
                </c:pt>
                <c:pt idx="117">
                  <c:v>200</c:v>
                </c:pt>
                <c:pt idx="118">
                  <c:v>205</c:v>
                </c:pt>
                <c:pt idx="119">
                  <c:v>197.5</c:v>
                </c:pt>
                <c:pt idx="120">
                  <c:v>162.5</c:v>
                </c:pt>
                <c:pt idx="121">
                  <c:v>207.5</c:v>
                </c:pt>
                <c:pt idx="122">
                  <c:v>172.5</c:v>
                </c:pt>
                <c:pt idx="123">
                  <c:v>195</c:v>
                </c:pt>
                <c:pt idx="124">
                  <c:v>160</c:v>
                </c:pt>
                <c:pt idx="125">
                  <c:v>162.5</c:v>
                </c:pt>
                <c:pt idx="126">
                  <c:v>212.5</c:v>
                </c:pt>
                <c:pt idx="127">
                  <c:v>167.5</c:v>
                </c:pt>
                <c:pt idx="128">
                  <c:v>145</c:v>
                </c:pt>
                <c:pt idx="129">
                  <c:v>250</c:v>
                </c:pt>
                <c:pt idx="130">
                  <c:v>150</c:v>
                </c:pt>
                <c:pt idx="131">
                  <c:v>187.5</c:v>
                </c:pt>
                <c:pt idx="132">
                  <c:v>165</c:v>
                </c:pt>
                <c:pt idx="133">
                  <c:v>120</c:v>
                </c:pt>
                <c:pt idx="134">
                  <c:v>152.5</c:v>
                </c:pt>
                <c:pt idx="135">
                  <c:v>185</c:v>
                </c:pt>
                <c:pt idx="136">
                  <c:v>222.5</c:v>
                </c:pt>
                <c:pt idx="137">
                  <c:v>130</c:v>
                </c:pt>
                <c:pt idx="138">
                  <c:v>200</c:v>
                </c:pt>
                <c:pt idx="139">
                  <c:v>215</c:v>
                </c:pt>
                <c:pt idx="140">
                  <c:v>145</c:v>
                </c:pt>
                <c:pt idx="141">
                  <c:v>170</c:v>
                </c:pt>
                <c:pt idx="142">
                  <c:v>170</c:v>
                </c:pt>
                <c:pt idx="143">
                  <c:v>175</c:v>
                </c:pt>
                <c:pt idx="144">
                  <c:v>132.5</c:v>
                </c:pt>
                <c:pt idx="145">
                  <c:v>210</c:v>
                </c:pt>
                <c:pt idx="146">
                  <c:v>187.5</c:v>
                </c:pt>
                <c:pt idx="147">
                  <c:v>197.5</c:v>
                </c:pt>
                <c:pt idx="148">
                  <c:v>207.5</c:v>
                </c:pt>
                <c:pt idx="149">
                  <c:v>165</c:v>
                </c:pt>
                <c:pt idx="150">
                  <c:v>170</c:v>
                </c:pt>
                <c:pt idx="151">
                  <c:v>195</c:v>
                </c:pt>
                <c:pt idx="152">
                  <c:v>215</c:v>
                </c:pt>
                <c:pt idx="153">
                  <c:v>152.5</c:v>
                </c:pt>
                <c:pt idx="154">
                  <c:v>187.5</c:v>
                </c:pt>
                <c:pt idx="155">
                  <c:v>192.5</c:v>
                </c:pt>
                <c:pt idx="156">
                  <c:v>222.5</c:v>
                </c:pt>
                <c:pt idx="157">
                  <c:v>232.5</c:v>
                </c:pt>
                <c:pt idx="158">
                  <c:v>180</c:v>
                </c:pt>
                <c:pt idx="159">
                  <c:v>200</c:v>
                </c:pt>
                <c:pt idx="160">
                  <c:v>225</c:v>
                </c:pt>
                <c:pt idx="161">
                  <c:v>150</c:v>
                </c:pt>
                <c:pt idx="162">
                  <c:v>120</c:v>
                </c:pt>
                <c:pt idx="163">
                  <c:v>200</c:v>
                </c:pt>
                <c:pt idx="164">
                  <c:v>150</c:v>
                </c:pt>
                <c:pt idx="165">
                  <c:v>170</c:v>
                </c:pt>
                <c:pt idx="166">
                  <c:v>140</c:v>
                </c:pt>
                <c:pt idx="167">
                  <c:v>130</c:v>
                </c:pt>
                <c:pt idx="168">
                  <c:v>165</c:v>
                </c:pt>
                <c:pt idx="169">
                  <c:v>190</c:v>
                </c:pt>
                <c:pt idx="170">
                  <c:v>187.5</c:v>
                </c:pt>
                <c:pt idx="171">
                  <c:v>182.5</c:v>
                </c:pt>
                <c:pt idx="172">
                  <c:v>167.5</c:v>
                </c:pt>
                <c:pt idx="173">
                  <c:v>147.5</c:v>
                </c:pt>
                <c:pt idx="174">
                  <c:v>137.5</c:v>
                </c:pt>
                <c:pt idx="175">
                  <c:v>225</c:v>
                </c:pt>
                <c:pt idx="176">
                  <c:v>210</c:v>
                </c:pt>
                <c:pt idx="177">
                  <c:v>175</c:v>
                </c:pt>
                <c:pt idx="178">
                  <c:v>165</c:v>
                </c:pt>
                <c:pt idx="179">
                  <c:v>160</c:v>
                </c:pt>
                <c:pt idx="180">
                  <c:v>155</c:v>
                </c:pt>
                <c:pt idx="181">
                  <c:v>172.5</c:v>
                </c:pt>
                <c:pt idx="182">
                  <c:v>115</c:v>
                </c:pt>
                <c:pt idx="183">
                  <c:v>172.5</c:v>
                </c:pt>
                <c:pt idx="184">
                  <c:v>167.5</c:v>
                </c:pt>
                <c:pt idx="185">
                  <c:v>205</c:v>
                </c:pt>
                <c:pt idx="186">
                  <c:v>200</c:v>
                </c:pt>
                <c:pt idx="187">
                  <c:v>195</c:v>
                </c:pt>
                <c:pt idx="188">
                  <c:v>142.5</c:v>
                </c:pt>
                <c:pt idx="189">
                  <c:v>222.5</c:v>
                </c:pt>
                <c:pt idx="190">
                  <c:v>175</c:v>
                </c:pt>
                <c:pt idx="191">
                  <c:v>170</c:v>
                </c:pt>
                <c:pt idx="192">
                  <c:v>165</c:v>
                </c:pt>
                <c:pt idx="193">
                  <c:v>160</c:v>
                </c:pt>
                <c:pt idx="194">
                  <c:v>197.5</c:v>
                </c:pt>
                <c:pt idx="195">
                  <c:v>192.5</c:v>
                </c:pt>
                <c:pt idx="196">
                  <c:v>192.5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220</c:v>
                </c:pt>
                <c:pt idx="201">
                  <c:v>220</c:v>
                </c:pt>
                <c:pt idx="202">
                  <c:v>182.5</c:v>
                </c:pt>
                <c:pt idx="203">
                  <c:v>215</c:v>
                </c:pt>
                <c:pt idx="204">
                  <c:v>172.5</c:v>
                </c:pt>
                <c:pt idx="205">
                  <c:v>205</c:v>
                </c:pt>
                <c:pt idx="206">
                  <c:v>205</c:v>
                </c:pt>
                <c:pt idx="207">
                  <c:v>190</c:v>
                </c:pt>
                <c:pt idx="208">
                  <c:v>212.5</c:v>
                </c:pt>
                <c:pt idx="209">
                  <c:v>212.5</c:v>
                </c:pt>
                <c:pt idx="210">
                  <c:v>147.5</c:v>
                </c:pt>
                <c:pt idx="211">
                  <c:v>147.5</c:v>
                </c:pt>
                <c:pt idx="212">
                  <c:v>147.5</c:v>
                </c:pt>
                <c:pt idx="213">
                  <c:v>225</c:v>
                </c:pt>
                <c:pt idx="214">
                  <c:v>165</c:v>
                </c:pt>
                <c:pt idx="215">
                  <c:v>215</c:v>
                </c:pt>
                <c:pt idx="216">
                  <c:v>215</c:v>
                </c:pt>
                <c:pt idx="217">
                  <c:v>182.5</c:v>
                </c:pt>
                <c:pt idx="218">
                  <c:v>155</c:v>
                </c:pt>
                <c:pt idx="219">
                  <c:v>127.5</c:v>
                </c:pt>
                <c:pt idx="220">
                  <c:v>200</c:v>
                </c:pt>
                <c:pt idx="221">
                  <c:v>195</c:v>
                </c:pt>
                <c:pt idx="222">
                  <c:v>162.5</c:v>
                </c:pt>
                <c:pt idx="223">
                  <c:v>180</c:v>
                </c:pt>
                <c:pt idx="224">
                  <c:v>135</c:v>
                </c:pt>
                <c:pt idx="225">
                  <c:v>180</c:v>
                </c:pt>
                <c:pt idx="226">
                  <c:v>175</c:v>
                </c:pt>
                <c:pt idx="227">
                  <c:v>170</c:v>
                </c:pt>
                <c:pt idx="228">
                  <c:v>187.5</c:v>
                </c:pt>
                <c:pt idx="229">
                  <c:v>125</c:v>
                </c:pt>
                <c:pt idx="230">
                  <c:v>142.5</c:v>
                </c:pt>
                <c:pt idx="231">
                  <c:v>200</c:v>
                </c:pt>
                <c:pt idx="232">
                  <c:v>160</c:v>
                </c:pt>
                <c:pt idx="233">
                  <c:v>221</c:v>
                </c:pt>
                <c:pt idx="234">
                  <c:v>190</c:v>
                </c:pt>
                <c:pt idx="235">
                  <c:v>190</c:v>
                </c:pt>
                <c:pt idx="236">
                  <c:v>127.5</c:v>
                </c:pt>
                <c:pt idx="237">
                  <c:v>162.5</c:v>
                </c:pt>
                <c:pt idx="238">
                  <c:v>215</c:v>
                </c:pt>
                <c:pt idx="239">
                  <c:v>210</c:v>
                </c:pt>
                <c:pt idx="240">
                  <c:v>122.5</c:v>
                </c:pt>
                <c:pt idx="241">
                  <c:v>140</c:v>
                </c:pt>
                <c:pt idx="242">
                  <c:v>152.5</c:v>
                </c:pt>
                <c:pt idx="243">
                  <c:v>200</c:v>
                </c:pt>
                <c:pt idx="244">
                  <c:v>200</c:v>
                </c:pt>
                <c:pt idx="245">
                  <c:v>165</c:v>
                </c:pt>
                <c:pt idx="246">
                  <c:v>165</c:v>
                </c:pt>
                <c:pt idx="247">
                  <c:v>230</c:v>
                </c:pt>
                <c:pt idx="248">
                  <c:v>130</c:v>
                </c:pt>
                <c:pt idx="249">
                  <c:v>155</c:v>
                </c:pt>
                <c:pt idx="250">
                  <c:v>215</c:v>
                </c:pt>
                <c:pt idx="251">
                  <c:v>180</c:v>
                </c:pt>
                <c:pt idx="252">
                  <c:v>175</c:v>
                </c:pt>
                <c:pt idx="253">
                  <c:v>175</c:v>
                </c:pt>
                <c:pt idx="254">
                  <c:v>187.5</c:v>
                </c:pt>
                <c:pt idx="255">
                  <c:v>152.5</c:v>
                </c:pt>
                <c:pt idx="256">
                  <c:v>220</c:v>
                </c:pt>
                <c:pt idx="257">
                  <c:v>177.5</c:v>
                </c:pt>
                <c:pt idx="258">
                  <c:v>160</c:v>
                </c:pt>
                <c:pt idx="259">
                  <c:v>185</c:v>
                </c:pt>
                <c:pt idx="260">
                  <c:v>162.5</c:v>
                </c:pt>
                <c:pt idx="261">
                  <c:v>150</c:v>
                </c:pt>
                <c:pt idx="262">
                  <c:v>162.5</c:v>
                </c:pt>
                <c:pt idx="263">
                  <c:v>207.5</c:v>
                </c:pt>
                <c:pt idx="264">
                  <c:v>182.5</c:v>
                </c:pt>
                <c:pt idx="265">
                  <c:v>145</c:v>
                </c:pt>
                <c:pt idx="266">
                  <c:v>190</c:v>
                </c:pt>
                <c:pt idx="267">
                  <c:v>165</c:v>
                </c:pt>
                <c:pt idx="268">
                  <c:v>185</c:v>
                </c:pt>
                <c:pt idx="269">
                  <c:v>160</c:v>
                </c:pt>
                <c:pt idx="270">
                  <c:v>180</c:v>
                </c:pt>
                <c:pt idx="271">
                  <c:v>212.5</c:v>
                </c:pt>
                <c:pt idx="272">
                  <c:v>212.5</c:v>
                </c:pt>
                <c:pt idx="273">
                  <c:v>175</c:v>
                </c:pt>
                <c:pt idx="274">
                  <c:v>130</c:v>
                </c:pt>
                <c:pt idx="275">
                  <c:v>195</c:v>
                </c:pt>
                <c:pt idx="276">
                  <c:v>182.5</c:v>
                </c:pt>
                <c:pt idx="277">
                  <c:v>150</c:v>
                </c:pt>
                <c:pt idx="278">
                  <c:v>202.5</c:v>
                </c:pt>
                <c:pt idx="279">
                  <c:v>170</c:v>
                </c:pt>
                <c:pt idx="280">
                  <c:v>160</c:v>
                </c:pt>
                <c:pt idx="281">
                  <c:v>185</c:v>
                </c:pt>
                <c:pt idx="282">
                  <c:v>185</c:v>
                </c:pt>
                <c:pt idx="283">
                  <c:v>185</c:v>
                </c:pt>
                <c:pt idx="284">
                  <c:v>160</c:v>
                </c:pt>
                <c:pt idx="285">
                  <c:v>167.5</c:v>
                </c:pt>
                <c:pt idx="286">
                  <c:v>230</c:v>
                </c:pt>
                <c:pt idx="287">
                  <c:v>162.5</c:v>
                </c:pt>
                <c:pt idx="288">
                  <c:v>197.5</c:v>
                </c:pt>
                <c:pt idx="289">
                  <c:v>165</c:v>
                </c:pt>
                <c:pt idx="290">
                  <c:v>157.5</c:v>
                </c:pt>
                <c:pt idx="291">
                  <c:v>160</c:v>
                </c:pt>
                <c:pt idx="292">
                  <c:v>210</c:v>
                </c:pt>
                <c:pt idx="293">
                  <c:v>190</c:v>
                </c:pt>
                <c:pt idx="294">
                  <c:v>155</c:v>
                </c:pt>
                <c:pt idx="295">
                  <c:v>227.5</c:v>
                </c:pt>
                <c:pt idx="296">
                  <c:v>215</c:v>
                </c:pt>
                <c:pt idx="297">
                  <c:v>167.5</c:v>
                </c:pt>
                <c:pt idx="298">
                  <c:v>167.5</c:v>
                </c:pt>
                <c:pt idx="299">
                  <c:v>175</c:v>
                </c:pt>
                <c:pt idx="300">
                  <c:v>205</c:v>
                </c:pt>
                <c:pt idx="301">
                  <c:v>125</c:v>
                </c:pt>
                <c:pt idx="302">
                  <c:v>140</c:v>
                </c:pt>
                <c:pt idx="303">
                  <c:v>140</c:v>
                </c:pt>
                <c:pt idx="304">
                  <c:v>172.5</c:v>
                </c:pt>
                <c:pt idx="305">
                  <c:v>112.5</c:v>
                </c:pt>
                <c:pt idx="306">
                  <c:v>172.5</c:v>
                </c:pt>
                <c:pt idx="307">
                  <c:v>202.5</c:v>
                </c:pt>
                <c:pt idx="308">
                  <c:v>157.5</c:v>
                </c:pt>
                <c:pt idx="309">
                  <c:v>157.5</c:v>
                </c:pt>
                <c:pt idx="310">
                  <c:v>227.5</c:v>
                </c:pt>
                <c:pt idx="311">
                  <c:v>170</c:v>
                </c:pt>
                <c:pt idx="312">
                  <c:v>182.5</c:v>
                </c:pt>
                <c:pt idx="313">
                  <c:v>137.5</c:v>
                </c:pt>
                <c:pt idx="314">
                  <c:v>215</c:v>
                </c:pt>
                <c:pt idx="315">
                  <c:v>207.5</c:v>
                </c:pt>
                <c:pt idx="316">
                  <c:v>207.5</c:v>
                </c:pt>
                <c:pt idx="317">
                  <c:v>185</c:v>
                </c:pt>
                <c:pt idx="318">
                  <c:v>140</c:v>
                </c:pt>
                <c:pt idx="319">
                  <c:v>140</c:v>
                </c:pt>
                <c:pt idx="320">
                  <c:v>125</c:v>
                </c:pt>
                <c:pt idx="321">
                  <c:v>190</c:v>
                </c:pt>
                <c:pt idx="322">
                  <c:v>182.5</c:v>
                </c:pt>
                <c:pt idx="323">
                  <c:v>167.5</c:v>
                </c:pt>
                <c:pt idx="324">
                  <c:v>200</c:v>
                </c:pt>
                <c:pt idx="325">
                  <c:v>192.5</c:v>
                </c:pt>
                <c:pt idx="326">
                  <c:v>195</c:v>
                </c:pt>
                <c:pt idx="327">
                  <c:v>252.5</c:v>
                </c:pt>
                <c:pt idx="328">
                  <c:v>155</c:v>
                </c:pt>
                <c:pt idx="329">
                  <c:v>180</c:v>
                </c:pt>
                <c:pt idx="330">
                  <c:v>180</c:v>
                </c:pt>
                <c:pt idx="331">
                  <c:v>205</c:v>
                </c:pt>
                <c:pt idx="332">
                  <c:v>165</c:v>
                </c:pt>
                <c:pt idx="333">
                  <c:v>170</c:v>
                </c:pt>
                <c:pt idx="334">
                  <c:v>170</c:v>
                </c:pt>
                <c:pt idx="335">
                  <c:v>205</c:v>
                </c:pt>
                <c:pt idx="336">
                  <c:v>162.5</c:v>
                </c:pt>
                <c:pt idx="337">
                  <c:v>137.5</c:v>
                </c:pt>
                <c:pt idx="338">
                  <c:v>190</c:v>
                </c:pt>
                <c:pt idx="339">
                  <c:v>245</c:v>
                </c:pt>
                <c:pt idx="340">
                  <c:v>132.5</c:v>
                </c:pt>
                <c:pt idx="341">
                  <c:v>195</c:v>
                </c:pt>
                <c:pt idx="342">
                  <c:v>177.5</c:v>
                </c:pt>
                <c:pt idx="343">
                  <c:v>160</c:v>
                </c:pt>
                <c:pt idx="344">
                  <c:v>222.5</c:v>
                </c:pt>
                <c:pt idx="345">
                  <c:v>187.5</c:v>
                </c:pt>
                <c:pt idx="346">
                  <c:v>152.5</c:v>
                </c:pt>
                <c:pt idx="347">
                  <c:v>197.5</c:v>
                </c:pt>
                <c:pt idx="348">
                  <c:v>207.5</c:v>
                </c:pt>
                <c:pt idx="349">
                  <c:v>145</c:v>
                </c:pt>
                <c:pt idx="350">
                  <c:v>155</c:v>
                </c:pt>
                <c:pt idx="351">
                  <c:v>165</c:v>
                </c:pt>
                <c:pt idx="352">
                  <c:v>165</c:v>
                </c:pt>
                <c:pt idx="353">
                  <c:v>130</c:v>
                </c:pt>
                <c:pt idx="354">
                  <c:v>212.5</c:v>
                </c:pt>
                <c:pt idx="355">
                  <c:v>155</c:v>
                </c:pt>
                <c:pt idx="356">
                  <c:v>167.5</c:v>
                </c:pt>
                <c:pt idx="357">
                  <c:v>177.5</c:v>
                </c:pt>
                <c:pt idx="358">
                  <c:v>193.5</c:v>
                </c:pt>
                <c:pt idx="359">
                  <c:v>212.5</c:v>
                </c:pt>
                <c:pt idx="360">
                  <c:v>195</c:v>
                </c:pt>
                <c:pt idx="361">
                  <c:v>175</c:v>
                </c:pt>
                <c:pt idx="362">
                  <c:v>155</c:v>
                </c:pt>
                <c:pt idx="363">
                  <c:v>155</c:v>
                </c:pt>
                <c:pt idx="364">
                  <c:v>180</c:v>
                </c:pt>
                <c:pt idx="365">
                  <c:v>222.5</c:v>
                </c:pt>
                <c:pt idx="366">
                  <c:v>140</c:v>
                </c:pt>
                <c:pt idx="367">
                  <c:v>205</c:v>
                </c:pt>
                <c:pt idx="368">
                  <c:v>205</c:v>
                </c:pt>
                <c:pt idx="369">
                  <c:v>162.5</c:v>
                </c:pt>
                <c:pt idx="370">
                  <c:v>200</c:v>
                </c:pt>
                <c:pt idx="371">
                  <c:v>172.5</c:v>
                </c:pt>
                <c:pt idx="372">
                  <c:v>185</c:v>
                </c:pt>
                <c:pt idx="373">
                  <c:v>222.5</c:v>
                </c:pt>
                <c:pt idx="374">
                  <c:v>215</c:v>
                </c:pt>
                <c:pt idx="375">
                  <c:v>220</c:v>
                </c:pt>
                <c:pt idx="376">
                  <c:v>260.5</c:v>
                </c:pt>
                <c:pt idx="377">
                  <c:v>185</c:v>
                </c:pt>
                <c:pt idx="378">
                  <c:v>172.5</c:v>
                </c:pt>
                <c:pt idx="379">
                  <c:v>135</c:v>
                </c:pt>
                <c:pt idx="380">
                  <c:v>235</c:v>
                </c:pt>
                <c:pt idx="381">
                  <c:v>165</c:v>
                </c:pt>
                <c:pt idx="382">
                  <c:v>237.5</c:v>
                </c:pt>
                <c:pt idx="383">
                  <c:v>270.5</c:v>
                </c:pt>
                <c:pt idx="384">
                  <c:v>160</c:v>
                </c:pt>
                <c:pt idx="385">
                  <c:v>172.5</c:v>
                </c:pt>
                <c:pt idx="386">
                  <c:v>155</c:v>
                </c:pt>
                <c:pt idx="387">
                  <c:v>187.5</c:v>
                </c:pt>
                <c:pt idx="388">
                  <c:v>210.5</c:v>
                </c:pt>
                <c:pt idx="389">
                  <c:v>160</c:v>
                </c:pt>
                <c:pt idx="390">
                  <c:v>207.5</c:v>
                </c:pt>
                <c:pt idx="391">
                  <c:v>180</c:v>
                </c:pt>
                <c:pt idx="392">
                  <c:v>192.5</c:v>
                </c:pt>
                <c:pt idx="393">
                  <c:v>187.5</c:v>
                </c:pt>
                <c:pt idx="394">
                  <c:v>240</c:v>
                </c:pt>
                <c:pt idx="395">
                  <c:v>180</c:v>
                </c:pt>
                <c:pt idx="396">
                  <c:v>270</c:v>
                </c:pt>
                <c:pt idx="397">
                  <c:v>175</c:v>
                </c:pt>
                <c:pt idx="398">
                  <c:v>245</c:v>
                </c:pt>
              </c:numCache>
            </c:numRef>
          </c:xVal>
          <c:yVal>
            <c:numRef>
              <c:f>'Data Squat'!$E$2:$E$400</c:f>
              <c:numCache>
                <c:formatCode>General</c:formatCode>
                <c:ptCount val="399"/>
                <c:pt idx="0">
                  <c:v>225</c:v>
                </c:pt>
                <c:pt idx="1">
                  <c:v>172.5</c:v>
                </c:pt>
                <c:pt idx="2">
                  <c:v>240</c:v>
                </c:pt>
                <c:pt idx="3">
                  <c:v>252.5</c:v>
                </c:pt>
                <c:pt idx="4">
                  <c:v>155</c:v>
                </c:pt>
                <c:pt idx="5">
                  <c:v>192.5</c:v>
                </c:pt>
                <c:pt idx="6">
                  <c:v>210</c:v>
                </c:pt>
                <c:pt idx="7">
                  <c:v>200</c:v>
                </c:pt>
                <c:pt idx="8">
                  <c:v>267.5</c:v>
                </c:pt>
                <c:pt idx="9">
                  <c:v>187.5</c:v>
                </c:pt>
                <c:pt idx="10">
                  <c:v>356</c:v>
                </c:pt>
                <c:pt idx="11">
                  <c:v>315</c:v>
                </c:pt>
                <c:pt idx="12">
                  <c:v>187.5</c:v>
                </c:pt>
                <c:pt idx="13">
                  <c:v>392.5</c:v>
                </c:pt>
                <c:pt idx="14">
                  <c:v>260</c:v>
                </c:pt>
                <c:pt idx="15">
                  <c:v>200</c:v>
                </c:pt>
                <c:pt idx="16">
                  <c:v>300</c:v>
                </c:pt>
                <c:pt idx="17">
                  <c:v>245</c:v>
                </c:pt>
                <c:pt idx="18">
                  <c:v>425.5</c:v>
                </c:pt>
                <c:pt idx="19">
                  <c:v>307.5</c:v>
                </c:pt>
                <c:pt idx="20">
                  <c:v>185</c:v>
                </c:pt>
                <c:pt idx="21">
                  <c:v>180</c:v>
                </c:pt>
                <c:pt idx="22">
                  <c:v>242.5</c:v>
                </c:pt>
                <c:pt idx="23">
                  <c:v>375</c:v>
                </c:pt>
                <c:pt idx="24">
                  <c:v>330</c:v>
                </c:pt>
                <c:pt idx="25">
                  <c:v>365</c:v>
                </c:pt>
                <c:pt idx="26">
                  <c:v>155</c:v>
                </c:pt>
                <c:pt idx="27">
                  <c:v>172.5</c:v>
                </c:pt>
                <c:pt idx="28">
                  <c:v>265</c:v>
                </c:pt>
                <c:pt idx="29">
                  <c:v>410</c:v>
                </c:pt>
                <c:pt idx="30">
                  <c:v>220</c:v>
                </c:pt>
                <c:pt idx="31">
                  <c:v>303</c:v>
                </c:pt>
                <c:pt idx="32">
                  <c:v>412.5</c:v>
                </c:pt>
                <c:pt idx="33">
                  <c:v>390</c:v>
                </c:pt>
                <c:pt idx="34">
                  <c:v>240</c:v>
                </c:pt>
                <c:pt idx="35">
                  <c:v>375</c:v>
                </c:pt>
                <c:pt idx="36">
                  <c:v>235</c:v>
                </c:pt>
                <c:pt idx="37">
                  <c:v>260</c:v>
                </c:pt>
                <c:pt idx="38">
                  <c:v>225</c:v>
                </c:pt>
                <c:pt idx="39">
                  <c:v>327.5</c:v>
                </c:pt>
                <c:pt idx="40">
                  <c:v>340</c:v>
                </c:pt>
                <c:pt idx="41">
                  <c:v>275</c:v>
                </c:pt>
                <c:pt idx="42">
                  <c:v>275</c:v>
                </c:pt>
                <c:pt idx="43">
                  <c:v>252.5</c:v>
                </c:pt>
                <c:pt idx="44">
                  <c:v>345</c:v>
                </c:pt>
                <c:pt idx="45">
                  <c:v>272.5</c:v>
                </c:pt>
                <c:pt idx="46">
                  <c:v>242.5</c:v>
                </c:pt>
                <c:pt idx="47">
                  <c:v>370</c:v>
                </c:pt>
                <c:pt idx="48">
                  <c:v>322.5</c:v>
                </c:pt>
                <c:pt idx="49">
                  <c:v>237.5</c:v>
                </c:pt>
                <c:pt idx="50">
                  <c:v>220</c:v>
                </c:pt>
                <c:pt idx="51">
                  <c:v>342.5</c:v>
                </c:pt>
                <c:pt idx="52">
                  <c:v>410</c:v>
                </c:pt>
                <c:pt idx="53">
                  <c:v>257.5</c:v>
                </c:pt>
                <c:pt idx="54">
                  <c:v>257.5</c:v>
                </c:pt>
                <c:pt idx="55">
                  <c:v>270</c:v>
                </c:pt>
                <c:pt idx="56">
                  <c:v>332.5</c:v>
                </c:pt>
                <c:pt idx="57">
                  <c:v>302.5</c:v>
                </c:pt>
                <c:pt idx="58">
                  <c:v>235</c:v>
                </c:pt>
                <c:pt idx="59">
                  <c:v>260</c:v>
                </c:pt>
                <c:pt idx="60">
                  <c:v>285</c:v>
                </c:pt>
                <c:pt idx="61">
                  <c:v>167.5</c:v>
                </c:pt>
                <c:pt idx="62">
                  <c:v>242.5</c:v>
                </c:pt>
                <c:pt idx="63">
                  <c:v>350</c:v>
                </c:pt>
                <c:pt idx="64">
                  <c:v>200</c:v>
                </c:pt>
                <c:pt idx="65">
                  <c:v>250</c:v>
                </c:pt>
                <c:pt idx="66">
                  <c:v>275</c:v>
                </c:pt>
                <c:pt idx="67">
                  <c:v>345</c:v>
                </c:pt>
                <c:pt idx="68">
                  <c:v>182.5</c:v>
                </c:pt>
                <c:pt idx="69">
                  <c:v>317.5</c:v>
                </c:pt>
                <c:pt idx="70">
                  <c:v>350</c:v>
                </c:pt>
                <c:pt idx="71">
                  <c:v>345</c:v>
                </c:pt>
                <c:pt idx="72">
                  <c:v>275</c:v>
                </c:pt>
                <c:pt idx="73">
                  <c:v>205</c:v>
                </c:pt>
                <c:pt idx="74">
                  <c:v>237.5</c:v>
                </c:pt>
                <c:pt idx="75">
                  <c:v>270</c:v>
                </c:pt>
                <c:pt idx="76">
                  <c:v>232.5</c:v>
                </c:pt>
                <c:pt idx="77">
                  <c:v>265</c:v>
                </c:pt>
                <c:pt idx="78">
                  <c:v>265</c:v>
                </c:pt>
                <c:pt idx="79">
                  <c:v>220</c:v>
                </c:pt>
                <c:pt idx="80">
                  <c:v>305</c:v>
                </c:pt>
                <c:pt idx="81">
                  <c:v>357.5</c:v>
                </c:pt>
                <c:pt idx="82">
                  <c:v>325</c:v>
                </c:pt>
                <c:pt idx="83">
                  <c:v>215</c:v>
                </c:pt>
                <c:pt idx="84">
                  <c:v>332.5</c:v>
                </c:pt>
                <c:pt idx="85">
                  <c:v>300</c:v>
                </c:pt>
                <c:pt idx="86">
                  <c:v>242.5</c:v>
                </c:pt>
                <c:pt idx="87">
                  <c:v>290</c:v>
                </c:pt>
                <c:pt idx="88">
                  <c:v>290</c:v>
                </c:pt>
                <c:pt idx="89">
                  <c:v>225</c:v>
                </c:pt>
                <c:pt idx="90">
                  <c:v>285</c:v>
                </c:pt>
                <c:pt idx="91">
                  <c:v>345</c:v>
                </c:pt>
                <c:pt idx="92">
                  <c:v>232.5</c:v>
                </c:pt>
                <c:pt idx="93">
                  <c:v>232.5</c:v>
                </c:pt>
                <c:pt idx="94">
                  <c:v>232.5</c:v>
                </c:pt>
                <c:pt idx="95">
                  <c:v>240.5</c:v>
                </c:pt>
                <c:pt idx="96">
                  <c:v>240</c:v>
                </c:pt>
                <c:pt idx="97">
                  <c:v>240</c:v>
                </c:pt>
                <c:pt idx="98">
                  <c:v>335</c:v>
                </c:pt>
                <c:pt idx="99">
                  <c:v>275</c:v>
                </c:pt>
                <c:pt idx="100">
                  <c:v>275</c:v>
                </c:pt>
                <c:pt idx="101">
                  <c:v>255</c:v>
                </c:pt>
                <c:pt idx="102">
                  <c:v>215</c:v>
                </c:pt>
                <c:pt idx="103">
                  <c:v>215</c:v>
                </c:pt>
                <c:pt idx="104">
                  <c:v>290</c:v>
                </c:pt>
                <c:pt idx="105">
                  <c:v>290</c:v>
                </c:pt>
                <c:pt idx="106">
                  <c:v>270</c:v>
                </c:pt>
                <c:pt idx="107">
                  <c:v>270</c:v>
                </c:pt>
                <c:pt idx="108">
                  <c:v>325</c:v>
                </c:pt>
                <c:pt idx="109">
                  <c:v>210</c:v>
                </c:pt>
                <c:pt idx="110">
                  <c:v>210</c:v>
                </c:pt>
                <c:pt idx="111">
                  <c:v>285</c:v>
                </c:pt>
                <c:pt idx="112">
                  <c:v>252.5</c:v>
                </c:pt>
                <c:pt idx="113">
                  <c:v>280</c:v>
                </c:pt>
                <c:pt idx="114">
                  <c:v>280</c:v>
                </c:pt>
                <c:pt idx="115">
                  <c:v>205</c:v>
                </c:pt>
                <c:pt idx="116">
                  <c:v>307.5</c:v>
                </c:pt>
                <c:pt idx="117">
                  <c:v>315</c:v>
                </c:pt>
                <c:pt idx="118">
                  <c:v>322.5</c:v>
                </c:pt>
                <c:pt idx="119">
                  <c:v>310</c:v>
                </c:pt>
                <c:pt idx="120">
                  <c:v>255</c:v>
                </c:pt>
                <c:pt idx="121">
                  <c:v>325</c:v>
                </c:pt>
                <c:pt idx="122">
                  <c:v>270</c:v>
                </c:pt>
                <c:pt idx="123">
                  <c:v>305</c:v>
                </c:pt>
                <c:pt idx="124">
                  <c:v>250</c:v>
                </c:pt>
                <c:pt idx="125">
                  <c:v>252.5</c:v>
                </c:pt>
                <c:pt idx="126">
                  <c:v>330</c:v>
                </c:pt>
                <c:pt idx="127">
                  <c:v>260</c:v>
                </c:pt>
                <c:pt idx="128">
                  <c:v>225</c:v>
                </c:pt>
                <c:pt idx="129">
                  <c:v>387.5</c:v>
                </c:pt>
                <c:pt idx="130">
                  <c:v>232.5</c:v>
                </c:pt>
                <c:pt idx="131">
                  <c:v>290</c:v>
                </c:pt>
                <c:pt idx="132">
                  <c:v>255</c:v>
                </c:pt>
                <c:pt idx="133">
                  <c:v>185</c:v>
                </c:pt>
                <c:pt idx="134">
                  <c:v>235</c:v>
                </c:pt>
                <c:pt idx="135">
                  <c:v>285</c:v>
                </c:pt>
                <c:pt idx="136">
                  <c:v>342.5</c:v>
                </c:pt>
                <c:pt idx="137">
                  <c:v>200</c:v>
                </c:pt>
                <c:pt idx="138">
                  <c:v>307.5</c:v>
                </c:pt>
                <c:pt idx="139">
                  <c:v>330</c:v>
                </c:pt>
                <c:pt idx="140">
                  <c:v>222.5</c:v>
                </c:pt>
                <c:pt idx="141">
                  <c:v>260</c:v>
                </c:pt>
                <c:pt idx="142">
                  <c:v>260</c:v>
                </c:pt>
                <c:pt idx="143">
                  <c:v>267.5</c:v>
                </c:pt>
                <c:pt idx="144">
                  <c:v>202.5</c:v>
                </c:pt>
                <c:pt idx="145">
                  <c:v>320</c:v>
                </c:pt>
                <c:pt idx="146">
                  <c:v>285</c:v>
                </c:pt>
                <c:pt idx="147">
                  <c:v>300</c:v>
                </c:pt>
                <c:pt idx="148">
                  <c:v>315</c:v>
                </c:pt>
                <c:pt idx="149">
                  <c:v>250</c:v>
                </c:pt>
                <c:pt idx="150">
                  <c:v>257.5</c:v>
                </c:pt>
                <c:pt idx="151">
                  <c:v>295</c:v>
                </c:pt>
                <c:pt idx="152">
                  <c:v>325</c:v>
                </c:pt>
                <c:pt idx="153">
                  <c:v>230</c:v>
                </c:pt>
                <c:pt idx="154">
                  <c:v>282.5</c:v>
                </c:pt>
                <c:pt idx="155">
                  <c:v>290</c:v>
                </c:pt>
                <c:pt idx="156">
                  <c:v>335</c:v>
                </c:pt>
                <c:pt idx="157">
                  <c:v>350</c:v>
                </c:pt>
                <c:pt idx="158">
                  <c:v>270</c:v>
                </c:pt>
                <c:pt idx="159">
                  <c:v>300</c:v>
                </c:pt>
                <c:pt idx="160">
                  <c:v>337.5</c:v>
                </c:pt>
                <c:pt idx="161">
                  <c:v>225</c:v>
                </c:pt>
                <c:pt idx="162">
                  <c:v>180</c:v>
                </c:pt>
                <c:pt idx="163">
                  <c:v>300</c:v>
                </c:pt>
                <c:pt idx="164">
                  <c:v>225</c:v>
                </c:pt>
                <c:pt idx="165">
                  <c:v>255</c:v>
                </c:pt>
                <c:pt idx="166">
                  <c:v>210</c:v>
                </c:pt>
                <c:pt idx="167">
                  <c:v>195</c:v>
                </c:pt>
                <c:pt idx="168">
                  <c:v>247.5</c:v>
                </c:pt>
                <c:pt idx="169">
                  <c:v>285</c:v>
                </c:pt>
                <c:pt idx="170">
                  <c:v>280</c:v>
                </c:pt>
                <c:pt idx="171">
                  <c:v>272.5</c:v>
                </c:pt>
                <c:pt idx="172">
                  <c:v>250</c:v>
                </c:pt>
                <c:pt idx="173">
                  <c:v>220</c:v>
                </c:pt>
                <c:pt idx="174">
                  <c:v>205</c:v>
                </c:pt>
                <c:pt idx="175">
                  <c:v>335</c:v>
                </c:pt>
                <c:pt idx="176">
                  <c:v>312.5</c:v>
                </c:pt>
                <c:pt idx="177">
                  <c:v>260</c:v>
                </c:pt>
                <c:pt idx="178">
                  <c:v>245</c:v>
                </c:pt>
                <c:pt idx="179">
                  <c:v>237.5</c:v>
                </c:pt>
                <c:pt idx="180">
                  <c:v>230</c:v>
                </c:pt>
                <c:pt idx="181">
                  <c:v>255</c:v>
                </c:pt>
                <c:pt idx="182">
                  <c:v>170</c:v>
                </c:pt>
                <c:pt idx="183">
                  <c:v>255</c:v>
                </c:pt>
                <c:pt idx="184">
                  <c:v>247.5</c:v>
                </c:pt>
                <c:pt idx="185">
                  <c:v>302.5</c:v>
                </c:pt>
                <c:pt idx="186">
                  <c:v>295</c:v>
                </c:pt>
                <c:pt idx="187">
                  <c:v>287.5</c:v>
                </c:pt>
                <c:pt idx="188">
                  <c:v>210</c:v>
                </c:pt>
                <c:pt idx="189">
                  <c:v>327.5</c:v>
                </c:pt>
                <c:pt idx="190">
                  <c:v>257.5</c:v>
                </c:pt>
                <c:pt idx="191">
                  <c:v>250</c:v>
                </c:pt>
                <c:pt idx="192">
                  <c:v>242.5</c:v>
                </c:pt>
                <c:pt idx="193">
                  <c:v>235</c:v>
                </c:pt>
                <c:pt idx="194">
                  <c:v>290</c:v>
                </c:pt>
                <c:pt idx="195">
                  <c:v>282.5</c:v>
                </c:pt>
                <c:pt idx="196">
                  <c:v>282.5</c:v>
                </c:pt>
                <c:pt idx="197">
                  <c:v>220</c:v>
                </c:pt>
                <c:pt idx="198">
                  <c:v>220</c:v>
                </c:pt>
                <c:pt idx="199">
                  <c:v>220</c:v>
                </c:pt>
                <c:pt idx="200">
                  <c:v>322.5</c:v>
                </c:pt>
                <c:pt idx="201">
                  <c:v>322.5</c:v>
                </c:pt>
                <c:pt idx="202">
                  <c:v>267.5</c:v>
                </c:pt>
                <c:pt idx="203">
                  <c:v>315</c:v>
                </c:pt>
                <c:pt idx="204">
                  <c:v>252.5</c:v>
                </c:pt>
                <c:pt idx="205">
                  <c:v>300</c:v>
                </c:pt>
                <c:pt idx="206">
                  <c:v>300</c:v>
                </c:pt>
                <c:pt idx="207">
                  <c:v>277.5</c:v>
                </c:pt>
                <c:pt idx="208">
                  <c:v>310</c:v>
                </c:pt>
                <c:pt idx="209">
                  <c:v>310</c:v>
                </c:pt>
                <c:pt idx="210">
                  <c:v>215</c:v>
                </c:pt>
                <c:pt idx="211">
                  <c:v>215</c:v>
                </c:pt>
                <c:pt idx="212">
                  <c:v>215</c:v>
                </c:pt>
                <c:pt idx="213">
                  <c:v>327.5</c:v>
                </c:pt>
                <c:pt idx="214">
                  <c:v>240</c:v>
                </c:pt>
                <c:pt idx="215">
                  <c:v>312.5</c:v>
                </c:pt>
                <c:pt idx="216">
                  <c:v>312.5</c:v>
                </c:pt>
                <c:pt idx="217">
                  <c:v>265</c:v>
                </c:pt>
                <c:pt idx="218">
                  <c:v>225</c:v>
                </c:pt>
                <c:pt idx="219">
                  <c:v>185</c:v>
                </c:pt>
                <c:pt idx="220">
                  <c:v>290</c:v>
                </c:pt>
                <c:pt idx="221">
                  <c:v>282.5</c:v>
                </c:pt>
                <c:pt idx="222">
                  <c:v>235</c:v>
                </c:pt>
                <c:pt idx="223">
                  <c:v>260</c:v>
                </c:pt>
                <c:pt idx="224">
                  <c:v>195</c:v>
                </c:pt>
                <c:pt idx="225">
                  <c:v>260</c:v>
                </c:pt>
                <c:pt idx="226">
                  <c:v>252.5</c:v>
                </c:pt>
                <c:pt idx="227">
                  <c:v>245</c:v>
                </c:pt>
                <c:pt idx="228">
                  <c:v>270</c:v>
                </c:pt>
                <c:pt idx="229">
                  <c:v>180</c:v>
                </c:pt>
                <c:pt idx="230">
                  <c:v>205</c:v>
                </c:pt>
                <c:pt idx="231">
                  <c:v>287.5</c:v>
                </c:pt>
                <c:pt idx="232">
                  <c:v>230</c:v>
                </c:pt>
                <c:pt idx="233">
                  <c:v>317.5</c:v>
                </c:pt>
                <c:pt idx="234">
                  <c:v>272.5</c:v>
                </c:pt>
                <c:pt idx="235">
                  <c:v>272.5</c:v>
                </c:pt>
                <c:pt idx="236">
                  <c:v>182.5</c:v>
                </c:pt>
                <c:pt idx="237">
                  <c:v>232.5</c:v>
                </c:pt>
                <c:pt idx="238">
                  <c:v>307.5</c:v>
                </c:pt>
                <c:pt idx="239">
                  <c:v>300</c:v>
                </c:pt>
                <c:pt idx="240">
                  <c:v>175</c:v>
                </c:pt>
                <c:pt idx="241">
                  <c:v>200</c:v>
                </c:pt>
                <c:pt idx="242">
                  <c:v>217.5</c:v>
                </c:pt>
                <c:pt idx="243">
                  <c:v>285</c:v>
                </c:pt>
                <c:pt idx="244">
                  <c:v>285</c:v>
                </c:pt>
                <c:pt idx="245">
                  <c:v>235</c:v>
                </c:pt>
                <c:pt idx="246">
                  <c:v>235</c:v>
                </c:pt>
                <c:pt idx="247">
                  <c:v>327.5</c:v>
                </c:pt>
                <c:pt idx="248">
                  <c:v>185</c:v>
                </c:pt>
                <c:pt idx="249">
                  <c:v>220</c:v>
                </c:pt>
                <c:pt idx="250">
                  <c:v>305</c:v>
                </c:pt>
                <c:pt idx="251">
                  <c:v>255</c:v>
                </c:pt>
                <c:pt idx="252">
                  <c:v>247.5</c:v>
                </c:pt>
                <c:pt idx="253">
                  <c:v>247.5</c:v>
                </c:pt>
                <c:pt idx="254">
                  <c:v>265</c:v>
                </c:pt>
                <c:pt idx="255">
                  <c:v>215</c:v>
                </c:pt>
                <c:pt idx="256">
                  <c:v>310</c:v>
                </c:pt>
                <c:pt idx="257">
                  <c:v>250</c:v>
                </c:pt>
                <c:pt idx="258">
                  <c:v>225</c:v>
                </c:pt>
                <c:pt idx="259">
                  <c:v>260</c:v>
                </c:pt>
                <c:pt idx="260">
                  <c:v>227.5</c:v>
                </c:pt>
                <c:pt idx="261">
                  <c:v>210</c:v>
                </c:pt>
                <c:pt idx="262">
                  <c:v>227.5</c:v>
                </c:pt>
                <c:pt idx="263">
                  <c:v>290</c:v>
                </c:pt>
                <c:pt idx="264">
                  <c:v>255</c:v>
                </c:pt>
                <c:pt idx="265">
                  <c:v>202.5</c:v>
                </c:pt>
                <c:pt idx="266">
                  <c:v>265</c:v>
                </c:pt>
                <c:pt idx="267">
                  <c:v>230</c:v>
                </c:pt>
                <c:pt idx="268">
                  <c:v>257.5</c:v>
                </c:pt>
                <c:pt idx="269">
                  <c:v>222.5</c:v>
                </c:pt>
                <c:pt idx="270">
                  <c:v>250</c:v>
                </c:pt>
                <c:pt idx="271">
                  <c:v>295</c:v>
                </c:pt>
                <c:pt idx="272">
                  <c:v>295</c:v>
                </c:pt>
                <c:pt idx="273">
                  <c:v>242.5</c:v>
                </c:pt>
                <c:pt idx="274">
                  <c:v>180</c:v>
                </c:pt>
                <c:pt idx="275">
                  <c:v>270</c:v>
                </c:pt>
                <c:pt idx="276">
                  <c:v>252.5</c:v>
                </c:pt>
                <c:pt idx="277">
                  <c:v>207.5</c:v>
                </c:pt>
                <c:pt idx="278">
                  <c:v>280</c:v>
                </c:pt>
                <c:pt idx="279">
                  <c:v>235</c:v>
                </c:pt>
                <c:pt idx="280">
                  <c:v>221</c:v>
                </c:pt>
                <c:pt idx="281">
                  <c:v>255</c:v>
                </c:pt>
                <c:pt idx="282">
                  <c:v>255</c:v>
                </c:pt>
                <c:pt idx="283">
                  <c:v>255</c:v>
                </c:pt>
                <c:pt idx="284">
                  <c:v>220</c:v>
                </c:pt>
                <c:pt idx="285">
                  <c:v>230</c:v>
                </c:pt>
                <c:pt idx="286">
                  <c:v>315</c:v>
                </c:pt>
                <c:pt idx="287">
                  <c:v>222.5</c:v>
                </c:pt>
                <c:pt idx="288">
                  <c:v>270</c:v>
                </c:pt>
                <c:pt idx="289">
                  <c:v>225.5</c:v>
                </c:pt>
                <c:pt idx="290">
                  <c:v>215</c:v>
                </c:pt>
                <c:pt idx="291">
                  <c:v>217.5</c:v>
                </c:pt>
                <c:pt idx="292">
                  <c:v>285</c:v>
                </c:pt>
                <c:pt idx="293">
                  <c:v>257.5</c:v>
                </c:pt>
                <c:pt idx="294">
                  <c:v>210</c:v>
                </c:pt>
                <c:pt idx="295">
                  <c:v>307.5</c:v>
                </c:pt>
                <c:pt idx="296">
                  <c:v>290</c:v>
                </c:pt>
                <c:pt idx="297">
                  <c:v>225</c:v>
                </c:pt>
                <c:pt idx="298">
                  <c:v>225</c:v>
                </c:pt>
                <c:pt idx="299">
                  <c:v>235</c:v>
                </c:pt>
                <c:pt idx="300">
                  <c:v>275</c:v>
                </c:pt>
                <c:pt idx="301">
                  <c:v>167.5</c:v>
                </c:pt>
                <c:pt idx="302">
                  <c:v>187.5</c:v>
                </c:pt>
                <c:pt idx="303">
                  <c:v>187.5</c:v>
                </c:pt>
                <c:pt idx="304">
                  <c:v>230</c:v>
                </c:pt>
                <c:pt idx="305">
                  <c:v>150</c:v>
                </c:pt>
                <c:pt idx="306">
                  <c:v>230</c:v>
                </c:pt>
                <c:pt idx="307">
                  <c:v>270</c:v>
                </c:pt>
                <c:pt idx="308">
                  <c:v>210</c:v>
                </c:pt>
                <c:pt idx="309">
                  <c:v>210</c:v>
                </c:pt>
                <c:pt idx="310">
                  <c:v>302.5</c:v>
                </c:pt>
                <c:pt idx="311">
                  <c:v>226</c:v>
                </c:pt>
                <c:pt idx="312">
                  <c:v>242.5</c:v>
                </c:pt>
                <c:pt idx="313">
                  <c:v>182.5</c:v>
                </c:pt>
                <c:pt idx="314">
                  <c:v>285</c:v>
                </c:pt>
                <c:pt idx="315">
                  <c:v>275</c:v>
                </c:pt>
                <c:pt idx="316">
                  <c:v>275</c:v>
                </c:pt>
                <c:pt idx="317">
                  <c:v>245</c:v>
                </c:pt>
                <c:pt idx="318">
                  <c:v>185</c:v>
                </c:pt>
                <c:pt idx="319">
                  <c:v>185</c:v>
                </c:pt>
                <c:pt idx="320">
                  <c:v>165</c:v>
                </c:pt>
                <c:pt idx="321">
                  <c:v>250</c:v>
                </c:pt>
                <c:pt idx="322">
                  <c:v>240</c:v>
                </c:pt>
                <c:pt idx="323">
                  <c:v>220</c:v>
                </c:pt>
                <c:pt idx="324">
                  <c:v>262.5</c:v>
                </c:pt>
                <c:pt idx="325">
                  <c:v>252.5</c:v>
                </c:pt>
                <c:pt idx="326">
                  <c:v>255</c:v>
                </c:pt>
                <c:pt idx="327">
                  <c:v>330</c:v>
                </c:pt>
                <c:pt idx="328">
                  <c:v>202.5</c:v>
                </c:pt>
                <c:pt idx="329">
                  <c:v>235</c:v>
                </c:pt>
                <c:pt idx="330">
                  <c:v>235</c:v>
                </c:pt>
                <c:pt idx="331">
                  <c:v>267.5</c:v>
                </c:pt>
                <c:pt idx="332">
                  <c:v>215</c:v>
                </c:pt>
                <c:pt idx="333">
                  <c:v>220</c:v>
                </c:pt>
                <c:pt idx="334">
                  <c:v>220</c:v>
                </c:pt>
                <c:pt idx="335">
                  <c:v>265</c:v>
                </c:pt>
                <c:pt idx="336">
                  <c:v>210</c:v>
                </c:pt>
                <c:pt idx="337">
                  <c:v>177.5</c:v>
                </c:pt>
                <c:pt idx="338">
                  <c:v>245</c:v>
                </c:pt>
                <c:pt idx="339">
                  <c:v>315</c:v>
                </c:pt>
                <c:pt idx="340">
                  <c:v>170</c:v>
                </c:pt>
                <c:pt idx="341">
                  <c:v>250</c:v>
                </c:pt>
                <c:pt idx="342">
                  <c:v>227.5</c:v>
                </c:pt>
                <c:pt idx="343">
                  <c:v>205</c:v>
                </c:pt>
                <c:pt idx="344">
                  <c:v>285</c:v>
                </c:pt>
                <c:pt idx="345">
                  <c:v>240</c:v>
                </c:pt>
                <c:pt idx="346">
                  <c:v>195</c:v>
                </c:pt>
                <c:pt idx="347">
                  <c:v>252.5</c:v>
                </c:pt>
                <c:pt idx="348">
                  <c:v>265</c:v>
                </c:pt>
                <c:pt idx="349">
                  <c:v>185</c:v>
                </c:pt>
                <c:pt idx="350">
                  <c:v>197.5</c:v>
                </c:pt>
                <c:pt idx="351">
                  <c:v>210</c:v>
                </c:pt>
                <c:pt idx="352">
                  <c:v>210</c:v>
                </c:pt>
                <c:pt idx="353">
                  <c:v>165</c:v>
                </c:pt>
                <c:pt idx="354">
                  <c:v>267.5</c:v>
                </c:pt>
                <c:pt idx="355">
                  <c:v>195</c:v>
                </c:pt>
                <c:pt idx="356">
                  <c:v>210</c:v>
                </c:pt>
                <c:pt idx="357">
                  <c:v>222.5</c:v>
                </c:pt>
                <c:pt idx="358">
                  <c:v>242.5</c:v>
                </c:pt>
                <c:pt idx="359">
                  <c:v>265</c:v>
                </c:pt>
                <c:pt idx="360">
                  <c:v>242.5</c:v>
                </c:pt>
                <c:pt idx="361">
                  <c:v>217.5</c:v>
                </c:pt>
                <c:pt idx="362">
                  <c:v>192.5</c:v>
                </c:pt>
                <c:pt idx="363">
                  <c:v>192.5</c:v>
                </c:pt>
                <c:pt idx="364">
                  <c:v>222.5</c:v>
                </c:pt>
                <c:pt idx="365">
                  <c:v>275</c:v>
                </c:pt>
                <c:pt idx="366">
                  <c:v>172.5</c:v>
                </c:pt>
                <c:pt idx="367">
                  <c:v>252.5</c:v>
                </c:pt>
                <c:pt idx="368">
                  <c:v>252.5</c:v>
                </c:pt>
                <c:pt idx="369">
                  <c:v>200</c:v>
                </c:pt>
                <c:pt idx="370">
                  <c:v>245</c:v>
                </c:pt>
                <c:pt idx="371">
                  <c:v>210</c:v>
                </c:pt>
                <c:pt idx="372">
                  <c:v>225</c:v>
                </c:pt>
                <c:pt idx="373">
                  <c:v>270</c:v>
                </c:pt>
                <c:pt idx="374">
                  <c:v>260</c:v>
                </c:pt>
                <c:pt idx="375">
                  <c:v>265</c:v>
                </c:pt>
                <c:pt idx="376">
                  <c:v>312.5</c:v>
                </c:pt>
                <c:pt idx="377">
                  <c:v>220</c:v>
                </c:pt>
                <c:pt idx="378">
                  <c:v>205</c:v>
                </c:pt>
                <c:pt idx="379">
                  <c:v>160</c:v>
                </c:pt>
                <c:pt idx="380">
                  <c:v>275</c:v>
                </c:pt>
                <c:pt idx="381">
                  <c:v>190</c:v>
                </c:pt>
                <c:pt idx="382">
                  <c:v>272.5</c:v>
                </c:pt>
                <c:pt idx="383">
                  <c:v>310</c:v>
                </c:pt>
                <c:pt idx="384">
                  <c:v>182.5</c:v>
                </c:pt>
                <c:pt idx="385">
                  <c:v>195</c:v>
                </c:pt>
                <c:pt idx="386">
                  <c:v>175</c:v>
                </c:pt>
                <c:pt idx="387">
                  <c:v>210</c:v>
                </c:pt>
                <c:pt idx="388">
                  <c:v>232.5</c:v>
                </c:pt>
                <c:pt idx="389">
                  <c:v>170</c:v>
                </c:pt>
                <c:pt idx="390">
                  <c:v>220</c:v>
                </c:pt>
                <c:pt idx="391">
                  <c:v>190</c:v>
                </c:pt>
                <c:pt idx="392">
                  <c:v>195</c:v>
                </c:pt>
                <c:pt idx="393">
                  <c:v>187.5</c:v>
                </c:pt>
                <c:pt idx="394">
                  <c:v>240</c:v>
                </c:pt>
                <c:pt idx="395">
                  <c:v>160</c:v>
                </c:pt>
                <c:pt idx="396">
                  <c:v>235</c:v>
                </c:pt>
                <c:pt idx="397">
                  <c:v>140</c:v>
                </c:pt>
                <c:pt idx="398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6-4892-9802-6CCC615B68F2}"/>
            </c:ext>
          </c:extLst>
        </c:ser>
        <c:ser>
          <c:idx val="1"/>
          <c:order val="1"/>
          <c:tx>
            <c:v>Women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6782212111141292E-2"/>
                  <c:y val="0.232753904840734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Squat'!$F$402:$F$661</c:f>
              <c:numCache>
                <c:formatCode>General</c:formatCode>
                <c:ptCount val="260"/>
                <c:pt idx="0">
                  <c:v>40</c:v>
                </c:pt>
                <c:pt idx="1">
                  <c:v>75</c:v>
                </c:pt>
                <c:pt idx="2">
                  <c:v>42.5</c:v>
                </c:pt>
                <c:pt idx="3">
                  <c:v>87.5</c:v>
                </c:pt>
                <c:pt idx="4">
                  <c:v>40</c:v>
                </c:pt>
                <c:pt idx="5">
                  <c:v>102.5</c:v>
                </c:pt>
                <c:pt idx="6">
                  <c:v>102.5</c:v>
                </c:pt>
                <c:pt idx="7">
                  <c:v>52.5</c:v>
                </c:pt>
                <c:pt idx="8">
                  <c:v>70</c:v>
                </c:pt>
                <c:pt idx="9">
                  <c:v>77.5</c:v>
                </c:pt>
                <c:pt idx="10">
                  <c:v>67.5</c:v>
                </c:pt>
                <c:pt idx="11">
                  <c:v>70</c:v>
                </c:pt>
                <c:pt idx="12">
                  <c:v>70</c:v>
                </c:pt>
                <c:pt idx="13">
                  <c:v>75</c:v>
                </c:pt>
                <c:pt idx="14">
                  <c:v>72.5</c:v>
                </c:pt>
                <c:pt idx="15">
                  <c:v>85</c:v>
                </c:pt>
                <c:pt idx="16">
                  <c:v>60</c:v>
                </c:pt>
                <c:pt idx="17">
                  <c:v>92.5</c:v>
                </c:pt>
                <c:pt idx="18">
                  <c:v>65</c:v>
                </c:pt>
                <c:pt idx="19">
                  <c:v>112.5</c:v>
                </c:pt>
                <c:pt idx="20">
                  <c:v>82.5</c:v>
                </c:pt>
                <c:pt idx="21">
                  <c:v>95</c:v>
                </c:pt>
                <c:pt idx="22">
                  <c:v>55</c:v>
                </c:pt>
                <c:pt idx="23">
                  <c:v>55</c:v>
                </c:pt>
                <c:pt idx="24">
                  <c:v>112.5</c:v>
                </c:pt>
                <c:pt idx="25">
                  <c:v>77.5</c:v>
                </c:pt>
                <c:pt idx="26">
                  <c:v>80</c:v>
                </c:pt>
                <c:pt idx="27">
                  <c:v>85</c:v>
                </c:pt>
                <c:pt idx="28">
                  <c:v>82.5</c:v>
                </c:pt>
                <c:pt idx="29">
                  <c:v>55</c:v>
                </c:pt>
                <c:pt idx="30">
                  <c:v>45</c:v>
                </c:pt>
                <c:pt idx="31">
                  <c:v>55</c:v>
                </c:pt>
                <c:pt idx="32">
                  <c:v>95</c:v>
                </c:pt>
                <c:pt idx="33">
                  <c:v>65</c:v>
                </c:pt>
                <c:pt idx="34">
                  <c:v>80</c:v>
                </c:pt>
                <c:pt idx="35">
                  <c:v>100</c:v>
                </c:pt>
                <c:pt idx="36">
                  <c:v>85</c:v>
                </c:pt>
                <c:pt idx="37">
                  <c:v>72.5</c:v>
                </c:pt>
                <c:pt idx="38">
                  <c:v>110</c:v>
                </c:pt>
                <c:pt idx="39">
                  <c:v>102.5</c:v>
                </c:pt>
                <c:pt idx="40">
                  <c:v>92.5</c:v>
                </c:pt>
                <c:pt idx="41">
                  <c:v>75</c:v>
                </c:pt>
                <c:pt idx="42">
                  <c:v>72.5</c:v>
                </c:pt>
                <c:pt idx="43">
                  <c:v>72.5</c:v>
                </c:pt>
                <c:pt idx="44">
                  <c:v>92.5</c:v>
                </c:pt>
                <c:pt idx="45">
                  <c:v>85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75</c:v>
                </c:pt>
                <c:pt idx="50">
                  <c:v>97.5</c:v>
                </c:pt>
                <c:pt idx="51">
                  <c:v>72.5</c:v>
                </c:pt>
                <c:pt idx="52">
                  <c:v>67.5</c:v>
                </c:pt>
                <c:pt idx="53">
                  <c:v>65</c:v>
                </c:pt>
                <c:pt idx="54">
                  <c:v>65</c:v>
                </c:pt>
                <c:pt idx="55">
                  <c:v>97.5</c:v>
                </c:pt>
                <c:pt idx="56">
                  <c:v>77.5</c:v>
                </c:pt>
                <c:pt idx="57">
                  <c:v>77.5</c:v>
                </c:pt>
                <c:pt idx="58">
                  <c:v>75</c:v>
                </c:pt>
                <c:pt idx="59">
                  <c:v>75</c:v>
                </c:pt>
                <c:pt idx="60">
                  <c:v>70</c:v>
                </c:pt>
                <c:pt idx="61">
                  <c:v>87.5</c:v>
                </c:pt>
                <c:pt idx="62">
                  <c:v>85</c:v>
                </c:pt>
                <c:pt idx="63">
                  <c:v>67.5</c:v>
                </c:pt>
                <c:pt idx="64">
                  <c:v>50</c:v>
                </c:pt>
                <c:pt idx="65">
                  <c:v>65</c:v>
                </c:pt>
                <c:pt idx="66">
                  <c:v>65</c:v>
                </c:pt>
                <c:pt idx="67">
                  <c:v>80</c:v>
                </c:pt>
                <c:pt idx="68">
                  <c:v>110</c:v>
                </c:pt>
                <c:pt idx="69">
                  <c:v>62.5</c:v>
                </c:pt>
                <c:pt idx="70">
                  <c:v>62.5</c:v>
                </c:pt>
                <c:pt idx="71">
                  <c:v>77.5</c:v>
                </c:pt>
                <c:pt idx="72">
                  <c:v>92.5</c:v>
                </c:pt>
                <c:pt idx="73">
                  <c:v>60</c:v>
                </c:pt>
                <c:pt idx="74">
                  <c:v>87.5</c:v>
                </c:pt>
                <c:pt idx="75">
                  <c:v>72.5</c:v>
                </c:pt>
                <c:pt idx="76">
                  <c:v>85</c:v>
                </c:pt>
                <c:pt idx="77">
                  <c:v>85</c:v>
                </c:pt>
                <c:pt idx="78">
                  <c:v>70</c:v>
                </c:pt>
                <c:pt idx="79">
                  <c:v>55</c:v>
                </c:pt>
                <c:pt idx="80">
                  <c:v>55</c:v>
                </c:pt>
                <c:pt idx="81">
                  <c:v>80</c:v>
                </c:pt>
                <c:pt idx="82">
                  <c:v>80</c:v>
                </c:pt>
                <c:pt idx="83">
                  <c:v>105</c:v>
                </c:pt>
                <c:pt idx="84">
                  <c:v>75</c:v>
                </c:pt>
                <c:pt idx="85">
                  <c:v>85</c:v>
                </c:pt>
                <c:pt idx="86">
                  <c:v>82.5</c:v>
                </c:pt>
                <c:pt idx="87">
                  <c:v>70</c:v>
                </c:pt>
                <c:pt idx="88">
                  <c:v>70</c:v>
                </c:pt>
                <c:pt idx="89">
                  <c:v>67.5</c:v>
                </c:pt>
                <c:pt idx="90">
                  <c:v>67.5</c:v>
                </c:pt>
                <c:pt idx="91">
                  <c:v>77.5</c:v>
                </c:pt>
                <c:pt idx="92">
                  <c:v>65</c:v>
                </c:pt>
                <c:pt idx="93">
                  <c:v>75</c:v>
                </c:pt>
                <c:pt idx="94">
                  <c:v>52.5</c:v>
                </c:pt>
                <c:pt idx="95">
                  <c:v>72.5</c:v>
                </c:pt>
                <c:pt idx="96">
                  <c:v>80</c:v>
                </c:pt>
                <c:pt idx="97">
                  <c:v>110</c:v>
                </c:pt>
                <c:pt idx="98">
                  <c:v>72.5</c:v>
                </c:pt>
                <c:pt idx="99">
                  <c:v>90</c:v>
                </c:pt>
                <c:pt idx="100">
                  <c:v>70</c:v>
                </c:pt>
                <c:pt idx="101">
                  <c:v>102.5</c:v>
                </c:pt>
                <c:pt idx="102">
                  <c:v>85</c:v>
                </c:pt>
                <c:pt idx="103">
                  <c:v>92.5</c:v>
                </c:pt>
                <c:pt idx="104">
                  <c:v>145.5</c:v>
                </c:pt>
                <c:pt idx="105">
                  <c:v>75</c:v>
                </c:pt>
                <c:pt idx="106">
                  <c:v>82.5</c:v>
                </c:pt>
                <c:pt idx="107">
                  <c:v>57.5</c:v>
                </c:pt>
                <c:pt idx="108">
                  <c:v>65</c:v>
                </c:pt>
                <c:pt idx="109">
                  <c:v>65</c:v>
                </c:pt>
                <c:pt idx="110">
                  <c:v>72.5</c:v>
                </c:pt>
                <c:pt idx="111">
                  <c:v>72.5</c:v>
                </c:pt>
                <c:pt idx="112">
                  <c:v>80</c:v>
                </c:pt>
                <c:pt idx="113">
                  <c:v>127.5</c:v>
                </c:pt>
                <c:pt idx="114">
                  <c:v>87.5</c:v>
                </c:pt>
                <c:pt idx="115">
                  <c:v>105</c:v>
                </c:pt>
                <c:pt idx="116">
                  <c:v>75</c:v>
                </c:pt>
                <c:pt idx="117">
                  <c:v>75</c:v>
                </c:pt>
                <c:pt idx="118">
                  <c:v>82.5</c:v>
                </c:pt>
                <c:pt idx="119">
                  <c:v>100</c:v>
                </c:pt>
                <c:pt idx="120">
                  <c:v>100</c:v>
                </c:pt>
                <c:pt idx="121">
                  <c:v>85</c:v>
                </c:pt>
                <c:pt idx="122">
                  <c:v>70</c:v>
                </c:pt>
                <c:pt idx="123">
                  <c:v>70</c:v>
                </c:pt>
                <c:pt idx="124">
                  <c:v>62.5</c:v>
                </c:pt>
                <c:pt idx="125">
                  <c:v>55</c:v>
                </c:pt>
                <c:pt idx="126">
                  <c:v>110</c:v>
                </c:pt>
                <c:pt idx="127">
                  <c:v>75</c:v>
                </c:pt>
                <c:pt idx="128">
                  <c:v>95</c:v>
                </c:pt>
                <c:pt idx="129">
                  <c:v>67.5</c:v>
                </c:pt>
                <c:pt idx="130">
                  <c:v>67.5</c:v>
                </c:pt>
                <c:pt idx="131">
                  <c:v>87.5</c:v>
                </c:pt>
                <c:pt idx="132">
                  <c:v>60</c:v>
                </c:pt>
                <c:pt idx="133">
                  <c:v>100</c:v>
                </c:pt>
                <c:pt idx="134">
                  <c:v>52.5</c:v>
                </c:pt>
                <c:pt idx="135">
                  <c:v>85</c:v>
                </c:pt>
                <c:pt idx="136">
                  <c:v>85</c:v>
                </c:pt>
                <c:pt idx="137">
                  <c:v>97.5</c:v>
                </c:pt>
                <c:pt idx="138">
                  <c:v>77.5</c:v>
                </c:pt>
                <c:pt idx="139">
                  <c:v>77.5</c:v>
                </c:pt>
                <c:pt idx="140">
                  <c:v>45</c:v>
                </c:pt>
                <c:pt idx="141">
                  <c:v>102.5</c:v>
                </c:pt>
                <c:pt idx="142">
                  <c:v>82.5</c:v>
                </c:pt>
                <c:pt idx="143">
                  <c:v>107.5</c:v>
                </c:pt>
                <c:pt idx="144">
                  <c:v>62.5</c:v>
                </c:pt>
                <c:pt idx="145">
                  <c:v>92.5</c:v>
                </c:pt>
                <c:pt idx="146">
                  <c:v>80</c:v>
                </c:pt>
                <c:pt idx="147">
                  <c:v>80</c:v>
                </c:pt>
                <c:pt idx="148">
                  <c:v>67.5</c:v>
                </c:pt>
                <c:pt idx="149">
                  <c:v>85</c:v>
                </c:pt>
                <c:pt idx="150">
                  <c:v>115</c:v>
                </c:pt>
                <c:pt idx="151">
                  <c:v>72.5</c:v>
                </c:pt>
                <c:pt idx="152">
                  <c:v>60</c:v>
                </c:pt>
                <c:pt idx="153">
                  <c:v>60</c:v>
                </c:pt>
                <c:pt idx="154">
                  <c:v>90</c:v>
                </c:pt>
                <c:pt idx="155">
                  <c:v>107.5</c:v>
                </c:pt>
                <c:pt idx="156">
                  <c:v>107.5</c:v>
                </c:pt>
                <c:pt idx="157">
                  <c:v>77.5</c:v>
                </c:pt>
                <c:pt idx="158">
                  <c:v>95</c:v>
                </c:pt>
                <c:pt idx="159">
                  <c:v>112.5</c:v>
                </c:pt>
                <c:pt idx="160">
                  <c:v>65</c:v>
                </c:pt>
                <c:pt idx="161">
                  <c:v>82.5</c:v>
                </c:pt>
                <c:pt idx="162">
                  <c:v>82.5</c:v>
                </c:pt>
                <c:pt idx="163">
                  <c:v>70</c:v>
                </c:pt>
                <c:pt idx="164">
                  <c:v>52.5</c:v>
                </c:pt>
                <c:pt idx="165">
                  <c:v>125</c:v>
                </c:pt>
                <c:pt idx="166">
                  <c:v>112.5</c:v>
                </c:pt>
                <c:pt idx="167">
                  <c:v>67.5</c:v>
                </c:pt>
                <c:pt idx="168">
                  <c:v>95</c:v>
                </c:pt>
                <c:pt idx="169">
                  <c:v>60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127.5</c:v>
                </c:pt>
                <c:pt idx="174">
                  <c:v>90</c:v>
                </c:pt>
                <c:pt idx="175">
                  <c:v>95</c:v>
                </c:pt>
                <c:pt idx="176">
                  <c:v>105</c:v>
                </c:pt>
                <c:pt idx="177">
                  <c:v>67.5</c:v>
                </c:pt>
                <c:pt idx="178">
                  <c:v>135</c:v>
                </c:pt>
                <c:pt idx="179">
                  <c:v>72.5</c:v>
                </c:pt>
                <c:pt idx="180">
                  <c:v>122.5</c:v>
                </c:pt>
                <c:pt idx="181">
                  <c:v>92.5</c:v>
                </c:pt>
                <c:pt idx="182">
                  <c:v>102.5</c:v>
                </c:pt>
                <c:pt idx="183">
                  <c:v>122.5</c:v>
                </c:pt>
                <c:pt idx="184">
                  <c:v>95</c:v>
                </c:pt>
                <c:pt idx="185">
                  <c:v>90</c:v>
                </c:pt>
                <c:pt idx="186">
                  <c:v>70</c:v>
                </c:pt>
                <c:pt idx="187">
                  <c:v>70</c:v>
                </c:pt>
                <c:pt idx="188">
                  <c:v>80</c:v>
                </c:pt>
                <c:pt idx="189">
                  <c:v>107.5</c:v>
                </c:pt>
                <c:pt idx="190">
                  <c:v>72.5</c:v>
                </c:pt>
                <c:pt idx="191">
                  <c:v>72.5</c:v>
                </c:pt>
                <c:pt idx="192">
                  <c:v>120</c:v>
                </c:pt>
                <c:pt idx="193">
                  <c:v>115</c:v>
                </c:pt>
                <c:pt idx="194">
                  <c:v>110</c:v>
                </c:pt>
                <c:pt idx="195">
                  <c:v>135.5</c:v>
                </c:pt>
                <c:pt idx="196">
                  <c:v>90</c:v>
                </c:pt>
                <c:pt idx="197">
                  <c:v>75</c:v>
                </c:pt>
                <c:pt idx="198">
                  <c:v>97.5</c:v>
                </c:pt>
                <c:pt idx="199">
                  <c:v>65</c:v>
                </c:pt>
                <c:pt idx="200">
                  <c:v>136</c:v>
                </c:pt>
                <c:pt idx="201">
                  <c:v>50</c:v>
                </c:pt>
                <c:pt idx="202">
                  <c:v>80</c:v>
                </c:pt>
                <c:pt idx="203">
                  <c:v>75</c:v>
                </c:pt>
                <c:pt idx="204">
                  <c:v>87.5</c:v>
                </c:pt>
                <c:pt idx="205">
                  <c:v>87.5</c:v>
                </c:pt>
                <c:pt idx="206">
                  <c:v>105</c:v>
                </c:pt>
                <c:pt idx="207">
                  <c:v>95</c:v>
                </c:pt>
                <c:pt idx="208">
                  <c:v>77.5</c:v>
                </c:pt>
                <c:pt idx="209">
                  <c:v>85</c:v>
                </c:pt>
                <c:pt idx="210">
                  <c:v>85</c:v>
                </c:pt>
                <c:pt idx="211">
                  <c:v>92.5</c:v>
                </c:pt>
                <c:pt idx="212">
                  <c:v>50</c:v>
                </c:pt>
                <c:pt idx="213">
                  <c:v>75</c:v>
                </c:pt>
                <c:pt idx="214">
                  <c:v>115</c:v>
                </c:pt>
                <c:pt idx="215">
                  <c:v>90</c:v>
                </c:pt>
                <c:pt idx="216">
                  <c:v>110</c:v>
                </c:pt>
                <c:pt idx="217">
                  <c:v>97.5</c:v>
                </c:pt>
                <c:pt idx="218">
                  <c:v>65</c:v>
                </c:pt>
                <c:pt idx="219">
                  <c:v>72.5</c:v>
                </c:pt>
                <c:pt idx="220">
                  <c:v>100</c:v>
                </c:pt>
                <c:pt idx="221">
                  <c:v>80</c:v>
                </c:pt>
                <c:pt idx="222">
                  <c:v>87.5</c:v>
                </c:pt>
                <c:pt idx="223">
                  <c:v>95</c:v>
                </c:pt>
                <c:pt idx="224">
                  <c:v>75</c:v>
                </c:pt>
                <c:pt idx="225">
                  <c:v>102.5</c:v>
                </c:pt>
                <c:pt idx="226">
                  <c:v>105</c:v>
                </c:pt>
                <c:pt idx="227">
                  <c:v>105</c:v>
                </c:pt>
                <c:pt idx="228">
                  <c:v>82.5</c:v>
                </c:pt>
                <c:pt idx="229">
                  <c:v>112.5</c:v>
                </c:pt>
                <c:pt idx="230">
                  <c:v>52.5</c:v>
                </c:pt>
                <c:pt idx="231">
                  <c:v>82.5</c:v>
                </c:pt>
                <c:pt idx="232">
                  <c:v>107.5</c:v>
                </c:pt>
                <c:pt idx="233">
                  <c:v>85</c:v>
                </c:pt>
                <c:pt idx="234">
                  <c:v>70</c:v>
                </c:pt>
                <c:pt idx="235">
                  <c:v>117.5</c:v>
                </c:pt>
                <c:pt idx="236">
                  <c:v>80</c:v>
                </c:pt>
                <c:pt idx="237">
                  <c:v>65</c:v>
                </c:pt>
                <c:pt idx="238">
                  <c:v>90.5</c:v>
                </c:pt>
                <c:pt idx="239">
                  <c:v>77.5</c:v>
                </c:pt>
                <c:pt idx="240">
                  <c:v>112.5</c:v>
                </c:pt>
                <c:pt idx="241">
                  <c:v>70</c:v>
                </c:pt>
                <c:pt idx="242">
                  <c:v>97.5</c:v>
                </c:pt>
                <c:pt idx="243">
                  <c:v>80</c:v>
                </c:pt>
                <c:pt idx="244">
                  <c:v>90</c:v>
                </c:pt>
                <c:pt idx="245">
                  <c:v>90</c:v>
                </c:pt>
                <c:pt idx="246">
                  <c:v>72.5</c:v>
                </c:pt>
                <c:pt idx="247">
                  <c:v>92.5</c:v>
                </c:pt>
                <c:pt idx="248">
                  <c:v>75</c:v>
                </c:pt>
                <c:pt idx="249">
                  <c:v>91</c:v>
                </c:pt>
                <c:pt idx="250">
                  <c:v>57.5</c:v>
                </c:pt>
                <c:pt idx="251">
                  <c:v>90</c:v>
                </c:pt>
                <c:pt idx="252">
                  <c:v>90</c:v>
                </c:pt>
                <c:pt idx="253">
                  <c:v>72.5</c:v>
                </c:pt>
                <c:pt idx="254">
                  <c:v>91.5</c:v>
                </c:pt>
                <c:pt idx="255">
                  <c:v>112.5</c:v>
                </c:pt>
                <c:pt idx="256">
                  <c:v>110</c:v>
                </c:pt>
                <c:pt idx="257">
                  <c:v>132.5</c:v>
                </c:pt>
                <c:pt idx="258">
                  <c:v>137.5</c:v>
                </c:pt>
                <c:pt idx="259">
                  <c:v>140.5</c:v>
                </c:pt>
              </c:numCache>
            </c:numRef>
          </c:xVal>
          <c:yVal>
            <c:numRef>
              <c:f>'Data Squat'!$E$402:$E$661</c:f>
              <c:numCache>
                <c:formatCode>General</c:formatCode>
                <c:ptCount val="260"/>
                <c:pt idx="0">
                  <c:v>105</c:v>
                </c:pt>
                <c:pt idx="1">
                  <c:v>192.5</c:v>
                </c:pt>
                <c:pt idx="2">
                  <c:v>105</c:v>
                </c:pt>
                <c:pt idx="3">
                  <c:v>212.5</c:v>
                </c:pt>
                <c:pt idx="4">
                  <c:v>90</c:v>
                </c:pt>
                <c:pt idx="5">
                  <c:v>230.5</c:v>
                </c:pt>
                <c:pt idx="6">
                  <c:v>230</c:v>
                </c:pt>
                <c:pt idx="7">
                  <c:v>115</c:v>
                </c:pt>
                <c:pt idx="8">
                  <c:v>152.5</c:v>
                </c:pt>
                <c:pt idx="9">
                  <c:v>167.5</c:v>
                </c:pt>
                <c:pt idx="10">
                  <c:v>145</c:v>
                </c:pt>
                <c:pt idx="11">
                  <c:v>150</c:v>
                </c:pt>
                <c:pt idx="12">
                  <c:v>150</c:v>
                </c:pt>
                <c:pt idx="13">
                  <c:v>160</c:v>
                </c:pt>
                <c:pt idx="14">
                  <c:v>152.5</c:v>
                </c:pt>
                <c:pt idx="15">
                  <c:v>177.5</c:v>
                </c:pt>
                <c:pt idx="16">
                  <c:v>125</c:v>
                </c:pt>
                <c:pt idx="17">
                  <c:v>192.5</c:v>
                </c:pt>
                <c:pt idx="18">
                  <c:v>135</c:v>
                </c:pt>
                <c:pt idx="19">
                  <c:v>232.5</c:v>
                </c:pt>
                <c:pt idx="20">
                  <c:v>170</c:v>
                </c:pt>
                <c:pt idx="21">
                  <c:v>195</c:v>
                </c:pt>
                <c:pt idx="22">
                  <c:v>112.5</c:v>
                </c:pt>
                <c:pt idx="23">
                  <c:v>112.5</c:v>
                </c:pt>
                <c:pt idx="24">
                  <c:v>230</c:v>
                </c:pt>
                <c:pt idx="25">
                  <c:v>157.5</c:v>
                </c:pt>
                <c:pt idx="26">
                  <c:v>162.5</c:v>
                </c:pt>
                <c:pt idx="27">
                  <c:v>172.5</c:v>
                </c:pt>
                <c:pt idx="28">
                  <c:v>165</c:v>
                </c:pt>
                <c:pt idx="29">
                  <c:v>110</c:v>
                </c:pt>
                <c:pt idx="30">
                  <c:v>90</c:v>
                </c:pt>
                <c:pt idx="31">
                  <c:v>110</c:v>
                </c:pt>
                <c:pt idx="32">
                  <c:v>190</c:v>
                </c:pt>
                <c:pt idx="33">
                  <c:v>130</c:v>
                </c:pt>
                <c:pt idx="34">
                  <c:v>160</c:v>
                </c:pt>
                <c:pt idx="35">
                  <c:v>197.5</c:v>
                </c:pt>
                <c:pt idx="36">
                  <c:v>167.5</c:v>
                </c:pt>
                <c:pt idx="37">
                  <c:v>142.5</c:v>
                </c:pt>
                <c:pt idx="38">
                  <c:v>215</c:v>
                </c:pt>
                <c:pt idx="39">
                  <c:v>200</c:v>
                </c:pt>
                <c:pt idx="40">
                  <c:v>180</c:v>
                </c:pt>
                <c:pt idx="41">
                  <c:v>145</c:v>
                </c:pt>
                <c:pt idx="42">
                  <c:v>140</c:v>
                </c:pt>
                <c:pt idx="43">
                  <c:v>140</c:v>
                </c:pt>
                <c:pt idx="44">
                  <c:v>177.5</c:v>
                </c:pt>
                <c:pt idx="45">
                  <c:v>162.5</c:v>
                </c:pt>
                <c:pt idx="46">
                  <c:v>152.5</c:v>
                </c:pt>
                <c:pt idx="47">
                  <c:v>152.5</c:v>
                </c:pt>
                <c:pt idx="48">
                  <c:v>152.5</c:v>
                </c:pt>
                <c:pt idx="49">
                  <c:v>142.5</c:v>
                </c:pt>
                <c:pt idx="50">
                  <c:v>185</c:v>
                </c:pt>
                <c:pt idx="51">
                  <c:v>137.5</c:v>
                </c:pt>
                <c:pt idx="52">
                  <c:v>127.5</c:v>
                </c:pt>
                <c:pt idx="53">
                  <c:v>122.5</c:v>
                </c:pt>
                <c:pt idx="54">
                  <c:v>122.5</c:v>
                </c:pt>
                <c:pt idx="55">
                  <c:v>182.5</c:v>
                </c:pt>
                <c:pt idx="56">
                  <c:v>145</c:v>
                </c:pt>
                <c:pt idx="57">
                  <c:v>145</c:v>
                </c:pt>
                <c:pt idx="58">
                  <c:v>140</c:v>
                </c:pt>
                <c:pt idx="59">
                  <c:v>140</c:v>
                </c:pt>
                <c:pt idx="60">
                  <c:v>130</c:v>
                </c:pt>
                <c:pt idx="61">
                  <c:v>162.5</c:v>
                </c:pt>
                <c:pt idx="62">
                  <c:v>157.5</c:v>
                </c:pt>
                <c:pt idx="63">
                  <c:v>125</c:v>
                </c:pt>
                <c:pt idx="64">
                  <c:v>92.5</c:v>
                </c:pt>
                <c:pt idx="65">
                  <c:v>120</c:v>
                </c:pt>
                <c:pt idx="66">
                  <c:v>120</c:v>
                </c:pt>
                <c:pt idx="67">
                  <c:v>147.5</c:v>
                </c:pt>
                <c:pt idx="68">
                  <c:v>202.5</c:v>
                </c:pt>
                <c:pt idx="69">
                  <c:v>115</c:v>
                </c:pt>
                <c:pt idx="70">
                  <c:v>115</c:v>
                </c:pt>
                <c:pt idx="71">
                  <c:v>142.5</c:v>
                </c:pt>
                <c:pt idx="72">
                  <c:v>170</c:v>
                </c:pt>
                <c:pt idx="73">
                  <c:v>110</c:v>
                </c:pt>
                <c:pt idx="74">
                  <c:v>160</c:v>
                </c:pt>
                <c:pt idx="75">
                  <c:v>132.5</c:v>
                </c:pt>
                <c:pt idx="76">
                  <c:v>155</c:v>
                </c:pt>
                <c:pt idx="77">
                  <c:v>155</c:v>
                </c:pt>
                <c:pt idx="78">
                  <c:v>127.5</c:v>
                </c:pt>
                <c:pt idx="79">
                  <c:v>100</c:v>
                </c:pt>
                <c:pt idx="80">
                  <c:v>100</c:v>
                </c:pt>
                <c:pt idx="81">
                  <c:v>145</c:v>
                </c:pt>
                <c:pt idx="82">
                  <c:v>145</c:v>
                </c:pt>
                <c:pt idx="83">
                  <c:v>190</c:v>
                </c:pt>
                <c:pt idx="84">
                  <c:v>135</c:v>
                </c:pt>
                <c:pt idx="85">
                  <c:v>152.5</c:v>
                </c:pt>
                <c:pt idx="86">
                  <c:v>147.5</c:v>
                </c:pt>
                <c:pt idx="87">
                  <c:v>125</c:v>
                </c:pt>
                <c:pt idx="88">
                  <c:v>125</c:v>
                </c:pt>
                <c:pt idx="89">
                  <c:v>120</c:v>
                </c:pt>
                <c:pt idx="90">
                  <c:v>120</c:v>
                </c:pt>
                <c:pt idx="91">
                  <c:v>137.5</c:v>
                </c:pt>
                <c:pt idx="92">
                  <c:v>115</c:v>
                </c:pt>
                <c:pt idx="93">
                  <c:v>132.5</c:v>
                </c:pt>
                <c:pt idx="94">
                  <c:v>92.5</c:v>
                </c:pt>
                <c:pt idx="95">
                  <c:v>127.5</c:v>
                </c:pt>
                <c:pt idx="96">
                  <c:v>140</c:v>
                </c:pt>
                <c:pt idx="97">
                  <c:v>192.5</c:v>
                </c:pt>
                <c:pt idx="98">
                  <c:v>125</c:v>
                </c:pt>
                <c:pt idx="99">
                  <c:v>155</c:v>
                </c:pt>
                <c:pt idx="100">
                  <c:v>120</c:v>
                </c:pt>
                <c:pt idx="101">
                  <c:v>175</c:v>
                </c:pt>
                <c:pt idx="102">
                  <c:v>145</c:v>
                </c:pt>
                <c:pt idx="103">
                  <c:v>157.5</c:v>
                </c:pt>
                <c:pt idx="104">
                  <c:v>247.5</c:v>
                </c:pt>
                <c:pt idx="105">
                  <c:v>127.5</c:v>
                </c:pt>
                <c:pt idx="106">
                  <c:v>140</c:v>
                </c:pt>
                <c:pt idx="107">
                  <c:v>97.5</c:v>
                </c:pt>
                <c:pt idx="108">
                  <c:v>110</c:v>
                </c:pt>
                <c:pt idx="109">
                  <c:v>110</c:v>
                </c:pt>
                <c:pt idx="110">
                  <c:v>122.5</c:v>
                </c:pt>
                <c:pt idx="111">
                  <c:v>122.5</c:v>
                </c:pt>
                <c:pt idx="112">
                  <c:v>135</c:v>
                </c:pt>
                <c:pt idx="113">
                  <c:v>215</c:v>
                </c:pt>
                <c:pt idx="114">
                  <c:v>147.5</c:v>
                </c:pt>
                <c:pt idx="115">
                  <c:v>175</c:v>
                </c:pt>
                <c:pt idx="116">
                  <c:v>125</c:v>
                </c:pt>
                <c:pt idx="117">
                  <c:v>125</c:v>
                </c:pt>
                <c:pt idx="118">
                  <c:v>137.5</c:v>
                </c:pt>
                <c:pt idx="119">
                  <c:v>165</c:v>
                </c:pt>
                <c:pt idx="120">
                  <c:v>165</c:v>
                </c:pt>
                <c:pt idx="121">
                  <c:v>140</c:v>
                </c:pt>
                <c:pt idx="122">
                  <c:v>115</c:v>
                </c:pt>
                <c:pt idx="123">
                  <c:v>115</c:v>
                </c:pt>
                <c:pt idx="124">
                  <c:v>102.5</c:v>
                </c:pt>
                <c:pt idx="125">
                  <c:v>90</c:v>
                </c:pt>
                <c:pt idx="126">
                  <c:v>180</c:v>
                </c:pt>
                <c:pt idx="127">
                  <c:v>122.5</c:v>
                </c:pt>
                <c:pt idx="128">
                  <c:v>155</c:v>
                </c:pt>
                <c:pt idx="129">
                  <c:v>110</c:v>
                </c:pt>
                <c:pt idx="130">
                  <c:v>110</c:v>
                </c:pt>
                <c:pt idx="131">
                  <c:v>142.5</c:v>
                </c:pt>
                <c:pt idx="132">
                  <c:v>97.5</c:v>
                </c:pt>
                <c:pt idx="133">
                  <c:v>162.5</c:v>
                </c:pt>
                <c:pt idx="134">
                  <c:v>85</c:v>
                </c:pt>
                <c:pt idx="135">
                  <c:v>137.5</c:v>
                </c:pt>
                <c:pt idx="136">
                  <c:v>137.5</c:v>
                </c:pt>
                <c:pt idx="137">
                  <c:v>157.5</c:v>
                </c:pt>
                <c:pt idx="138">
                  <c:v>125</c:v>
                </c:pt>
                <c:pt idx="139">
                  <c:v>125</c:v>
                </c:pt>
                <c:pt idx="140">
                  <c:v>72.5</c:v>
                </c:pt>
                <c:pt idx="141">
                  <c:v>165</c:v>
                </c:pt>
                <c:pt idx="142">
                  <c:v>132.5</c:v>
                </c:pt>
                <c:pt idx="143">
                  <c:v>172.5</c:v>
                </c:pt>
                <c:pt idx="144">
                  <c:v>100</c:v>
                </c:pt>
                <c:pt idx="145">
                  <c:v>147.5</c:v>
                </c:pt>
                <c:pt idx="146">
                  <c:v>127.5</c:v>
                </c:pt>
                <c:pt idx="147">
                  <c:v>127.5</c:v>
                </c:pt>
                <c:pt idx="148">
                  <c:v>107.5</c:v>
                </c:pt>
                <c:pt idx="149">
                  <c:v>135</c:v>
                </c:pt>
                <c:pt idx="150">
                  <c:v>182.5</c:v>
                </c:pt>
                <c:pt idx="151">
                  <c:v>115</c:v>
                </c:pt>
                <c:pt idx="152">
                  <c:v>95</c:v>
                </c:pt>
                <c:pt idx="153">
                  <c:v>95</c:v>
                </c:pt>
                <c:pt idx="154">
                  <c:v>142.5</c:v>
                </c:pt>
                <c:pt idx="155">
                  <c:v>170</c:v>
                </c:pt>
                <c:pt idx="156">
                  <c:v>170</c:v>
                </c:pt>
                <c:pt idx="157">
                  <c:v>122.5</c:v>
                </c:pt>
                <c:pt idx="158">
                  <c:v>150</c:v>
                </c:pt>
                <c:pt idx="159">
                  <c:v>177.5</c:v>
                </c:pt>
                <c:pt idx="160">
                  <c:v>102.5</c:v>
                </c:pt>
                <c:pt idx="161">
                  <c:v>130</c:v>
                </c:pt>
                <c:pt idx="162">
                  <c:v>130</c:v>
                </c:pt>
                <c:pt idx="163">
                  <c:v>110</c:v>
                </c:pt>
                <c:pt idx="164">
                  <c:v>82.5</c:v>
                </c:pt>
                <c:pt idx="165">
                  <c:v>195</c:v>
                </c:pt>
                <c:pt idx="166">
                  <c:v>175</c:v>
                </c:pt>
                <c:pt idx="167">
                  <c:v>105</c:v>
                </c:pt>
                <c:pt idx="168">
                  <c:v>147.5</c:v>
                </c:pt>
                <c:pt idx="169">
                  <c:v>92.5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195</c:v>
                </c:pt>
                <c:pt idx="174">
                  <c:v>137.5</c:v>
                </c:pt>
                <c:pt idx="175">
                  <c:v>145</c:v>
                </c:pt>
                <c:pt idx="176">
                  <c:v>160</c:v>
                </c:pt>
                <c:pt idx="177">
                  <c:v>102.5</c:v>
                </c:pt>
                <c:pt idx="178">
                  <c:v>205</c:v>
                </c:pt>
                <c:pt idx="179">
                  <c:v>110</c:v>
                </c:pt>
                <c:pt idx="180">
                  <c:v>185.5</c:v>
                </c:pt>
                <c:pt idx="181">
                  <c:v>140</c:v>
                </c:pt>
                <c:pt idx="182">
                  <c:v>155</c:v>
                </c:pt>
                <c:pt idx="183">
                  <c:v>185</c:v>
                </c:pt>
                <c:pt idx="184">
                  <c:v>142.5</c:v>
                </c:pt>
                <c:pt idx="185">
                  <c:v>135</c:v>
                </c:pt>
                <c:pt idx="186">
                  <c:v>105</c:v>
                </c:pt>
                <c:pt idx="187">
                  <c:v>105</c:v>
                </c:pt>
                <c:pt idx="188">
                  <c:v>120</c:v>
                </c:pt>
                <c:pt idx="189">
                  <c:v>160</c:v>
                </c:pt>
                <c:pt idx="190">
                  <c:v>107.5</c:v>
                </c:pt>
                <c:pt idx="191">
                  <c:v>107.5</c:v>
                </c:pt>
                <c:pt idx="192">
                  <c:v>177.5</c:v>
                </c:pt>
                <c:pt idx="193">
                  <c:v>170</c:v>
                </c:pt>
                <c:pt idx="194">
                  <c:v>162.5</c:v>
                </c:pt>
                <c:pt idx="195">
                  <c:v>200</c:v>
                </c:pt>
                <c:pt idx="196">
                  <c:v>132.5</c:v>
                </c:pt>
                <c:pt idx="197">
                  <c:v>110</c:v>
                </c:pt>
                <c:pt idx="198">
                  <c:v>142.5</c:v>
                </c:pt>
                <c:pt idx="199">
                  <c:v>95</c:v>
                </c:pt>
                <c:pt idx="200">
                  <c:v>197.5</c:v>
                </c:pt>
                <c:pt idx="201">
                  <c:v>72.5</c:v>
                </c:pt>
                <c:pt idx="202">
                  <c:v>115</c:v>
                </c:pt>
                <c:pt idx="203">
                  <c:v>107.5</c:v>
                </c:pt>
                <c:pt idx="204">
                  <c:v>125</c:v>
                </c:pt>
                <c:pt idx="205">
                  <c:v>125</c:v>
                </c:pt>
                <c:pt idx="206">
                  <c:v>150</c:v>
                </c:pt>
                <c:pt idx="207">
                  <c:v>135</c:v>
                </c:pt>
                <c:pt idx="208">
                  <c:v>110</c:v>
                </c:pt>
                <c:pt idx="209">
                  <c:v>120</c:v>
                </c:pt>
                <c:pt idx="210">
                  <c:v>120</c:v>
                </c:pt>
                <c:pt idx="211">
                  <c:v>130</c:v>
                </c:pt>
                <c:pt idx="212">
                  <c:v>70</c:v>
                </c:pt>
                <c:pt idx="213">
                  <c:v>105</c:v>
                </c:pt>
                <c:pt idx="214">
                  <c:v>160</c:v>
                </c:pt>
                <c:pt idx="215">
                  <c:v>125</c:v>
                </c:pt>
                <c:pt idx="216">
                  <c:v>152.5</c:v>
                </c:pt>
                <c:pt idx="217">
                  <c:v>135</c:v>
                </c:pt>
                <c:pt idx="218">
                  <c:v>90</c:v>
                </c:pt>
                <c:pt idx="219">
                  <c:v>100</c:v>
                </c:pt>
                <c:pt idx="220">
                  <c:v>137.5</c:v>
                </c:pt>
                <c:pt idx="221">
                  <c:v>110</c:v>
                </c:pt>
                <c:pt idx="222">
                  <c:v>120</c:v>
                </c:pt>
                <c:pt idx="223">
                  <c:v>130</c:v>
                </c:pt>
                <c:pt idx="224">
                  <c:v>102.5</c:v>
                </c:pt>
                <c:pt idx="225">
                  <c:v>140</c:v>
                </c:pt>
                <c:pt idx="226">
                  <c:v>142.5</c:v>
                </c:pt>
                <c:pt idx="227">
                  <c:v>142.5</c:v>
                </c:pt>
                <c:pt idx="228">
                  <c:v>110</c:v>
                </c:pt>
                <c:pt idx="229">
                  <c:v>150</c:v>
                </c:pt>
                <c:pt idx="230">
                  <c:v>70</c:v>
                </c:pt>
                <c:pt idx="231">
                  <c:v>110</c:v>
                </c:pt>
                <c:pt idx="232">
                  <c:v>142.5</c:v>
                </c:pt>
                <c:pt idx="233">
                  <c:v>112.5</c:v>
                </c:pt>
                <c:pt idx="234">
                  <c:v>92.5</c:v>
                </c:pt>
                <c:pt idx="235">
                  <c:v>155</c:v>
                </c:pt>
                <c:pt idx="236">
                  <c:v>105</c:v>
                </c:pt>
                <c:pt idx="237">
                  <c:v>85</c:v>
                </c:pt>
                <c:pt idx="238">
                  <c:v>117.5</c:v>
                </c:pt>
                <c:pt idx="239">
                  <c:v>100</c:v>
                </c:pt>
                <c:pt idx="240">
                  <c:v>145</c:v>
                </c:pt>
                <c:pt idx="241">
                  <c:v>90</c:v>
                </c:pt>
                <c:pt idx="242">
                  <c:v>125</c:v>
                </c:pt>
                <c:pt idx="243">
                  <c:v>102.5</c:v>
                </c:pt>
                <c:pt idx="244">
                  <c:v>115</c:v>
                </c:pt>
                <c:pt idx="245">
                  <c:v>115</c:v>
                </c:pt>
                <c:pt idx="246">
                  <c:v>92.5</c:v>
                </c:pt>
                <c:pt idx="247">
                  <c:v>117.5</c:v>
                </c:pt>
                <c:pt idx="248">
                  <c:v>95</c:v>
                </c:pt>
                <c:pt idx="249">
                  <c:v>115</c:v>
                </c:pt>
                <c:pt idx="250">
                  <c:v>72.5</c:v>
                </c:pt>
                <c:pt idx="251">
                  <c:v>112.5</c:v>
                </c:pt>
                <c:pt idx="252">
                  <c:v>112.5</c:v>
                </c:pt>
                <c:pt idx="253">
                  <c:v>90</c:v>
                </c:pt>
                <c:pt idx="254">
                  <c:v>110</c:v>
                </c:pt>
                <c:pt idx="255">
                  <c:v>132.5</c:v>
                </c:pt>
                <c:pt idx="256">
                  <c:v>122.5</c:v>
                </c:pt>
                <c:pt idx="257">
                  <c:v>142.5</c:v>
                </c:pt>
                <c:pt idx="258">
                  <c:v>142.5</c:v>
                </c:pt>
                <c:pt idx="259">
                  <c:v>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6-4892-9802-6CCC615B6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88320"/>
        <c:axId val="445193024"/>
      </c:scatterChart>
      <c:valAx>
        <c:axId val="44518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Bench Press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3024"/>
        <c:crosses val="autoZero"/>
        <c:crossBetween val="midCat"/>
      </c:valAx>
      <c:valAx>
        <c:axId val="4451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Squat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Bench Press vs. Deadlift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IPF Classic (Unequipped) Championship Data 2012–2015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9442932566444682E-2"/>
                  <c:y val="-4.85239973795553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Dead'!$F$2:$F$399</c:f>
              <c:numCache>
                <c:formatCode>General</c:formatCode>
                <c:ptCount val="398"/>
                <c:pt idx="0">
                  <c:v>270.5</c:v>
                </c:pt>
                <c:pt idx="1">
                  <c:v>270</c:v>
                </c:pt>
                <c:pt idx="2">
                  <c:v>260.5</c:v>
                </c:pt>
                <c:pt idx="3">
                  <c:v>252.5</c:v>
                </c:pt>
                <c:pt idx="4">
                  <c:v>250</c:v>
                </c:pt>
                <c:pt idx="5">
                  <c:v>245</c:v>
                </c:pt>
                <c:pt idx="6">
                  <c:v>245</c:v>
                </c:pt>
                <c:pt idx="7">
                  <c:v>242.5</c:v>
                </c:pt>
                <c:pt idx="8">
                  <c:v>240</c:v>
                </c:pt>
                <c:pt idx="9">
                  <c:v>237.5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232.5</c:v>
                </c:pt>
                <c:pt idx="14">
                  <c:v>232.5</c:v>
                </c:pt>
                <c:pt idx="15">
                  <c:v>230</c:v>
                </c:pt>
                <c:pt idx="16">
                  <c:v>230</c:v>
                </c:pt>
                <c:pt idx="17">
                  <c:v>227.5</c:v>
                </c:pt>
                <c:pt idx="18">
                  <c:v>227.5</c:v>
                </c:pt>
                <c:pt idx="19">
                  <c:v>225</c:v>
                </c:pt>
                <c:pt idx="20">
                  <c:v>225</c:v>
                </c:pt>
                <c:pt idx="21">
                  <c:v>225</c:v>
                </c:pt>
                <c:pt idx="22">
                  <c:v>222.5</c:v>
                </c:pt>
                <c:pt idx="23">
                  <c:v>222.5</c:v>
                </c:pt>
                <c:pt idx="24">
                  <c:v>222.5</c:v>
                </c:pt>
                <c:pt idx="25">
                  <c:v>222.5</c:v>
                </c:pt>
                <c:pt idx="26">
                  <c:v>222.5</c:v>
                </c:pt>
                <c:pt idx="27">
                  <c:v>222.5</c:v>
                </c:pt>
                <c:pt idx="28">
                  <c:v>221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217.5</c:v>
                </c:pt>
                <c:pt idx="35">
                  <c:v>215</c:v>
                </c:pt>
                <c:pt idx="36">
                  <c:v>215</c:v>
                </c:pt>
                <c:pt idx="37">
                  <c:v>215</c:v>
                </c:pt>
                <c:pt idx="38">
                  <c:v>215</c:v>
                </c:pt>
                <c:pt idx="39">
                  <c:v>215</c:v>
                </c:pt>
                <c:pt idx="40">
                  <c:v>215</c:v>
                </c:pt>
                <c:pt idx="41">
                  <c:v>215</c:v>
                </c:pt>
                <c:pt idx="42">
                  <c:v>215</c:v>
                </c:pt>
                <c:pt idx="43">
                  <c:v>215</c:v>
                </c:pt>
                <c:pt idx="44">
                  <c:v>215</c:v>
                </c:pt>
                <c:pt idx="45">
                  <c:v>215</c:v>
                </c:pt>
                <c:pt idx="46">
                  <c:v>215</c:v>
                </c:pt>
                <c:pt idx="47">
                  <c:v>215</c:v>
                </c:pt>
                <c:pt idx="48">
                  <c:v>212.5</c:v>
                </c:pt>
                <c:pt idx="49">
                  <c:v>212.5</c:v>
                </c:pt>
                <c:pt idx="50">
                  <c:v>212.5</c:v>
                </c:pt>
                <c:pt idx="51">
                  <c:v>212.5</c:v>
                </c:pt>
                <c:pt idx="52">
                  <c:v>212.5</c:v>
                </c:pt>
                <c:pt idx="53">
                  <c:v>212.5</c:v>
                </c:pt>
                <c:pt idx="54">
                  <c:v>212.5</c:v>
                </c:pt>
                <c:pt idx="55">
                  <c:v>212.5</c:v>
                </c:pt>
                <c:pt idx="56">
                  <c:v>210.5</c:v>
                </c:pt>
                <c:pt idx="57">
                  <c:v>210</c:v>
                </c:pt>
                <c:pt idx="58">
                  <c:v>210</c:v>
                </c:pt>
                <c:pt idx="59">
                  <c:v>210</c:v>
                </c:pt>
                <c:pt idx="60">
                  <c:v>210</c:v>
                </c:pt>
                <c:pt idx="61">
                  <c:v>210</c:v>
                </c:pt>
                <c:pt idx="62">
                  <c:v>210</c:v>
                </c:pt>
                <c:pt idx="63">
                  <c:v>210</c:v>
                </c:pt>
                <c:pt idx="64">
                  <c:v>210</c:v>
                </c:pt>
                <c:pt idx="65">
                  <c:v>207.5</c:v>
                </c:pt>
                <c:pt idx="66">
                  <c:v>207.5</c:v>
                </c:pt>
                <c:pt idx="67">
                  <c:v>207.5</c:v>
                </c:pt>
                <c:pt idx="68">
                  <c:v>207.5</c:v>
                </c:pt>
                <c:pt idx="69">
                  <c:v>207.5</c:v>
                </c:pt>
                <c:pt idx="70">
                  <c:v>207.5</c:v>
                </c:pt>
                <c:pt idx="71">
                  <c:v>207.5</c:v>
                </c:pt>
                <c:pt idx="72">
                  <c:v>207.5</c:v>
                </c:pt>
                <c:pt idx="73">
                  <c:v>205</c:v>
                </c:pt>
                <c:pt idx="74">
                  <c:v>205</c:v>
                </c:pt>
                <c:pt idx="75">
                  <c:v>205</c:v>
                </c:pt>
                <c:pt idx="76">
                  <c:v>205</c:v>
                </c:pt>
                <c:pt idx="77">
                  <c:v>205</c:v>
                </c:pt>
                <c:pt idx="78">
                  <c:v>205</c:v>
                </c:pt>
                <c:pt idx="79">
                  <c:v>205</c:v>
                </c:pt>
                <c:pt idx="80">
                  <c:v>205</c:v>
                </c:pt>
                <c:pt idx="81">
                  <c:v>205</c:v>
                </c:pt>
                <c:pt idx="82">
                  <c:v>205</c:v>
                </c:pt>
                <c:pt idx="83">
                  <c:v>205</c:v>
                </c:pt>
                <c:pt idx="84">
                  <c:v>205</c:v>
                </c:pt>
                <c:pt idx="85">
                  <c:v>202.5</c:v>
                </c:pt>
                <c:pt idx="86">
                  <c:v>202.5</c:v>
                </c:pt>
                <c:pt idx="87">
                  <c:v>202.5</c:v>
                </c:pt>
                <c:pt idx="88">
                  <c:v>202.5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197.5</c:v>
                </c:pt>
                <c:pt idx="102">
                  <c:v>197.5</c:v>
                </c:pt>
                <c:pt idx="103">
                  <c:v>197.5</c:v>
                </c:pt>
                <c:pt idx="104">
                  <c:v>197.5</c:v>
                </c:pt>
                <c:pt idx="105">
                  <c:v>197.5</c:v>
                </c:pt>
                <c:pt idx="106">
                  <c:v>197.5</c:v>
                </c:pt>
                <c:pt idx="107">
                  <c:v>197.5</c:v>
                </c:pt>
                <c:pt idx="108">
                  <c:v>195</c:v>
                </c:pt>
                <c:pt idx="109">
                  <c:v>195</c:v>
                </c:pt>
                <c:pt idx="110">
                  <c:v>195</c:v>
                </c:pt>
                <c:pt idx="111">
                  <c:v>195</c:v>
                </c:pt>
                <c:pt idx="112">
                  <c:v>195</c:v>
                </c:pt>
                <c:pt idx="113">
                  <c:v>195</c:v>
                </c:pt>
                <c:pt idx="114">
                  <c:v>195</c:v>
                </c:pt>
                <c:pt idx="115">
                  <c:v>195</c:v>
                </c:pt>
                <c:pt idx="116">
                  <c:v>195</c:v>
                </c:pt>
                <c:pt idx="117">
                  <c:v>193.5</c:v>
                </c:pt>
                <c:pt idx="118">
                  <c:v>192.5</c:v>
                </c:pt>
                <c:pt idx="119">
                  <c:v>192.5</c:v>
                </c:pt>
                <c:pt idx="120">
                  <c:v>192.5</c:v>
                </c:pt>
                <c:pt idx="121">
                  <c:v>192.5</c:v>
                </c:pt>
                <c:pt idx="122">
                  <c:v>192.5</c:v>
                </c:pt>
                <c:pt idx="123">
                  <c:v>192.5</c:v>
                </c:pt>
                <c:pt idx="124">
                  <c:v>190</c:v>
                </c:pt>
                <c:pt idx="125">
                  <c:v>190</c:v>
                </c:pt>
                <c:pt idx="126">
                  <c:v>190</c:v>
                </c:pt>
                <c:pt idx="127">
                  <c:v>190</c:v>
                </c:pt>
                <c:pt idx="128">
                  <c:v>190</c:v>
                </c:pt>
                <c:pt idx="129">
                  <c:v>190</c:v>
                </c:pt>
                <c:pt idx="130">
                  <c:v>190</c:v>
                </c:pt>
                <c:pt idx="131">
                  <c:v>190</c:v>
                </c:pt>
                <c:pt idx="132">
                  <c:v>190</c:v>
                </c:pt>
                <c:pt idx="133">
                  <c:v>190</c:v>
                </c:pt>
                <c:pt idx="134">
                  <c:v>187.5</c:v>
                </c:pt>
                <c:pt idx="135">
                  <c:v>187.5</c:v>
                </c:pt>
                <c:pt idx="136">
                  <c:v>187.5</c:v>
                </c:pt>
                <c:pt idx="137">
                  <c:v>187.5</c:v>
                </c:pt>
                <c:pt idx="138">
                  <c:v>187.5</c:v>
                </c:pt>
                <c:pt idx="139">
                  <c:v>187.5</c:v>
                </c:pt>
                <c:pt idx="140">
                  <c:v>187.5</c:v>
                </c:pt>
                <c:pt idx="141">
                  <c:v>187.5</c:v>
                </c:pt>
                <c:pt idx="142">
                  <c:v>187.5</c:v>
                </c:pt>
                <c:pt idx="143">
                  <c:v>187.5</c:v>
                </c:pt>
                <c:pt idx="144">
                  <c:v>185</c:v>
                </c:pt>
                <c:pt idx="145">
                  <c:v>185</c:v>
                </c:pt>
                <c:pt idx="146">
                  <c:v>185</c:v>
                </c:pt>
                <c:pt idx="147">
                  <c:v>185</c:v>
                </c:pt>
                <c:pt idx="148">
                  <c:v>185</c:v>
                </c:pt>
                <c:pt idx="149">
                  <c:v>185</c:v>
                </c:pt>
                <c:pt idx="150">
                  <c:v>185</c:v>
                </c:pt>
                <c:pt idx="151">
                  <c:v>185</c:v>
                </c:pt>
                <c:pt idx="152">
                  <c:v>185</c:v>
                </c:pt>
                <c:pt idx="153">
                  <c:v>185</c:v>
                </c:pt>
                <c:pt idx="154">
                  <c:v>185</c:v>
                </c:pt>
                <c:pt idx="155">
                  <c:v>182.5</c:v>
                </c:pt>
                <c:pt idx="156">
                  <c:v>182.5</c:v>
                </c:pt>
                <c:pt idx="157">
                  <c:v>182.5</c:v>
                </c:pt>
                <c:pt idx="158">
                  <c:v>182.5</c:v>
                </c:pt>
                <c:pt idx="159">
                  <c:v>182.5</c:v>
                </c:pt>
                <c:pt idx="160">
                  <c:v>182.5</c:v>
                </c:pt>
                <c:pt idx="161">
                  <c:v>182.5</c:v>
                </c:pt>
                <c:pt idx="162">
                  <c:v>182.5</c:v>
                </c:pt>
                <c:pt idx="163">
                  <c:v>182.5</c:v>
                </c:pt>
                <c:pt idx="164">
                  <c:v>180</c:v>
                </c:pt>
                <c:pt idx="165">
                  <c:v>180</c:v>
                </c:pt>
                <c:pt idx="166">
                  <c:v>180</c:v>
                </c:pt>
                <c:pt idx="167">
                  <c:v>180</c:v>
                </c:pt>
                <c:pt idx="168">
                  <c:v>180</c:v>
                </c:pt>
                <c:pt idx="169">
                  <c:v>180</c:v>
                </c:pt>
                <c:pt idx="170">
                  <c:v>180</c:v>
                </c:pt>
                <c:pt idx="171">
                  <c:v>180</c:v>
                </c:pt>
                <c:pt idx="172">
                  <c:v>180</c:v>
                </c:pt>
                <c:pt idx="173">
                  <c:v>180</c:v>
                </c:pt>
                <c:pt idx="174">
                  <c:v>180</c:v>
                </c:pt>
                <c:pt idx="175">
                  <c:v>180</c:v>
                </c:pt>
                <c:pt idx="176">
                  <c:v>180</c:v>
                </c:pt>
                <c:pt idx="177">
                  <c:v>180</c:v>
                </c:pt>
                <c:pt idx="178">
                  <c:v>180</c:v>
                </c:pt>
                <c:pt idx="179">
                  <c:v>177.5</c:v>
                </c:pt>
                <c:pt idx="180">
                  <c:v>177.5</c:v>
                </c:pt>
                <c:pt idx="181">
                  <c:v>177.5</c:v>
                </c:pt>
                <c:pt idx="182">
                  <c:v>177.5</c:v>
                </c:pt>
                <c:pt idx="183">
                  <c:v>177.5</c:v>
                </c:pt>
                <c:pt idx="184">
                  <c:v>177.5</c:v>
                </c:pt>
                <c:pt idx="185">
                  <c:v>177.5</c:v>
                </c:pt>
                <c:pt idx="186">
                  <c:v>175</c:v>
                </c:pt>
                <c:pt idx="187">
                  <c:v>175</c:v>
                </c:pt>
                <c:pt idx="188">
                  <c:v>175</c:v>
                </c:pt>
                <c:pt idx="189">
                  <c:v>175</c:v>
                </c:pt>
                <c:pt idx="190">
                  <c:v>175</c:v>
                </c:pt>
                <c:pt idx="191">
                  <c:v>175</c:v>
                </c:pt>
                <c:pt idx="192">
                  <c:v>175</c:v>
                </c:pt>
                <c:pt idx="193">
                  <c:v>175</c:v>
                </c:pt>
                <c:pt idx="194">
                  <c:v>175</c:v>
                </c:pt>
                <c:pt idx="195">
                  <c:v>175</c:v>
                </c:pt>
                <c:pt idx="196">
                  <c:v>175</c:v>
                </c:pt>
                <c:pt idx="197">
                  <c:v>172.5</c:v>
                </c:pt>
                <c:pt idx="198">
                  <c:v>172.5</c:v>
                </c:pt>
                <c:pt idx="199">
                  <c:v>172.5</c:v>
                </c:pt>
                <c:pt idx="200">
                  <c:v>172.5</c:v>
                </c:pt>
                <c:pt idx="201">
                  <c:v>172.5</c:v>
                </c:pt>
                <c:pt idx="202">
                  <c:v>172.5</c:v>
                </c:pt>
                <c:pt idx="203">
                  <c:v>172.5</c:v>
                </c:pt>
                <c:pt idx="204">
                  <c:v>172.5</c:v>
                </c:pt>
                <c:pt idx="205">
                  <c:v>172.5</c:v>
                </c:pt>
                <c:pt idx="206">
                  <c:v>172.5</c:v>
                </c:pt>
                <c:pt idx="207">
                  <c:v>172.5</c:v>
                </c:pt>
                <c:pt idx="208">
                  <c:v>172.5</c:v>
                </c:pt>
                <c:pt idx="209">
                  <c:v>170</c:v>
                </c:pt>
                <c:pt idx="210">
                  <c:v>170</c:v>
                </c:pt>
                <c:pt idx="211">
                  <c:v>170</c:v>
                </c:pt>
                <c:pt idx="212">
                  <c:v>170</c:v>
                </c:pt>
                <c:pt idx="213">
                  <c:v>170</c:v>
                </c:pt>
                <c:pt idx="214">
                  <c:v>170</c:v>
                </c:pt>
                <c:pt idx="215">
                  <c:v>170</c:v>
                </c:pt>
                <c:pt idx="216">
                  <c:v>170</c:v>
                </c:pt>
                <c:pt idx="217">
                  <c:v>170</c:v>
                </c:pt>
                <c:pt idx="218">
                  <c:v>170</c:v>
                </c:pt>
                <c:pt idx="219">
                  <c:v>170</c:v>
                </c:pt>
                <c:pt idx="220">
                  <c:v>170</c:v>
                </c:pt>
                <c:pt idx="221">
                  <c:v>170</c:v>
                </c:pt>
                <c:pt idx="222">
                  <c:v>170</c:v>
                </c:pt>
                <c:pt idx="223">
                  <c:v>167.5</c:v>
                </c:pt>
                <c:pt idx="224">
                  <c:v>167.5</c:v>
                </c:pt>
                <c:pt idx="225">
                  <c:v>167.5</c:v>
                </c:pt>
                <c:pt idx="226">
                  <c:v>167.5</c:v>
                </c:pt>
                <c:pt idx="227">
                  <c:v>167.5</c:v>
                </c:pt>
                <c:pt idx="228">
                  <c:v>167.5</c:v>
                </c:pt>
                <c:pt idx="229">
                  <c:v>167.5</c:v>
                </c:pt>
                <c:pt idx="230">
                  <c:v>167.5</c:v>
                </c:pt>
                <c:pt idx="231">
                  <c:v>167.5</c:v>
                </c:pt>
                <c:pt idx="232">
                  <c:v>165</c:v>
                </c:pt>
                <c:pt idx="233">
                  <c:v>165</c:v>
                </c:pt>
                <c:pt idx="234">
                  <c:v>165</c:v>
                </c:pt>
                <c:pt idx="235">
                  <c:v>165</c:v>
                </c:pt>
                <c:pt idx="236">
                  <c:v>165</c:v>
                </c:pt>
                <c:pt idx="237">
                  <c:v>165</c:v>
                </c:pt>
                <c:pt idx="238">
                  <c:v>165</c:v>
                </c:pt>
                <c:pt idx="239">
                  <c:v>165</c:v>
                </c:pt>
                <c:pt idx="240">
                  <c:v>165</c:v>
                </c:pt>
                <c:pt idx="241">
                  <c:v>165</c:v>
                </c:pt>
                <c:pt idx="242">
                  <c:v>165</c:v>
                </c:pt>
                <c:pt idx="243">
                  <c:v>165</c:v>
                </c:pt>
                <c:pt idx="244">
                  <c:v>165</c:v>
                </c:pt>
                <c:pt idx="245">
                  <c:v>165</c:v>
                </c:pt>
                <c:pt idx="246">
                  <c:v>165</c:v>
                </c:pt>
                <c:pt idx="247">
                  <c:v>165</c:v>
                </c:pt>
                <c:pt idx="248">
                  <c:v>165</c:v>
                </c:pt>
                <c:pt idx="249">
                  <c:v>162.5</c:v>
                </c:pt>
                <c:pt idx="250">
                  <c:v>162.5</c:v>
                </c:pt>
                <c:pt idx="251">
                  <c:v>162.5</c:v>
                </c:pt>
                <c:pt idx="252">
                  <c:v>162.5</c:v>
                </c:pt>
                <c:pt idx="253">
                  <c:v>162.5</c:v>
                </c:pt>
                <c:pt idx="254">
                  <c:v>162.5</c:v>
                </c:pt>
                <c:pt idx="255">
                  <c:v>162.5</c:v>
                </c:pt>
                <c:pt idx="256">
                  <c:v>162.5</c:v>
                </c:pt>
                <c:pt idx="257">
                  <c:v>162.5</c:v>
                </c:pt>
                <c:pt idx="258">
                  <c:v>162.5</c:v>
                </c:pt>
                <c:pt idx="259">
                  <c:v>162.5</c:v>
                </c:pt>
                <c:pt idx="260">
                  <c:v>160</c:v>
                </c:pt>
                <c:pt idx="261">
                  <c:v>160</c:v>
                </c:pt>
                <c:pt idx="262">
                  <c:v>160</c:v>
                </c:pt>
                <c:pt idx="263">
                  <c:v>160</c:v>
                </c:pt>
                <c:pt idx="264">
                  <c:v>160</c:v>
                </c:pt>
                <c:pt idx="265">
                  <c:v>160</c:v>
                </c:pt>
                <c:pt idx="266">
                  <c:v>160</c:v>
                </c:pt>
                <c:pt idx="267">
                  <c:v>160</c:v>
                </c:pt>
                <c:pt idx="268">
                  <c:v>160</c:v>
                </c:pt>
                <c:pt idx="269">
                  <c:v>160</c:v>
                </c:pt>
                <c:pt idx="270">
                  <c:v>160</c:v>
                </c:pt>
                <c:pt idx="271">
                  <c:v>160</c:v>
                </c:pt>
                <c:pt idx="272">
                  <c:v>160</c:v>
                </c:pt>
                <c:pt idx="273">
                  <c:v>160</c:v>
                </c:pt>
                <c:pt idx="274">
                  <c:v>160</c:v>
                </c:pt>
                <c:pt idx="275">
                  <c:v>160</c:v>
                </c:pt>
                <c:pt idx="276">
                  <c:v>160</c:v>
                </c:pt>
                <c:pt idx="277">
                  <c:v>160</c:v>
                </c:pt>
                <c:pt idx="278">
                  <c:v>157.5</c:v>
                </c:pt>
                <c:pt idx="279">
                  <c:v>157.5</c:v>
                </c:pt>
                <c:pt idx="280">
                  <c:v>157.5</c:v>
                </c:pt>
                <c:pt idx="281">
                  <c:v>155</c:v>
                </c:pt>
                <c:pt idx="282">
                  <c:v>155</c:v>
                </c:pt>
                <c:pt idx="283">
                  <c:v>155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155</c:v>
                </c:pt>
                <c:pt idx="288">
                  <c:v>155</c:v>
                </c:pt>
                <c:pt idx="289">
                  <c:v>155</c:v>
                </c:pt>
                <c:pt idx="290">
                  <c:v>155</c:v>
                </c:pt>
                <c:pt idx="291">
                  <c:v>155</c:v>
                </c:pt>
                <c:pt idx="292">
                  <c:v>155</c:v>
                </c:pt>
                <c:pt idx="293">
                  <c:v>152.5</c:v>
                </c:pt>
                <c:pt idx="294">
                  <c:v>152.5</c:v>
                </c:pt>
                <c:pt idx="295">
                  <c:v>152.5</c:v>
                </c:pt>
                <c:pt idx="296">
                  <c:v>152.5</c:v>
                </c:pt>
                <c:pt idx="297">
                  <c:v>152.5</c:v>
                </c:pt>
                <c:pt idx="298">
                  <c:v>152.5</c:v>
                </c:pt>
                <c:pt idx="299">
                  <c:v>152.5</c:v>
                </c:pt>
                <c:pt idx="300">
                  <c:v>150</c:v>
                </c:pt>
                <c:pt idx="301">
                  <c:v>150</c:v>
                </c:pt>
                <c:pt idx="302">
                  <c:v>150</c:v>
                </c:pt>
                <c:pt idx="303">
                  <c:v>150</c:v>
                </c:pt>
                <c:pt idx="304">
                  <c:v>150</c:v>
                </c:pt>
                <c:pt idx="305">
                  <c:v>150</c:v>
                </c:pt>
                <c:pt idx="306">
                  <c:v>150</c:v>
                </c:pt>
                <c:pt idx="307">
                  <c:v>150</c:v>
                </c:pt>
                <c:pt idx="308">
                  <c:v>150</c:v>
                </c:pt>
                <c:pt idx="309">
                  <c:v>150</c:v>
                </c:pt>
                <c:pt idx="310">
                  <c:v>150</c:v>
                </c:pt>
                <c:pt idx="311">
                  <c:v>150</c:v>
                </c:pt>
                <c:pt idx="312">
                  <c:v>150</c:v>
                </c:pt>
                <c:pt idx="313">
                  <c:v>150</c:v>
                </c:pt>
                <c:pt idx="314">
                  <c:v>150</c:v>
                </c:pt>
                <c:pt idx="315">
                  <c:v>147.5</c:v>
                </c:pt>
                <c:pt idx="316">
                  <c:v>147.5</c:v>
                </c:pt>
                <c:pt idx="317">
                  <c:v>147.5</c:v>
                </c:pt>
                <c:pt idx="318">
                  <c:v>147.5</c:v>
                </c:pt>
                <c:pt idx="319">
                  <c:v>147.5</c:v>
                </c:pt>
                <c:pt idx="320">
                  <c:v>145</c:v>
                </c:pt>
                <c:pt idx="321">
                  <c:v>145</c:v>
                </c:pt>
                <c:pt idx="322">
                  <c:v>145</c:v>
                </c:pt>
                <c:pt idx="323">
                  <c:v>145</c:v>
                </c:pt>
                <c:pt idx="324">
                  <c:v>145</c:v>
                </c:pt>
                <c:pt idx="325">
                  <c:v>145</c:v>
                </c:pt>
                <c:pt idx="326">
                  <c:v>145</c:v>
                </c:pt>
                <c:pt idx="327">
                  <c:v>145</c:v>
                </c:pt>
                <c:pt idx="328">
                  <c:v>145</c:v>
                </c:pt>
                <c:pt idx="329">
                  <c:v>142.5</c:v>
                </c:pt>
                <c:pt idx="330">
                  <c:v>142.5</c:v>
                </c:pt>
                <c:pt idx="331">
                  <c:v>142.5</c:v>
                </c:pt>
                <c:pt idx="332">
                  <c:v>142.5</c:v>
                </c:pt>
                <c:pt idx="333">
                  <c:v>142.5</c:v>
                </c:pt>
                <c:pt idx="334">
                  <c:v>142.5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140</c:v>
                </c:pt>
                <c:pt idx="339">
                  <c:v>140</c:v>
                </c:pt>
                <c:pt idx="340">
                  <c:v>140</c:v>
                </c:pt>
                <c:pt idx="341">
                  <c:v>140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137.5</c:v>
                </c:pt>
                <c:pt idx="346">
                  <c:v>137.5</c:v>
                </c:pt>
                <c:pt idx="347">
                  <c:v>137.5</c:v>
                </c:pt>
                <c:pt idx="348">
                  <c:v>137.5</c:v>
                </c:pt>
                <c:pt idx="349">
                  <c:v>135</c:v>
                </c:pt>
                <c:pt idx="350">
                  <c:v>135</c:v>
                </c:pt>
                <c:pt idx="351">
                  <c:v>135</c:v>
                </c:pt>
                <c:pt idx="352">
                  <c:v>135</c:v>
                </c:pt>
                <c:pt idx="353">
                  <c:v>135</c:v>
                </c:pt>
                <c:pt idx="354">
                  <c:v>135</c:v>
                </c:pt>
                <c:pt idx="355">
                  <c:v>135</c:v>
                </c:pt>
                <c:pt idx="356">
                  <c:v>135</c:v>
                </c:pt>
                <c:pt idx="357">
                  <c:v>132.5</c:v>
                </c:pt>
                <c:pt idx="358">
                  <c:v>132.5</c:v>
                </c:pt>
                <c:pt idx="359">
                  <c:v>132.5</c:v>
                </c:pt>
                <c:pt idx="360">
                  <c:v>132.5</c:v>
                </c:pt>
                <c:pt idx="361">
                  <c:v>132.5</c:v>
                </c:pt>
                <c:pt idx="362">
                  <c:v>130</c:v>
                </c:pt>
                <c:pt idx="363">
                  <c:v>130</c:v>
                </c:pt>
                <c:pt idx="364">
                  <c:v>130</c:v>
                </c:pt>
                <c:pt idx="365">
                  <c:v>130</c:v>
                </c:pt>
                <c:pt idx="366">
                  <c:v>130</c:v>
                </c:pt>
                <c:pt idx="367">
                  <c:v>130</c:v>
                </c:pt>
                <c:pt idx="368">
                  <c:v>130</c:v>
                </c:pt>
                <c:pt idx="369">
                  <c:v>130</c:v>
                </c:pt>
                <c:pt idx="370">
                  <c:v>127.5</c:v>
                </c:pt>
                <c:pt idx="371">
                  <c:v>127.5</c:v>
                </c:pt>
                <c:pt idx="372">
                  <c:v>125</c:v>
                </c:pt>
                <c:pt idx="373">
                  <c:v>125</c:v>
                </c:pt>
                <c:pt idx="374">
                  <c:v>125</c:v>
                </c:pt>
                <c:pt idx="375">
                  <c:v>125</c:v>
                </c:pt>
                <c:pt idx="376">
                  <c:v>125</c:v>
                </c:pt>
                <c:pt idx="377">
                  <c:v>122.5</c:v>
                </c:pt>
                <c:pt idx="378">
                  <c:v>120</c:v>
                </c:pt>
                <c:pt idx="379">
                  <c:v>120</c:v>
                </c:pt>
                <c:pt idx="380">
                  <c:v>120</c:v>
                </c:pt>
                <c:pt idx="381">
                  <c:v>120</c:v>
                </c:pt>
                <c:pt idx="382">
                  <c:v>115</c:v>
                </c:pt>
                <c:pt idx="383">
                  <c:v>112.5</c:v>
                </c:pt>
                <c:pt idx="384">
                  <c:v>110</c:v>
                </c:pt>
                <c:pt idx="385">
                  <c:v>110</c:v>
                </c:pt>
                <c:pt idx="386">
                  <c:v>110</c:v>
                </c:pt>
                <c:pt idx="387">
                  <c:v>102.5</c:v>
                </c:pt>
                <c:pt idx="388">
                  <c:v>102.5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97.5</c:v>
                </c:pt>
                <c:pt idx="394">
                  <c:v>97.5</c:v>
                </c:pt>
                <c:pt idx="395">
                  <c:v>87.5</c:v>
                </c:pt>
                <c:pt idx="396">
                  <c:v>80</c:v>
                </c:pt>
                <c:pt idx="397">
                  <c:v>75</c:v>
                </c:pt>
              </c:numCache>
            </c:numRef>
          </c:xVal>
          <c:yVal>
            <c:numRef>
              <c:f>'Data Dead'!$G$2:$G$399</c:f>
              <c:numCache>
                <c:formatCode>General</c:formatCode>
                <c:ptCount val="398"/>
                <c:pt idx="0">
                  <c:v>295</c:v>
                </c:pt>
                <c:pt idx="1">
                  <c:v>175</c:v>
                </c:pt>
                <c:pt idx="2">
                  <c:v>297.5</c:v>
                </c:pt>
                <c:pt idx="3">
                  <c:v>325</c:v>
                </c:pt>
                <c:pt idx="4">
                  <c:v>332.5</c:v>
                </c:pt>
                <c:pt idx="5">
                  <c:v>310</c:v>
                </c:pt>
                <c:pt idx="6">
                  <c:v>240</c:v>
                </c:pt>
                <c:pt idx="7">
                  <c:v>317.5</c:v>
                </c:pt>
                <c:pt idx="8">
                  <c:v>230</c:v>
                </c:pt>
                <c:pt idx="9">
                  <c:v>270</c:v>
                </c:pt>
                <c:pt idx="10">
                  <c:v>340</c:v>
                </c:pt>
                <c:pt idx="11">
                  <c:v>325</c:v>
                </c:pt>
                <c:pt idx="12">
                  <c:v>277.5</c:v>
                </c:pt>
                <c:pt idx="13">
                  <c:v>335</c:v>
                </c:pt>
                <c:pt idx="14">
                  <c:v>310</c:v>
                </c:pt>
                <c:pt idx="15">
                  <c:v>375</c:v>
                </c:pt>
                <c:pt idx="16">
                  <c:v>342.5</c:v>
                </c:pt>
                <c:pt idx="17">
                  <c:v>310</c:v>
                </c:pt>
                <c:pt idx="18">
                  <c:v>285</c:v>
                </c:pt>
                <c:pt idx="19">
                  <c:v>342.5</c:v>
                </c:pt>
                <c:pt idx="20">
                  <c:v>342.5</c:v>
                </c:pt>
                <c:pt idx="21">
                  <c:v>332.5</c:v>
                </c:pt>
                <c:pt idx="22">
                  <c:v>362.5</c:v>
                </c:pt>
                <c:pt idx="23">
                  <c:v>337.5</c:v>
                </c:pt>
                <c:pt idx="24">
                  <c:v>337.5</c:v>
                </c:pt>
                <c:pt idx="25">
                  <c:v>285</c:v>
                </c:pt>
                <c:pt idx="26">
                  <c:v>280</c:v>
                </c:pt>
                <c:pt idx="27">
                  <c:v>265</c:v>
                </c:pt>
                <c:pt idx="28">
                  <c:v>315</c:v>
                </c:pt>
                <c:pt idx="29">
                  <c:v>345</c:v>
                </c:pt>
                <c:pt idx="30">
                  <c:v>340</c:v>
                </c:pt>
                <c:pt idx="31">
                  <c:v>340</c:v>
                </c:pt>
                <c:pt idx="32">
                  <c:v>322.5</c:v>
                </c:pt>
                <c:pt idx="33">
                  <c:v>272.5</c:v>
                </c:pt>
                <c:pt idx="34">
                  <c:v>327.5</c:v>
                </c:pt>
                <c:pt idx="35">
                  <c:v>355</c:v>
                </c:pt>
                <c:pt idx="36">
                  <c:v>337.5</c:v>
                </c:pt>
                <c:pt idx="37">
                  <c:v>335</c:v>
                </c:pt>
                <c:pt idx="38">
                  <c:v>332.5</c:v>
                </c:pt>
                <c:pt idx="39">
                  <c:v>320</c:v>
                </c:pt>
                <c:pt idx="40">
                  <c:v>320</c:v>
                </c:pt>
                <c:pt idx="41">
                  <c:v>317.5</c:v>
                </c:pt>
                <c:pt idx="42">
                  <c:v>312.5</c:v>
                </c:pt>
                <c:pt idx="43">
                  <c:v>310</c:v>
                </c:pt>
                <c:pt idx="44">
                  <c:v>300</c:v>
                </c:pt>
                <c:pt idx="45">
                  <c:v>290</c:v>
                </c:pt>
                <c:pt idx="46">
                  <c:v>275</c:v>
                </c:pt>
                <c:pt idx="47">
                  <c:v>270</c:v>
                </c:pt>
                <c:pt idx="48">
                  <c:v>365</c:v>
                </c:pt>
                <c:pt idx="49">
                  <c:v>332.5</c:v>
                </c:pt>
                <c:pt idx="50">
                  <c:v>315</c:v>
                </c:pt>
                <c:pt idx="51">
                  <c:v>310</c:v>
                </c:pt>
                <c:pt idx="52">
                  <c:v>307.5</c:v>
                </c:pt>
                <c:pt idx="53">
                  <c:v>292.5</c:v>
                </c:pt>
                <c:pt idx="54">
                  <c:v>292.5</c:v>
                </c:pt>
                <c:pt idx="55">
                  <c:v>290</c:v>
                </c:pt>
                <c:pt idx="56">
                  <c:v>250</c:v>
                </c:pt>
                <c:pt idx="57">
                  <c:v>360</c:v>
                </c:pt>
                <c:pt idx="58">
                  <c:v>360</c:v>
                </c:pt>
                <c:pt idx="59">
                  <c:v>355.5</c:v>
                </c:pt>
                <c:pt idx="60">
                  <c:v>325</c:v>
                </c:pt>
                <c:pt idx="61">
                  <c:v>310</c:v>
                </c:pt>
                <c:pt idx="62">
                  <c:v>290</c:v>
                </c:pt>
                <c:pt idx="63">
                  <c:v>285</c:v>
                </c:pt>
                <c:pt idx="64">
                  <c:v>250</c:v>
                </c:pt>
                <c:pt idx="65">
                  <c:v>342.5</c:v>
                </c:pt>
                <c:pt idx="66">
                  <c:v>332.5</c:v>
                </c:pt>
                <c:pt idx="67">
                  <c:v>330</c:v>
                </c:pt>
                <c:pt idx="68">
                  <c:v>312.5</c:v>
                </c:pt>
                <c:pt idx="69">
                  <c:v>300</c:v>
                </c:pt>
                <c:pt idx="70">
                  <c:v>282.5</c:v>
                </c:pt>
                <c:pt idx="71">
                  <c:v>270</c:v>
                </c:pt>
                <c:pt idx="72">
                  <c:v>180</c:v>
                </c:pt>
                <c:pt idx="73">
                  <c:v>362.5</c:v>
                </c:pt>
                <c:pt idx="74">
                  <c:v>342.5</c:v>
                </c:pt>
                <c:pt idx="75">
                  <c:v>332.5</c:v>
                </c:pt>
                <c:pt idx="76">
                  <c:v>312.5</c:v>
                </c:pt>
                <c:pt idx="77">
                  <c:v>310</c:v>
                </c:pt>
                <c:pt idx="78">
                  <c:v>305</c:v>
                </c:pt>
                <c:pt idx="79">
                  <c:v>300</c:v>
                </c:pt>
                <c:pt idx="80">
                  <c:v>292.5</c:v>
                </c:pt>
                <c:pt idx="81">
                  <c:v>292.5</c:v>
                </c:pt>
                <c:pt idx="82">
                  <c:v>290</c:v>
                </c:pt>
                <c:pt idx="83">
                  <c:v>290</c:v>
                </c:pt>
                <c:pt idx="84">
                  <c:v>260</c:v>
                </c:pt>
                <c:pt idx="85">
                  <c:v>345</c:v>
                </c:pt>
                <c:pt idx="86">
                  <c:v>337.5</c:v>
                </c:pt>
                <c:pt idx="87">
                  <c:v>302.5</c:v>
                </c:pt>
                <c:pt idx="88">
                  <c:v>300</c:v>
                </c:pt>
                <c:pt idx="89">
                  <c:v>335</c:v>
                </c:pt>
                <c:pt idx="90">
                  <c:v>325</c:v>
                </c:pt>
                <c:pt idx="91">
                  <c:v>322.5</c:v>
                </c:pt>
                <c:pt idx="92">
                  <c:v>320</c:v>
                </c:pt>
                <c:pt idx="93">
                  <c:v>317.5</c:v>
                </c:pt>
                <c:pt idx="94">
                  <c:v>307.5</c:v>
                </c:pt>
                <c:pt idx="95">
                  <c:v>305</c:v>
                </c:pt>
                <c:pt idx="96">
                  <c:v>285</c:v>
                </c:pt>
                <c:pt idx="97">
                  <c:v>280</c:v>
                </c:pt>
                <c:pt idx="98">
                  <c:v>275</c:v>
                </c:pt>
                <c:pt idx="99">
                  <c:v>265</c:v>
                </c:pt>
                <c:pt idx="100">
                  <c:v>265</c:v>
                </c:pt>
                <c:pt idx="101">
                  <c:v>330</c:v>
                </c:pt>
                <c:pt idx="102">
                  <c:v>327.5</c:v>
                </c:pt>
                <c:pt idx="103">
                  <c:v>307.5</c:v>
                </c:pt>
                <c:pt idx="104">
                  <c:v>300</c:v>
                </c:pt>
                <c:pt idx="105">
                  <c:v>295</c:v>
                </c:pt>
                <c:pt idx="106">
                  <c:v>285</c:v>
                </c:pt>
                <c:pt idx="107">
                  <c:v>250</c:v>
                </c:pt>
                <c:pt idx="108">
                  <c:v>335</c:v>
                </c:pt>
                <c:pt idx="109">
                  <c:v>322.5</c:v>
                </c:pt>
                <c:pt idx="110">
                  <c:v>302.5</c:v>
                </c:pt>
                <c:pt idx="111">
                  <c:v>290</c:v>
                </c:pt>
                <c:pt idx="112">
                  <c:v>285</c:v>
                </c:pt>
                <c:pt idx="113">
                  <c:v>275</c:v>
                </c:pt>
                <c:pt idx="114">
                  <c:v>275</c:v>
                </c:pt>
                <c:pt idx="115">
                  <c:v>265</c:v>
                </c:pt>
                <c:pt idx="116">
                  <c:v>250</c:v>
                </c:pt>
                <c:pt idx="117">
                  <c:v>260</c:v>
                </c:pt>
                <c:pt idx="118">
                  <c:v>315</c:v>
                </c:pt>
                <c:pt idx="119">
                  <c:v>305</c:v>
                </c:pt>
                <c:pt idx="120">
                  <c:v>302.5</c:v>
                </c:pt>
                <c:pt idx="121">
                  <c:v>297.5</c:v>
                </c:pt>
                <c:pt idx="122">
                  <c:v>292.5</c:v>
                </c:pt>
                <c:pt idx="123">
                  <c:v>230</c:v>
                </c:pt>
                <c:pt idx="124">
                  <c:v>372.5</c:v>
                </c:pt>
                <c:pt idx="125">
                  <c:v>355</c:v>
                </c:pt>
                <c:pt idx="126">
                  <c:v>340</c:v>
                </c:pt>
                <c:pt idx="127">
                  <c:v>335</c:v>
                </c:pt>
                <c:pt idx="128">
                  <c:v>320</c:v>
                </c:pt>
                <c:pt idx="129">
                  <c:v>307.5</c:v>
                </c:pt>
                <c:pt idx="130">
                  <c:v>290</c:v>
                </c:pt>
                <c:pt idx="131">
                  <c:v>287.5</c:v>
                </c:pt>
                <c:pt idx="132">
                  <c:v>287.5</c:v>
                </c:pt>
                <c:pt idx="133">
                  <c:v>270</c:v>
                </c:pt>
                <c:pt idx="134">
                  <c:v>355</c:v>
                </c:pt>
                <c:pt idx="135">
                  <c:v>340</c:v>
                </c:pt>
                <c:pt idx="136">
                  <c:v>330</c:v>
                </c:pt>
                <c:pt idx="137">
                  <c:v>330</c:v>
                </c:pt>
                <c:pt idx="138">
                  <c:v>305</c:v>
                </c:pt>
                <c:pt idx="139">
                  <c:v>305</c:v>
                </c:pt>
                <c:pt idx="140">
                  <c:v>300</c:v>
                </c:pt>
                <c:pt idx="141">
                  <c:v>290</c:v>
                </c:pt>
                <c:pt idx="142">
                  <c:v>252.5</c:v>
                </c:pt>
                <c:pt idx="143">
                  <c:v>240</c:v>
                </c:pt>
                <c:pt idx="144">
                  <c:v>352.5</c:v>
                </c:pt>
                <c:pt idx="145">
                  <c:v>340</c:v>
                </c:pt>
                <c:pt idx="146">
                  <c:v>332.5</c:v>
                </c:pt>
                <c:pt idx="147">
                  <c:v>310</c:v>
                </c:pt>
                <c:pt idx="148">
                  <c:v>302.5</c:v>
                </c:pt>
                <c:pt idx="149">
                  <c:v>300</c:v>
                </c:pt>
                <c:pt idx="150">
                  <c:v>290</c:v>
                </c:pt>
                <c:pt idx="151">
                  <c:v>270</c:v>
                </c:pt>
                <c:pt idx="152">
                  <c:v>270</c:v>
                </c:pt>
                <c:pt idx="153">
                  <c:v>260</c:v>
                </c:pt>
                <c:pt idx="154">
                  <c:v>260</c:v>
                </c:pt>
                <c:pt idx="155">
                  <c:v>330</c:v>
                </c:pt>
                <c:pt idx="156">
                  <c:v>315</c:v>
                </c:pt>
                <c:pt idx="157">
                  <c:v>315</c:v>
                </c:pt>
                <c:pt idx="158">
                  <c:v>315</c:v>
                </c:pt>
                <c:pt idx="159">
                  <c:v>312.5</c:v>
                </c:pt>
                <c:pt idx="160">
                  <c:v>307.5</c:v>
                </c:pt>
                <c:pt idx="161">
                  <c:v>305</c:v>
                </c:pt>
                <c:pt idx="162">
                  <c:v>302.5</c:v>
                </c:pt>
                <c:pt idx="163">
                  <c:v>270</c:v>
                </c:pt>
                <c:pt idx="164">
                  <c:v>325</c:v>
                </c:pt>
                <c:pt idx="165">
                  <c:v>325</c:v>
                </c:pt>
                <c:pt idx="166">
                  <c:v>325</c:v>
                </c:pt>
                <c:pt idx="167">
                  <c:v>322.5</c:v>
                </c:pt>
                <c:pt idx="168">
                  <c:v>305</c:v>
                </c:pt>
                <c:pt idx="169">
                  <c:v>302.5</c:v>
                </c:pt>
                <c:pt idx="170">
                  <c:v>300</c:v>
                </c:pt>
                <c:pt idx="171">
                  <c:v>295</c:v>
                </c:pt>
                <c:pt idx="172">
                  <c:v>290</c:v>
                </c:pt>
                <c:pt idx="173">
                  <c:v>272.5</c:v>
                </c:pt>
                <c:pt idx="174">
                  <c:v>270</c:v>
                </c:pt>
                <c:pt idx="175">
                  <c:v>260</c:v>
                </c:pt>
                <c:pt idx="176">
                  <c:v>252.5</c:v>
                </c:pt>
                <c:pt idx="177">
                  <c:v>220</c:v>
                </c:pt>
                <c:pt idx="178">
                  <c:v>180</c:v>
                </c:pt>
                <c:pt idx="179">
                  <c:v>307.5</c:v>
                </c:pt>
                <c:pt idx="180">
                  <c:v>305</c:v>
                </c:pt>
                <c:pt idx="181">
                  <c:v>305</c:v>
                </c:pt>
                <c:pt idx="182">
                  <c:v>302.5</c:v>
                </c:pt>
                <c:pt idx="183">
                  <c:v>250</c:v>
                </c:pt>
                <c:pt idx="184">
                  <c:v>245</c:v>
                </c:pt>
                <c:pt idx="185">
                  <c:v>232.5</c:v>
                </c:pt>
                <c:pt idx="186">
                  <c:v>307.5</c:v>
                </c:pt>
                <c:pt idx="187">
                  <c:v>300</c:v>
                </c:pt>
                <c:pt idx="188">
                  <c:v>300</c:v>
                </c:pt>
                <c:pt idx="189">
                  <c:v>290</c:v>
                </c:pt>
                <c:pt idx="190">
                  <c:v>287.5</c:v>
                </c:pt>
                <c:pt idx="191">
                  <c:v>285</c:v>
                </c:pt>
                <c:pt idx="192">
                  <c:v>285</c:v>
                </c:pt>
                <c:pt idx="193">
                  <c:v>280</c:v>
                </c:pt>
                <c:pt idx="194">
                  <c:v>275</c:v>
                </c:pt>
                <c:pt idx="195">
                  <c:v>265</c:v>
                </c:pt>
                <c:pt idx="196">
                  <c:v>160</c:v>
                </c:pt>
                <c:pt idx="197">
                  <c:v>345</c:v>
                </c:pt>
                <c:pt idx="198">
                  <c:v>322.5</c:v>
                </c:pt>
                <c:pt idx="199">
                  <c:v>312.5</c:v>
                </c:pt>
                <c:pt idx="200">
                  <c:v>300</c:v>
                </c:pt>
                <c:pt idx="201">
                  <c:v>295</c:v>
                </c:pt>
                <c:pt idx="202">
                  <c:v>292.5</c:v>
                </c:pt>
                <c:pt idx="203">
                  <c:v>290</c:v>
                </c:pt>
                <c:pt idx="204">
                  <c:v>277.5</c:v>
                </c:pt>
                <c:pt idx="205">
                  <c:v>267.5</c:v>
                </c:pt>
                <c:pt idx="206">
                  <c:v>255</c:v>
                </c:pt>
                <c:pt idx="207">
                  <c:v>250</c:v>
                </c:pt>
                <c:pt idx="208">
                  <c:v>240</c:v>
                </c:pt>
                <c:pt idx="209">
                  <c:v>360</c:v>
                </c:pt>
                <c:pt idx="210">
                  <c:v>330</c:v>
                </c:pt>
                <c:pt idx="211">
                  <c:v>315</c:v>
                </c:pt>
                <c:pt idx="212">
                  <c:v>305</c:v>
                </c:pt>
                <c:pt idx="213">
                  <c:v>302.5</c:v>
                </c:pt>
                <c:pt idx="214">
                  <c:v>300</c:v>
                </c:pt>
                <c:pt idx="215">
                  <c:v>297.5</c:v>
                </c:pt>
                <c:pt idx="216">
                  <c:v>290</c:v>
                </c:pt>
                <c:pt idx="217">
                  <c:v>280</c:v>
                </c:pt>
                <c:pt idx="218">
                  <c:v>280</c:v>
                </c:pt>
                <c:pt idx="219">
                  <c:v>275</c:v>
                </c:pt>
                <c:pt idx="220">
                  <c:v>275</c:v>
                </c:pt>
                <c:pt idx="221">
                  <c:v>260</c:v>
                </c:pt>
                <c:pt idx="222">
                  <c:v>235</c:v>
                </c:pt>
                <c:pt idx="223">
                  <c:v>330</c:v>
                </c:pt>
                <c:pt idx="224">
                  <c:v>300</c:v>
                </c:pt>
                <c:pt idx="225">
                  <c:v>297.5</c:v>
                </c:pt>
                <c:pt idx="226">
                  <c:v>285</c:v>
                </c:pt>
                <c:pt idx="227">
                  <c:v>277.5</c:v>
                </c:pt>
                <c:pt idx="228">
                  <c:v>262.5</c:v>
                </c:pt>
                <c:pt idx="229">
                  <c:v>242.5</c:v>
                </c:pt>
                <c:pt idx="230">
                  <c:v>230</c:v>
                </c:pt>
                <c:pt idx="231">
                  <c:v>220</c:v>
                </c:pt>
                <c:pt idx="232">
                  <c:v>320</c:v>
                </c:pt>
                <c:pt idx="233">
                  <c:v>300</c:v>
                </c:pt>
                <c:pt idx="234">
                  <c:v>295</c:v>
                </c:pt>
                <c:pt idx="235">
                  <c:v>290</c:v>
                </c:pt>
                <c:pt idx="236">
                  <c:v>290</c:v>
                </c:pt>
                <c:pt idx="237">
                  <c:v>290</c:v>
                </c:pt>
                <c:pt idx="238">
                  <c:v>287.5</c:v>
                </c:pt>
                <c:pt idx="239">
                  <c:v>287.5</c:v>
                </c:pt>
                <c:pt idx="240">
                  <c:v>280</c:v>
                </c:pt>
                <c:pt idx="241">
                  <c:v>275</c:v>
                </c:pt>
                <c:pt idx="242">
                  <c:v>270.5</c:v>
                </c:pt>
                <c:pt idx="243">
                  <c:v>265</c:v>
                </c:pt>
                <c:pt idx="244">
                  <c:v>260</c:v>
                </c:pt>
                <c:pt idx="245">
                  <c:v>255</c:v>
                </c:pt>
                <c:pt idx="246">
                  <c:v>250</c:v>
                </c:pt>
                <c:pt idx="247">
                  <c:v>240</c:v>
                </c:pt>
                <c:pt idx="248">
                  <c:v>230</c:v>
                </c:pt>
                <c:pt idx="249">
                  <c:v>310</c:v>
                </c:pt>
                <c:pt idx="250">
                  <c:v>290</c:v>
                </c:pt>
                <c:pt idx="251">
                  <c:v>285</c:v>
                </c:pt>
                <c:pt idx="252">
                  <c:v>280</c:v>
                </c:pt>
                <c:pt idx="253">
                  <c:v>275</c:v>
                </c:pt>
                <c:pt idx="254">
                  <c:v>272.5</c:v>
                </c:pt>
                <c:pt idx="255">
                  <c:v>265</c:v>
                </c:pt>
                <c:pt idx="256">
                  <c:v>262.5</c:v>
                </c:pt>
                <c:pt idx="257">
                  <c:v>255</c:v>
                </c:pt>
                <c:pt idx="258">
                  <c:v>255</c:v>
                </c:pt>
                <c:pt idx="259">
                  <c:v>247.5</c:v>
                </c:pt>
                <c:pt idx="260">
                  <c:v>320</c:v>
                </c:pt>
                <c:pt idx="261">
                  <c:v>312.5</c:v>
                </c:pt>
                <c:pt idx="262">
                  <c:v>295</c:v>
                </c:pt>
                <c:pt idx="263">
                  <c:v>291</c:v>
                </c:pt>
                <c:pt idx="264">
                  <c:v>287.5</c:v>
                </c:pt>
                <c:pt idx="265">
                  <c:v>280</c:v>
                </c:pt>
                <c:pt idx="266">
                  <c:v>280</c:v>
                </c:pt>
                <c:pt idx="267">
                  <c:v>275</c:v>
                </c:pt>
                <c:pt idx="268">
                  <c:v>270</c:v>
                </c:pt>
                <c:pt idx="269">
                  <c:v>265</c:v>
                </c:pt>
                <c:pt idx="270">
                  <c:v>260</c:v>
                </c:pt>
                <c:pt idx="271">
                  <c:v>260</c:v>
                </c:pt>
                <c:pt idx="272">
                  <c:v>245</c:v>
                </c:pt>
                <c:pt idx="273">
                  <c:v>245</c:v>
                </c:pt>
                <c:pt idx="274">
                  <c:v>240</c:v>
                </c:pt>
                <c:pt idx="275">
                  <c:v>235</c:v>
                </c:pt>
                <c:pt idx="276">
                  <c:v>225</c:v>
                </c:pt>
                <c:pt idx="277">
                  <c:v>220</c:v>
                </c:pt>
                <c:pt idx="278">
                  <c:v>280</c:v>
                </c:pt>
                <c:pt idx="279">
                  <c:v>278</c:v>
                </c:pt>
                <c:pt idx="280">
                  <c:v>252.5</c:v>
                </c:pt>
                <c:pt idx="281">
                  <c:v>290</c:v>
                </c:pt>
                <c:pt idx="282">
                  <c:v>290</c:v>
                </c:pt>
                <c:pt idx="283">
                  <c:v>285</c:v>
                </c:pt>
                <c:pt idx="284">
                  <c:v>277.5</c:v>
                </c:pt>
                <c:pt idx="285">
                  <c:v>265</c:v>
                </c:pt>
                <c:pt idx="286">
                  <c:v>265</c:v>
                </c:pt>
                <c:pt idx="287">
                  <c:v>260</c:v>
                </c:pt>
                <c:pt idx="288">
                  <c:v>252.5</c:v>
                </c:pt>
                <c:pt idx="289">
                  <c:v>240</c:v>
                </c:pt>
                <c:pt idx="290">
                  <c:v>232.5</c:v>
                </c:pt>
                <c:pt idx="291">
                  <c:v>225</c:v>
                </c:pt>
                <c:pt idx="292">
                  <c:v>185</c:v>
                </c:pt>
                <c:pt idx="293">
                  <c:v>315.5</c:v>
                </c:pt>
                <c:pt idx="294">
                  <c:v>292.5</c:v>
                </c:pt>
                <c:pt idx="295">
                  <c:v>290</c:v>
                </c:pt>
                <c:pt idx="296">
                  <c:v>270</c:v>
                </c:pt>
                <c:pt idx="297">
                  <c:v>262.5</c:v>
                </c:pt>
                <c:pt idx="298">
                  <c:v>205</c:v>
                </c:pt>
                <c:pt idx="299">
                  <c:v>200</c:v>
                </c:pt>
                <c:pt idx="300">
                  <c:v>312.5</c:v>
                </c:pt>
                <c:pt idx="301">
                  <c:v>305</c:v>
                </c:pt>
                <c:pt idx="302">
                  <c:v>305</c:v>
                </c:pt>
                <c:pt idx="303">
                  <c:v>300</c:v>
                </c:pt>
                <c:pt idx="304">
                  <c:v>280</c:v>
                </c:pt>
                <c:pt idx="305">
                  <c:v>277.5</c:v>
                </c:pt>
                <c:pt idx="306">
                  <c:v>270</c:v>
                </c:pt>
                <c:pt idx="307">
                  <c:v>260</c:v>
                </c:pt>
                <c:pt idx="308">
                  <c:v>255</c:v>
                </c:pt>
                <c:pt idx="309">
                  <c:v>250</c:v>
                </c:pt>
                <c:pt idx="310">
                  <c:v>245</c:v>
                </c:pt>
                <c:pt idx="311">
                  <c:v>245</c:v>
                </c:pt>
                <c:pt idx="312">
                  <c:v>245</c:v>
                </c:pt>
                <c:pt idx="313">
                  <c:v>240</c:v>
                </c:pt>
                <c:pt idx="314">
                  <c:v>230</c:v>
                </c:pt>
                <c:pt idx="315">
                  <c:v>297.5</c:v>
                </c:pt>
                <c:pt idx="316">
                  <c:v>280</c:v>
                </c:pt>
                <c:pt idx="317">
                  <c:v>280</c:v>
                </c:pt>
                <c:pt idx="318">
                  <c:v>207.5</c:v>
                </c:pt>
                <c:pt idx="319">
                  <c:v>205</c:v>
                </c:pt>
                <c:pt idx="320">
                  <c:v>310</c:v>
                </c:pt>
                <c:pt idx="321">
                  <c:v>285</c:v>
                </c:pt>
                <c:pt idx="322">
                  <c:v>285</c:v>
                </c:pt>
                <c:pt idx="323">
                  <c:v>275</c:v>
                </c:pt>
                <c:pt idx="324">
                  <c:v>262.5</c:v>
                </c:pt>
                <c:pt idx="325">
                  <c:v>242.5</c:v>
                </c:pt>
                <c:pt idx="326">
                  <c:v>240</c:v>
                </c:pt>
                <c:pt idx="327">
                  <c:v>200</c:v>
                </c:pt>
                <c:pt idx="328">
                  <c:v>200</c:v>
                </c:pt>
                <c:pt idx="329">
                  <c:v>305</c:v>
                </c:pt>
                <c:pt idx="330">
                  <c:v>290</c:v>
                </c:pt>
                <c:pt idx="331">
                  <c:v>270</c:v>
                </c:pt>
                <c:pt idx="332">
                  <c:v>250</c:v>
                </c:pt>
                <c:pt idx="333">
                  <c:v>250</c:v>
                </c:pt>
                <c:pt idx="334">
                  <c:v>235</c:v>
                </c:pt>
                <c:pt idx="335">
                  <c:v>280</c:v>
                </c:pt>
                <c:pt idx="336">
                  <c:v>260</c:v>
                </c:pt>
                <c:pt idx="337">
                  <c:v>250</c:v>
                </c:pt>
                <c:pt idx="338">
                  <c:v>250</c:v>
                </c:pt>
                <c:pt idx="339">
                  <c:v>235</c:v>
                </c:pt>
                <c:pt idx="340">
                  <c:v>230</c:v>
                </c:pt>
                <c:pt idx="341">
                  <c:v>220</c:v>
                </c:pt>
                <c:pt idx="342">
                  <c:v>220</c:v>
                </c:pt>
                <c:pt idx="343">
                  <c:v>215</c:v>
                </c:pt>
                <c:pt idx="344">
                  <c:v>202.5</c:v>
                </c:pt>
                <c:pt idx="345">
                  <c:v>265</c:v>
                </c:pt>
                <c:pt idx="346">
                  <c:v>250</c:v>
                </c:pt>
                <c:pt idx="347">
                  <c:v>240</c:v>
                </c:pt>
                <c:pt idx="348">
                  <c:v>230</c:v>
                </c:pt>
                <c:pt idx="349">
                  <c:v>295</c:v>
                </c:pt>
                <c:pt idx="350">
                  <c:v>282.5</c:v>
                </c:pt>
                <c:pt idx="351">
                  <c:v>280</c:v>
                </c:pt>
                <c:pt idx="352">
                  <c:v>250</c:v>
                </c:pt>
                <c:pt idx="353">
                  <c:v>235</c:v>
                </c:pt>
                <c:pt idx="354">
                  <c:v>230</c:v>
                </c:pt>
                <c:pt idx="355">
                  <c:v>230</c:v>
                </c:pt>
                <c:pt idx="356">
                  <c:v>200</c:v>
                </c:pt>
                <c:pt idx="357">
                  <c:v>240</c:v>
                </c:pt>
                <c:pt idx="358">
                  <c:v>240</c:v>
                </c:pt>
                <c:pt idx="359">
                  <c:v>225</c:v>
                </c:pt>
                <c:pt idx="360">
                  <c:v>225</c:v>
                </c:pt>
                <c:pt idx="361">
                  <c:v>210</c:v>
                </c:pt>
                <c:pt idx="362">
                  <c:v>250</c:v>
                </c:pt>
                <c:pt idx="363">
                  <c:v>242.5</c:v>
                </c:pt>
                <c:pt idx="364">
                  <c:v>240</c:v>
                </c:pt>
                <c:pt idx="365">
                  <c:v>240</c:v>
                </c:pt>
                <c:pt idx="366">
                  <c:v>235</c:v>
                </c:pt>
                <c:pt idx="367">
                  <c:v>232.5</c:v>
                </c:pt>
                <c:pt idx="368">
                  <c:v>220</c:v>
                </c:pt>
                <c:pt idx="369">
                  <c:v>200</c:v>
                </c:pt>
                <c:pt idx="370">
                  <c:v>237.5</c:v>
                </c:pt>
                <c:pt idx="371">
                  <c:v>202.5</c:v>
                </c:pt>
                <c:pt idx="372">
                  <c:v>275</c:v>
                </c:pt>
                <c:pt idx="373">
                  <c:v>262.5</c:v>
                </c:pt>
                <c:pt idx="374">
                  <c:v>242.5</c:v>
                </c:pt>
                <c:pt idx="375">
                  <c:v>205</c:v>
                </c:pt>
                <c:pt idx="376">
                  <c:v>200</c:v>
                </c:pt>
                <c:pt idx="377">
                  <c:v>220</c:v>
                </c:pt>
                <c:pt idx="378">
                  <c:v>272.5</c:v>
                </c:pt>
                <c:pt idx="379">
                  <c:v>270</c:v>
                </c:pt>
                <c:pt idx="380">
                  <c:v>230</c:v>
                </c:pt>
                <c:pt idx="381">
                  <c:v>230</c:v>
                </c:pt>
                <c:pt idx="382">
                  <c:v>215</c:v>
                </c:pt>
                <c:pt idx="383">
                  <c:v>182.5</c:v>
                </c:pt>
                <c:pt idx="384">
                  <c:v>217.5</c:v>
                </c:pt>
                <c:pt idx="385">
                  <c:v>215</c:v>
                </c:pt>
                <c:pt idx="386">
                  <c:v>210</c:v>
                </c:pt>
                <c:pt idx="387">
                  <c:v>227.5</c:v>
                </c:pt>
                <c:pt idx="388">
                  <c:v>210</c:v>
                </c:pt>
                <c:pt idx="389">
                  <c:v>255</c:v>
                </c:pt>
                <c:pt idx="390">
                  <c:v>252.5</c:v>
                </c:pt>
                <c:pt idx="391">
                  <c:v>235</c:v>
                </c:pt>
                <c:pt idx="392">
                  <c:v>230</c:v>
                </c:pt>
                <c:pt idx="393">
                  <c:v>250</c:v>
                </c:pt>
                <c:pt idx="394">
                  <c:v>172.5</c:v>
                </c:pt>
                <c:pt idx="395">
                  <c:v>215</c:v>
                </c:pt>
                <c:pt idx="396">
                  <c:v>225</c:v>
                </c:pt>
                <c:pt idx="397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8-47E7-8003-6F006A8AF5BA}"/>
            </c:ext>
          </c:extLst>
        </c:ser>
        <c:ser>
          <c:idx val="1"/>
          <c:order val="1"/>
          <c:tx>
            <c:v>Women - Classic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6782212111141292E-2"/>
                  <c:y val="0.232753904840734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Dead'!$F$401:$F$661</c:f>
              <c:numCache>
                <c:formatCode>General</c:formatCode>
                <c:ptCount val="261"/>
                <c:pt idx="0">
                  <c:v>145.5</c:v>
                </c:pt>
                <c:pt idx="1">
                  <c:v>140.5</c:v>
                </c:pt>
                <c:pt idx="2">
                  <c:v>137.5</c:v>
                </c:pt>
                <c:pt idx="3">
                  <c:v>136</c:v>
                </c:pt>
                <c:pt idx="4">
                  <c:v>135.5</c:v>
                </c:pt>
                <c:pt idx="5">
                  <c:v>135</c:v>
                </c:pt>
                <c:pt idx="6">
                  <c:v>132.5</c:v>
                </c:pt>
                <c:pt idx="7">
                  <c:v>127.5</c:v>
                </c:pt>
                <c:pt idx="8">
                  <c:v>127.5</c:v>
                </c:pt>
                <c:pt idx="9">
                  <c:v>125</c:v>
                </c:pt>
                <c:pt idx="10">
                  <c:v>122.5</c:v>
                </c:pt>
                <c:pt idx="11">
                  <c:v>122.5</c:v>
                </c:pt>
                <c:pt idx="12">
                  <c:v>120</c:v>
                </c:pt>
                <c:pt idx="13">
                  <c:v>117.5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112.5</c:v>
                </c:pt>
                <c:pt idx="18">
                  <c:v>112.5</c:v>
                </c:pt>
                <c:pt idx="19">
                  <c:v>112.5</c:v>
                </c:pt>
                <c:pt idx="20">
                  <c:v>112.5</c:v>
                </c:pt>
                <c:pt idx="21">
                  <c:v>112.5</c:v>
                </c:pt>
                <c:pt idx="22">
                  <c:v>112.5</c:v>
                </c:pt>
                <c:pt idx="23">
                  <c:v>112.5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107.5</c:v>
                </c:pt>
                <c:pt idx="32">
                  <c:v>107.5</c:v>
                </c:pt>
                <c:pt idx="33">
                  <c:v>107.5</c:v>
                </c:pt>
                <c:pt idx="34">
                  <c:v>107.5</c:v>
                </c:pt>
                <c:pt idx="35">
                  <c:v>107.5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102.5</c:v>
                </c:pt>
                <c:pt idx="43">
                  <c:v>102.5</c:v>
                </c:pt>
                <c:pt idx="44">
                  <c:v>102.5</c:v>
                </c:pt>
                <c:pt idx="45">
                  <c:v>102.5</c:v>
                </c:pt>
                <c:pt idx="46">
                  <c:v>102.5</c:v>
                </c:pt>
                <c:pt idx="47">
                  <c:v>102.5</c:v>
                </c:pt>
                <c:pt idx="48">
                  <c:v>102.5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97.5</c:v>
                </c:pt>
                <c:pt idx="54">
                  <c:v>97.5</c:v>
                </c:pt>
                <c:pt idx="55">
                  <c:v>97.5</c:v>
                </c:pt>
                <c:pt idx="56">
                  <c:v>97.5</c:v>
                </c:pt>
                <c:pt idx="57">
                  <c:v>97.5</c:v>
                </c:pt>
                <c:pt idx="58">
                  <c:v>97.5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92.5</c:v>
                </c:pt>
                <c:pt idx="69">
                  <c:v>92.5</c:v>
                </c:pt>
                <c:pt idx="70">
                  <c:v>92.5</c:v>
                </c:pt>
                <c:pt idx="71">
                  <c:v>92.5</c:v>
                </c:pt>
                <c:pt idx="72">
                  <c:v>92.5</c:v>
                </c:pt>
                <c:pt idx="73">
                  <c:v>92.5</c:v>
                </c:pt>
                <c:pt idx="74">
                  <c:v>92.5</c:v>
                </c:pt>
                <c:pt idx="75">
                  <c:v>92.5</c:v>
                </c:pt>
                <c:pt idx="76">
                  <c:v>92.5</c:v>
                </c:pt>
                <c:pt idx="77">
                  <c:v>91.5</c:v>
                </c:pt>
                <c:pt idx="78">
                  <c:v>91</c:v>
                </c:pt>
                <c:pt idx="79">
                  <c:v>90.5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87.5</c:v>
                </c:pt>
                <c:pt idx="91">
                  <c:v>87.5</c:v>
                </c:pt>
                <c:pt idx="92">
                  <c:v>87.5</c:v>
                </c:pt>
                <c:pt idx="93">
                  <c:v>87.5</c:v>
                </c:pt>
                <c:pt idx="94">
                  <c:v>87.5</c:v>
                </c:pt>
                <c:pt idx="95">
                  <c:v>87.5</c:v>
                </c:pt>
                <c:pt idx="96">
                  <c:v>87.5</c:v>
                </c:pt>
                <c:pt idx="97">
                  <c:v>87.5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82.5</c:v>
                </c:pt>
                <c:pt idx="116">
                  <c:v>82.5</c:v>
                </c:pt>
                <c:pt idx="117">
                  <c:v>82.5</c:v>
                </c:pt>
                <c:pt idx="118">
                  <c:v>82.5</c:v>
                </c:pt>
                <c:pt idx="119">
                  <c:v>82.5</c:v>
                </c:pt>
                <c:pt idx="120">
                  <c:v>82.5</c:v>
                </c:pt>
                <c:pt idx="121">
                  <c:v>82.5</c:v>
                </c:pt>
                <c:pt idx="122">
                  <c:v>82.5</c:v>
                </c:pt>
                <c:pt idx="123">
                  <c:v>82.5</c:v>
                </c:pt>
                <c:pt idx="124">
                  <c:v>82.5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77.5</c:v>
                </c:pt>
                <c:pt idx="143">
                  <c:v>77.5</c:v>
                </c:pt>
                <c:pt idx="144">
                  <c:v>77.5</c:v>
                </c:pt>
                <c:pt idx="145">
                  <c:v>77.5</c:v>
                </c:pt>
                <c:pt idx="146">
                  <c:v>77.5</c:v>
                </c:pt>
                <c:pt idx="147">
                  <c:v>77.5</c:v>
                </c:pt>
                <c:pt idx="148">
                  <c:v>77.5</c:v>
                </c:pt>
                <c:pt idx="149">
                  <c:v>77.5</c:v>
                </c:pt>
                <c:pt idx="150">
                  <c:v>77.5</c:v>
                </c:pt>
                <c:pt idx="151">
                  <c:v>77.5</c:v>
                </c:pt>
                <c:pt idx="152">
                  <c:v>77.5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72.5</c:v>
                </c:pt>
                <c:pt idx="171">
                  <c:v>72.5</c:v>
                </c:pt>
                <c:pt idx="172">
                  <c:v>72.5</c:v>
                </c:pt>
                <c:pt idx="173">
                  <c:v>72.5</c:v>
                </c:pt>
                <c:pt idx="174">
                  <c:v>72.5</c:v>
                </c:pt>
                <c:pt idx="175">
                  <c:v>72.5</c:v>
                </c:pt>
                <c:pt idx="176">
                  <c:v>72.5</c:v>
                </c:pt>
                <c:pt idx="177">
                  <c:v>72.5</c:v>
                </c:pt>
                <c:pt idx="178">
                  <c:v>72.5</c:v>
                </c:pt>
                <c:pt idx="179">
                  <c:v>72.5</c:v>
                </c:pt>
                <c:pt idx="180">
                  <c:v>72.5</c:v>
                </c:pt>
                <c:pt idx="181">
                  <c:v>72.5</c:v>
                </c:pt>
                <c:pt idx="182">
                  <c:v>72.5</c:v>
                </c:pt>
                <c:pt idx="183">
                  <c:v>72.5</c:v>
                </c:pt>
                <c:pt idx="184">
                  <c:v>72.5</c:v>
                </c:pt>
                <c:pt idx="185">
                  <c:v>72.5</c:v>
                </c:pt>
                <c:pt idx="186">
                  <c:v>72.5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67.5</c:v>
                </c:pt>
                <c:pt idx="203">
                  <c:v>67.5</c:v>
                </c:pt>
                <c:pt idx="204">
                  <c:v>67.5</c:v>
                </c:pt>
                <c:pt idx="205">
                  <c:v>67.5</c:v>
                </c:pt>
                <c:pt idx="206">
                  <c:v>67.5</c:v>
                </c:pt>
                <c:pt idx="207">
                  <c:v>67.5</c:v>
                </c:pt>
                <c:pt idx="208">
                  <c:v>67.5</c:v>
                </c:pt>
                <c:pt idx="209">
                  <c:v>67.5</c:v>
                </c:pt>
                <c:pt idx="210">
                  <c:v>67.5</c:v>
                </c:pt>
                <c:pt idx="211">
                  <c:v>67.5</c:v>
                </c:pt>
                <c:pt idx="212">
                  <c:v>65</c:v>
                </c:pt>
                <c:pt idx="213">
                  <c:v>65</c:v>
                </c:pt>
                <c:pt idx="214">
                  <c:v>65</c:v>
                </c:pt>
                <c:pt idx="215">
                  <c:v>65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65</c:v>
                </c:pt>
                <c:pt idx="228">
                  <c:v>62.5</c:v>
                </c:pt>
                <c:pt idx="229">
                  <c:v>62.5</c:v>
                </c:pt>
                <c:pt idx="230">
                  <c:v>62.5</c:v>
                </c:pt>
                <c:pt idx="231">
                  <c:v>62.5</c:v>
                </c:pt>
                <c:pt idx="232">
                  <c:v>62.5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57.5</c:v>
                </c:pt>
                <c:pt idx="240">
                  <c:v>57.5</c:v>
                </c:pt>
                <c:pt idx="241">
                  <c:v>55</c:v>
                </c:pt>
                <c:pt idx="242">
                  <c:v>55</c:v>
                </c:pt>
                <c:pt idx="243">
                  <c:v>55</c:v>
                </c:pt>
                <c:pt idx="244">
                  <c:v>55</c:v>
                </c:pt>
                <c:pt idx="245">
                  <c:v>55</c:v>
                </c:pt>
                <c:pt idx="246">
                  <c:v>55</c:v>
                </c:pt>
                <c:pt idx="247">
                  <c:v>55</c:v>
                </c:pt>
                <c:pt idx="248">
                  <c:v>52.5</c:v>
                </c:pt>
                <c:pt idx="249">
                  <c:v>52.5</c:v>
                </c:pt>
                <c:pt idx="250">
                  <c:v>52.5</c:v>
                </c:pt>
                <c:pt idx="251">
                  <c:v>52.5</c:v>
                </c:pt>
                <c:pt idx="252">
                  <c:v>52.5</c:v>
                </c:pt>
                <c:pt idx="253">
                  <c:v>50</c:v>
                </c:pt>
                <c:pt idx="254">
                  <c:v>50</c:v>
                </c:pt>
                <c:pt idx="255">
                  <c:v>50</c:v>
                </c:pt>
                <c:pt idx="256">
                  <c:v>45</c:v>
                </c:pt>
                <c:pt idx="257">
                  <c:v>45</c:v>
                </c:pt>
                <c:pt idx="258">
                  <c:v>42.5</c:v>
                </c:pt>
                <c:pt idx="259">
                  <c:v>40</c:v>
                </c:pt>
                <c:pt idx="260">
                  <c:v>40</c:v>
                </c:pt>
              </c:numCache>
            </c:numRef>
          </c:xVal>
          <c:yVal>
            <c:numRef>
              <c:f>'Data Dead'!$G$401:$G$661</c:f>
              <c:numCache>
                <c:formatCode>General</c:formatCode>
                <c:ptCount val="261"/>
                <c:pt idx="0">
                  <c:v>222.5</c:v>
                </c:pt>
                <c:pt idx="1">
                  <c:v>197.5</c:v>
                </c:pt>
                <c:pt idx="2">
                  <c:v>197.5</c:v>
                </c:pt>
                <c:pt idx="3">
                  <c:v>190</c:v>
                </c:pt>
                <c:pt idx="4">
                  <c:v>195</c:v>
                </c:pt>
                <c:pt idx="5">
                  <c:v>195</c:v>
                </c:pt>
                <c:pt idx="6">
                  <c:v>192.5</c:v>
                </c:pt>
                <c:pt idx="7">
                  <c:v>205</c:v>
                </c:pt>
                <c:pt idx="8">
                  <c:v>190</c:v>
                </c:pt>
                <c:pt idx="9">
                  <c:v>197.5</c:v>
                </c:pt>
                <c:pt idx="10">
                  <c:v>215</c:v>
                </c:pt>
                <c:pt idx="11">
                  <c:v>200</c:v>
                </c:pt>
                <c:pt idx="12">
                  <c:v>236</c:v>
                </c:pt>
                <c:pt idx="13">
                  <c:v>170</c:v>
                </c:pt>
                <c:pt idx="14">
                  <c:v>190</c:v>
                </c:pt>
                <c:pt idx="15">
                  <c:v>180</c:v>
                </c:pt>
                <c:pt idx="16">
                  <c:v>180</c:v>
                </c:pt>
                <c:pt idx="17">
                  <c:v>240.5</c:v>
                </c:pt>
                <c:pt idx="18">
                  <c:v>225</c:v>
                </c:pt>
                <c:pt idx="19">
                  <c:v>217.5</c:v>
                </c:pt>
                <c:pt idx="20">
                  <c:v>195</c:v>
                </c:pt>
                <c:pt idx="21">
                  <c:v>185</c:v>
                </c:pt>
                <c:pt idx="22">
                  <c:v>177.5</c:v>
                </c:pt>
                <c:pt idx="23">
                  <c:v>160</c:v>
                </c:pt>
                <c:pt idx="24">
                  <c:v>220</c:v>
                </c:pt>
                <c:pt idx="25">
                  <c:v>215</c:v>
                </c:pt>
                <c:pt idx="26">
                  <c:v>190</c:v>
                </c:pt>
                <c:pt idx="27">
                  <c:v>190</c:v>
                </c:pt>
                <c:pt idx="28">
                  <c:v>177.5</c:v>
                </c:pt>
                <c:pt idx="29">
                  <c:v>175</c:v>
                </c:pt>
                <c:pt idx="30">
                  <c:v>160</c:v>
                </c:pt>
                <c:pt idx="31">
                  <c:v>230</c:v>
                </c:pt>
                <c:pt idx="32">
                  <c:v>185</c:v>
                </c:pt>
                <c:pt idx="33">
                  <c:v>175</c:v>
                </c:pt>
                <c:pt idx="34">
                  <c:v>167.5</c:v>
                </c:pt>
                <c:pt idx="35">
                  <c:v>152.5</c:v>
                </c:pt>
                <c:pt idx="36">
                  <c:v>220.5</c:v>
                </c:pt>
                <c:pt idx="37">
                  <c:v>210</c:v>
                </c:pt>
                <c:pt idx="38">
                  <c:v>192.5</c:v>
                </c:pt>
                <c:pt idx="39">
                  <c:v>170</c:v>
                </c:pt>
                <c:pt idx="40">
                  <c:v>155</c:v>
                </c:pt>
                <c:pt idx="41">
                  <c:v>140</c:v>
                </c:pt>
                <c:pt idx="42">
                  <c:v>230</c:v>
                </c:pt>
                <c:pt idx="43">
                  <c:v>180</c:v>
                </c:pt>
                <c:pt idx="44">
                  <c:v>175</c:v>
                </c:pt>
                <c:pt idx="45">
                  <c:v>175</c:v>
                </c:pt>
                <c:pt idx="46">
                  <c:v>167.5</c:v>
                </c:pt>
                <c:pt idx="47">
                  <c:v>160</c:v>
                </c:pt>
                <c:pt idx="48">
                  <c:v>145</c:v>
                </c:pt>
                <c:pt idx="49">
                  <c:v>217.5</c:v>
                </c:pt>
                <c:pt idx="50">
                  <c:v>202.5</c:v>
                </c:pt>
                <c:pt idx="51">
                  <c:v>197.5</c:v>
                </c:pt>
                <c:pt idx="52">
                  <c:v>170</c:v>
                </c:pt>
                <c:pt idx="53">
                  <c:v>221</c:v>
                </c:pt>
                <c:pt idx="54">
                  <c:v>187.5</c:v>
                </c:pt>
                <c:pt idx="55">
                  <c:v>180</c:v>
                </c:pt>
                <c:pt idx="56">
                  <c:v>175</c:v>
                </c:pt>
                <c:pt idx="57">
                  <c:v>170</c:v>
                </c:pt>
                <c:pt idx="58">
                  <c:v>170</c:v>
                </c:pt>
                <c:pt idx="59">
                  <c:v>207.5</c:v>
                </c:pt>
                <c:pt idx="60">
                  <c:v>187.5</c:v>
                </c:pt>
                <c:pt idx="61">
                  <c:v>185</c:v>
                </c:pt>
                <c:pt idx="62">
                  <c:v>180</c:v>
                </c:pt>
                <c:pt idx="63">
                  <c:v>180</c:v>
                </c:pt>
                <c:pt idx="64">
                  <c:v>177.5</c:v>
                </c:pt>
                <c:pt idx="65">
                  <c:v>175</c:v>
                </c:pt>
                <c:pt idx="66">
                  <c:v>172.5</c:v>
                </c:pt>
                <c:pt idx="67">
                  <c:v>152.5</c:v>
                </c:pt>
                <c:pt idx="68">
                  <c:v>207.5</c:v>
                </c:pt>
                <c:pt idx="69">
                  <c:v>207.5</c:v>
                </c:pt>
                <c:pt idx="70">
                  <c:v>192.5</c:v>
                </c:pt>
                <c:pt idx="71">
                  <c:v>192.5</c:v>
                </c:pt>
                <c:pt idx="72">
                  <c:v>180</c:v>
                </c:pt>
                <c:pt idx="73">
                  <c:v>175</c:v>
                </c:pt>
                <c:pt idx="74">
                  <c:v>172.5</c:v>
                </c:pt>
                <c:pt idx="75">
                  <c:v>162.5</c:v>
                </c:pt>
                <c:pt idx="76">
                  <c:v>135</c:v>
                </c:pt>
                <c:pt idx="77">
                  <c:v>140</c:v>
                </c:pt>
                <c:pt idx="78">
                  <c:v>140</c:v>
                </c:pt>
                <c:pt idx="79">
                  <c:v>170.5</c:v>
                </c:pt>
                <c:pt idx="80">
                  <c:v>172.5</c:v>
                </c:pt>
                <c:pt idx="81">
                  <c:v>170</c:v>
                </c:pt>
                <c:pt idx="82">
                  <c:v>160</c:v>
                </c:pt>
                <c:pt idx="83">
                  <c:v>152.5</c:v>
                </c:pt>
                <c:pt idx="84">
                  <c:v>150</c:v>
                </c:pt>
                <c:pt idx="85">
                  <c:v>145</c:v>
                </c:pt>
                <c:pt idx="86">
                  <c:v>145</c:v>
                </c:pt>
                <c:pt idx="87">
                  <c:v>145</c:v>
                </c:pt>
                <c:pt idx="88">
                  <c:v>135</c:v>
                </c:pt>
                <c:pt idx="89">
                  <c:v>125</c:v>
                </c:pt>
                <c:pt idx="90">
                  <c:v>205</c:v>
                </c:pt>
                <c:pt idx="91">
                  <c:v>185</c:v>
                </c:pt>
                <c:pt idx="92">
                  <c:v>172.5</c:v>
                </c:pt>
                <c:pt idx="93">
                  <c:v>165</c:v>
                </c:pt>
                <c:pt idx="94">
                  <c:v>155</c:v>
                </c:pt>
                <c:pt idx="95">
                  <c:v>145</c:v>
                </c:pt>
                <c:pt idx="96">
                  <c:v>140</c:v>
                </c:pt>
                <c:pt idx="97">
                  <c:v>140</c:v>
                </c:pt>
                <c:pt idx="98">
                  <c:v>190</c:v>
                </c:pt>
                <c:pt idx="99">
                  <c:v>190</c:v>
                </c:pt>
                <c:pt idx="100">
                  <c:v>190</c:v>
                </c:pt>
                <c:pt idx="101">
                  <c:v>185</c:v>
                </c:pt>
                <c:pt idx="102">
                  <c:v>180</c:v>
                </c:pt>
                <c:pt idx="103">
                  <c:v>175</c:v>
                </c:pt>
                <c:pt idx="104">
                  <c:v>172.5</c:v>
                </c:pt>
                <c:pt idx="105">
                  <c:v>172.5</c:v>
                </c:pt>
                <c:pt idx="106">
                  <c:v>170</c:v>
                </c:pt>
                <c:pt idx="107">
                  <c:v>167.5</c:v>
                </c:pt>
                <c:pt idx="108">
                  <c:v>162.5</c:v>
                </c:pt>
                <c:pt idx="109">
                  <c:v>160</c:v>
                </c:pt>
                <c:pt idx="110">
                  <c:v>160</c:v>
                </c:pt>
                <c:pt idx="111">
                  <c:v>157.5</c:v>
                </c:pt>
                <c:pt idx="112">
                  <c:v>147.5</c:v>
                </c:pt>
                <c:pt idx="113">
                  <c:v>145</c:v>
                </c:pt>
                <c:pt idx="114">
                  <c:v>145</c:v>
                </c:pt>
                <c:pt idx="115">
                  <c:v>185</c:v>
                </c:pt>
                <c:pt idx="116">
                  <c:v>182.5</c:v>
                </c:pt>
                <c:pt idx="117">
                  <c:v>180</c:v>
                </c:pt>
                <c:pt idx="118">
                  <c:v>175</c:v>
                </c:pt>
                <c:pt idx="119">
                  <c:v>170</c:v>
                </c:pt>
                <c:pt idx="120">
                  <c:v>162.5</c:v>
                </c:pt>
                <c:pt idx="121">
                  <c:v>150</c:v>
                </c:pt>
                <c:pt idx="122">
                  <c:v>147.5</c:v>
                </c:pt>
                <c:pt idx="123">
                  <c:v>142.5</c:v>
                </c:pt>
                <c:pt idx="124">
                  <c:v>132.5</c:v>
                </c:pt>
                <c:pt idx="125">
                  <c:v>182.5</c:v>
                </c:pt>
                <c:pt idx="126">
                  <c:v>180</c:v>
                </c:pt>
                <c:pt idx="127">
                  <c:v>180</c:v>
                </c:pt>
                <c:pt idx="128">
                  <c:v>175</c:v>
                </c:pt>
                <c:pt idx="129">
                  <c:v>175</c:v>
                </c:pt>
                <c:pt idx="130">
                  <c:v>167.5</c:v>
                </c:pt>
                <c:pt idx="131">
                  <c:v>165</c:v>
                </c:pt>
                <c:pt idx="132">
                  <c:v>165</c:v>
                </c:pt>
                <c:pt idx="133">
                  <c:v>162.5</c:v>
                </c:pt>
                <c:pt idx="134">
                  <c:v>160</c:v>
                </c:pt>
                <c:pt idx="135">
                  <c:v>160</c:v>
                </c:pt>
                <c:pt idx="136">
                  <c:v>155</c:v>
                </c:pt>
                <c:pt idx="137">
                  <c:v>147.5</c:v>
                </c:pt>
                <c:pt idx="138">
                  <c:v>145</c:v>
                </c:pt>
                <c:pt idx="139">
                  <c:v>145</c:v>
                </c:pt>
                <c:pt idx="140">
                  <c:v>135</c:v>
                </c:pt>
                <c:pt idx="141">
                  <c:v>130</c:v>
                </c:pt>
                <c:pt idx="142">
                  <c:v>185</c:v>
                </c:pt>
                <c:pt idx="143">
                  <c:v>185</c:v>
                </c:pt>
                <c:pt idx="144">
                  <c:v>182.5</c:v>
                </c:pt>
                <c:pt idx="145">
                  <c:v>175</c:v>
                </c:pt>
                <c:pt idx="146">
                  <c:v>175</c:v>
                </c:pt>
                <c:pt idx="147">
                  <c:v>172.5</c:v>
                </c:pt>
                <c:pt idx="148">
                  <c:v>170</c:v>
                </c:pt>
                <c:pt idx="149">
                  <c:v>155</c:v>
                </c:pt>
                <c:pt idx="150">
                  <c:v>150</c:v>
                </c:pt>
                <c:pt idx="151">
                  <c:v>140</c:v>
                </c:pt>
                <c:pt idx="152">
                  <c:v>132.5</c:v>
                </c:pt>
                <c:pt idx="153">
                  <c:v>192.5</c:v>
                </c:pt>
                <c:pt idx="154">
                  <c:v>187.5</c:v>
                </c:pt>
                <c:pt idx="155">
                  <c:v>182.5</c:v>
                </c:pt>
                <c:pt idx="156">
                  <c:v>177.5</c:v>
                </c:pt>
                <c:pt idx="157">
                  <c:v>162.5</c:v>
                </c:pt>
                <c:pt idx="158">
                  <c:v>157.5</c:v>
                </c:pt>
                <c:pt idx="159">
                  <c:v>155</c:v>
                </c:pt>
                <c:pt idx="160">
                  <c:v>152.5</c:v>
                </c:pt>
                <c:pt idx="161">
                  <c:v>150</c:v>
                </c:pt>
                <c:pt idx="162">
                  <c:v>145</c:v>
                </c:pt>
                <c:pt idx="163">
                  <c:v>140</c:v>
                </c:pt>
                <c:pt idx="164">
                  <c:v>135</c:v>
                </c:pt>
                <c:pt idx="165">
                  <c:v>135</c:v>
                </c:pt>
                <c:pt idx="166">
                  <c:v>135</c:v>
                </c:pt>
                <c:pt idx="167">
                  <c:v>135</c:v>
                </c:pt>
                <c:pt idx="168">
                  <c:v>132.5</c:v>
                </c:pt>
                <c:pt idx="169">
                  <c:v>132.5</c:v>
                </c:pt>
                <c:pt idx="170">
                  <c:v>185</c:v>
                </c:pt>
                <c:pt idx="171">
                  <c:v>167.5</c:v>
                </c:pt>
                <c:pt idx="172">
                  <c:v>165</c:v>
                </c:pt>
                <c:pt idx="173">
                  <c:v>162.5</c:v>
                </c:pt>
                <c:pt idx="174">
                  <c:v>162.5</c:v>
                </c:pt>
                <c:pt idx="175">
                  <c:v>160</c:v>
                </c:pt>
                <c:pt idx="176">
                  <c:v>157.5</c:v>
                </c:pt>
                <c:pt idx="177">
                  <c:v>152.5</c:v>
                </c:pt>
                <c:pt idx="178">
                  <c:v>152.5</c:v>
                </c:pt>
                <c:pt idx="179">
                  <c:v>150</c:v>
                </c:pt>
                <c:pt idx="180">
                  <c:v>150</c:v>
                </c:pt>
                <c:pt idx="181">
                  <c:v>145</c:v>
                </c:pt>
                <c:pt idx="182">
                  <c:v>142.5</c:v>
                </c:pt>
                <c:pt idx="183">
                  <c:v>142.5</c:v>
                </c:pt>
                <c:pt idx="184">
                  <c:v>140</c:v>
                </c:pt>
                <c:pt idx="185">
                  <c:v>135</c:v>
                </c:pt>
                <c:pt idx="186">
                  <c:v>130</c:v>
                </c:pt>
                <c:pt idx="187">
                  <c:v>180</c:v>
                </c:pt>
                <c:pt idx="188">
                  <c:v>172.5</c:v>
                </c:pt>
                <c:pt idx="189">
                  <c:v>160</c:v>
                </c:pt>
                <c:pt idx="190">
                  <c:v>160</c:v>
                </c:pt>
                <c:pt idx="191">
                  <c:v>160</c:v>
                </c:pt>
                <c:pt idx="192">
                  <c:v>155</c:v>
                </c:pt>
                <c:pt idx="193">
                  <c:v>152.5</c:v>
                </c:pt>
                <c:pt idx="194">
                  <c:v>150</c:v>
                </c:pt>
                <c:pt idx="195">
                  <c:v>140</c:v>
                </c:pt>
                <c:pt idx="196">
                  <c:v>135</c:v>
                </c:pt>
                <c:pt idx="197">
                  <c:v>135</c:v>
                </c:pt>
                <c:pt idx="198">
                  <c:v>132.5</c:v>
                </c:pt>
                <c:pt idx="199">
                  <c:v>125</c:v>
                </c:pt>
                <c:pt idx="200">
                  <c:v>122.5</c:v>
                </c:pt>
                <c:pt idx="201">
                  <c:v>112.5</c:v>
                </c:pt>
                <c:pt idx="202">
                  <c:v>175</c:v>
                </c:pt>
                <c:pt idx="203">
                  <c:v>165</c:v>
                </c:pt>
                <c:pt idx="204">
                  <c:v>160</c:v>
                </c:pt>
                <c:pt idx="205">
                  <c:v>157.5</c:v>
                </c:pt>
                <c:pt idx="206">
                  <c:v>155</c:v>
                </c:pt>
                <c:pt idx="207">
                  <c:v>150</c:v>
                </c:pt>
                <c:pt idx="208">
                  <c:v>147.5</c:v>
                </c:pt>
                <c:pt idx="209">
                  <c:v>135</c:v>
                </c:pt>
                <c:pt idx="210">
                  <c:v>130</c:v>
                </c:pt>
                <c:pt idx="211">
                  <c:v>120</c:v>
                </c:pt>
                <c:pt idx="212">
                  <c:v>160</c:v>
                </c:pt>
                <c:pt idx="213">
                  <c:v>160</c:v>
                </c:pt>
                <c:pt idx="214">
                  <c:v>160</c:v>
                </c:pt>
                <c:pt idx="215">
                  <c:v>157.5</c:v>
                </c:pt>
                <c:pt idx="216">
                  <c:v>152.5</c:v>
                </c:pt>
                <c:pt idx="217">
                  <c:v>152.5</c:v>
                </c:pt>
                <c:pt idx="218">
                  <c:v>150</c:v>
                </c:pt>
                <c:pt idx="219">
                  <c:v>150</c:v>
                </c:pt>
                <c:pt idx="220">
                  <c:v>147.5</c:v>
                </c:pt>
                <c:pt idx="221">
                  <c:v>142.5</c:v>
                </c:pt>
                <c:pt idx="222">
                  <c:v>137.5</c:v>
                </c:pt>
                <c:pt idx="223">
                  <c:v>135</c:v>
                </c:pt>
                <c:pt idx="224">
                  <c:v>127.5</c:v>
                </c:pt>
                <c:pt idx="225">
                  <c:v>127.5</c:v>
                </c:pt>
                <c:pt idx="226">
                  <c:v>125</c:v>
                </c:pt>
                <c:pt idx="227">
                  <c:v>120</c:v>
                </c:pt>
                <c:pt idx="228">
                  <c:v>155</c:v>
                </c:pt>
                <c:pt idx="229">
                  <c:v>145</c:v>
                </c:pt>
                <c:pt idx="230">
                  <c:v>135</c:v>
                </c:pt>
                <c:pt idx="231">
                  <c:v>132.5</c:v>
                </c:pt>
                <c:pt idx="232">
                  <c:v>130</c:v>
                </c:pt>
                <c:pt idx="233">
                  <c:v>135</c:v>
                </c:pt>
                <c:pt idx="234">
                  <c:v>132.5</c:v>
                </c:pt>
                <c:pt idx="235">
                  <c:v>122.5</c:v>
                </c:pt>
                <c:pt idx="236">
                  <c:v>120</c:v>
                </c:pt>
                <c:pt idx="237">
                  <c:v>112.5</c:v>
                </c:pt>
                <c:pt idx="238">
                  <c:v>90</c:v>
                </c:pt>
                <c:pt idx="239">
                  <c:v>130</c:v>
                </c:pt>
                <c:pt idx="240">
                  <c:v>95</c:v>
                </c:pt>
                <c:pt idx="241">
                  <c:v>160</c:v>
                </c:pt>
                <c:pt idx="242">
                  <c:v>145</c:v>
                </c:pt>
                <c:pt idx="243">
                  <c:v>140</c:v>
                </c:pt>
                <c:pt idx="244">
                  <c:v>132.5</c:v>
                </c:pt>
                <c:pt idx="245">
                  <c:v>125</c:v>
                </c:pt>
                <c:pt idx="246">
                  <c:v>120</c:v>
                </c:pt>
                <c:pt idx="247">
                  <c:v>110</c:v>
                </c:pt>
                <c:pt idx="248">
                  <c:v>152.5</c:v>
                </c:pt>
                <c:pt idx="249">
                  <c:v>140</c:v>
                </c:pt>
                <c:pt idx="250">
                  <c:v>120</c:v>
                </c:pt>
                <c:pt idx="251">
                  <c:v>115</c:v>
                </c:pt>
                <c:pt idx="252">
                  <c:v>110</c:v>
                </c:pt>
                <c:pt idx="253">
                  <c:v>120</c:v>
                </c:pt>
                <c:pt idx="254">
                  <c:v>117.5</c:v>
                </c:pt>
                <c:pt idx="255">
                  <c:v>117.5</c:v>
                </c:pt>
                <c:pt idx="256">
                  <c:v>132.5</c:v>
                </c:pt>
                <c:pt idx="257">
                  <c:v>95</c:v>
                </c:pt>
                <c:pt idx="258">
                  <c:v>147.5</c:v>
                </c:pt>
                <c:pt idx="259">
                  <c:v>135</c:v>
                </c:pt>
                <c:pt idx="260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8-47E7-8003-6F006A8AF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87144"/>
        <c:axId val="445190672"/>
      </c:scatterChart>
      <c:valAx>
        <c:axId val="44518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Bench Press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0672"/>
        <c:crosses val="autoZero"/>
        <c:crossBetween val="midCat"/>
      </c:valAx>
      <c:valAx>
        <c:axId val="4451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Deadlift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7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Bodyweight vs. Total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IPF Classic (Unequipped) Championship Data 2012–2015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Men - 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7.5636482681342918E-3"/>
                  <c:y val="-0.10752452852498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Total'!$D$2:$D$395</c:f>
              <c:numCache>
                <c:formatCode>General</c:formatCode>
                <c:ptCount val="394"/>
                <c:pt idx="0">
                  <c:v>171.65</c:v>
                </c:pt>
                <c:pt idx="1">
                  <c:v>167.02</c:v>
                </c:pt>
                <c:pt idx="2">
                  <c:v>162.4</c:v>
                </c:pt>
                <c:pt idx="3">
                  <c:v>168.15</c:v>
                </c:pt>
                <c:pt idx="4">
                  <c:v>149.81</c:v>
                </c:pt>
                <c:pt idx="5">
                  <c:v>156.15</c:v>
                </c:pt>
                <c:pt idx="6">
                  <c:v>119.7</c:v>
                </c:pt>
                <c:pt idx="7">
                  <c:v>142.29</c:v>
                </c:pt>
                <c:pt idx="8">
                  <c:v>156.85</c:v>
                </c:pt>
                <c:pt idx="9">
                  <c:v>119.48</c:v>
                </c:pt>
                <c:pt idx="10">
                  <c:v>119.93</c:v>
                </c:pt>
                <c:pt idx="11">
                  <c:v>147.05000000000001</c:v>
                </c:pt>
                <c:pt idx="12">
                  <c:v>160.85</c:v>
                </c:pt>
                <c:pt idx="13">
                  <c:v>119.85</c:v>
                </c:pt>
                <c:pt idx="14">
                  <c:v>152.9</c:v>
                </c:pt>
                <c:pt idx="15">
                  <c:v>119</c:v>
                </c:pt>
                <c:pt idx="16">
                  <c:v>158.75</c:v>
                </c:pt>
                <c:pt idx="17">
                  <c:v>163.5</c:v>
                </c:pt>
                <c:pt idx="18">
                  <c:v>118.85</c:v>
                </c:pt>
                <c:pt idx="19">
                  <c:v>118.51</c:v>
                </c:pt>
                <c:pt idx="20">
                  <c:v>133.94999999999999</c:v>
                </c:pt>
                <c:pt idx="21">
                  <c:v>182.5</c:v>
                </c:pt>
                <c:pt idx="22">
                  <c:v>117.95</c:v>
                </c:pt>
                <c:pt idx="23">
                  <c:v>142.94999999999999</c:v>
                </c:pt>
                <c:pt idx="24">
                  <c:v>160.30000000000001</c:v>
                </c:pt>
                <c:pt idx="25">
                  <c:v>174.25</c:v>
                </c:pt>
                <c:pt idx="26">
                  <c:v>119.75</c:v>
                </c:pt>
                <c:pt idx="27">
                  <c:v>118.55</c:v>
                </c:pt>
                <c:pt idx="28">
                  <c:v>163.95</c:v>
                </c:pt>
                <c:pt idx="29">
                  <c:v>137.15</c:v>
                </c:pt>
                <c:pt idx="30">
                  <c:v>143.72</c:v>
                </c:pt>
                <c:pt idx="31">
                  <c:v>139.6</c:v>
                </c:pt>
                <c:pt idx="32">
                  <c:v>119.2</c:v>
                </c:pt>
                <c:pt idx="33">
                  <c:v>163.19999999999999</c:v>
                </c:pt>
                <c:pt idx="34">
                  <c:v>103.56</c:v>
                </c:pt>
                <c:pt idx="35">
                  <c:v>118.45</c:v>
                </c:pt>
                <c:pt idx="36">
                  <c:v>113.75</c:v>
                </c:pt>
                <c:pt idx="37">
                  <c:v>118.7</c:v>
                </c:pt>
                <c:pt idx="38">
                  <c:v>118.65</c:v>
                </c:pt>
                <c:pt idx="39">
                  <c:v>162.25</c:v>
                </c:pt>
                <c:pt idx="40">
                  <c:v>119.72</c:v>
                </c:pt>
                <c:pt idx="41">
                  <c:v>132</c:v>
                </c:pt>
                <c:pt idx="42">
                  <c:v>104.65</c:v>
                </c:pt>
                <c:pt idx="43">
                  <c:v>103.1</c:v>
                </c:pt>
                <c:pt idx="44">
                  <c:v>118.75</c:v>
                </c:pt>
                <c:pt idx="45">
                  <c:v>118.85</c:v>
                </c:pt>
                <c:pt idx="46">
                  <c:v>104.6</c:v>
                </c:pt>
                <c:pt idx="47">
                  <c:v>153.33000000000001</c:v>
                </c:pt>
                <c:pt idx="48">
                  <c:v>151.4</c:v>
                </c:pt>
                <c:pt idx="49">
                  <c:v>92.25</c:v>
                </c:pt>
                <c:pt idx="50">
                  <c:v>103.55</c:v>
                </c:pt>
                <c:pt idx="51">
                  <c:v>93</c:v>
                </c:pt>
                <c:pt idx="52">
                  <c:v>119.15</c:v>
                </c:pt>
                <c:pt idx="53">
                  <c:v>104.2</c:v>
                </c:pt>
                <c:pt idx="54">
                  <c:v>137.5</c:v>
                </c:pt>
                <c:pt idx="55">
                  <c:v>142.5</c:v>
                </c:pt>
                <c:pt idx="56">
                  <c:v>103.35</c:v>
                </c:pt>
                <c:pt idx="57">
                  <c:v>119.78</c:v>
                </c:pt>
                <c:pt idx="58">
                  <c:v>104.45</c:v>
                </c:pt>
                <c:pt idx="59">
                  <c:v>103.35</c:v>
                </c:pt>
                <c:pt idx="60">
                  <c:v>118.2</c:v>
                </c:pt>
                <c:pt idx="61">
                  <c:v>147.1</c:v>
                </c:pt>
                <c:pt idx="62">
                  <c:v>162.19999999999999</c:v>
                </c:pt>
                <c:pt idx="63">
                  <c:v>92.52</c:v>
                </c:pt>
                <c:pt idx="64">
                  <c:v>141.30000000000001</c:v>
                </c:pt>
                <c:pt idx="65">
                  <c:v>104.05</c:v>
                </c:pt>
                <c:pt idx="66">
                  <c:v>145.44999999999999</c:v>
                </c:pt>
                <c:pt idx="67">
                  <c:v>104.49</c:v>
                </c:pt>
                <c:pt idx="68">
                  <c:v>118.96</c:v>
                </c:pt>
                <c:pt idx="69">
                  <c:v>160</c:v>
                </c:pt>
                <c:pt idx="70">
                  <c:v>129.55000000000001</c:v>
                </c:pt>
                <c:pt idx="71">
                  <c:v>103.79</c:v>
                </c:pt>
                <c:pt idx="72">
                  <c:v>146.19999999999999</c:v>
                </c:pt>
                <c:pt idx="73">
                  <c:v>118.26</c:v>
                </c:pt>
                <c:pt idx="74">
                  <c:v>139.35</c:v>
                </c:pt>
                <c:pt idx="75">
                  <c:v>103.8</c:v>
                </c:pt>
                <c:pt idx="76">
                  <c:v>116.94</c:v>
                </c:pt>
                <c:pt idx="77">
                  <c:v>92.95</c:v>
                </c:pt>
                <c:pt idx="78">
                  <c:v>103.6</c:v>
                </c:pt>
                <c:pt idx="79">
                  <c:v>145.06</c:v>
                </c:pt>
                <c:pt idx="80">
                  <c:v>115.05</c:v>
                </c:pt>
                <c:pt idx="81">
                  <c:v>104.45</c:v>
                </c:pt>
                <c:pt idx="82">
                  <c:v>103.85</c:v>
                </c:pt>
                <c:pt idx="83">
                  <c:v>104.7</c:v>
                </c:pt>
                <c:pt idx="84">
                  <c:v>103</c:v>
                </c:pt>
                <c:pt idx="85">
                  <c:v>131.85</c:v>
                </c:pt>
                <c:pt idx="86">
                  <c:v>119.25</c:v>
                </c:pt>
                <c:pt idx="87">
                  <c:v>103.69</c:v>
                </c:pt>
                <c:pt idx="88">
                  <c:v>91.48</c:v>
                </c:pt>
                <c:pt idx="89">
                  <c:v>116.6</c:v>
                </c:pt>
                <c:pt idx="90">
                  <c:v>136.33000000000001</c:v>
                </c:pt>
                <c:pt idx="91">
                  <c:v>104.4</c:v>
                </c:pt>
                <c:pt idx="92">
                  <c:v>107.29</c:v>
                </c:pt>
                <c:pt idx="93">
                  <c:v>144.30000000000001</c:v>
                </c:pt>
                <c:pt idx="94">
                  <c:v>81.93</c:v>
                </c:pt>
                <c:pt idx="95">
                  <c:v>92.01</c:v>
                </c:pt>
                <c:pt idx="96">
                  <c:v>104.65</c:v>
                </c:pt>
                <c:pt idx="97">
                  <c:v>118.66</c:v>
                </c:pt>
                <c:pt idx="98">
                  <c:v>117.87</c:v>
                </c:pt>
                <c:pt idx="99">
                  <c:v>116.35</c:v>
                </c:pt>
                <c:pt idx="100">
                  <c:v>125.69</c:v>
                </c:pt>
                <c:pt idx="101">
                  <c:v>92.1</c:v>
                </c:pt>
                <c:pt idx="102">
                  <c:v>92.85</c:v>
                </c:pt>
                <c:pt idx="103">
                  <c:v>92.48</c:v>
                </c:pt>
                <c:pt idx="104">
                  <c:v>104.05</c:v>
                </c:pt>
                <c:pt idx="105">
                  <c:v>92.48</c:v>
                </c:pt>
                <c:pt idx="106">
                  <c:v>119.1</c:v>
                </c:pt>
                <c:pt idx="107">
                  <c:v>104.5</c:v>
                </c:pt>
                <c:pt idx="108">
                  <c:v>103.1</c:v>
                </c:pt>
                <c:pt idx="109">
                  <c:v>116.4</c:v>
                </c:pt>
                <c:pt idx="110">
                  <c:v>102.5</c:v>
                </c:pt>
                <c:pt idx="111">
                  <c:v>91.38</c:v>
                </c:pt>
                <c:pt idx="112">
                  <c:v>82.4</c:v>
                </c:pt>
                <c:pt idx="113">
                  <c:v>101.25</c:v>
                </c:pt>
                <c:pt idx="114">
                  <c:v>92.95</c:v>
                </c:pt>
                <c:pt idx="115">
                  <c:v>92.8</c:v>
                </c:pt>
                <c:pt idx="116">
                  <c:v>92.25</c:v>
                </c:pt>
                <c:pt idx="117">
                  <c:v>115.7</c:v>
                </c:pt>
                <c:pt idx="118">
                  <c:v>82.4</c:v>
                </c:pt>
                <c:pt idx="119">
                  <c:v>115.8</c:v>
                </c:pt>
                <c:pt idx="120">
                  <c:v>92.65</c:v>
                </c:pt>
                <c:pt idx="121">
                  <c:v>116.2</c:v>
                </c:pt>
                <c:pt idx="122">
                  <c:v>92.2</c:v>
                </c:pt>
                <c:pt idx="123">
                  <c:v>142.75</c:v>
                </c:pt>
                <c:pt idx="124">
                  <c:v>128.05000000000001</c:v>
                </c:pt>
                <c:pt idx="125">
                  <c:v>126</c:v>
                </c:pt>
                <c:pt idx="126">
                  <c:v>89.3</c:v>
                </c:pt>
                <c:pt idx="127">
                  <c:v>103.55</c:v>
                </c:pt>
                <c:pt idx="128">
                  <c:v>101.95</c:v>
                </c:pt>
                <c:pt idx="129">
                  <c:v>117.35</c:v>
                </c:pt>
                <c:pt idx="130">
                  <c:v>104.09</c:v>
                </c:pt>
                <c:pt idx="131">
                  <c:v>104.07</c:v>
                </c:pt>
                <c:pt idx="132">
                  <c:v>81.849999999999994</c:v>
                </c:pt>
                <c:pt idx="133">
                  <c:v>117.2</c:v>
                </c:pt>
                <c:pt idx="134">
                  <c:v>138.05000000000001</c:v>
                </c:pt>
                <c:pt idx="135">
                  <c:v>117.3</c:v>
                </c:pt>
                <c:pt idx="136">
                  <c:v>92.25</c:v>
                </c:pt>
                <c:pt idx="137">
                  <c:v>131.5</c:v>
                </c:pt>
                <c:pt idx="138">
                  <c:v>119.6</c:v>
                </c:pt>
                <c:pt idx="139">
                  <c:v>117.15</c:v>
                </c:pt>
                <c:pt idx="140">
                  <c:v>103.1</c:v>
                </c:pt>
                <c:pt idx="141">
                  <c:v>82.3</c:v>
                </c:pt>
                <c:pt idx="142">
                  <c:v>92.76</c:v>
                </c:pt>
                <c:pt idx="143">
                  <c:v>104.45</c:v>
                </c:pt>
                <c:pt idx="144">
                  <c:v>99</c:v>
                </c:pt>
                <c:pt idx="145">
                  <c:v>130</c:v>
                </c:pt>
                <c:pt idx="146">
                  <c:v>118.6</c:v>
                </c:pt>
                <c:pt idx="147">
                  <c:v>103.3</c:v>
                </c:pt>
                <c:pt idx="148">
                  <c:v>118.28</c:v>
                </c:pt>
                <c:pt idx="149">
                  <c:v>92.5</c:v>
                </c:pt>
                <c:pt idx="150">
                  <c:v>103.35</c:v>
                </c:pt>
                <c:pt idx="151">
                  <c:v>129.35</c:v>
                </c:pt>
                <c:pt idx="152">
                  <c:v>104.65</c:v>
                </c:pt>
                <c:pt idx="153">
                  <c:v>92.75</c:v>
                </c:pt>
                <c:pt idx="154">
                  <c:v>119.9</c:v>
                </c:pt>
                <c:pt idx="155">
                  <c:v>91.65</c:v>
                </c:pt>
                <c:pt idx="156">
                  <c:v>91.6</c:v>
                </c:pt>
                <c:pt idx="157">
                  <c:v>104.4</c:v>
                </c:pt>
                <c:pt idx="158">
                  <c:v>103.05</c:v>
                </c:pt>
                <c:pt idx="159">
                  <c:v>92.07</c:v>
                </c:pt>
                <c:pt idx="160">
                  <c:v>92.95</c:v>
                </c:pt>
                <c:pt idx="161">
                  <c:v>136</c:v>
                </c:pt>
                <c:pt idx="162">
                  <c:v>102.71</c:v>
                </c:pt>
                <c:pt idx="163">
                  <c:v>99.85</c:v>
                </c:pt>
                <c:pt idx="164">
                  <c:v>92.3</c:v>
                </c:pt>
                <c:pt idx="165">
                  <c:v>104.55</c:v>
                </c:pt>
                <c:pt idx="166">
                  <c:v>100.15</c:v>
                </c:pt>
                <c:pt idx="167">
                  <c:v>110.35</c:v>
                </c:pt>
                <c:pt idx="168">
                  <c:v>103.8</c:v>
                </c:pt>
                <c:pt idx="169">
                  <c:v>82.6</c:v>
                </c:pt>
                <c:pt idx="170">
                  <c:v>99.75</c:v>
                </c:pt>
                <c:pt idx="171">
                  <c:v>104.37</c:v>
                </c:pt>
                <c:pt idx="172">
                  <c:v>91.8</c:v>
                </c:pt>
                <c:pt idx="173">
                  <c:v>104.15</c:v>
                </c:pt>
                <c:pt idx="174">
                  <c:v>119</c:v>
                </c:pt>
                <c:pt idx="175">
                  <c:v>92.6</c:v>
                </c:pt>
                <c:pt idx="176">
                  <c:v>89.05</c:v>
                </c:pt>
                <c:pt idx="177">
                  <c:v>117</c:v>
                </c:pt>
                <c:pt idx="178">
                  <c:v>104.95</c:v>
                </c:pt>
                <c:pt idx="179">
                  <c:v>91.25</c:v>
                </c:pt>
                <c:pt idx="180">
                  <c:v>103.35</c:v>
                </c:pt>
                <c:pt idx="181">
                  <c:v>80</c:v>
                </c:pt>
                <c:pt idx="182">
                  <c:v>93</c:v>
                </c:pt>
                <c:pt idx="183">
                  <c:v>91.33</c:v>
                </c:pt>
                <c:pt idx="184">
                  <c:v>117.85</c:v>
                </c:pt>
                <c:pt idx="185">
                  <c:v>104.65</c:v>
                </c:pt>
                <c:pt idx="186">
                  <c:v>81.150000000000006</c:v>
                </c:pt>
                <c:pt idx="187">
                  <c:v>103.7</c:v>
                </c:pt>
                <c:pt idx="188">
                  <c:v>90.95</c:v>
                </c:pt>
                <c:pt idx="189">
                  <c:v>73.569999999999993</c:v>
                </c:pt>
                <c:pt idx="190">
                  <c:v>118.94</c:v>
                </c:pt>
                <c:pt idx="191">
                  <c:v>103.75</c:v>
                </c:pt>
                <c:pt idx="192">
                  <c:v>82.05</c:v>
                </c:pt>
                <c:pt idx="193">
                  <c:v>92.45</c:v>
                </c:pt>
                <c:pt idx="194">
                  <c:v>104.25</c:v>
                </c:pt>
                <c:pt idx="195">
                  <c:v>136.19999999999999</c:v>
                </c:pt>
                <c:pt idx="196">
                  <c:v>91.3</c:v>
                </c:pt>
                <c:pt idx="197">
                  <c:v>81.2</c:v>
                </c:pt>
                <c:pt idx="198">
                  <c:v>82.9</c:v>
                </c:pt>
                <c:pt idx="199">
                  <c:v>91.39</c:v>
                </c:pt>
                <c:pt idx="200">
                  <c:v>130.12</c:v>
                </c:pt>
                <c:pt idx="201">
                  <c:v>82.72</c:v>
                </c:pt>
                <c:pt idx="202">
                  <c:v>81.45</c:v>
                </c:pt>
                <c:pt idx="203">
                  <c:v>118.2</c:v>
                </c:pt>
                <c:pt idx="204">
                  <c:v>82.55</c:v>
                </c:pt>
                <c:pt idx="205">
                  <c:v>91.4</c:v>
                </c:pt>
                <c:pt idx="206">
                  <c:v>91.95</c:v>
                </c:pt>
                <c:pt idx="207">
                  <c:v>103.2</c:v>
                </c:pt>
                <c:pt idx="208">
                  <c:v>82.63</c:v>
                </c:pt>
                <c:pt idx="209">
                  <c:v>82.35</c:v>
                </c:pt>
                <c:pt idx="210">
                  <c:v>92.39</c:v>
                </c:pt>
                <c:pt idx="211">
                  <c:v>81.400000000000006</c:v>
                </c:pt>
                <c:pt idx="212">
                  <c:v>73.040000000000006</c:v>
                </c:pt>
                <c:pt idx="213">
                  <c:v>104.25</c:v>
                </c:pt>
                <c:pt idx="214">
                  <c:v>91.65</c:v>
                </c:pt>
                <c:pt idx="215">
                  <c:v>114.2</c:v>
                </c:pt>
                <c:pt idx="216">
                  <c:v>73.27</c:v>
                </c:pt>
                <c:pt idx="217">
                  <c:v>82.2</c:v>
                </c:pt>
                <c:pt idx="218">
                  <c:v>92.4</c:v>
                </c:pt>
                <c:pt idx="219">
                  <c:v>116.65</c:v>
                </c:pt>
                <c:pt idx="220">
                  <c:v>82.2</c:v>
                </c:pt>
                <c:pt idx="221">
                  <c:v>90.58</c:v>
                </c:pt>
                <c:pt idx="222">
                  <c:v>73.55</c:v>
                </c:pt>
                <c:pt idx="223">
                  <c:v>119.65</c:v>
                </c:pt>
                <c:pt idx="224">
                  <c:v>73.650000000000006</c:v>
                </c:pt>
                <c:pt idx="225">
                  <c:v>82.4</c:v>
                </c:pt>
                <c:pt idx="226">
                  <c:v>104.75</c:v>
                </c:pt>
                <c:pt idx="227">
                  <c:v>82.4</c:v>
                </c:pt>
                <c:pt idx="228">
                  <c:v>72.7</c:v>
                </c:pt>
                <c:pt idx="229">
                  <c:v>153.30000000000001</c:v>
                </c:pt>
                <c:pt idx="230">
                  <c:v>72.55</c:v>
                </c:pt>
                <c:pt idx="231">
                  <c:v>82.3</c:v>
                </c:pt>
                <c:pt idx="232">
                  <c:v>90.33</c:v>
                </c:pt>
                <c:pt idx="233">
                  <c:v>92.25</c:v>
                </c:pt>
                <c:pt idx="234">
                  <c:v>73.099999999999994</c:v>
                </c:pt>
                <c:pt idx="235">
                  <c:v>73.760000000000005</c:v>
                </c:pt>
                <c:pt idx="236">
                  <c:v>73.62</c:v>
                </c:pt>
                <c:pt idx="237">
                  <c:v>91.11</c:v>
                </c:pt>
                <c:pt idx="238">
                  <c:v>72.2</c:v>
                </c:pt>
                <c:pt idx="239">
                  <c:v>73.5</c:v>
                </c:pt>
                <c:pt idx="240">
                  <c:v>92.3</c:v>
                </c:pt>
                <c:pt idx="241">
                  <c:v>73.22</c:v>
                </c:pt>
                <c:pt idx="242">
                  <c:v>82.2</c:v>
                </c:pt>
                <c:pt idx="243">
                  <c:v>82.95</c:v>
                </c:pt>
                <c:pt idx="244">
                  <c:v>73.84</c:v>
                </c:pt>
                <c:pt idx="245">
                  <c:v>81.349999999999994</c:v>
                </c:pt>
                <c:pt idx="246">
                  <c:v>73.400000000000006</c:v>
                </c:pt>
                <c:pt idx="247">
                  <c:v>74</c:v>
                </c:pt>
                <c:pt idx="248">
                  <c:v>73.55</c:v>
                </c:pt>
                <c:pt idx="249">
                  <c:v>102.55</c:v>
                </c:pt>
                <c:pt idx="250">
                  <c:v>91.15</c:v>
                </c:pt>
                <c:pt idx="251">
                  <c:v>90.8</c:v>
                </c:pt>
                <c:pt idx="252">
                  <c:v>115.7</c:v>
                </c:pt>
                <c:pt idx="253">
                  <c:v>78.900000000000006</c:v>
                </c:pt>
                <c:pt idx="254">
                  <c:v>81.88</c:v>
                </c:pt>
                <c:pt idx="255">
                  <c:v>92.75</c:v>
                </c:pt>
                <c:pt idx="256">
                  <c:v>58.2</c:v>
                </c:pt>
                <c:pt idx="257">
                  <c:v>92.45</c:v>
                </c:pt>
                <c:pt idx="258">
                  <c:v>73.56</c:v>
                </c:pt>
                <c:pt idx="259">
                  <c:v>73.900000000000006</c:v>
                </c:pt>
                <c:pt idx="260">
                  <c:v>73.150000000000006</c:v>
                </c:pt>
                <c:pt idx="261">
                  <c:v>58.15</c:v>
                </c:pt>
                <c:pt idx="262">
                  <c:v>81.45</c:v>
                </c:pt>
                <c:pt idx="263">
                  <c:v>79.95</c:v>
                </c:pt>
                <c:pt idx="264">
                  <c:v>81.95</c:v>
                </c:pt>
                <c:pt idx="265">
                  <c:v>92.35</c:v>
                </c:pt>
                <c:pt idx="266">
                  <c:v>73.88</c:v>
                </c:pt>
                <c:pt idx="267">
                  <c:v>73.650000000000006</c:v>
                </c:pt>
                <c:pt idx="268">
                  <c:v>57.6</c:v>
                </c:pt>
                <c:pt idx="269">
                  <c:v>65.56</c:v>
                </c:pt>
                <c:pt idx="270">
                  <c:v>80.48</c:v>
                </c:pt>
                <c:pt idx="271">
                  <c:v>82.62</c:v>
                </c:pt>
                <c:pt idx="272">
                  <c:v>73.2</c:v>
                </c:pt>
                <c:pt idx="273">
                  <c:v>63.27</c:v>
                </c:pt>
                <c:pt idx="274">
                  <c:v>80.400000000000006</c:v>
                </c:pt>
                <c:pt idx="275">
                  <c:v>92.1</c:v>
                </c:pt>
                <c:pt idx="276">
                  <c:v>82.09</c:v>
                </c:pt>
                <c:pt idx="277">
                  <c:v>73.62</c:v>
                </c:pt>
                <c:pt idx="278">
                  <c:v>72.5</c:v>
                </c:pt>
                <c:pt idx="279">
                  <c:v>73.8</c:v>
                </c:pt>
                <c:pt idx="280">
                  <c:v>101.75</c:v>
                </c:pt>
                <c:pt idx="281">
                  <c:v>65.900000000000006</c:v>
                </c:pt>
                <c:pt idx="282">
                  <c:v>73.599999999999994</c:v>
                </c:pt>
                <c:pt idx="283">
                  <c:v>91.76</c:v>
                </c:pt>
                <c:pt idx="284">
                  <c:v>73.25</c:v>
                </c:pt>
                <c:pt idx="285">
                  <c:v>99.75</c:v>
                </c:pt>
                <c:pt idx="286">
                  <c:v>64</c:v>
                </c:pt>
                <c:pt idx="287">
                  <c:v>82.35</c:v>
                </c:pt>
                <c:pt idx="288">
                  <c:v>63.4</c:v>
                </c:pt>
                <c:pt idx="289">
                  <c:v>72.5</c:v>
                </c:pt>
                <c:pt idx="290">
                  <c:v>81.41</c:v>
                </c:pt>
                <c:pt idx="291">
                  <c:v>64.87</c:v>
                </c:pt>
                <c:pt idx="292">
                  <c:v>73.25</c:v>
                </c:pt>
                <c:pt idx="293">
                  <c:v>82.6</c:v>
                </c:pt>
                <c:pt idx="294">
                  <c:v>65.150000000000006</c:v>
                </c:pt>
                <c:pt idx="295">
                  <c:v>103.85</c:v>
                </c:pt>
                <c:pt idx="296">
                  <c:v>82.4</c:v>
                </c:pt>
                <c:pt idx="297">
                  <c:v>65.5</c:v>
                </c:pt>
                <c:pt idx="298">
                  <c:v>91.85</c:v>
                </c:pt>
                <c:pt idx="299">
                  <c:v>73.150000000000006</c:v>
                </c:pt>
                <c:pt idx="300">
                  <c:v>82.4</c:v>
                </c:pt>
                <c:pt idx="301">
                  <c:v>72.849999999999994</c:v>
                </c:pt>
                <c:pt idx="302">
                  <c:v>65.86</c:v>
                </c:pt>
                <c:pt idx="303">
                  <c:v>65.599999999999994</c:v>
                </c:pt>
                <c:pt idx="304">
                  <c:v>73.3</c:v>
                </c:pt>
                <c:pt idx="305">
                  <c:v>73.8</c:v>
                </c:pt>
                <c:pt idx="306">
                  <c:v>66</c:v>
                </c:pt>
                <c:pt idx="307">
                  <c:v>82.55</c:v>
                </c:pt>
                <c:pt idx="308">
                  <c:v>81.5</c:v>
                </c:pt>
                <c:pt idx="309">
                  <c:v>101.55</c:v>
                </c:pt>
                <c:pt idx="310">
                  <c:v>73.400000000000006</c:v>
                </c:pt>
                <c:pt idx="311">
                  <c:v>79.3</c:v>
                </c:pt>
                <c:pt idx="312">
                  <c:v>65.66</c:v>
                </c:pt>
                <c:pt idx="313">
                  <c:v>73.55</c:v>
                </c:pt>
                <c:pt idx="314">
                  <c:v>72.2</c:v>
                </c:pt>
                <c:pt idx="315">
                  <c:v>82</c:v>
                </c:pt>
                <c:pt idx="316">
                  <c:v>92</c:v>
                </c:pt>
                <c:pt idx="317">
                  <c:v>65.75</c:v>
                </c:pt>
                <c:pt idx="318">
                  <c:v>96.35</c:v>
                </c:pt>
                <c:pt idx="319">
                  <c:v>58.62</c:v>
                </c:pt>
                <c:pt idx="320">
                  <c:v>82.3</c:v>
                </c:pt>
                <c:pt idx="321">
                  <c:v>82.3</c:v>
                </c:pt>
                <c:pt idx="322">
                  <c:v>92.6</c:v>
                </c:pt>
                <c:pt idx="323">
                  <c:v>65.75</c:v>
                </c:pt>
                <c:pt idx="324">
                  <c:v>73.92</c:v>
                </c:pt>
                <c:pt idx="325">
                  <c:v>65.8</c:v>
                </c:pt>
                <c:pt idx="326">
                  <c:v>65.150000000000006</c:v>
                </c:pt>
                <c:pt idx="327">
                  <c:v>82.7</c:v>
                </c:pt>
                <c:pt idx="328">
                  <c:v>71.5</c:v>
                </c:pt>
                <c:pt idx="329">
                  <c:v>72.650000000000006</c:v>
                </c:pt>
                <c:pt idx="330">
                  <c:v>65.05</c:v>
                </c:pt>
                <c:pt idx="331">
                  <c:v>72.180000000000007</c:v>
                </c:pt>
                <c:pt idx="332">
                  <c:v>81.260000000000005</c:v>
                </c:pt>
                <c:pt idx="333">
                  <c:v>73.25</c:v>
                </c:pt>
                <c:pt idx="334">
                  <c:v>72.599999999999994</c:v>
                </c:pt>
                <c:pt idx="335">
                  <c:v>65.45</c:v>
                </c:pt>
                <c:pt idx="336">
                  <c:v>73.55</c:v>
                </c:pt>
                <c:pt idx="337">
                  <c:v>72</c:v>
                </c:pt>
                <c:pt idx="338">
                  <c:v>65.45</c:v>
                </c:pt>
                <c:pt idx="339">
                  <c:v>84.5</c:v>
                </c:pt>
                <c:pt idx="340">
                  <c:v>72.069999999999993</c:v>
                </c:pt>
                <c:pt idx="341">
                  <c:v>73.650000000000006</c:v>
                </c:pt>
                <c:pt idx="342">
                  <c:v>58.3</c:v>
                </c:pt>
                <c:pt idx="343">
                  <c:v>73.25</c:v>
                </c:pt>
                <c:pt idx="344">
                  <c:v>58.55</c:v>
                </c:pt>
                <c:pt idx="345">
                  <c:v>65.2</c:v>
                </c:pt>
                <c:pt idx="346">
                  <c:v>58.3</c:v>
                </c:pt>
                <c:pt idx="347">
                  <c:v>58.48</c:v>
                </c:pt>
                <c:pt idx="348">
                  <c:v>81.2</c:v>
                </c:pt>
                <c:pt idx="349">
                  <c:v>65.7</c:v>
                </c:pt>
                <c:pt idx="350">
                  <c:v>73.77</c:v>
                </c:pt>
                <c:pt idx="351">
                  <c:v>72.8</c:v>
                </c:pt>
                <c:pt idx="352">
                  <c:v>58.45</c:v>
                </c:pt>
                <c:pt idx="353">
                  <c:v>73.05</c:v>
                </c:pt>
                <c:pt idx="354">
                  <c:v>64.55</c:v>
                </c:pt>
                <c:pt idx="355">
                  <c:v>80.7</c:v>
                </c:pt>
                <c:pt idx="356">
                  <c:v>65.25</c:v>
                </c:pt>
                <c:pt idx="357">
                  <c:v>92.36</c:v>
                </c:pt>
                <c:pt idx="358">
                  <c:v>57.8</c:v>
                </c:pt>
                <c:pt idx="359">
                  <c:v>65.239999999999995</c:v>
                </c:pt>
                <c:pt idx="360">
                  <c:v>58.47</c:v>
                </c:pt>
                <c:pt idx="361">
                  <c:v>65.8</c:v>
                </c:pt>
                <c:pt idx="362">
                  <c:v>58.55</c:v>
                </c:pt>
                <c:pt idx="363">
                  <c:v>58.7</c:v>
                </c:pt>
                <c:pt idx="364">
                  <c:v>58.5</c:v>
                </c:pt>
                <c:pt idx="365">
                  <c:v>65.900000000000006</c:v>
                </c:pt>
                <c:pt idx="366">
                  <c:v>65.599999999999994</c:v>
                </c:pt>
                <c:pt idx="367">
                  <c:v>64.2</c:v>
                </c:pt>
                <c:pt idx="368">
                  <c:v>64.7</c:v>
                </c:pt>
                <c:pt idx="369">
                  <c:v>73.25</c:v>
                </c:pt>
                <c:pt idx="370">
                  <c:v>59</c:v>
                </c:pt>
                <c:pt idx="371">
                  <c:v>90.45</c:v>
                </c:pt>
                <c:pt idx="372">
                  <c:v>58.75</c:v>
                </c:pt>
                <c:pt idx="373">
                  <c:v>65.45</c:v>
                </c:pt>
                <c:pt idx="374">
                  <c:v>84.95</c:v>
                </c:pt>
                <c:pt idx="375">
                  <c:v>73.849999999999994</c:v>
                </c:pt>
                <c:pt idx="376">
                  <c:v>65.87</c:v>
                </c:pt>
                <c:pt idx="377">
                  <c:v>64.319999999999993</c:v>
                </c:pt>
                <c:pt idx="378">
                  <c:v>73.63</c:v>
                </c:pt>
                <c:pt idx="379">
                  <c:v>58.29</c:v>
                </c:pt>
                <c:pt idx="380">
                  <c:v>63.3</c:v>
                </c:pt>
                <c:pt idx="381">
                  <c:v>65.430000000000007</c:v>
                </c:pt>
                <c:pt idx="382">
                  <c:v>66.45</c:v>
                </c:pt>
                <c:pt idx="383">
                  <c:v>73.849999999999994</c:v>
                </c:pt>
                <c:pt idx="384">
                  <c:v>57.95</c:v>
                </c:pt>
                <c:pt idx="385">
                  <c:v>58.7</c:v>
                </c:pt>
                <c:pt idx="386">
                  <c:v>58.5</c:v>
                </c:pt>
                <c:pt idx="387">
                  <c:v>65.95</c:v>
                </c:pt>
                <c:pt idx="388">
                  <c:v>58.6</c:v>
                </c:pt>
                <c:pt idx="389">
                  <c:v>58.55</c:v>
                </c:pt>
                <c:pt idx="390">
                  <c:v>81.45</c:v>
                </c:pt>
                <c:pt idx="391">
                  <c:v>57.75</c:v>
                </c:pt>
                <c:pt idx="392">
                  <c:v>58.9</c:v>
                </c:pt>
                <c:pt idx="393">
                  <c:v>63.3</c:v>
                </c:pt>
              </c:numCache>
            </c:numRef>
          </c:xVal>
          <c:yVal>
            <c:numRef>
              <c:f>'Data Total'!$H$2:$H$395</c:f>
              <c:numCache>
                <c:formatCode>General</c:formatCode>
                <c:ptCount val="394"/>
                <c:pt idx="0">
                  <c:v>1000.5</c:v>
                </c:pt>
                <c:pt idx="1">
                  <c:v>977.5</c:v>
                </c:pt>
                <c:pt idx="2">
                  <c:v>972.5</c:v>
                </c:pt>
                <c:pt idx="3">
                  <c:v>970</c:v>
                </c:pt>
                <c:pt idx="4">
                  <c:v>970</c:v>
                </c:pt>
                <c:pt idx="5">
                  <c:v>950</c:v>
                </c:pt>
                <c:pt idx="6">
                  <c:v>945</c:v>
                </c:pt>
                <c:pt idx="7">
                  <c:v>932.5</c:v>
                </c:pt>
                <c:pt idx="8">
                  <c:v>927.5</c:v>
                </c:pt>
                <c:pt idx="9">
                  <c:v>927.5</c:v>
                </c:pt>
                <c:pt idx="10">
                  <c:v>927.5</c:v>
                </c:pt>
                <c:pt idx="11">
                  <c:v>920</c:v>
                </c:pt>
                <c:pt idx="12">
                  <c:v>917.5</c:v>
                </c:pt>
                <c:pt idx="13">
                  <c:v>915.5</c:v>
                </c:pt>
                <c:pt idx="14">
                  <c:v>915</c:v>
                </c:pt>
                <c:pt idx="15">
                  <c:v>915</c:v>
                </c:pt>
                <c:pt idx="16">
                  <c:v>907.5</c:v>
                </c:pt>
                <c:pt idx="17">
                  <c:v>907.5</c:v>
                </c:pt>
                <c:pt idx="18">
                  <c:v>905</c:v>
                </c:pt>
                <c:pt idx="19">
                  <c:v>900</c:v>
                </c:pt>
                <c:pt idx="20">
                  <c:v>895</c:v>
                </c:pt>
                <c:pt idx="21">
                  <c:v>895</c:v>
                </c:pt>
                <c:pt idx="22">
                  <c:v>892.5</c:v>
                </c:pt>
                <c:pt idx="23">
                  <c:v>892.5</c:v>
                </c:pt>
                <c:pt idx="24">
                  <c:v>892.5</c:v>
                </c:pt>
                <c:pt idx="25">
                  <c:v>892.5</c:v>
                </c:pt>
                <c:pt idx="26">
                  <c:v>887.5</c:v>
                </c:pt>
                <c:pt idx="27">
                  <c:v>887.5</c:v>
                </c:pt>
                <c:pt idx="28">
                  <c:v>885</c:v>
                </c:pt>
                <c:pt idx="29">
                  <c:v>882.5</c:v>
                </c:pt>
                <c:pt idx="30">
                  <c:v>875.5</c:v>
                </c:pt>
                <c:pt idx="31">
                  <c:v>870.5</c:v>
                </c:pt>
                <c:pt idx="32">
                  <c:v>870</c:v>
                </c:pt>
                <c:pt idx="33">
                  <c:v>870</c:v>
                </c:pt>
                <c:pt idx="34">
                  <c:v>867.5</c:v>
                </c:pt>
                <c:pt idx="35">
                  <c:v>866</c:v>
                </c:pt>
                <c:pt idx="36">
                  <c:v>865</c:v>
                </c:pt>
                <c:pt idx="37">
                  <c:v>865</c:v>
                </c:pt>
                <c:pt idx="38">
                  <c:v>865</c:v>
                </c:pt>
                <c:pt idx="39">
                  <c:v>860</c:v>
                </c:pt>
                <c:pt idx="40">
                  <c:v>860</c:v>
                </c:pt>
                <c:pt idx="41">
                  <c:v>855</c:v>
                </c:pt>
                <c:pt idx="42">
                  <c:v>855</c:v>
                </c:pt>
                <c:pt idx="43">
                  <c:v>853.5</c:v>
                </c:pt>
                <c:pt idx="44">
                  <c:v>852.5</c:v>
                </c:pt>
                <c:pt idx="45">
                  <c:v>852.5</c:v>
                </c:pt>
                <c:pt idx="46">
                  <c:v>852.5</c:v>
                </c:pt>
                <c:pt idx="47">
                  <c:v>850</c:v>
                </c:pt>
                <c:pt idx="48">
                  <c:v>847.5</c:v>
                </c:pt>
                <c:pt idx="49">
                  <c:v>847.5</c:v>
                </c:pt>
                <c:pt idx="50">
                  <c:v>847.5</c:v>
                </c:pt>
                <c:pt idx="51">
                  <c:v>847.5</c:v>
                </c:pt>
                <c:pt idx="52">
                  <c:v>847.5</c:v>
                </c:pt>
                <c:pt idx="53">
                  <c:v>845</c:v>
                </c:pt>
                <c:pt idx="54">
                  <c:v>845</c:v>
                </c:pt>
                <c:pt idx="55">
                  <c:v>840</c:v>
                </c:pt>
                <c:pt idx="56">
                  <c:v>840</c:v>
                </c:pt>
                <c:pt idx="57">
                  <c:v>837.5</c:v>
                </c:pt>
                <c:pt idx="58">
                  <c:v>837.5</c:v>
                </c:pt>
                <c:pt idx="59">
                  <c:v>837.5</c:v>
                </c:pt>
                <c:pt idx="60">
                  <c:v>835</c:v>
                </c:pt>
                <c:pt idx="61">
                  <c:v>835</c:v>
                </c:pt>
                <c:pt idx="62">
                  <c:v>832.5</c:v>
                </c:pt>
                <c:pt idx="63">
                  <c:v>832.5</c:v>
                </c:pt>
                <c:pt idx="64">
                  <c:v>832.5</c:v>
                </c:pt>
                <c:pt idx="65">
                  <c:v>830</c:v>
                </c:pt>
                <c:pt idx="66">
                  <c:v>827.5</c:v>
                </c:pt>
                <c:pt idx="67">
                  <c:v>827.5</c:v>
                </c:pt>
                <c:pt idx="68">
                  <c:v>825</c:v>
                </c:pt>
                <c:pt idx="69">
                  <c:v>825</c:v>
                </c:pt>
                <c:pt idx="70">
                  <c:v>825</c:v>
                </c:pt>
                <c:pt idx="71">
                  <c:v>822.5</c:v>
                </c:pt>
                <c:pt idx="72">
                  <c:v>815</c:v>
                </c:pt>
                <c:pt idx="73">
                  <c:v>815</c:v>
                </c:pt>
                <c:pt idx="74">
                  <c:v>812.5</c:v>
                </c:pt>
                <c:pt idx="75">
                  <c:v>810</c:v>
                </c:pt>
                <c:pt idx="76">
                  <c:v>810</c:v>
                </c:pt>
                <c:pt idx="77">
                  <c:v>810</c:v>
                </c:pt>
                <c:pt idx="78">
                  <c:v>807.5</c:v>
                </c:pt>
                <c:pt idx="79">
                  <c:v>807.5</c:v>
                </c:pt>
                <c:pt idx="80">
                  <c:v>805</c:v>
                </c:pt>
                <c:pt idx="81">
                  <c:v>805</c:v>
                </c:pt>
                <c:pt idx="82">
                  <c:v>802.5</c:v>
                </c:pt>
                <c:pt idx="83">
                  <c:v>802.5</c:v>
                </c:pt>
                <c:pt idx="84">
                  <c:v>802.5</c:v>
                </c:pt>
                <c:pt idx="85">
                  <c:v>802.5</c:v>
                </c:pt>
                <c:pt idx="86">
                  <c:v>800</c:v>
                </c:pt>
                <c:pt idx="87">
                  <c:v>800</c:v>
                </c:pt>
                <c:pt idx="88">
                  <c:v>798</c:v>
                </c:pt>
                <c:pt idx="89">
                  <c:v>797.5</c:v>
                </c:pt>
                <c:pt idx="90">
                  <c:v>797.5</c:v>
                </c:pt>
                <c:pt idx="91">
                  <c:v>795</c:v>
                </c:pt>
                <c:pt idx="92">
                  <c:v>795</c:v>
                </c:pt>
                <c:pt idx="93">
                  <c:v>787.5</c:v>
                </c:pt>
                <c:pt idx="94">
                  <c:v>787.5</c:v>
                </c:pt>
                <c:pt idx="95">
                  <c:v>787.5</c:v>
                </c:pt>
                <c:pt idx="96">
                  <c:v>787.5</c:v>
                </c:pt>
                <c:pt idx="97">
                  <c:v>787.5</c:v>
                </c:pt>
                <c:pt idx="98">
                  <c:v>787.5</c:v>
                </c:pt>
                <c:pt idx="99">
                  <c:v>787.5</c:v>
                </c:pt>
                <c:pt idx="100">
                  <c:v>785</c:v>
                </c:pt>
                <c:pt idx="101">
                  <c:v>785</c:v>
                </c:pt>
                <c:pt idx="102">
                  <c:v>785</c:v>
                </c:pt>
                <c:pt idx="103">
                  <c:v>785</c:v>
                </c:pt>
                <c:pt idx="104">
                  <c:v>782.5</c:v>
                </c:pt>
                <c:pt idx="105">
                  <c:v>782.5</c:v>
                </c:pt>
                <c:pt idx="106">
                  <c:v>782.5</c:v>
                </c:pt>
                <c:pt idx="107">
                  <c:v>780</c:v>
                </c:pt>
                <c:pt idx="108">
                  <c:v>780</c:v>
                </c:pt>
                <c:pt idx="109">
                  <c:v>780</c:v>
                </c:pt>
                <c:pt idx="110">
                  <c:v>775</c:v>
                </c:pt>
                <c:pt idx="111">
                  <c:v>775</c:v>
                </c:pt>
                <c:pt idx="112">
                  <c:v>775</c:v>
                </c:pt>
                <c:pt idx="113">
                  <c:v>772.5</c:v>
                </c:pt>
                <c:pt idx="114">
                  <c:v>772.5</c:v>
                </c:pt>
                <c:pt idx="115">
                  <c:v>772.5</c:v>
                </c:pt>
                <c:pt idx="116">
                  <c:v>772.5</c:v>
                </c:pt>
                <c:pt idx="117">
                  <c:v>770</c:v>
                </c:pt>
                <c:pt idx="118">
                  <c:v>770</c:v>
                </c:pt>
                <c:pt idx="119">
                  <c:v>767.5</c:v>
                </c:pt>
                <c:pt idx="120">
                  <c:v>767.5</c:v>
                </c:pt>
                <c:pt idx="121">
                  <c:v>767.5</c:v>
                </c:pt>
                <c:pt idx="122">
                  <c:v>765</c:v>
                </c:pt>
                <c:pt idx="123">
                  <c:v>765</c:v>
                </c:pt>
                <c:pt idx="124">
                  <c:v>765</c:v>
                </c:pt>
                <c:pt idx="125">
                  <c:v>765</c:v>
                </c:pt>
                <c:pt idx="126">
                  <c:v>765</c:v>
                </c:pt>
                <c:pt idx="127">
                  <c:v>762.5</c:v>
                </c:pt>
                <c:pt idx="128">
                  <c:v>762.5</c:v>
                </c:pt>
                <c:pt idx="129">
                  <c:v>762.5</c:v>
                </c:pt>
                <c:pt idx="130">
                  <c:v>760</c:v>
                </c:pt>
                <c:pt idx="131">
                  <c:v>760</c:v>
                </c:pt>
                <c:pt idx="132">
                  <c:v>760</c:v>
                </c:pt>
                <c:pt idx="133">
                  <c:v>760</c:v>
                </c:pt>
                <c:pt idx="134">
                  <c:v>760</c:v>
                </c:pt>
                <c:pt idx="135">
                  <c:v>757.5</c:v>
                </c:pt>
                <c:pt idx="136">
                  <c:v>757.5</c:v>
                </c:pt>
                <c:pt idx="137">
                  <c:v>757.5</c:v>
                </c:pt>
                <c:pt idx="138">
                  <c:v>757.5</c:v>
                </c:pt>
                <c:pt idx="139">
                  <c:v>755</c:v>
                </c:pt>
                <c:pt idx="140">
                  <c:v>755</c:v>
                </c:pt>
                <c:pt idx="141">
                  <c:v>755</c:v>
                </c:pt>
                <c:pt idx="142">
                  <c:v>755</c:v>
                </c:pt>
                <c:pt idx="143">
                  <c:v>755</c:v>
                </c:pt>
                <c:pt idx="144">
                  <c:v>752.5</c:v>
                </c:pt>
                <c:pt idx="145">
                  <c:v>752.5</c:v>
                </c:pt>
                <c:pt idx="146">
                  <c:v>752.5</c:v>
                </c:pt>
                <c:pt idx="147">
                  <c:v>752.5</c:v>
                </c:pt>
                <c:pt idx="148">
                  <c:v>752.5</c:v>
                </c:pt>
                <c:pt idx="149">
                  <c:v>750</c:v>
                </c:pt>
                <c:pt idx="150">
                  <c:v>750</c:v>
                </c:pt>
                <c:pt idx="151">
                  <c:v>750</c:v>
                </c:pt>
                <c:pt idx="152">
                  <c:v>747.5</c:v>
                </c:pt>
                <c:pt idx="153">
                  <c:v>747.5</c:v>
                </c:pt>
                <c:pt idx="154">
                  <c:v>747.5</c:v>
                </c:pt>
                <c:pt idx="155">
                  <c:v>747.5</c:v>
                </c:pt>
                <c:pt idx="156">
                  <c:v>745</c:v>
                </c:pt>
                <c:pt idx="157">
                  <c:v>745</c:v>
                </c:pt>
                <c:pt idx="158">
                  <c:v>742.5</c:v>
                </c:pt>
                <c:pt idx="159">
                  <c:v>742.5</c:v>
                </c:pt>
                <c:pt idx="160">
                  <c:v>742.5</c:v>
                </c:pt>
                <c:pt idx="161">
                  <c:v>740</c:v>
                </c:pt>
                <c:pt idx="162">
                  <c:v>740</c:v>
                </c:pt>
                <c:pt idx="163">
                  <c:v>740</c:v>
                </c:pt>
                <c:pt idx="164">
                  <c:v>735</c:v>
                </c:pt>
                <c:pt idx="165">
                  <c:v>732.5</c:v>
                </c:pt>
                <c:pt idx="166">
                  <c:v>732.5</c:v>
                </c:pt>
                <c:pt idx="167">
                  <c:v>730</c:v>
                </c:pt>
                <c:pt idx="168">
                  <c:v>727.5</c:v>
                </c:pt>
                <c:pt idx="169">
                  <c:v>727.5</c:v>
                </c:pt>
                <c:pt idx="170">
                  <c:v>727.5</c:v>
                </c:pt>
                <c:pt idx="171">
                  <c:v>725</c:v>
                </c:pt>
                <c:pt idx="172">
                  <c:v>725</c:v>
                </c:pt>
                <c:pt idx="173">
                  <c:v>725</c:v>
                </c:pt>
                <c:pt idx="174">
                  <c:v>725</c:v>
                </c:pt>
                <c:pt idx="175">
                  <c:v>722.5</c:v>
                </c:pt>
                <c:pt idx="176">
                  <c:v>722.5</c:v>
                </c:pt>
                <c:pt idx="177">
                  <c:v>722.5</c:v>
                </c:pt>
                <c:pt idx="178">
                  <c:v>722.5</c:v>
                </c:pt>
                <c:pt idx="179">
                  <c:v>722.5</c:v>
                </c:pt>
                <c:pt idx="180">
                  <c:v>720</c:v>
                </c:pt>
                <c:pt idx="181">
                  <c:v>720</c:v>
                </c:pt>
                <c:pt idx="182">
                  <c:v>717.5</c:v>
                </c:pt>
                <c:pt idx="183">
                  <c:v>717.5</c:v>
                </c:pt>
                <c:pt idx="184">
                  <c:v>717.5</c:v>
                </c:pt>
                <c:pt idx="185">
                  <c:v>715</c:v>
                </c:pt>
                <c:pt idx="186">
                  <c:v>715</c:v>
                </c:pt>
                <c:pt idx="187">
                  <c:v>715</c:v>
                </c:pt>
                <c:pt idx="188">
                  <c:v>712.5</c:v>
                </c:pt>
                <c:pt idx="189">
                  <c:v>712.5</c:v>
                </c:pt>
                <c:pt idx="190">
                  <c:v>710</c:v>
                </c:pt>
                <c:pt idx="191">
                  <c:v>710</c:v>
                </c:pt>
                <c:pt idx="192">
                  <c:v>710</c:v>
                </c:pt>
                <c:pt idx="193">
                  <c:v>710</c:v>
                </c:pt>
                <c:pt idx="194">
                  <c:v>710</c:v>
                </c:pt>
                <c:pt idx="195">
                  <c:v>710</c:v>
                </c:pt>
                <c:pt idx="196">
                  <c:v>707.5</c:v>
                </c:pt>
                <c:pt idx="197">
                  <c:v>707.5</c:v>
                </c:pt>
                <c:pt idx="198">
                  <c:v>707.5</c:v>
                </c:pt>
                <c:pt idx="199">
                  <c:v>705</c:v>
                </c:pt>
                <c:pt idx="200">
                  <c:v>705</c:v>
                </c:pt>
                <c:pt idx="201">
                  <c:v>705</c:v>
                </c:pt>
                <c:pt idx="202">
                  <c:v>702.5</c:v>
                </c:pt>
                <c:pt idx="203">
                  <c:v>700</c:v>
                </c:pt>
                <c:pt idx="204">
                  <c:v>700</c:v>
                </c:pt>
                <c:pt idx="205">
                  <c:v>700</c:v>
                </c:pt>
                <c:pt idx="206">
                  <c:v>700</c:v>
                </c:pt>
                <c:pt idx="207">
                  <c:v>700</c:v>
                </c:pt>
                <c:pt idx="208">
                  <c:v>697.5</c:v>
                </c:pt>
                <c:pt idx="209">
                  <c:v>697.5</c:v>
                </c:pt>
                <c:pt idx="210">
                  <c:v>697.5</c:v>
                </c:pt>
                <c:pt idx="211">
                  <c:v>696</c:v>
                </c:pt>
                <c:pt idx="212">
                  <c:v>695</c:v>
                </c:pt>
                <c:pt idx="213">
                  <c:v>695</c:v>
                </c:pt>
                <c:pt idx="214">
                  <c:v>695</c:v>
                </c:pt>
                <c:pt idx="215">
                  <c:v>695</c:v>
                </c:pt>
                <c:pt idx="216">
                  <c:v>693</c:v>
                </c:pt>
                <c:pt idx="217">
                  <c:v>692.5</c:v>
                </c:pt>
                <c:pt idx="218">
                  <c:v>692.5</c:v>
                </c:pt>
                <c:pt idx="219">
                  <c:v>690</c:v>
                </c:pt>
                <c:pt idx="220">
                  <c:v>690</c:v>
                </c:pt>
                <c:pt idx="221">
                  <c:v>687.5</c:v>
                </c:pt>
                <c:pt idx="222">
                  <c:v>687.5</c:v>
                </c:pt>
                <c:pt idx="223">
                  <c:v>687.5</c:v>
                </c:pt>
                <c:pt idx="224">
                  <c:v>686</c:v>
                </c:pt>
                <c:pt idx="225">
                  <c:v>685.5</c:v>
                </c:pt>
                <c:pt idx="226">
                  <c:v>685</c:v>
                </c:pt>
                <c:pt idx="227">
                  <c:v>680</c:v>
                </c:pt>
                <c:pt idx="228">
                  <c:v>680</c:v>
                </c:pt>
                <c:pt idx="229">
                  <c:v>680</c:v>
                </c:pt>
                <c:pt idx="230">
                  <c:v>677.5</c:v>
                </c:pt>
                <c:pt idx="231">
                  <c:v>677.5</c:v>
                </c:pt>
                <c:pt idx="232">
                  <c:v>677.5</c:v>
                </c:pt>
                <c:pt idx="233">
                  <c:v>677.5</c:v>
                </c:pt>
                <c:pt idx="234">
                  <c:v>675</c:v>
                </c:pt>
                <c:pt idx="235">
                  <c:v>675</c:v>
                </c:pt>
                <c:pt idx="236">
                  <c:v>675</c:v>
                </c:pt>
                <c:pt idx="237">
                  <c:v>675</c:v>
                </c:pt>
                <c:pt idx="238">
                  <c:v>675</c:v>
                </c:pt>
                <c:pt idx="239">
                  <c:v>675</c:v>
                </c:pt>
                <c:pt idx="240">
                  <c:v>672.5</c:v>
                </c:pt>
                <c:pt idx="241">
                  <c:v>672.5</c:v>
                </c:pt>
                <c:pt idx="242">
                  <c:v>672.5</c:v>
                </c:pt>
                <c:pt idx="243">
                  <c:v>672.5</c:v>
                </c:pt>
                <c:pt idx="244">
                  <c:v>670</c:v>
                </c:pt>
                <c:pt idx="245">
                  <c:v>670</c:v>
                </c:pt>
                <c:pt idx="246">
                  <c:v>670</c:v>
                </c:pt>
                <c:pt idx="247">
                  <c:v>670</c:v>
                </c:pt>
                <c:pt idx="248">
                  <c:v>670</c:v>
                </c:pt>
                <c:pt idx="249">
                  <c:v>670</c:v>
                </c:pt>
                <c:pt idx="250">
                  <c:v>665</c:v>
                </c:pt>
                <c:pt idx="251">
                  <c:v>665</c:v>
                </c:pt>
                <c:pt idx="252">
                  <c:v>665</c:v>
                </c:pt>
                <c:pt idx="253">
                  <c:v>662.5</c:v>
                </c:pt>
                <c:pt idx="254">
                  <c:v>662.5</c:v>
                </c:pt>
                <c:pt idx="255">
                  <c:v>662.5</c:v>
                </c:pt>
                <c:pt idx="256">
                  <c:v>661</c:v>
                </c:pt>
                <c:pt idx="257">
                  <c:v>660</c:v>
                </c:pt>
                <c:pt idx="258">
                  <c:v>657.5</c:v>
                </c:pt>
                <c:pt idx="259">
                  <c:v>657.5</c:v>
                </c:pt>
                <c:pt idx="260">
                  <c:v>657.5</c:v>
                </c:pt>
                <c:pt idx="261">
                  <c:v>656</c:v>
                </c:pt>
                <c:pt idx="262">
                  <c:v>655</c:v>
                </c:pt>
                <c:pt idx="263">
                  <c:v>655</c:v>
                </c:pt>
                <c:pt idx="264">
                  <c:v>655</c:v>
                </c:pt>
                <c:pt idx="265">
                  <c:v>652.5</c:v>
                </c:pt>
                <c:pt idx="266">
                  <c:v>652.5</c:v>
                </c:pt>
                <c:pt idx="267">
                  <c:v>652.5</c:v>
                </c:pt>
                <c:pt idx="268">
                  <c:v>651</c:v>
                </c:pt>
                <c:pt idx="269">
                  <c:v>650.5</c:v>
                </c:pt>
                <c:pt idx="270">
                  <c:v>650</c:v>
                </c:pt>
                <c:pt idx="271">
                  <c:v>650</c:v>
                </c:pt>
                <c:pt idx="272">
                  <c:v>650</c:v>
                </c:pt>
                <c:pt idx="273">
                  <c:v>650</c:v>
                </c:pt>
                <c:pt idx="274">
                  <c:v>650</c:v>
                </c:pt>
                <c:pt idx="275">
                  <c:v>650</c:v>
                </c:pt>
                <c:pt idx="276">
                  <c:v>647.5</c:v>
                </c:pt>
                <c:pt idx="277">
                  <c:v>647.5</c:v>
                </c:pt>
                <c:pt idx="278">
                  <c:v>645</c:v>
                </c:pt>
                <c:pt idx="279">
                  <c:v>645</c:v>
                </c:pt>
                <c:pt idx="280">
                  <c:v>645</c:v>
                </c:pt>
                <c:pt idx="281">
                  <c:v>642.5</c:v>
                </c:pt>
                <c:pt idx="282">
                  <c:v>642.5</c:v>
                </c:pt>
                <c:pt idx="283">
                  <c:v>642.5</c:v>
                </c:pt>
                <c:pt idx="284">
                  <c:v>640</c:v>
                </c:pt>
                <c:pt idx="285">
                  <c:v>640</c:v>
                </c:pt>
                <c:pt idx="286">
                  <c:v>640</c:v>
                </c:pt>
                <c:pt idx="287">
                  <c:v>640</c:v>
                </c:pt>
                <c:pt idx="288">
                  <c:v>640</c:v>
                </c:pt>
                <c:pt idx="289">
                  <c:v>637.5</c:v>
                </c:pt>
                <c:pt idx="290">
                  <c:v>637.5</c:v>
                </c:pt>
                <c:pt idx="291">
                  <c:v>635.5</c:v>
                </c:pt>
                <c:pt idx="292">
                  <c:v>635</c:v>
                </c:pt>
                <c:pt idx="293">
                  <c:v>632.5</c:v>
                </c:pt>
                <c:pt idx="294">
                  <c:v>632.5</c:v>
                </c:pt>
                <c:pt idx="295">
                  <c:v>630</c:v>
                </c:pt>
                <c:pt idx="296">
                  <c:v>630</c:v>
                </c:pt>
                <c:pt idx="297">
                  <c:v>630</c:v>
                </c:pt>
                <c:pt idx="298">
                  <c:v>625</c:v>
                </c:pt>
                <c:pt idx="299">
                  <c:v>625</c:v>
                </c:pt>
                <c:pt idx="300">
                  <c:v>625</c:v>
                </c:pt>
                <c:pt idx="301">
                  <c:v>622.5</c:v>
                </c:pt>
                <c:pt idx="302">
                  <c:v>622.5</c:v>
                </c:pt>
                <c:pt idx="303">
                  <c:v>620</c:v>
                </c:pt>
                <c:pt idx="304">
                  <c:v>620</c:v>
                </c:pt>
                <c:pt idx="305">
                  <c:v>620</c:v>
                </c:pt>
                <c:pt idx="306">
                  <c:v>617.5</c:v>
                </c:pt>
                <c:pt idx="307">
                  <c:v>617.5</c:v>
                </c:pt>
                <c:pt idx="308">
                  <c:v>617.5</c:v>
                </c:pt>
                <c:pt idx="309">
                  <c:v>615</c:v>
                </c:pt>
                <c:pt idx="310">
                  <c:v>612.5</c:v>
                </c:pt>
                <c:pt idx="311">
                  <c:v>610</c:v>
                </c:pt>
                <c:pt idx="312">
                  <c:v>610</c:v>
                </c:pt>
                <c:pt idx="313">
                  <c:v>610</c:v>
                </c:pt>
                <c:pt idx="314">
                  <c:v>610</c:v>
                </c:pt>
                <c:pt idx="315">
                  <c:v>610</c:v>
                </c:pt>
                <c:pt idx="316">
                  <c:v>607.5</c:v>
                </c:pt>
                <c:pt idx="317">
                  <c:v>607.5</c:v>
                </c:pt>
                <c:pt idx="318">
                  <c:v>607.5</c:v>
                </c:pt>
                <c:pt idx="319">
                  <c:v>602.5</c:v>
                </c:pt>
                <c:pt idx="320">
                  <c:v>602.5</c:v>
                </c:pt>
                <c:pt idx="321">
                  <c:v>600</c:v>
                </c:pt>
                <c:pt idx="322">
                  <c:v>600</c:v>
                </c:pt>
                <c:pt idx="323">
                  <c:v>600</c:v>
                </c:pt>
                <c:pt idx="324">
                  <c:v>600</c:v>
                </c:pt>
                <c:pt idx="325">
                  <c:v>600</c:v>
                </c:pt>
                <c:pt idx="326">
                  <c:v>597.5</c:v>
                </c:pt>
                <c:pt idx="327">
                  <c:v>597.5</c:v>
                </c:pt>
                <c:pt idx="328">
                  <c:v>592.5</c:v>
                </c:pt>
                <c:pt idx="329">
                  <c:v>592.5</c:v>
                </c:pt>
                <c:pt idx="330">
                  <c:v>592.5</c:v>
                </c:pt>
                <c:pt idx="331">
                  <c:v>590</c:v>
                </c:pt>
                <c:pt idx="332">
                  <c:v>590</c:v>
                </c:pt>
                <c:pt idx="333">
                  <c:v>587.5</c:v>
                </c:pt>
                <c:pt idx="334">
                  <c:v>585</c:v>
                </c:pt>
                <c:pt idx="335">
                  <c:v>582.5</c:v>
                </c:pt>
                <c:pt idx="336">
                  <c:v>582.5</c:v>
                </c:pt>
                <c:pt idx="337">
                  <c:v>582.5</c:v>
                </c:pt>
                <c:pt idx="338">
                  <c:v>582.5</c:v>
                </c:pt>
                <c:pt idx="339">
                  <c:v>580</c:v>
                </c:pt>
                <c:pt idx="340">
                  <c:v>575</c:v>
                </c:pt>
                <c:pt idx="341">
                  <c:v>575</c:v>
                </c:pt>
                <c:pt idx="342">
                  <c:v>572.5</c:v>
                </c:pt>
                <c:pt idx="343">
                  <c:v>570</c:v>
                </c:pt>
                <c:pt idx="344">
                  <c:v>570</c:v>
                </c:pt>
                <c:pt idx="345">
                  <c:v>567.5</c:v>
                </c:pt>
                <c:pt idx="346">
                  <c:v>567.5</c:v>
                </c:pt>
                <c:pt idx="347">
                  <c:v>565</c:v>
                </c:pt>
                <c:pt idx="348">
                  <c:v>565</c:v>
                </c:pt>
                <c:pt idx="349">
                  <c:v>562.5</c:v>
                </c:pt>
                <c:pt idx="350">
                  <c:v>562.5</c:v>
                </c:pt>
                <c:pt idx="351">
                  <c:v>560</c:v>
                </c:pt>
                <c:pt idx="352">
                  <c:v>560</c:v>
                </c:pt>
                <c:pt idx="353">
                  <c:v>557.5</c:v>
                </c:pt>
                <c:pt idx="354">
                  <c:v>557.5</c:v>
                </c:pt>
                <c:pt idx="355">
                  <c:v>555</c:v>
                </c:pt>
                <c:pt idx="356">
                  <c:v>550</c:v>
                </c:pt>
                <c:pt idx="357">
                  <c:v>550</c:v>
                </c:pt>
                <c:pt idx="358">
                  <c:v>547.5</c:v>
                </c:pt>
                <c:pt idx="359">
                  <c:v>547.5</c:v>
                </c:pt>
                <c:pt idx="360">
                  <c:v>545</c:v>
                </c:pt>
                <c:pt idx="361">
                  <c:v>542.5</c:v>
                </c:pt>
                <c:pt idx="362">
                  <c:v>540</c:v>
                </c:pt>
                <c:pt idx="363">
                  <c:v>540</c:v>
                </c:pt>
                <c:pt idx="364">
                  <c:v>535</c:v>
                </c:pt>
                <c:pt idx="365">
                  <c:v>535</c:v>
                </c:pt>
                <c:pt idx="366">
                  <c:v>535</c:v>
                </c:pt>
                <c:pt idx="367">
                  <c:v>535</c:v>
                </c:pt>
                <c:pt idx="368">
                  <c:v>530</c:v>
                </c:pt>
                <c:pt idx="369">
                  <c:v>530</c:v>
                </c:pt>
                <c:pt idx="370">
                  <c:v>527.5</c:v>
                </c:pt>
                <c:pt idx="371">
                  <c:v>527.5</c:v>
                </c:pt>
                <c:pt idx="372">
                  <c:v>522.5</c:v>
                </c:pt>
                <c:pt idx="373">
                  <c:v>520</c:v>
                </c:pt>
                <c:pt idx="374">
                  <c:v>520</c:v>
                </c:pt>
                <c:pt idx="375">
                  <c:v>517.5</c:v>
                </c:pt>
                <c:pt idx="376">
                  <c:v>517.5</c:v>
                </c:pt>
                <c:pt idx="377">
                  <c:v>515</c:v>
                </c:pt>
                <c:pt idx="378">
                  <c:v>515</c:v>
                </c:pt>
                <c:pt idx="379">
                  <c:v>512.5</c:v>
                </c:pt>
                <c:pt idx="380">
                  <c:v>502.5</c:v>
                </c:pt>
                <c:pt idx="381">
                  <c:v>502.5</c:v>
                </c:pt>
                <c:pt idx="382">
                  <c:v>500</c:v>
                </c:pt>
                <c:pt idx="383">
                  <c:v>497.5</c:v>
                </c:pt>
                <c:pt idx="384">
                  <c:v>497.5</c:v>
                </c:pt>
                <c:pt idx="385">
                  <c:v>495</c:v>
                </c:pt>
                <c:pt idx="386">
                  <c:v>495</c:v>
                </c:pt>
                <c:pt idx="387">
                  <c:v>495</c:v>
                </c:pt>
                <c:pt idx="388">
                  <c:v>490</c:v>
                </c:pt>
                <c:pt idx="389">
                  <c:v>482.5</c:v>
                </c:pt>
                <c:pt idx="390">
                  <c:v>475</c:v>
                </c:pt>
                <c:pt idx="391">
                  <c:v>460</c:v>
                </c:pt>
                <c:pt idx="392">
                  <c:v>457.5</c:v>
                </c:pt>
                <c:pt idx="393">
                  <c:v>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72-4B79-939A-7AC9C3EAFC6F}"/>
            </c:ext>
          </c:extLst>
        </c:ser>
        <c:ser>
          <c:idx val="1"/>
          <c:order val="1"/>
          <c:tx>
            <c:v>Women - Total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9.7130366414968319E-2"/>
                  <c:y val="0.12161291481234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Total'!$D$397:$D$655</c:f>
              <c:numCache>
                <c:formatCode>General</c:formatCode>
                <c:ptCount val="259"/>
                <c:pt idx="0">
                  <c:v>130.29</c:v>
                </c:pt>
                <c:pt idx="1">
                  <c:v>121.8</c:v>
                </c:pt>
                <c:pt idx="2">
                  <c:v>110.32</c:v>
                </c:pt>
                <c:pt idx="3">
                  <c:v>113.68</c:v>
                </c:pt>
                <c:pt idx="4">
                  <c:v>83.35</c:v>
                </c:pt>
                <c:pt idx="5">
                  <c:v>128.30000000000001</c:v>
                </c:pt>
                <c:pt idx="6">
                  <c:v>83.45</c:v>
                </c:pt>
                <c:pt idx="7">
                  <c:v>69.02</c:v>
                </c:pt>
                <c:pt idx="8">
                  <c:v>82.65</c:v>
                </c:pt>
                <c:pt idx="9">
                  <c:v>83.71</c:v>
                </c:pt>
                <c:pt idx="10">
                  <c:v>105.75</c:v>
                </c:pt>
                <c:pt idx="11">
                  <c:v>102.65</c:v>
                </c:pt>
                <c:pt idx="12">
                  <c:v>95.7</c:v>
                </c:pt>
                <c:pt idx="13">
                  <c:v>91.59</c:v>
                </c:pt>
                <c:pt idx="14">
                  <c:v>126</c:v>
                </c:pt>
                <c:pt idx="15">
                  <c:v>112.5</c:v>
                </c:pt>
                <c:pt idx="16">
                  <c:v>83</c:v>
                </c:pt>
                <c:pt idx="17">
                  <c:v>65.25</c:v>
                </c:pt>
                <c:pt idx="18">
                  <c:v>68.150000000000006</c:v>
                </c:pt>
                <c:pt idx="19">
                  <c:v>107.55</c:v>
                </c:pt>
                <c:pt idx="20">
                  <c:v>124.15</c:v>
                </c:pt>
                <c:pt idx="21">
                  <c:v>123.56</c:v>
                </c:pt>
                <c:pt idx="22">
                  <c:v>83.1</c:v>
                </c:pt>
                <c:pt idx="23">
                  <c:v>90.3</c:v>
                </c:pt>
                <c:pt idx="24">
                  <c:v>79.28</c:v>
                </c:pt>
                <c:pt idx="25">
                  <c:v>95.4</c:v>
                </c:pt>
                <c:pt idx="26">
                  <c:v>81.08</c:v>
                </c:pt>
                <c:pt idx="27">
                  <c:v>61.4</c:v>
                </c:pt>
                <c:pt idx="28">
                  <c:v>79.849999999999994</c:v>
                </c:pt>
                <c:pt idx="29">
                  <c:v>93.43</c:v>
                </c:pt>
                <c:pt idx="30">
                  <c:v>60.65</c:v>
                </c:pt>
                <c:pt idx="31">
                  <c:v>62.25</c:v>
                </c:pt>
                <c:pt idx="32">
                  <c:v>61.65</c:v>
                </c:pt>
                <c:pt idx="33">
                  <c:v>70.69</c:v>
                </c:pt>
                <c:pt idx="34">
                  <c:v>61.6</c:v>
                </c:pt>
                <c:pt idx="35">
                  <c:v>71.3</c:v>
                </c:pt>
                <c:pt idx="36">
                  <c:v>75.5</c:v>
                </c:pt>
                <c:pt idx="37">
                  <c:v>71.69</c:v>
                </c:pt>
                <c:pt idx="38">
                  <c:v>103.75</c:v>
                </c:pt>
                <c:pt idx="39">
                  <c:v>101.74</c:v>
                </c:pt>
                <c:pt idx="40">
                  <c:v>81.510000000000005</c:v>
                </c:pt>
                <c:pt idx="41">
                  <c:v>93.5</c:v>
                </c:pt>
                <c:pt idx="42">
                  <c:v>105.92</c:v>
                </c:pt>
                <c:pt idx="43">
                  <c:v>71.099999999999994</c:v>
                </c:pt>
                <c:pt idx="44">
                  <c:v>80.099999999999994</c:v>
                </c:pt>
                <c:pt idx="45">
                  <c:v>75.41</c:v>
                </c:pt>
                <c:pt idx="46">
                  <c:v>70.45</c:v>
                </c:pt>
                <c:pt idx="47">
                  <c:v>82.56</c:v>
                </c:pt>
                <c:pt idx="48">
                  <c:v>77.900000000000006</c:v>
                </c:pt>
                <c:pt idx="49">
                  <c:v>59.8</c:v>
                </c:pt>
                <c:pt idx="50">
                  <c:v>76.03</c:v>
                </c:pt>
                <c:pt idx="51">
                  <c:v>56.54</c:v>
                </c:pt>
                <c:pt idx="52">
                  <c:v>71.5</c:v>
                </c:pt>
                <c:pt idx="53">
                  <c:v>86.65</c:v>
                </c:pt>
                <c:pt idx="54">
                  <c:v>64.2</c:v>
                </c:pt>
                <c:pt idx="55">
                  <c:v>62.54</c:v>
                </c:pt>
                <c:pt idx="56">
                  <c:v>62.4</c:v>
                </c:pt>
                <c:pt idx="57">
                  <c:v>94.84</c:v>
                </c:pt>
                <c:pt idx="58">
                  <c:v>108.75</c:v>
                </c:pt>
                <c:pt idx="59">
                  <c:v>62.77</c:v>
                </c:pt>
                <c:pt idx="60">
                  <c:v>106.1</c:v>
                </c:pt>
                <c:pt idx="61">
                  <c:v>55.95</c:v>
                </c:pt>
                <c:pt idx="62">
                  <c:v>71.05</c:v>
                </c:pt>
                <c:pt idx="63">
                  <c:v>74.55</c:v>
                </c:pt>
                <c:pt idx="64">
                  <c:v>70.95</c:v>
                </c:pt>
                <c:pt idx="65">
                  <c:v>61.98</c:v>
                </c:pt>
                <c:pt idx="66">
                  <c:v>62.48</c:v>
                </c:pt>
                <c:pt idx="67">
                  <c:v>101.84</c:v>
                </c:pt>
                <c:pt idx="68">
                  <c:v>61.85</c:v>
                </c:pt>
                <c:pt idx="69">
                  <c:v>82.85</c:v>
                </c:pt>
                <c:pt idx="70">
                  <c:v>62.49</c:v>
                </c:pt>
                <c:pt idx="71">
                  <c:v>56.65</c:v>
                </c:pt>
                <c:pt idx="72">
                  <c:v>62.25</c:v>
                </c:pt>
                <c:pt idx="73">
                  <c:v>70.709999999999994</c:v>
                </c:pt>
                <c:pt idx="74">
                  <c:v>61.99</c:v>
                </c:pt>
                <c:pt idx="75">
                  <c:v>61.95</c:v>
                </c:pt>
                <c:pt idx="76">
                  <c:v>83.6</c:v>
                </c:pt>
                <c:pt idx="77">
                  <c:v>62.95</c:v>
                </c:pt>
                <c:pt idx="78">
                  <c:v>85.8</c:v>
                </c:pt>
                <c:pt idx="79">
                  <c:v>71.400000000000006</c:v>
                </c:pt>
                <c:pt idx="80">
                  <c:v>70.8</c:v>
                </c:pt>
                <c:pt idx="81">
                  <c:v>51.14</c:v>
                </c:pt>
                <c:pt idx="82">
                  <c:v>84</c:v>
                </c:pt>
                <c:pt idx="83">
                  <c:v>60.15</c:v>
                </c:pt>
                <c:pt idx="84">
                  <c:v>46.56</c:v>
                </c:pt>
                <c:pt idx="85">
                  <c:v>56.6</c:v>
                </c:pt>
                <c:pt idx="86">
                  <c:v>56.63</c:v>
                </c:pt>
                <c:pt idx="87">
                  <c:v>56.21</c:v>
                </c:pt>
                <c:pt idx="88">
                  <c:v>56</c:v>
                </c:pt>
                <c:pt idx="89">
                  <c:v>66.95</c:v>
                </c:pt>
                <c:pt idx="90">
                  <c:v>62.75</c:v>
                </c:pt>
                <c:pt idx="91">
                  <c:v>115.2</c:v>
                </c:pt>
                <c:pt idx="92">
                  <c:v>51.48</c:v>
                </c:pt>
                <c:pt idx="93">
                  <c:v>70.599999999999994</c:v>
                </c:pt>
                <c:pt idx="94">
                  <c:v>61.25</c:v>
                </c:pt>
                <c:pt idx="95">
                  <c:v>69.349999999999994</c:v>
                </c:pt>
                <c:pt idx="96">
                  <c:v>56.5</c:v>
                </c:pt>
                <c:pt idx="97">
                  <c:v>56.7</c:v>
                </c:pt>
                <c:pt idx="98">
                  <c:v>56.3</c:v>
                </c:pt>
                <c:pt idx="99">
                  <c:v>69.849999999999994</c:v>
                </c:pt>
                <c:pt idx="100">
                  <c:v>46.7</c:v>
                </c:pt>
                <c:pt idx="101">
                  <c:v>80.349999999999994</c:v>
                </c:pt>
                <c:pt idx="102">
                  <c:v>56.7</c:v>
                </c:pt>
                <c:pt idx="103">
                  <c:v>75.8</c:v>
                </c:pt>
                <c:pt idx="104">
                  <c:v>68.25</c:v>
                </c:pt>
                <c:pt idx="105">
                  <c:v>67.650000000000006</c:v>
                </c:pt>
                <c:pt idx="106">
                  <c:v>101.35</c:v>
                </c:pt>
                <c:pt idx="107">
                  <c:v>71.48</c:v>
                </c:pt>
                <c:pt idx="108">
                  <c:v>80.8</c:v>
                </c:pt>
                <c:pt idx="109">
                  <c:v>56.99</c:v>
                </c:pt>
                <c:pt idx="110">
                  <c:v>81.900000000000006</c:v>
                </c:pt>
                <c:pt idx="111">
                  <c:v>85</c:v>
                </c:pt>
                <c:pt idx="112">
                  <c:v>79.27</c:v>
                </c:pt>
                <c:pt idx="113">
                  <c:v>62.35</c:v>
                </c:pt>
                <c:pt idx="114">
                  <c:v>71.349999999999994</c:v>
                </c:pt>
                <c:pt idx="115">
                  <c:v>51.59</c:v>
                </c:pt>
                <c:pt idx="116">
                  <c:v>50.55</c:v>
                </c:pt>
                <c:pt idx="117">
                  <c:v>51.3</c:v>
                </c:pt>
                <c:pt idx="118">
                  <c:v>68.44</c:v>
                </c:pt>
                <c:pt idx="119">
                  <c:v>51.65</c:v>
                </c:pt>
                <c:pt idx="120">
                  <c:v>55.35</c:v>
                </c:pt>
                <c:pt idx="121">
                  <c:v>50.65</c:v>
                </c:pt>
                <c:pt idx="122">
                  <c:v>61.42</c:v>
                </c:pt>
                <c:pt idx="123">
                  <c:v>51.9</c:v>
                </c:pt>
                <c:pt idx="124">
                  <c:v>62.1</c:v>
                </c:pt>
                <c:pt idx="125">
                  <c:v>46.75</c:v>
                </c:pt>
                <c:pt idx="126">
                  <c:v>62.12</c:v>
                </c:pt>
                <c:pt idx="127">
                  <c:v>61.95</c:v>
                </c:pt>
                <c:pt idx="128">
                  <c:v>71.400000000000006</c:v>
                </c:pt>
                <c:pt idx="129">
                  <c:v>77.55</c:v>
                </c:pt>
                <c:pt idx="130">
                  <c:v>56.8</c:v>
                </c:pt>
                <c:pt idx="131">
                  <c:v>55.65</c:v>
                </c:pt>
                <c:pt idx="132">
                  <c:v>51.15</c:v>
                </c:pt>
                <c:pt idx="133">
                  <c:v>68.150000000000006</c:v>
                </c:pt>
                <c:pt idx="134">
                  <c:v>51.55</c:v>
                </c:pt>
                <c:pt idx="135">
                  <c:v>58.15</c:v>
                </c:pt>
                <c:pt idx="136">
                  <c:v>62.5</c:v>
                </c:pt>
                <c:pt idx="137">
                  <c:v>56.84</c:v>
                </c:pt>
                <c:pt idx="138">
                  <c:v>67.3</c:v>
                </c:pt>
                <c:pt idx="139">
                  <c:v>56.5</c:v>
                </c:pt>
                <c:pt idx="140">
                  <c:v>70.17</c:v>
                </c:pt>
                <c:pt idx="141">
                  <c:v>51.09</c:v>
                </c:pt>
                <c:pt idx="142">
                  <c:v>46.42</c:v>
                </c:pt>
                <c:pt idx="143">
                  <c:v>55.85</c:v>
                </c:pt>
                <c:pt idx="144">
                  <c:v>62.59</c:v>
                </c:pt>
                <c:pt idx="145">
                  <c:v>54.85</c:v>
                </c:pt>
                <c:pt idx="146">
                  <c:v>54.72</c:v>
                </c:pt>
                <c:pt idx="147">
                  <c:v>56</c:v>
                </c:pt>
                <c:pt idx="148">
                  <c:v>62.04</c:v>
                </c:pt>
                <c:pt idx="149">
                  <c:v>62.7</c:v>
                </c:pt>
                <c:pt idx="150">
                  <c:v>51.3</c:v>
                </c:pt>
                <c:pt idx="151">
                  <c:v>51.65</c:v>
                </c:pt>
                <c:pt idx="152">
                  <c:v>50.13</c:v>
                </c:pt>
                <c:pt idx="153">
                  <c:v>56.48</c:v>
                </c:pt>
                <c:pt idx="154">
                  <c:v>56.6</c:v>
                </c:pt>
                <c:pt idx="155">
                  <c:v>56.55</c:v>
                </c:pt>
                <c:pt idx="156">
                  <c:v>50.7</c:v>
                </c:pt>
                <c:pt idx="157">
                  <c:v>49.9</c:v>
                </c:pt>
                <c:pt idx="158">
                  <c:v>61.93</c:v>
                </c:pt>
                <c:pt idx="159">
                  <c:v>54.98</c:v>
                </c:pt>
                <c:pt idx="160">
                  <c:v>69.45</c:v>
                </c:pt>
                <c:pt idx="161">
                  <c:v>62.84</c:v>
                </c:pt>
                <c:pt idx="162">
                  <c:v>83.5</c:v>
                </c:pt>
                <c:pt idx="163">
                  <c:v>50.92</c:v>
                </c:pt>
                <c:pt idx="164">
                  <c:v>46.65</c:v>
                </c:pt>
                <c:pt idx="165">
                  <c:v>46.57</c:v>
                </c:pt>
                <c:pt idx="166">
                  <c:v>68.849999999999994</c:v>
                </c:pt>
                <c:pt idx="167">
                  <c:v>62.75</c:v>
                </c:pt>
                <c:pt idx="168">
                  <c:v>62.55</c:v>
                </c:pt>
                <c:pt idx="169">
                  <c:v>62.75</c:v>
                </c:pt>
                <c:pt idx="170">
                  <c:v>46.9</c:v>
                </c:pt>
                <c:pt idx="171">
                  <c:v>50.45</c:v>
                </c:pt>
                <c:pt idx="172">
                  <c:v>56.41</c:v>
                </c:pt>
                <c:pt idx="173">
                  <c:v>60.65</c:v>
                </c:pt>
                <c:pt idx="174">
                  <c:v>51.2</c:v>
                </c:pt>
                <c:pt idx="175">
                  <c:v>82.5</c:v>
                </c:pt>
                <c:pt idx="176">
                  <c:v>51.4</c:v>
                </c:pt>
                <c:pt idx="177">
                  <c:v>46.9</c:v>
                </c:pt>
                <c:pt idx="178">
                  <c:v>62.44</c:v>
                </c:pt>
                <c:pt idx="179">
                  <c:v>52</c:v>
                </c:pt>
                <c:pt idx="180">
                  <c:v>62.7</c:v>
                </c:pt>
                <c:pt idx="181">
                  <c:v>51.15</c:v>
                </c:pt>
                <c:pt idx="182">
                  <c:v>52.9</c:v>
                </c:pt>
                <c:pt idx="183">
                  <c:v>56.76</c:v>
                </c:pt>
                <c:pt idx="184">
                  <c:v>103.29</c:v>
                </c:pt>
                <c:pt idx="185">
                  <c:v>56.2</c:v>
                </c:pt>
                <c:pt idx="186">
                  <c:v>60.6</c:v>
                </c:pt>
                <c:pt idx="187">
                  <c:v>55.7</c:v>
                </c:pt>
                <c:pt idx="188">
                  <c:v>46.36</c:v>
                </c:pt>
                <c:pt idx="189">
                  <c:v>56.45</c:v>
                </c:pt>
                <c:pt idx="190">
                  <c:v>56.9</c:v>
                </c:pt>
                <c:pt idx="191">
                  <c:v>62.35</c:v>
                </c:pt>
                <c:pt idx="192">
                  <c:v>55.95</c:v>
                </c:pt>
                <c:pt idx="193">
                  <c:v>56.35</c:v>
                </c:pt>
                <c:pt idx="194">
                  <c:v>46.78</c:v>
                </c:pt>
                <c:pt idx="195">
                  <c:v>53.7</c:v>
                </c:pt>
                <c:pt idx="196">
                  <c:v>57</c:v>
                </c:pt>
                <c:pt idx="197">
                  <c:v>56.75</c:v>
                </c:pt>
                <c:pt idx="198">
                  <c:v>61.69</c:v>
                </c:pt>
                <c:pt idx="199">
                  <c:v>71.849999999999994</c:v>
                </c:pt>
                <c:pt idx="200">
                  <c:v>46.5</c:v>
                </c:pt>
                <c:pt idx="201">
                  <c:v>56.95</c:v>
                </c:pt>
                <c:pt idx="202">
                  <c:v>56.59</c:v>
                </c:pt>
                <c:pt idx="203">
                  <c:v>114.35</c:v>
                </c:pt>
                <c:pt idx="204">
                  <c:v>46.05</c:v>
                </c:pt>
                <c:pt idx="205">
                  <c:v>66.2</c:v>
                </c:pt>
                <c:pt idx="206">
                  <c:v>46.1</c:v>
                </c:pt>
                <c:pt idx="207">
                  <c:v>51.3</c:v>
                </c:pt>
                <c:pt idx="208">
                  <c:v>51.55</c:v>
                </c:pt>
                <c:pt idx="209">
                  <c:v>107.8</c:v>
                </c:pt>
                <c:pt idx="210">
                  <c:v>51.4</c:v>
                </c:pt>
                <c:pt idx="211">
                  <c:v>71.900000000000006</c:v>
                </c:pt>
                <c:pt idx="212">
                  <c:v>56.25</c:v>
                </c:pt>
                <c:pt idx="213">
                  <c:v>51.5</c:v>
                </c:pt>
                <c:pt idx="214">
                  <c:v>50.9</c:v>
                </c:pt>
                <c:pt idx="215">
                  <c:v>46.75</c:v>
                </c:pt>
                <c:pt idx="216">
                  <c:v>51.7</c:v>
                </c:pt>
                <c:pt idx="217">
                  <c:v>67</c:v>
                </c:pt>
                <c:pt idx="218">
                  <c:v>51.21</c:v>
                </c:pt>
                <c:pt idx="219">
                  <c:v>46.6</c:v>
                </c:pt>
                <c:pt idx="220">
                  <c:v>67.5</c:v>
                </c:pt>
                <c:pt idx="221">
                  <c:v>51.75</c:v>
                </c:pt>
                <c:pt idx="222">
                  <c:v>56.4</c:v>
                </c:pt>
                <c:pt idx="223">
                  <c:v>46.6</c:v>
                </c:pt>
                <c:pt idx="224">
                  <c:v>56.15</c:v>
                </c:pt>
                <c:pt idx="225">
                  <c:v>51.75</c:v>
                </c:pt>
                <c:pt idx="226">
                  <c:v>46.85</c:v>
                </c:pt>
                <c:pt idx="227">
                  <c:v>51.95</c:v>
                </c:pt>
                <c:pt idx="228">
                  <c:v>46.6</c:v>
                </c:pt>
                <c:pt idx="229">
                  <c:v>46.7</c:v>
                </c:pt>
                <c:pt idx="230">
                  <c:v>46.6</c:v>
                </c:pt>
                <c:pt idx="231">
                  <c:v>56.1</c:v>
                </c:pt>
                <c:pt idx="232">
                  <c:v>56.5</c:v>
                </c:pt>
                <c:pt idx="233">
                  <c:v>51</c:v>
                </c:pt>
                <c:pt idx="234">
                  <c:v>51.35</c:v>
                </c:pt>
                <c:pt idx="235">
                  <c:v>53.74</c:v>
                </c:pt>
                <c:pt idx="236">
                  <c:v>46.15</c:v>
                </c:pt>
                <c:pt idx="237">
                  <c:v>51.2</c:v>
                </c:pt>
                <c:pt idx="238">
                  <c:v>53.5</c:v>
                </c:pt>
                <c:pt idx="239">
                  <c:v>45.55</c:v>
                </c:pt>
                <c:pt idx="240">
                  <c:v>51.25</c:v>
                </c:pt>
                <c:pt idx="241">
                  <c:v>45.95</c:v>
                </c:pt>
                <c:pt idx="242">
                  <c:v>57.65</c:v>
                </c:pt>
                <c:pt idx="243">
                  <c:v>52.05</c:v>
                </c:pt>
                <c:pt idx="244">
                  <c:v>47.7</c:v>
                </c:pt>
                <c:pt idx="245">
                  <c:v>46.15</c:v>
                </c:pt>
                <c:pt idx="246">
                  <c:v>42.95</c:v>
                </c:pt>
                <c:pt idx="247">
                  <c:v>61.35</c:v>
                </c:pt>
                <c:pt idx="248">
                  <c:v>42.15</c:v>
                </c:pt>
                <c:pt idx="249">
                  <c:v>56.84</c:v>
                </c:pt>
                <c:pt idx="250">
                  <c:v>45.68</c:v>
                </c:pt>
                <c:pt idx="251">
                  <c:v>56.75</c:v>
                </c:pt>
                <c:pt idx="252">
                  <c:v>61.1</c:v>
                </c:pt>
                <c:pt idx="253">
                  <c:v>46.25</c:v>
                </c:pt>
                <c:pt idx="254">
                  <c:v>45.4</c:v>
                </c:pt>
                <c:pt idx="255">
                  <c:v>44.55</c:v>
                </c:pt>
                <c:pt idx="256">
                  <c:v>46.7</c:v>
                </c:pt>
                <c:pt idx="257">
                  <c:v>46.35</c:v>
                </c:pt>
                <c:pt idx="258">
                  <c:v>50.65</c:v>
                </c:pt>
              </c:numCache>
            </c:numRef>
          </c:xVal>
          <c:yVal>
            <c:numRef>
              <c:f>'Data Total'!$H$397:$H$655</c:f>
              <c:numCache>
                <c:formatCode>General</c:formatCode>
                <c:ptCount val="259"/>
                <c:pt idx="0">
                  <c:v>615.5</c:v>
                </c:pt>
                <c:pt idx="1">
                  <c:v>560</c:v>
                </c:pt>
                <c:pt idx="2">
                  <c:v>547.5</c:v>
                </c:pt>
                <c:pt idx="3">
                  <c:v>540</c:v>
                </c:pt>
                <c:pt idx="4">
                  <c:v>535</c:v>
                </c:pt>
                <c:pt idx="5">
                  <c:v>533.5</c:v>
                </c:pt>
                <c:pt idx="6">
                  <c:v>530.5</c:v>
                </c:pt>
                <c:pt idx="7">
                  <c:v>528</c:v>
                </c:pt>
                <c:pt idx="8">
                  <c:v>527.5</c:v>
                </c:pt>
                <c:pt idx="9">
                  <c:v>523.5</c:v>
                </c:pt>
                <c:pt idx="10">
                  <c:v>522.5</c:v>
                </c:pt>
                <c:pt idx="11">
                  <c:v>522.5</c:v>
                </c:pt>
                <c:pt idx="12">
                  <c:v>517.5</c:v>
                </c:pt>
                <c:pt idx="13">
                  <c:v>515</c:v>
                </c:pt>
                <c:pt idx="14">
                  <c:v>515</c:v>
                </c:pt>
                <c:pt idx="15">
                  <c:v>513</c:v>
                </c:pt>
                <c:pt idx="16">
                  <c:v>512.5</c:v>
                </c:pt>
                <c:pt idx="17">
                  <c:v>510</c:v>
                </c:pt>
                <c:pt idx="18">
                  <c:v>508</c:v>
                </c:pt>
                <c:pt idx="19">
                  <c:v>507.5</c:v>
                </c:pt>
                <c:pt idx="20">
                  <c:v>507.5</c:v>
                </c:pt>
                <c:pt idx="21">
                  <c:v>505</c:v>
                </c:pt>
                <c:pt idx="22">
                  <c:v>505</c:v>
                </c:pt>
                <c:pt idx="23">
                  <c:v>497.5</c:v>
                </c:pt>
                <c:pt idx="24">
                  <c:v>492.5</c:v>
                </c:pt>
                <c:pt idx="25">
                  <c:v>487.5</c:v>
                </c:pt>
                <c:pt idx="26">
                  <c:v>482.5</c:v>
                </c:pt>
                <c:pt idx="27">
                  <c:v>480.5</c:v>
                </c:pt>
                <c:pt idx="28">
                  <c:v>480</c:v>
                </c:pt>
                <c:pt idx="29">
                  <c:v>477.5</c:v>
                </c:pt>
                <c:pt idx="30">
                  <c:v>477.5</c:v>
                </c:pt>
                <c:pt idx="31">
                  <c:v>476</c:v>
                </c:pt>
                <c:pt idx="32">
                  <c:v>468</c:v>
                </c:pt>
                <c:pt idx="33">
                  <c:v>467.5</c:v>
                </c:pt>
                <c:pt idx="34">
                  <c:v>467.5</c:v>
                </c:pt>
                <c:pt idx="35">
                  <c:v>465</c:v>
                </c:pt>
                <c:pt idx="36">
                  <c:v>465</c:v>
                </c:pt>
                <c:pt idx="37">
                  <c:v>465</c:v>
                </c:pt>
                <c:pt idx="38">
                  <c:v>462.5</c:v>
                </c:pt>
                <c:pt idx="39">
                  <c:v>462.5</c:v>
                </c:pt>
                <c:pt idx="40">
                  <c:v>462.5</c:v>
                </c:pt>
                <c:pt idx="41">
                  <c:v>462.5</c:v>
                </c:pt>
                <c:pt idx="42">
                  <c:v>460</c:v>
                </c:pt>
                <c:pt idx="43">
                  <c:v>457.5</c:v>
                </c:pt>
                <c:pt idx="44">
                  <c:v>457.5</c:v>
                </c:pt>
                <c:pt idx="45">
                  <c:v>455</c:v>
                </c:pt>
                <c:pt idx="46">
                  <c:v>455</c:v>
                </c:pt>
                <c:pt idx="47">
                  <c:v>452.5</c:v>
                </c:pt>
                <c:pt idx="48">
                  <c:v>452.5</c:v>
                </c:pt>
                <c:pt idx="49">
                  <c:v>450</c:v>
                </c:pt>
                <c:pt idx="50">
                  <c:v>450</c:v>
                </c:pt>
                <c:pt idx="51">
                  <c:v>447.5</c:v>
                </c:pt>
                <c:pt idx="52">
                  <c:v>447.5</c:v>
                </c:pt>
                <c:pt idx="53">
                  <c:v>442.5</c:v>
                </c:pt>
                <c:pt idx="54">
                  <c:v>442.5</c:v>
                </c:pt>
                <c:pt idx="55">
                  <c:v>440</c:v>
                </c:pt>
                <c:pt idx="56">
                  <c:v>440</c:v>
                </c:pt>
                <c:pt idx="57">
                  <c:v>437.5</c:v>
                </c:pt>
                <c:pt idx="58">
                  <c:v>432.5</c:v>
                </c:pt>
                <c:pt idx="59">
                  <c:v>432.5</c:v>
                </c:pt>
                <c:pt idx="60">
                  <c:v>432.5</c:v>
                </c:pt>
                <c:pt idx="61">
                  <c:v>430</c:v>
                </c:pt>
                <c:pt idx="62">
                  <c:v>427.5</c:v>
                </c:pt>
                <c:pt idx="63">
                  <c:v>427.5</c:v>
                </c:pt>
                <c:pt idx="64">
                  <c:v>425</c:v>
                </c:pt>
                <c:pt idx="65">
                  <c:v>422.5</c:v>
                </c:pt>
                <c:pt idx="66">
                  <c:v>422.5</c:v>
                </c:pt>
                <c:pt idx="67">
                  <c:v>422.5</c:v>
                </c:pt>
                <c:pt idx="68">
                  <c:v>422.5</c:v>
                </c:pt>
                <c:pt idx="69">
                  <c:v>422.5</c:v>
                </c:pt>
                <c:pt idx="70">
                  <c:v>420</c:v>
                </c:pt>
                <c:pt idx="71">
                  <c:v>420</c:v>
                </c:pt>
                <c:pt idx="72">
                  <c:v>420</c:v>
                </c:pt>
                <c:pt idx="73">
                  <c:v>420</c:v>
                </c:pt>
                <c:pt idx="74">
                  <c:v>417.5</c:v>
                </c:pt>
                <c:pt idx="75">
                  <c:v>417.5</c:v>
                </c:pt>
                <c:pt idx="76">
                  <c:v>415</c:v>
                </c:pt>
                <c:pt idx="77">
                  <c:v>415</c:v>
                </c:pt>
                <c:pt idx="78">
                  <c:v>412.5</c:v>
                </c:pt>
                <c:pt idx="79">
                  <c:v>412.5</c:v>
                </c:pt>
                <c:pt idx="80">
                  <c:v>412.5</c:v>
                </c:pt>
                <c:pt idx="81">
                  <c:v>412.5</c:v>
                </c:pt>
                <c:pt idx="82">
                  <c:v>410</c:v>
                </c:pt>
                <c:pt idx="83">
                  <c:v>410</c:v>
                </c:pt>
                <c:pt idx="84">
                  <c:v>407.5</c:v>
                </c:pt>
                <c:pt idx="85">
                  <c:v>407.5</c:v>
                </c:pt>
                <c:pt idx="86">
                  <c:v>407.5</c:v>
                </c:pt>
                <c:pt idx="87">
                  <c:v>405</c:v>
                </c:pt>
                <c:pt idx="88">
                  <c:v>405</c:v>
                </c:pt>
                <c:pt idx="89">
                  <c:v>405</c:v>
                </c:pt>
                <c:pt idx="90">
                  <c:v>405</c:v>
                </c:pt>
                <c:pt idx="91">
                  <c:v>405</c:v>
                </c:pt>
                <c:pt idx="92">
                  <c:v>402.5</c:v>
                </c:pt>
                <c:pt idx="93">
                  <c:v>402.5</c:v>
                </c:pt>
                <c:pt idx="94">
                  <c:v>397.5</c:v>
                </c:pt>
                <c:pt idx="95">
                  <c:v>397.5</c:v>
                </c:pt>
                <c:pt idx="96">
                  <c:v>397.5</c:v>
                </c:pt>
                <c:pt idx="97">
                  <c:v>397.5</c:v>
                </c:pt>
                <c:pt idx="98">
                  <c:v>397.5</c:v>
                </c:pt>
                <c:pt idx="99">
                  <c:v>395</c:v>
                </c:pt>
                <c:pt idx="100">
                  <c:v>395</c:v>
                </c:pt>
                <c:pt idx="101">
                  <c:v>395</c:v>
                </c:pt>
                <c:pt idx="102">
                  <c:v>395</c:v>
                </c:pt>
                <c:pt idx="103">
                  <c:v>395</c:v>
                </c:pt>
                <c:pt idx="104">
                  <c:v>392.5</c:v>
                </c:pt>
                <c:pt idx="105">
                  <c:v>392.5</c:v>
                </c:pt>
                <c:pt idx="106">
                  <c:v>392.5</c:v>
                </c:pt>
                <c:pt idx="107">
                  <c:v>392.5</c:v>
                </c:pt>
                <c:pt idx="108">
                  <c:v>392.5</c:v>
                </c:pt>
                <c:pt idx="109">
                  <c:v>392.5</c:v>
                </c:pt>
                <c:pt idx="110">
                  <c:v>392.5</c:v>
                </c:pt>
                <c:pt idx="111">
                  <c:v>390</c:v>
                </c:pt>
                <c:pt idx="112">
                  <c:v>387.5</c:v>
                </c:pt>
                <c:pt idx="113">
                  <c:v>387.5</c:v>
                </c:pt>
                <c:pt idx="114">
                  <c:v>387.5</c:v>
                </c:pt>
                <c:pt idx="115">
                  <c:v>385</c:v>
                </c:pt>
                <c:pt idx="116">
                  <c:v>385</c:v>
                </c:pt>
                <c:pt idx="117">
                  <c:v>385</c:v>
                </c:pt>
                <c:pt idx="118">
                  <c:v>382.5</c:v>
                </c:pt>
                <c:pt idx="119">
                  <c:v>382.5</c:v>
                </c:pt>
                <c:pt idx="120">
                  <c:v>382.5</c:v>
                </c:pt>
                <c:pt idx="121">
                  <c:v>380</c:v>
                </c:pt>
                <c:pt idx="122">
                  <c:v>380</c:v>
                </c:pt>
                <c:pt idx="123">
                  <c:v>380</c:v>
                </c:pt>
                <c:pt idx="124">
                  <c:v>380</c:v>
                </c:pt>
                <c:pt idx="125">
                  <c:v>378.5</c:v>
                </c:pt>
                <c:pt idx="126">
                  <c:v>377.5</c:v>
                </c:pt>
                <c:pt idx="127">
                  <c:v>377.5</c:v>
                </c:pt>
                <c:pt idx="128">
                  <c:v>375</c:v>
                </c:pt>
                <c:pt idx="129">
                  <c:v>375</c:v>
                </c:pt>
                <c:pt idx="130">
                  <c:v>375</c:v>
                </c:pt>
                <c:pt idx="131">
                  <c:v>375</c:v>
                </c:pt>
                <c:pt idx="132">
                  <c:v>372.5</c:v>
                </c:pt>
                <c:pt idx="133">
                  <c:v>372.5</c:v>
                </c:pt>
                <c:pt idx="134">
                  <c:v>372.5</c:v>
                </c:pt>
                <c:pt idx="135">
                  <c:v>372.5</c:v>
                </c:pt>
                <c:pt idx="136">
                  <c:v>370</c:v>
                </c:pt>
                <c:pt idx="137">
                  <c:v>370</c:v>
                </c:pt>
                <c:pt idx="138">
                  <c:v>370</c:v>
                </c:pt>
                <c:pt idx="139">
                  <c:v>370</c:v>
                </c:pt>
                <c:pt idx="140">
                  <c:v>367.5</c:v>
                </c:pt>
                <c:pt idx="141">
                  <c:v>365</c:v>
                </c:pt>
                <c:pt idx="142">
                  <c:v>362.5</c:v>
                </c:pt>
                <c:pt idx="143">
                  <c:v>362.5</c:v>
                </c:pt>
                <c:pt idx="144">
                  <c:v>362.5</c:v>
                </c:pt>
                <c:pt idx="145">
                  <c:v>360</c:v>
                </c:pt>
                <c:pt idx="146">
                  <c:v>360</c:v>
                </c:pt>
                <c:pt idx="147">
                  <c:v>357.5</c:v>
                </c:pt>
                <c:pt idx="148">
                  <c:v>357.5</c:v>
                </c:pt>
                <c:pt idx="149">
                  <c:v>357.5</c:v>
                </c:pt>
                <c:pt idx="150">
                  <c:v>357.5</c:v>
                </c:pt>
                <c:pt idx="151">
                  <c:v>355</c:v>
                </c:pt>
                <c:pt idx="152">
                  <c:v>355</c:v>
                </c:pt>
                <c:pt idx="153">
                  <c:v>355</c:v>
                </c:pt>
                <c:pt idx="154">
                  <c:v>355</c:v>
                </c:pt>
                <c:pt idx="155">
                  <c:v>355</c:v>
                </c:pt>
                <c:pt idx="156">
                  <c:v>352.5</c:v>
                </c:pt>
                <c:pt idx="157">
                  <c:v>352.5</c:v>
                </c:pt>
                <c:pt idx="158">
                  <c:v>352.5</c:v>
                </c:pt>
                <c:pt idx="159">
                  <c:v>352.5</c:v>
                </c:pt>
                <c:pt idx="160">
                  <c:v>352.5</c:v>
                </c:pt>
                <c:pt idx="161">
                  <c:v>350</c:v>
                </c:pt>
                <c:pt idx="162">
                  <c:v>350</c:v>
                </c:pt>
                <c:pt idx="163">
                  <c:v>350</c:v>
                </c:pt>
                <c:pt idx="164">
                  <c:v>350</c:v>
                </c:pt>
                <c:pt idx="165">
                  <c:v>347.5</c:v>
                </c:pt>
                <c:pt idx="166">
                  <c:v>347.5</c:v>
                </c:pt>
                <c:pt idx="167">
                  <c:v>347.5</c:v>
                </c:pt>
                <c:pt idx="168">
                  <c:v>347.5</c:v>
                </c:pt>
                <c:pt idx="169">
                  <c:v>347.5</c:v>
                </c:pt>
                <c:pt idx="170">
                  <c:v>346</c:v>
                </c:pt>
                <c:pt idx="171">
                  <c:v>345</c:v>
                </c:pt>
                <c:pt idx="172">
                  <c:v>345</c:v>
                </c:pt>
                <c:pt idx="173">
                  <c:v>345</c:v>
                </c:pt>
                <c:pt idx="174">
                  <c:v>345</c:v>
                </c:pt>
                <c:pt idx="175">
                  <c:v>342.5</c:v>
                </c:pt>
                <c:pt idx="176">
                  <c:v>342.5</c:v>
                </c:pt>
                <c:pt idx="177">
                  <c:v>341.5</c:v>
                </c:pt>
                <c:pt idx="178">
                  <c:v>337.5</c:v>
                </c:pt>
                <c:pt idx="179">
                  <c:v>337.5</c:v>
                </c:pt>
                <c:pt idx="180">
                  <c:v>337.5</c:v>
                </c:pt>
                <c:pt idx="181">
                  <c:v>337.5</c:v>
                </c:pt>
                <c:pt idx="182">
                  <c:v>335</c:v>
                </c:pt>
                <c:pt idx="183">
                  <c:v>335</c:v>
                </c:pt>
                <c:pt idx="184">
                  <c:v>335</c:v>
                </c:pt>
                <c:pt idx="185">
                  <c:v>335</c:v>
                </c:pt>
                <c:pt idx="186">
                  <c:v>335</c:v>
                </c:pt>
                <c:pt idx="187">
                  <c:v>335</c:v>
                </c:pt>
                <c:pt idx="188">
                  <c:v>335</c:v>
                </c:pt>
                <c:pt idx="189">
                  <c:v>335</c:v>
                </c:pt>
                <c:pt idx="190">
                  <c:v>332.5</c:v>
                </c:pt>
                <c:pt idx="191">
                  <c:v>330</c:v>
                </c:pt>
                <c:pt idx="192">
                  <c:v>330</c:v>
                </c:pt>
                <c:pt idx="193">
                  <c:v>327.5</c:v>
                </c:pt>
                <c:pt idx="194">
                  <c:v>327.5</c:v>
                </c:pt>
                <c:pt idx="195">
                  <c:v>327.5</c:v>
                </c:pt>
                <c:pt idx="196">
                  <c:v>327.5</c:v>
                </c:pt>
                <c:pt idx="197">
                  <c:v>327.5</c:v>
                </c:pt>
                <c:pt idx="198">
                  <c:v>325</c:v>
                </c:pt>
                <c:pt idx="199">
                  <c:v>325</c:v>
                </c:pt>
                <c:pt idx="200">
                  <c:v>325</c:v>
                </c:pt>
                <c:pt idx="201">
                  <c:v>325</c:v>
                </c:pt>
                <c:pt idx="202">
                  <c:v>322.5</c:v>
                </c:pt>
                <c:pt idx="203">
                  <c:v>322.5</c:v>
                </c:pt>
                <c:pt idx="204">
                  <c:v>320</c:v>
                </c:pt>
                <c:pt idx="205">
                  <c:v>320</c:v>
                </c:pt>
                <c:pt idx="206">
                  <c:v>320</c:v>
                </c:pt>
                <c:pt idx="207">
                  <c:v>317.5</c:v>
                </c:pt>
                <c:pt idx="208">
                  <c:v>317.5</c:v>
                </c:pt>
                <c:pt idx="209">
                  <c:v>315</c:v>
                </c:pt>
                <c:pt idx="210">
                  <c:v>315</c:v>
                </c:pt>
                <c:pt idx="211">
                  <c:v>315</c:v>
                </c:pt>
                <c:pt idx="212">
                  <c:v>315</c:v>
                </c:pt>
                <c:pt idx="213">
                  <c:v>315</c:v>
                </c:pt>
                <c:pt idx="214">
                  <c:v>315</c:v>
                </c:pt>
                <c:pt idx="215">
                  <c:v>312.5</c:v>
                </c:pt>
                <c:pt idx="216">
                  <c:v>312.5</c:v>
                </c:pt>
                <c:pt idx="217">
                  <c:v>310</c:v>
                </c:pt>
                <c:pt idx="218">
                  <c:v>310</c:v>
                </c:pt>
                <c:pt idx="219">
                  <c:v>307.5</c:v>
                </c:pt>
                <c:pt idx="220">
                  <c:v>307.5</c:v>
                </c:pt>
                <c:pt idx="221">
                  <c:v>307.5</c:v>
                </c:pt>
                <c:pt idx="222">
                  <c:v>305</c:v>
                </c:pt>
                <c:pt idx="223">
                  <c:v>305</c:v>
                </c:pt>
                <c:pt idx="224">
                  <c:v>302.5</c:v>
                </c:pt>
                <c:pt idx="225">
                  <c:v>302.5</c:v>
                </c:pt>
                <c:pt idx="226">
                  <c:v>302.5</c:v>
                </c:pt>
                <c:pt idx="227">
                  <c:v>302.5</c:v>
                </c:pt>
                <c:pt idx="228">
                  <c:v>300</c:v>
                </c:pt>
                <c:pt idx="229">
                  <c:v>297.5</c:v>
                </c:pt>
                <c:pt idx="230">
                  <c:v>297.5</c:v>
                </c:pt>
                <c:pt idx="231">
                  <c:v>295</c:v>
                </c:pt>
                <c:pt idx="232">
                  <c:v>295</c:v>
                </c:pt>
                <c:pt idx="233">
                  <c:v>295</c:v>
                </c:pt>
                <c:pt idx="234">
                  <c:v>287.5</c:v>
                </c:pt>
                <c:pt idx="235">
                  <c:v>287.5</c:v>
                </c:pt>
                <c:pt idx="236">
                  <c:v>285</c:v>
                </c:pt>
                <c:pt idx="237">
                  <c:v>285</c:v>
                </c:pt>
                <c:pt idx="238">
                  <c:v>282.5</c:v>
                </c:pt>
                <c:pt idx="239">
                  <c:v>280</c:v>
                </c:pt>
                <c:pt idx="240">
                  <c:v>277.5</c:v>
                </c:pt>
                <c:pt idx="241">
                  <c:v>275</c:v>
                </c:pt>
                <c:pt idx="242">
                  <c:v>275</c:v>
                </c:pt>
                <c:pt idx="243">
                  <c:v>272.5</c:v>
                </c:pt>
                <c:pt idx="244">
                  <c:v>270</c:v>
                </c:pt>
                <c:pt idx="245">
                  <c:v>270</c:v>
                </c:pt>
                <c:pt idx="246">
                  <c:v>267.5</c:v>
                </c:pt>
                <c:pt idx="247">
                  <c:v>267.5</c:v>
                </c:pt>
                <c:pt idx="248">
                  <c:v>265</c:v>
                </c:pt>
                <c:pt idx="249">
                  <c:v>265</c:v>
                </c:pt>
                <c:pt idx="250">
                  <c:v>262.5</c:v>
                </c:pt>
                <c:pt idx="251">
                  <c:v>260</c:v>
                </c:pt>
                <c:pt idx="252">
                  <c:v>260</c:v>
                </c:pt>
                <c:pt idx="253">
                  <c:v>255</c:v>
                </c:pt>
                <c:pt idx="254">
                  <c:v>240</c:v>
                </c:pt>
                <c:pt idx="255">
                  <c:v>237.5</c:v>
                </c:pt>
                <c:pt idx="256">
                  <c:v>232.5</c:v>
                </c:pt>
                <c:pt idx="257">
                  <c:v>225</c:v>
                </c:pt>
                <c:pt idx="258">
                  <c:v>212.5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72-4B79-939A-7AC9C3EAF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89496"/>
        <c:axId val="445191064"/>
      </c:scatterChart>
      <c:valAx>
        <c:axId val="445189496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Bodyweight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1064"/>
        <c:crosses val="autoZero"/>
        <c:crossBetween val="midCat"/>
      </c:valAx>
      <c:valAx>
        <c:axId val="44519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(kg)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9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3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3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3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13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37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3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453"/>
  <sheetViews>
    <sheetView workbookViewId="0">
      <pane ySplit="1" topLeftCell="A170" activePane="bottomLeft" state="frozen"/>
      <selection pane="bottomLeft" sqref="A1:XFD1"/>
    </sheetView>
  </sheetViews>
  <sheetFormatPr defaultColWidth="9" defaultRowHeight="15"/>
  <cols>
    <col min="1" max="1" width="3.5703125" style="5" bestFit="1" customWidth="1"/>
    <col min="2" max="2" width="25.5703125" style="5" bestFit="1" customWidth="1"/>
    <col min="3" max="3" width="5" style="5" bestFit="1" customWidth="1"/>
    <col min="4" max="4" width="5.85546875" style="5" bestFit="1" customWidth="1"/>
    <col min="5" max="5" width="7.42578125" style="5" bestFit="1" customWidth="1"/>
    <col min="6" max="6" width="7" style="5" bestFit="1" customWidth="1"/>
    <col min="7" max="7" width="3.7109375" style="5" bestFit="1" customWidth="1"/>
    <col min="8" max="10" width="7" style="5" bestFit="1" customWidth="1"/>
    <col min="11" max="11" width="10.28515625" style="5" bestFit="1" customWidth="1"/>
    <col min="12" max="12" width="14.5703125" style="5" bestFit="1" customWidth="1"/>
    <col min="13" max="14" width="8.85546875" style="5" bestFit="1" customWidth="1"/>
    <col min="15" max="15" width="10.7109375" style="5" bestFit="1" customWidth="1"/>
    <col min="16" max="16" width="11" style="5" bestFit="1" customWidth="1"/>
    <col min="17" max="18" width="8.85546875" style="5" bestFit="1" customWidth="1"/>
    <col min="19" max="19" width="12.42578125" style="5" bestFit="1" customWidth="1"/>
    <col min="20" max="20" width="12.42578125" style="5" customWidth="1"/>
    <col min="21" max="21" width="10.28515625" style="5" bestFit="1" customWidth="1"/>
    <col min="22" max="22" width="7" style="5" bestFit="1" customWidth="1"/>
    <col min="23" max="23" width="4.28515625" style="5" bestFit="1" customWidth="1"/>
    <col min="24" max="25" width="5" style="5" bestFit="1" customWidth="1"/>
    <col min="26" max="26" width="8.140625" style="5" bestFit="1" customWidth="1"/>
    <col min="27" max="27" width="5" style="5" bestFit="1" customWidth="1"/>
    <col min="28" max="16384" width="9" style="5"/>
  </cols>
  <sheetData>
    <row r="1" spans="1:27" s="12" customFormat="1" ht="15" customHeight="1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</row>
    <row r="2" spans="1:27">
      <c r="A2" s="3">
        <v>3</v>
      </c>
      <c r="B2" s="3" t="s">
        <v>27</v>
      </c>
      <c r="C2" s="3">
        <v>1970</v>
      </c>
      <c r="D2" s="3" t="s">
        <v>28</v>
      </c>
      <c r="E2" s="3">
        <v>65.75</v>
      </c>
      <c r="F2" s="3">
        <v>0.78759999999999997</v>
      </c>
      <c r="G2" s="3">
        <v>8</v>
      </c>
      <c r="H2" s="3">
        <v>215</v>
      </c>
      <c r="I2" s="1">
        <v>225</v>
      </c>
      <c r="J2" s="1">
        <v>225</v>
      </c>
      <c r="K2" s="4" t="e">
        <f t="array" aca="1" ref="K2">MAX(H2:J2*(1-strike(H2:J2)))</f>
        <v>#NAME?</v>
      </c>
      <c r="L2" s="3">
        <v>130</v>
      </c>
      <c r="M2" s="3">
        <v>135</v>
      </c>
      <c r="N2" s="1">
        <v>140</v>
      </c>
      <c r="O2" s="4" t="e">
        <f t="array" aca="1" ref="O2">MAX(L2:N2*(1-strike(L2:N2)))</f>
        <v>#NAME?</v>
      </c>
      <c r="P2" s="3">
        <v>230</v>
      </c>
      <c r="Q2" s="3">
        <v>250</v>
      </c>
      <c r="R2" s="1">
        <v>267.5</v>
      </c>
      <c r="S2" s="4" t="e">
        <f t="array" aca="1" ref="S2">MAX(P2:R2*(1-strike(P2:R2)))</f>
        <v>#NAME?</v>
      </c>
      <c r="T2" s="4" t="e">
        <f t="shared" ref="T2:T65" si="0">IF(AND(K2&lt;&gt;0,O2&lt;&gt;0,S2&lt;&gt;0),K2+O2+S2,0)</f>
        <v>#NAME?</v>
      </c>
      <c r="U2" s="3">
        <v>600</v>
      </c>
      <c r="V2" s="3">
        <v>472.59</v>
      </c>
      <c r="W2" s="3">
        <v>8</v>
      </c>
      <c r="X2" s="5">
        <v>2012</v>
      </c>
      <c r="Y2" s="5" t="s">
        <v>29</v>
      </c>
      <c r="Z2" s="5" t="s">
        <v>30</v>
      </c>
      <c r="AA2" s="5">
        <v>1435</v>
      </c>
    </row>
    <row r="3" spans="1:27">
      <c r="A3" s="3">
        <v>16</v>
      </c>
      <c r="B3" s="3" t="s">
        <v>31</v>
      </c>
      <c r="C3" s="3">
        <v>1987</v>
      </c>
      <c r="D3" s="3" t="s">
        <v>32</v>
      </c>
      <c r="E3" s="3">
        <v>103.85</v>
      </c>
      <c r="F3" s="3">
        <v>0.59989999999999999</v>
      </c>
      <c r="G3" s="3">
        <v>4</v>
      </c>
      <c r="H3" s="3">
        <v>240</v>
      </c>
      <c r="I3" s="1">
        <v>250</v>
      </c>
      <c r="J3" s="1">
        <v>255</v>
      </c>
      <c r="K3" s="4" t="e">
        <f t="array" aca="1" ref="K3">MAX(H3:J3*(1-strike(H3:J3)))</f>
        <v>#NAME?</v>
      </c>
      <c r="L3" s="3">
        <v>120</v>
      </c>
      <c r="M3" s="1">
        <v>127.5</v>
      </c>
      <c r="N3" s="1">
        <v>130</v>
      </c>
      <c r="O3" s="4" t="e">
        <f t="array" aca="1" ref="O3">MAX(L3:N3*(1-strike(L3:N3)))</f>
        <v>#NAME?</v>
      </c>
      <c r="P3" s="3">
        <v>260</v>
      </c>
      <c r="Q3" s="3">
        <v>270</v>
      </c>
      <c r="R3" s="1">
        <v>280</v>
      </c>
      <c r="S3" s="4" t="e">
        <f t="array" aca="1" ref="S3">MAX(P3:R3*(1-strike(P3:R3)))</f>
        <v>#NAME?</v>
      </c>
      <c r="T3" s="4" t="e">
        <f t="shared" si="0"/>
        <v>#NAME?</v>
      </c>
      <c r="U3" s="3">
        <v>630</v>
      </c>
      <c r="V3" s="3">
        <v>377.93</v>
      </c>
      <c r="W3" s="3">
        <v>1</v>
      </c>
      <c r="X3" s="5">
        <v>2012</v>
      </c>
      <c r="Y3" s="5" t="s">
        <v>29</v>
      </c>
      <c r="Z3" s="5" t="s">
        <v>30</v>
      </c>
      <c r="AA3" s="5">
        <v>1508</v>
      </c>
    </row>
    <row r="4" spans="1:27">
      <c r="A4" s="3">
        <v>1</v>
      </c>
      <c r="B4" s="3" t="s">
        <v>33</v>
      </c>
      <c r="C4" s="3">
        <v>1981</v>
      </c>
      <c r="D4" s="3" t="s">
        <v>28</v>
      </c>
      <c r="E4" s="3">
        <v>73.400000000000006</v>
      </c>
      <c r="F4" s="3">
        <v>0.72350000000000003</v>
      </c>
      <c r="G4" s="3">
        <v>11</v>
      </c>
      <c r="H4" s="3">
        <v>210</v>
      </c>
      <c r="I4" s="3">
        <v>220</v>
      </c>
      <c r="J4" s="3">
        <v>225</v>
      </c>
      <c r="K4" s="4" t="e">
        <f t="array" aca="1" ref="K4">MAX(H4:J4*(1-strike(H4:J4)))</f>
        <v>#NAME?</v>
      </c>
      <c r="L4" s="3">
        <v>152.5</v>
      </c>
      <c r="M4" s="3">
        <v>160</v>
      </c>
      <c r="N4" s="3">
        <v>167.5</v>
      </c>
      <c r="O4" s="4" t="e">
        <f t="array" aca="1" ref="O4">MAX(L4:N4*(1-strike(L4:N4)))</f>
        <v>#NAME?</v>
      </c>
      <c r="P4" s="3">
        <v>267.5</v>
      </c>
      <c r="Q4" s="3">
        <v>277.5</v>
      </c>
      <c r="R4" s="1">
        <v>285</v>
      </c>
      <c r="S4" s="4" t="e">
        <f t="array" aca="1" ref="S4">MAX(P4:R4*(1-strike(P4:R4)))</f>
        <v>#NAME?</v>
      </c>
      <c r="T4" s="4" t="e">
        <f t="shared" si="0"/>
        <v>#NAME?</v>
      </c>
      <c r="U4" s="3">
        <v>670</v>
      </c>
      <c r="V4" s="3">
        <v>484.74</v>
      </c>
      <c r="W4" s="3">
        <v>12</v>
      </c>
      <c r="X4" s="5">
        <v>2012</v>
      </c>
      <c r="Y4" s="5" t="s">
        <v>29</v>
      </c>
      <c r="Z4" s="5" t="s">
        <v>30</v>
      </c>
      <c r="AA4" s="5">
        <v>1443</v>
      </c>
    </row>
    <row r="5" spans="1:27">
      <c r="A5" s="3">
        <v>8</v>
      </c>
      <c r="B5" s="3" t="s">
        <v>34</v>
      </c>
      <c r="C5" s="3">
        <v>1970</v>
      </c>
      <c r="D5" s="3" t="s">
        <v>35</v>
      </c>
      <c r="E5" s="3">
        <v>82.6</v>
      </c>
      <c r="F5" s="3">
        <v>0.6694</v>
      </c>
      <c r="G5" s="3">
        <v>8</v>
      </c>
      <c r="H5" s="1">
        <v>210</v>
      </c>
      <c r="I5" s="1">
        <v>222.5</v>
      </c>
      <c r="J5" s="3">
        <v>222.5</v>
      </c>
      <c r="K5" s="4" t="e">
        <f t="array" aca="1" ref="K5">MAX(H5:J5*(1-strike(H5:J5)))</f>
        <v>#NAME?</v>
      </c>
      <c r="L5" s="3">
        <v>170</v>
      </c>
      <c r="M5" s="3">
        <v>177.5</v>
      </c>
      <c r="N5" s="1">
        <v>182.5</v>
      </c>
      <c r="O5" s="4" t="e">
        <f t="array" aca="1" ref="O5">MAX(L5:N5*(1-strike(L5:N5)))</f>
        <v>#NAME?</v>
      </c>
      <c r="P5" s="3">
        <v>175</v>
      </c>
      <c r="Q5" s="3">
        <v>210</v>
      </c>
      <c r="R5" s="3">
        <v>232.5</v>
      </c>
      <c r="S5" s="4" t="e">
        <f t="array" aca="1" ref="S5">MAX(P5:R5*(1-strike(P5:R5)))</f>
        <v>#NAME?</v>
      </c>
      <c r="T5" s="4" t="e">
        <f t="shared" si="0"/>
        <v>#NAME?</v>
      </c>
      <c r="U5" s="3">
        <v>632.5</v>
      </c>
      <c r="V5" s="3">
        <v>423.39</v>
      </c>
      <c r="W5" s="3">
        <v>3</v>
      </c>
      <c r="X5" s="5">
        <v>2012</v>
      </c>
      <c r="Y5" s="5" t="s">
        <v>29</v>
      </c>
      <c r="Z5" s="5" t="s">
        <v>30</v>
      </c>
      <c r="AA5" s="5">
        <v>1465</v>
      </c>
    </row>
    <row r="6" spans="1:27">
      <c r="A6" s="3">
        <v>3</v>
      </c>
      <c r="B6" s="3" t="s">
        <v>36</v>
      </c>
      <c r="C6" s="3">
        <v>1967</v>
      </c>
      <c r="D6" s="3" t="s">
        <v>35</v>
      </c>
      <c r="E6" s="3">
        <v>73.8</v>
      </c>
      <c r="F6" s="3">
        <v>0.72070000000000001</v>
      </c>
      <c r="G6" s="3">
        <v>4</v>
      </c>
      <c r="H6" s="3">
        <v>215</v>
      </c>
      <c r="I6" s="3">
        <v>222.5</v>
      </c>
      <c r="J6" s="3">
        <v>227.5</v>
      </c>
      <c r="K6" s="4" t="e">
        <f t="array" aca="1" ref="K6">MAX(H6:J6*(1-strike(H6:J6)))</f>
        <v>#NAME?</v>
      </c>
      <c r="L6" s="3">
        <v>157.5</v>
      </c>
      <c r="M6" s="3">
        <v>162.5</v>
      </c>
      <c r="N6" s="1">
        <v>170</v>
      </c>
      <c r="O6" s="4" t="e">
        <f t="array" aca="1" ref="O6">MAX(L6:N6*(1-strike(L6:N6)))</f>
        <v>#NAME?</v>
      </c>
      <c r="P6" s="3">
        <v>255</v>
      </c>
      <c r="Q6" s="1">
        <v>260</v>
      </c>
      <c r="R6" s="1">
        <v>262.5</v>
      </c>
      <c r="S6" s="4" t="e">
        <f t="array" aca="1" ref="S6">MAX(P6:R6*(1-strike(P6:R6)))</f>
        <v>#NAME?</v>
      </c>
      <c r="T6" s="4" t="e">
        <f t="shared" si="0"/>
        <v>#NAME?</v>
      </c>
      <c r="U6" s="3">
        <v>645</v>
      </c>
      <c r="V6" s="3">
        <v>464.85</v>
      </c>
      <c r="W6" s="3">
        <v>8</v>
      </c>
      <c r="X6" s="5">
        <v>2012</v>
      </c>
      <c r="Y6" s="5" t="s">
        <v>29</v>
      </c>
      <c r="Z6" s="5" t="s">
        <v>30</v>
      </c>
      <c r="AA6" s="5">
        <v>1445</v>
      </c>
    </row>
    <row r="7" spans="1:27">
      <c r="A7" s="3" t="s">
        <v>37</v>
      </c>
      <c r="B7" s="3" t="s">
        <v>38</v>
      </c>
      <c r="C7" s="3">
        <v>1974</v>
      </c>
      <c r="D7" s="3" t="s">
        <v>39</v>
      </c>
      <c r="E7" s="3">
        <v>90.3</v>
      </c>
      <c r="F7" s="3">
        <v>0.63729999999999998</v>
      </c>
      <c r="G7" s="3">
        <v>7</v>
      </c>
      <c r="H7" s="3">
        <v>240</v>
      </c>
      <c r="I7" s="1">
        <v>245</v>
      </c>
      <c r="J7" s="1">
        <v>245</v>
      </c>
      <c r="K7" s="4" t="e">
        <f t="array" aca="1" ref="K7">MAX(H7:J7*(1-strike(H7:J7)))</f>
        <v>#NAME?</v>
      </c>
      <c r="L7" s="1">
        <v>190</v>
      </c>
      <c r="M7" s="1">
        <v>190</v>
      </c>
      <c r="N7" s="1">
        <v>190</v>
      </c>
      <c r="O7" s="4" t="e">
        <f t="array" aca="1" ref="O7">MAX(L7:N7*(1-strike(L7:N7)))</f>
        <v>#NAME?</v>
      </c>
      <c r="P7" s="1">
        <v>240</v>
      </c>
      <c r="Q7" s="3">
        <v>245</v>
      </c>
      <c r="R7" s="1">
        <v>250</v>
      </c>
      <c r="S7" s="4" t="e">
        <f t="array" aca="1" ref="S7">MAX(P7:R7*(1-strike(P7:R7)))</f>
        <v>#NAME?</v>
      </c>
      <c r="T7" s="4" t="e">
        <f t="shared" si="0"/>
        <v>#NAME?</v>
      </c>
      <c r="U7" s="3" t="s">
        <v>40</v>
      </c>
      <c r="V7" s="3" t="s">
        <v>37</v>
      </c>
      <c r="W7" s="3" t="s">
        <v>37</v>
      </c>
      <c r="X7" s="5">
        <v>2012</v>
      </c>
      <c r="Y7" s="5" t="s">
        <v>29</v>
      </c>
      <c r="Z7" s="5" t="s">
        <v>30</v>
      </c>
      <c r="AA7" s="5">
        <v>1491</v>
      </c>
    </row>
    <row r="8" spans="1:27">
      <c r="A8" s="3">
        <v>1</v>
      </c>
      <c r="B8" s="3" t="s">
        <v>41</v>
      </c>
      <c r="C8" s="3">
        <v>1976</v>
      </c>
      <c r="D8" s="3" t="s">
        <v>42</v>
      </c>
      <c r="E8" s="3">
        <v>119.85</v>
      </c>
      <c r="F8" s="3">
        <v>0.57499999999999996</v>
      </c>
      <c r="G8" s="3">
        <v>15</v>
      </c>
      <c r="H8" s="1">
        <v>330</v>
      </c>
      <c r="I8" s="3">
        <v>340</v>
      </c>
      <c r="J8" s="3">
        <v>350</v>
      </c>
      <c r="K8" s="4" t="e">
        <f t="array" aca="1" ref="K8">MAX(H8:J8*(1-strike(H8:J8)))</f>
        <v>#NAME?</v>
      </c>
      <c r="L8" s="3">
        <v>205</v>
      </c>
      <c r="M8" s="3">
        <v>210</v>
      </c>
      <c r="N8" s="1">
        <v>215</v>
      </c>
      <c r="O8" s="4" t="e">
        <f t="array" aca="1" ref="O8">MAX(L8:N8*(1-strike(L8:N8)))</f>
        <v>#NAME?</v>
      </c>
      <c r="P8" s="3">
        <v>320</v>
      </c>
      <c r="Q8" s="3">
        <v>340</v>
      </c>
      <c r="R8" s="3">
        <v>355.5</v>
      </c>
      <c r="S8" s="4" t="e">
        <f t="array" aca="1" ref="S8">MAX(P8:R8*(1-strike(P8:R8)))</f>
        <v>#NAME?</v>
      </c>
      <c r="T8" s="4" t="e">
        <f t="shared" si="0"/>
        <v>#NAME?</v>
      </c>
      <c r="U8" s="3" t="s">
        <v>43</v>
      </c>
      <c r="V8" s="3">
        <v>526.45000000000005</v>
      </c>
      <c r="W8" s="3">
        <v>12</v>
      </c>
      <c r="X8" s="5">
        <v>2012</v>
      </c>
      <c r="Y8" s="5" t="s">
        <v>29</v>
      </c>
      <c r="Z8" s="5" t="s">
        <v>30</v>
      </c>
      <c r="AA8" s="5">
        <v>1512</v>
      </c>
    </row>
    <row r="9" spans="1:27">
      <c r="A9" s="3">
        <v>10</v>
      </c>
      <c r="B9" s="3" t="s">
        <v>44</v>
      </c>
      <c r="C9" s="3">
        <v>1972</v>
      </c>
      <c r="D9" s="3" t="s">
        <v>45</v>
      </c>
      <c r="E9" s="3">
        <v>110.35</v>
      </c>
      <c r="F9" s="3">
        <v>0.58789999999999998</v>
      </c>
      <c r="G9" s="3">
        <v>1</v>
      </c>
      <c r="H9" s="3">
        <v>230</v>
      </c>
      <c r="I9" s="3">
        <v>240</v>
      </c>
      <c r="J9" s="3">
        <v>245</v>
      </c>
      <c r="K9" s="4" t="e">
        <f t="array" aca="1" ref="K9">MAX(H9:J9*(1-strike(H9:J9)))</f>
        <v>#NAME?</v>
      </c>
      <c r="L9" s="3">
        <v>172.5</v>
      </c>
      <c r="M9" s="3">
        <v>180</v>
      </c>
      <c r="N9" s="3">
        <v>185</v>
      </c>
      <c r="O9" s="4" t="e">
        <f t="array" aca="1" ref="O9">MAX(L9:N9*(1-strike(L9:N9)))</f>
        <v>#NAME?</v>
      </c>
      <c r="P9" s="3">
        <v>280</v>
      </c>
      <c r="Q9" s="3">
        <v>300</v>
      </c>
      <c r="R9" s="1">
        <v>310</v>
      </c>
      <c r="S9" s="4" t="e">
        <f t="array" aca="1" ref="S9">MAX(P9:R9*(1-strike(P9:R9)))</f>
        <v>#NAME?</v>
      </c>
      <c r="T9" s="4" t="e">
        <f t="shared" si="0"/>
        <v>#NAME?</v>
      </c>
      <c r="U9" s="3">
        <v>730</v>
      </c>
      <c r="V9" s="3">
        <v>429.16</v>
      </c>
      <c r="W9" s="3">
        <v>1</v>
      </c>
      <c r="X9" s="5">
        <v>2012</v>
      </c>
      <c r="Y9" s="5" t="s">
        <v>29</v>
      </c>
      <c r="Z9" s="5" t="s">
        <v>30</v>
      </c>
      <c r="AA9" s="5">
        <v>1521</v>
      </c>
    </row>
    <row r="10" spans="1:27">
      <c r="A10" s="3">
        <v>1</v>
      </c>
      <c r="B10" s="3" t="s">
        <v>46</v>
      </c>
      <c r="C10" s="3">
        <v>1972</v>
      </c>
      <c r="D10" s="3" t="s">
        <v>47</v>
      </c>
      <c r="E10" s="3">
        <v>103.55</v>
      </c>
      <c r="F10" s="3">
        <v>0.60229999999999995</v>
      </c>
      <c r="G10" s="3">
        <v>6</v>
      </c>
      <c r="H10" s="3">
        <v>295</v>
      </c>
      <c r="I10" s="3">
        <v>305</v>
      </c>
      <c r="J10" s="3">
        <v>312.5</v>
      </c>
      <c r="K10" s="4" t="e">
        <f t="array" aca="1" ref="K10">MAX(H10:J10*(1-strike(H10:J10)))</f>
        <v>#NAME?</v>
      </c>
      <c r="L10" s="3">
        <v>195</v>
      </c>
      <c r="M10" s="3">
        <v>205</v>
      </c>
      <c r="N10" s="3">
        <v>210</v>
      </c>
      <c r="O10" s="4" t="e">
        <f t="array" aca="1" ref="O10">MAX(L10:N10*(1-strike(L10:N10)))</f>
        <v>#NAME?</v>
      </c>
      <c r="P10" s="3">
        <v>310</v>
      </c>
      <c r="Q10" s="3">
        <v>325</v>
      </c>
      <c r="R10" s="1">
        <v>332.5</v>
      </c>
      <c r="S10" s="4" t="e">
        <f t="array" aca="1" ref="S10">MAX(P10:R10*(1-strike(P10:R10)))</f>
        <v>#NAME?</v>
      </c>
      <c r="T10" s="4" t="e">
        <f t="shared" si="0"/>
        <v>#NAME?</v>
      </c>
      <c r="U10" s="3">
        <v>847.5</v>
      </c>
      <c r="V10" s="3">
        <v>510.44</v>
      </c>
      <c r="W10" s="3">
        <v>12</v>
      </c>
      <c r="X10" s="5">
        <v>2012</v>
      </c>
      <c r="Y10" s="5" t="s">
        <v>29</v>
      </c>
      <c r="Z10" s="5" t="s">
        <v>30</v>
      </c>
      <c r="AA10" s="5">
        <v>1493</v>
      </c>
    </row>
    <row r="11" spans="1:27">
      <c r="A11" s="3">
        <v>6</v>
      </c>
      <c r="B11" s="3" t="s">
        <v>48</v>
      </c>
      <c r="C11" s="3">
        <v>1983</v>
      </c>
      <c r="D11" s="3" t="s">
        <v>49</v>
      </c>
      <c r="E11" s="3">
        <v>91.8</v>
      </c>
      <c r="F11" s="3">
        <v>0.6321</v>
      </c>
      <c r="G11" s="3">
        <v>8</v>
      </c>
      <c r="H11" s="3">
        <v>245</v>
      </c>
      <c r="I11" s="1">
        <v>260</v>
      </c>
      <c r="J11" s="3">
        <v>260</v>
      </c>
      <c r="K11" s="4" t="e">
        <f t="array" aca="1" ref="K11">MAX(H11:J11*(1-strike(H11:J11)))</f>
        <v>#NAME?</v>
      </c>
      <c r="L11" s="3">
        <v>160</v>
      </c>
      <c r="M11" s="3">
        <v>170</v>
      </c>
      <c r="N11" s="3">
        <v>175</v>
      </c>
      <c r="O11" s="4" t="e">
        <f t="array" aca="1" ref="O11">MAX(L11:N11*(1-strike(L11:N11)))</f>
        <v>#NAME?</v>
      </c>
      <c r="P11" s="3">
        <v>270</v>
      </c>
      <c r="Q11" s="3">
        <v>290</v>
      </c>
      <c r="R11" s="1">
        <v>305</v>
      </c>
      <c r="S11" s="4" t="e">
        <f t="array" aca="1" ref="S11">MAX(P11:R11*(1-strike(P11:R11)))</f>
        <v>#NAME?</v>
      </c>
      <c r="T11" s="4" t="e">
        <f t="shared" si="0"/>
        <v>#NAME?</v>
      </c>
      <c r="U11" s="3">
        <v>725</v>
      </c>
      <c r="V11" s="3">
        <v>458.27</v>
      </c>
      <c r="W11" s="3">
        <v>5</v>
      </c>
      <c r="X11" s="5">
        <v>2012</v>
      </c>
      <c r="Y11" s="5" t="s">
        <v>29</v>
      </c>
      <c r="Z11" s="5" t="s">
        <v>30</v>
      </c>
      <c r="AA11" s="5">
        <v>1476</v>
      </c>
    </row>
    <row r="12" spans="1:27">
      <c r="A12" s="3">
        <v>4</v>
      </c>
      <c r="B12" s="3" t="s">
        <v>50</v>
      </c>
      <c r="C12" s="3">
        <v>1975</v>
      </c>
      <c r="D12" s="3" t="s">
        <v>51</v>
      </c>
      <c r="E12" s="3">
        <v>73.400000000000006</v>
      </c>
      <c r="F12" s="3">
        <v>0.72350000000000003</v>
      </c>
      <c r="G12" s="3">
        <v>5</v>
      </c>
      <c r="H12" s="3">
        <v>182.5</v>
      </c>
      <c r="I12" s="3">
        <v>192.5</v>
      </c>
      <c r="J12" s="1">
        <v>195</v>
      </c>
      <c r="K12" s="4" t="e">
        <f t="array" aca="1" ref="K12">MAX(H12:J12*(1-strike(H12:J12)))</f>
        <v>#NAME?</v>
      </c>
      <c r="L12" s="3">
        <v>147.5</v>
      </c>
      <c r="M12" s="3">
        <v>152.5</v>
      </c>
      <c r="N12" s="3">
        <v>155</v>
      </c>
      <c r="O12" s="4" t="e">
        <f t="array" aca="1" ref="O12">MAX(L12:N12*(1-strike(L12:N12)))</f>
        <v>#NAME?</v>
      </c>
      <c r="P12" s="3">
        <v>255</v>
      </c>
      <c r="Q12" s="3">
        <v>265</v>
      </c>
      <c r="R12" s="1">
        <v>277.5</v>
      </c>
      <c r="S12" s="4" t="e">
        <f t="array" aca="1" ref="S12">MAX(P12:R12*(1-strike(P12:R12)))</f>
        <v>#NAME?</v>
      </c>
      <c r="T12" s="4" t="e">
        <f t="shared" si="0"/>
        <v>#NAME?</v>
      </c>
      <c r="U12" s="3">
        <v>612.5</v>
      </c>
      <c r="V12" s="3">
        <v>443.14</v>
      </c>
      <c r="W12" s="3">
        <v>7</v>
      </c>
      <c r="X12" s="5">
        <v>2012</v>
      </c>
      <c r="Y12" s="5" t="s">
        <v>29</v>
      </c>
      <c r="Z12" s="5" t="s">
        <v>30</v>
      </c>
      <c r="AA12" s="5">
        <v>1446</v>
      </c>
    </row>
    <row r="13" spans="1:27" ht="15" customHeight="1">
      <c r="A13" s="3">
        <v>8</v>
      </c>
      <c r="B13" s="3" t="s">
        <v>52</v>
      </c>
      <c r="C13" s="3">
        <v>1983</v>
      </c>
      <c r="D13" s="3" t="s">
        <v>35</v>
      </c>
      <c r="E13" s="3">
        <v>93</v>
      </c>
      <c r="F13" s="3">
        <v>0.62819999999999998</v>
      </c>
      <c r="G13" s="3">
        <v>10</v>
      </c>
      <c r="H13" s="3">
        <v>255</v>
      </c>
      <c r="I13" s="1">
        <v>262.5</v>
      </c>
      <c r="J13" s="1">
        <v>262.5</v>
      </c>
      <c r="K13" s="4" t="e">
        <f t="array" aca="1" ref="K13">MAX(H13:J13*(1-strike(H13:J13)))</f>
        <v>#NAME?</v>
      </c>
      <c r="L13" s="3">
        <v>165</v>
      </c>
      <c r="M13" s="3">
        <v>170</v>
      </c>
      <c r="N13" s="3">
        <v>172.5</v>
      </c>
      <c r="O13" s="4" t="e">
        <f t="array" aca="1" ref="O13">MAX(L13:N13*(1-strike(L13:N13)))</f>
        <v>#NAME?</v>
      </c>
      <c r="P13" s="3">
        <v>280</v>
      </c>
      <c r="Q13" s="3">
        <v>290</v>
      </c>
      <c r="R13" s="1">
        <v>297.5</v>
      </c>
      <c r="S13" s="4" t="e">
        <f t="array" aca="1" ref="S13">MAX(P13:R13*(1-strike(P13:R13)))</f>
        <v>#NAME?</v>
      </c>
      <c r="T13" s="4" t="e">
        <f t="shared" si="0"/>
        <v>#NAME?</v>
      </c>
      <c r="U13" s="3">
        <v>717.5</v>
      </c>
      <c r="V13" s="3">
        <v>450.73</v>
      </c>
      <c r="W13" s="3">
        <v>3</v>
      </c>
      <c r="X13" s="5">
        <v>2012</v>
      </c>
      <c r="Y13" s="5" t="s">
        <v>29</v>
      </c>
      <c r="Z13" s="5" t="s">
        <v>30</v>
      </c>
      <c r="AA13" s="5">
        <v>1478</v>
      </c>
    </row>
    <row r="14" spans="1:27">
      <c r="A14" s="3">
        <v>13</v>
      </c>
      <c r="B14" s="3" t="s">
        <v>53</v>
      </c>
      <c r="C14" s="3">
        <v>1982</v>
      </c>
      <c r="D14" s="3" t="s">
        <v>54</v>
      </c>
      <c r="E14" s="3">
        <v>92.25</v>
      </c>
      <c r="F14" s="3">
        <v>0.63060000000000005</v>
      </c>
      <c r="G14" s="3">
        <v>23</v>
      </c>
      <c r="H14" s="3">
        <v>210</v>
      </c>
      <c r="I14" s="1">
        <v>217.5</v>
      </c>
      <c r="J14" s="3">
        <v>217.5</v>
      </c>
      <c r="K14" s="4" t="e">
        <f t="array" aca="1" ref="K14">MAX(H14:J14*(1-strike(H14:J14)))</f>
        <v>#NAME?</v>
      </c>
      <c r="L14" s="3">
        <v>175</v>
      </c>
      <c r="M14" s="1">
        <v>180</v>
      </c>
      <c r="N14" s="1">
        <v>180</v>
      </c>
      <c r="O14" s="4" t="e">
        <f t="array" aca="1" ref="O14">MAX(L14:N14*(1-strike(L14:N14)))</f>
        <v>#NAME?</v>
      </c>
      <c r="P14" s="3">
        <v>270</v>
      </c>
      <c r="Q14" s="3">
        <v>285</v>
      </c>
      <c r="R14" s="1">
        <v>292.5</v>
      </c>
      <c r="S14" s="4" t="e">
        <f t="array" aca="1" ref="S14">MAX(P14:R14*(1-strike(P14:R14)))</f>
        <v>#NAME?</v>
      </c>
      <c r="T14" s="4" t="e">
        <f t="shared" si="0"/>
        <v>#NAME?</v>
      </c>
      <c r="U14" s="3">
        <v>677.5</v>
      </c>
      <c r="V14" s="3">
        <v>427.26</v>
      </c>
      <c r="W14" s="3">
        <v>1</v>
      </c>
      <c r="X14" s="5">
        <v>2012</v>
      </c>
      <c r="Y14" s="5" t="s">
        <v>29</v>
      </c>
      <c r="Z14" s="5" t="s">
        <v>30</v>
      </c>
      <c r="AA14" s="5">
        <v>1483</v>
      </c>
    </row>
    <row r="15" spans="1:27">
      <c r="A15" s="3">
        <v>9</v>
      </c>
      <c r="B15" s="3" t="s">
        <v>55</v>
      </c>
      <c r="C15" s="3">
        <v>1986</v>
      </c>
      <c r="D15" s="3" t="s">
        <v>56</v>
      </c>
      <c r="E15" s="3">
        <v>82.4</v>
      </c>
      <c r="F15" s="3">
        <v>0.6704</v>
      </c>
      <c r="G15" s="3">
        <v>11</v>
      </c>
      <c r="H15" s="3">
        <v>215</v>
      </c>
      <c r="I15" s="1">
        <v>225</v>
      </c>
      <c r="J15" s="1">
        <v>225</v>
      </c>
      <c r="K15" s="4" t="e">
        <f t="array" aca="1" ref="K15">MAX(H15:J15*(1-strike(H15:J15)))</f>
        <v>#NAME?</v>
      </c>
      <c r="L15" s="1">
        <v>130</v>
      </c>
      <c r="M15" s="3">
        <v>130</v>
      </c>
      <c r="N15" s="3">
        <v>135</v>
      </c>
      <c r="O15" s="4" t="e">
        <f t="array" aca="1" ref="O15">MAX(L15:N15*(1-strike(L15:N15)))</f>
        <v>#NAME?</v>
      </c>
      <c r="P15" s="3">
        <v>280</v>
      </c>
      <c r="Q15" s="1">
        <v>282.5</v>
      </c>
      <c r="R15" s="1">
        <v>290</v>
      </c>
      <c r="S15" s="4" t="e">
        <f t="array" aca="1" ref="S15">MAX(P15:R15*(1-strike(P15:R15)))</f>
        <v>#NAME?</v>
      </c>
      <c r="T15" s="4" t="e">
        <f t="shared" si="0"/>
        <v>#NAME?</v>
      </c>
      <c r="U15" s="3">
        <v>630</v>
      </c>
      <c r="V15" s="3">
        <v>422.35</v>
      </c>
      <c r="W15" s="3">
        <v>2</v>
      </c>
      <c r="X15" s="5">
        <v>2012</v>
      </c>
      <c r="Y15" s="5" t="s">
        <v>29</v>
      </c>
      <c r="Z15" s="5" t="s">
        <v>30</v>
      </c>
      <c r="AA15" s="5">
        <v>1466</v>
      </c>
    </row>
    <row r="16" spans="1:27">
      <c r="A16" s="3">
        <v>1</v>
      </c>
      <c r="B16" s="3" t="s">
        <v>57</v>
      </c>
      <c r="C16" s="3">
        <v>1982</v>
      </c>
      <c r="D16" s="3" t="s">
        <v>28</v>
      </c>
      <c r="E16" s="3">
        <v>57.6</v>
      </c>
      <c r="F16" s="3">
        <v>0.88590000000000002</v>
      </c>
      <c r="G16" s="3">
        <v>11</v>
      </c>
      <c r="H16" s="3">
        <v>190</v>
      </c>
      <c r="I16" s="3">
        <v>210</v>
      </c>
      <c r="J16" s="3">
        <v>221</v>
      </c>
      <c r="K16" s="4" t="e">
        <f t="array" aca="1" ref="K16">MAX(H16:J16*(1-strike(H16:J16)))</f>
        <v>#NAME?</v>
      </c>
      <c r="L16" s="3">
        <v>145</v>
      </c>
      <c r="M16" s="3">
        <v>155</v>
      </c>
      <c r="N16" s="3">
        <v>160</v>
      </c>
      <c r="O16" s="4" t="e">
        <f t="array" aca="1" ref="O16">MAX(L16:N16*(1-strike(L16:N16)))</f>
        <v>#NAME?</v>
      </c>
      <c r="P16" s="3">
        <v>230</v>
      </c>
      <c r="Q16" s="3">
        <v>255</v>
      </c>
      <c r="R16" s="3">
        <v>270</v>
      </c>
      <c r="S16" s="4" t="e">
        <f t="array" aca="1" ref="S16">MAX(P16:R16*(1-strike(P16:R16)))</f>
        <v>#NAME?</v>
      </c>
      <c r="T16" s="4" t="e">
        <f t="shared" si="0"/>
        <v>#NAME?</v>
      </c>
      <c r="U16" s="3" t="s">
        <v>58</v>
      </c>
      <c r="V16" s="3">
        <v>576.72</v>
      </c>
      <c r="W16" s="3">
        <v>12</v>
      </c>
      <c r="X16" s="5">
        <v>2012</v>
      </c>
      <c r="Y16" s="5" t="s">
        <v>29</v>
      </c>
      <c r="Z16" s="5" t="s">
        <v>30</v>
      </c>
      <c r="AA16" s="5">
        <v>1425</v>
      </c>
    </row>
    <row r="17" spans="1:27">
      <c r="A17" s="3">
        <v>17</v>
      </c>
      <c r="B17" s="3" t="s">
        <v>59</v>
      </c>
      <c r="C17" s="3">
        <v>1982</v>
      </c>
      <c r="D17" s="3" t="s">
        <v>32</v>
      </c>
      <c r="E17" s="3">
        <v>101.55</v>
      </c>
      <c r="F17" s="3">
        <v>0.60489999999999999</v>
      </c>
      <c r="G17" s="3">
        <v>18</v>
      </c>
      <c r="H17" s="3">
        <v>165</v>
      </c>
      <c r="I17" s="3">
        <v>172.5</v>
      </c>
      <c r="J17" s="3">
        <v>187.5</v>
      </c>
      <c r="K17" s="4" t="e">
        <f t="array" aca="1" ref="K17">MAX(H17:J17*(1-strike(H17:J17)))</f>
        <v>#NAME?</v>
      </c>
      <c r="L17" s="3">
        <v>180</v>
      </c>
      <c r="M17" s="3">
        <v>187.5</v>
      </c>
      <c r="N17" s="1">
        <v>192.5</v>
      </c>
      <c r="O17" s="4" t="e">
        <f t="array" aca="1" ref="O17">MAX(L17:N17*(1-strike(L17:N17)))</f>
        <v>#NAME?</v>
      </c>
      <c r="P17" s="3">
        <v>240</v>
      </c>
      <c r="Q17" s="1">
        <v>252.5</v>
      </c>
      <c r="R17" s="1">
        <v>255</v>
      </c>
      <c r="S17" s="4" t="e">
        <f t="array" aca="1" ref="S17">MAX(P17:R17*(1-strike(P17:R17)))</f>
        <v>#NAME?</v>
      </c>
      <c r="T17" s="4" t="e">
        <f t="shared" si="0"/>
        <v>#NAME?</v>
      </c>
      <c r="U17" s="3">
        <v>615</v>
      </c>
      <c r="V17" s="3">
        <v>372.01</v>
      </c>
      <c r="W17" s="3">
        <v>1</v>
      </c>
      <c r="X17" s="5">
        <v>2012</v>
      </c>
      <c r="Y17" s="5" t="s">
        <v>29</v>
      </c>
      <c r="Z17" s="5" t="s">
        <v>30</v>
      </c>
      <c r="AA17" s="5">
        <v>1509</v>
      </c>
    </row>
    <row r="18" spans="1:27">
      <c r="A18" s="3">
        <v>7</v>
      </c>
      <c r="B18" s="3" t="s">
        <v>60</v>
      </c>
      <c r="C18" s="3">
        <v>1979</v>
      </c>
      <c r="D18" s="3" t="s">
        <v>35</v>
      </c>
      <c r="E18" s="3">
        <v>99</v>
      </c>
      <c r="F18" s="3">
        <v>0.61109999999999998</v>
      </c>
      <c r="G18" s="3">
        <v>16</v>
      </c>
      <c r="H18" s="3">
        <v>260</v>
      </c>
      <c r="I18" s="3">
        <v>267.5</v>
      </c>
      <c r="J18" s="3">
        <v>270</v>
      </c>
      <c r="K18" s="4" t="e">
        <f t="array" aca="1" ref="K18">MAX(H18:J18*(1-strike(H18:J18)))</f>
        <v>#NAME?</v>
      </c>
      <c r="L18" s="3">
        <v>175</v>
      </c>
      <c r="M18" s="3">
        <v>180</v>
      </c>
      <c r="N18" s="1">
        <v>182.5</v>
      </c>
      <c r="O18" s="4" t="e">
        <f t="array" aca="1" ref="O18">MAX(L18:N18*(1-strike(L18:N18)))</f>
        <v>#NAME?</v>
      </c>
      <c r="P18" s="3">
        <v>290</v>
      </c>
      <c r="Q18" s="3">
        <v>297.5</v>
      </c>
      <c r="R18" s="3">
        <v>302.5</v>
      </c>
      <c r="S18" s="4" t="e">
        <f t="array" aca="1" ref="S18">MAX(P18:R18*(1-strike(P18:R18)))</f>
        <v>#NAME?</v>
      </c>
      <c r="T18" s="4" t="e">
        <f t="shared" si="0"/>
        <v>#NAME?</v>
      </c>
      <c r="U18" s="3">
        <v>752.5</v>
      </c>
      <c r="V18" s="3">
        <v>459.85</v>
      </c>
      <c r="W18" s="3">
        <v>4</v>
      </c>
      <c r="X18" s="5">
        <v>2012</v>
      </c>
      <c r="Y18" s="5" t="s">
        <v>29</v>
      </c>
      <c r="Z18" s="5" t="s">
        <v>30</v>
      </c>
      <c r="AA18" s="5">
        <v>1499</v>
      </c>
    </row>
    <row r="19" spans="1:27">
      <c r="A19" s="3">
        <v>11</v>
      </c>
      <c r="B19" s="3" t="s">
        <v>61</v>
      </c>
      <c r="C19" s="3">
        <v>1986</v>
      </c>
      <c r="D19" s="3" t="s">
        <v>62</v>
      </c>
      <c r="E19" s="3">
        <v>72</v>
      </c>
      <c r="F19" s="3">
        <v>0.73370000000000002</v>
      </c>
      <c r="G19" s="3">
        <v>13</v>
      </c>
      <c r="H19" s="3">
        <v>185</v>
      </c>
      <c r="I19" s="3">
        <v>202.5</v>
      </c>
      <c r="J19" s="1">
        <v>207.5</v>
      </c>
      <c r="K19" s="4" t="e">
        <f t="array" aca="1" ref="K19">MAX(H19:J19*(1-strike(H19:J19)))</f>
        <v>#NAME?</v>
      </c>
      <c r="L19" s="3">
        <v>142.5</v>
      </c>
      <c r="M19" s="3">
        <v>155</v>
      </c>
      <c r="N19" s="1">
        <v>162.5</v>
      </c>
      <c r="O19" s="4" t="e">
        <f t="array" aca="1" ref="O19">MAX(L19:N19*(1-strike(L19:N19)))</f>
        <v>#NAME?</v>
      </c>
      <c r="P19" s="3">
        <v>220</v>
      </c>
      <c r="Q19" s="3">
        <v>225</v>
      </c>
      <c r="R19" s="1">
        <v>237.5</v>
      </c>
      <c r="S19" s="4" t="e">
        <f t="array" aca="1" ref="S19">MAX(P19:R19*(1-strike(P19:R19)))</f>
        <v>#NAME?</v>
      </c>
      <c r="T19" s="4" t="e">
        <f t="shared" si="0"/>
        <v>#NAME?</v>
      </c>
      <c r="U19" s="3">
        <v>582.5</v>
      </c>
      <c r="V19" s="3">
        <v>427.38</v>
      </c>
      <c r="W19" s="3">
        <v>1</v>
      </c>
      <c r="X19" s="5">
        <v>2012</v>
      </c>
      <c r="Y19" s="5" t="s">
        <v>29</v>
      </c>
      <c r="Z19" s="5" t="s">
        <v>30</v>
      </c>
      <c r="AA19" s="5">
        <v>1453</v>
      </c>
    </row>
    <row r="20" spans="1:27">
      <c r="A20" s="3">
        <v>12</v>
      </c>
      <c r="B20" s="3" t="s">
        <v>63</v>
      </c>
      <c r="C20" s="3">
        <v>1989</v>
      </c>
      <c r="D20" s="3" t="s">
        <v>56</v>
      </c>
      <c r="E20" s="3">
        <v>73.849999999999994</v>
      </c>
      <c r="F20" s="3">
        <v>0.72040000000000004</v>
      </c>
      <c r="G20" s="3">
        <v>3</v>
      </c>
      <c r="H20" s="3">
        <v>175</v>
      </c>
      <c r="I20" s="3">
        <v>185</v>
      </c>
      <c r="J20" s="3">
        <v>187.5</v>
      </c>
      <c r="K20" s="4" t="e">
        <f t="array" aca="1" ref="K20">MAX(H20:J20*(1-strike(H20:J20)))</f>
        <v>#NAME?</v>
      </c>
      <c r="L20" s="3">
        <v>97.5</v>
      </c>
      <c r="M20" s="1">
        <v>102.5</v>
      </c>
      <c r="N20" s="3">
        <v>102.5</v>
      </c>
      <c r="O20" s="4" t="e">
        <f t="array" aca="1" ref="O20">MAX(L20:N20*(1-strike(L20:N20)))</f>
        <v>#NAME?</v>
      </c>
      <c r="P20" s="3">
        <v>220</v>
      </c>
      <c r="Q20" s="3">
        <v>227.5</v>
      </c>
      <c r="R20" s="1">
        <v>230</v>
      </c>
      <c r="S20" s="4" t="e">
        <f t="array" aca="1" ref="S20">MAX(P20:R20*(1-strike(P20:R20)))</f>
        <v>#NAME?</v>
      </c>
      <c r="T20" s="4" t="e">
        <f t="shared" si="0"/>
        <v>#NAME?</v>
      </c>
      <c r="U20" s="3">
        <v>517.5</v>
      </c>
      <c r="V20" s="3">
        <v>372.78</v>
      </c>
      <c r="W20" s="3">
        <v>1</v>
      </c>
      <c r="X20" s="5">
        <v>2012</v>
      </c>
      <c r="Y20" s="5" t="s">
        <v>29</v>
      </c>
      <c r="Z20" s="5" t="s">
        <v>30</v>
      </c>
      <c r="AA20" s="5">
        <v>1454</v>
      </c>
    </row>
    <row r="21" spans="1:27">
      <c r="A21" s="3">
        <v>18</v>
      </c>
      <c r="B21" s="3" t="s">
        <v>64</v>
      </c>
      <c r="C21" s="3">
        <v>1980</v>
      </c>
      <c r="D21" s="3" t="s">
        <v>56</v>
      </c>
      <c r="E21" s="3">
        <v>92.35</v>
      </c>
      <c r="F21" s="3">
        <v>0.63029999999999997</v>
      </c>
      <c r="G21" s="3">
        <v>16</v>
      </c>
      <c r="H21" s="3">
        <v>232.5</v>
      </c>
      <c r="I21" s="1">
        <v>242.5</v>
      </c>
      <c r="J21" s="1">
        <v>242.5</v>
      </c>
      <c r="K21" s="4" t="e">
        <f t="array" aca="1" ref="K21">MAX(H21:J21*(1-strike(H21:J21)))</f>
        <v>#NAME?</v>
      </c>
      <c r="L21" s="3">
        <v>145</v>
      </c>
      <c r="M21" s="1">
        <v>152.5</v>
      </c>
      <c r="N21" s="1">
        <v>152.5</v>
      </c>
      <c r="O21" s="4" t="e">
        <f t="array" aca="1" ref="O21">MAX(L21:N21*(1-strike(L21:N21)))</f>
        <v>#NAME?</v>
      </c>
      <c r="P21" s="3">
        <v>275</v>
      </c>
      <c r="Q21" s="1">
        <v>280</v>
      </c>
      <c r="R21" s="3"/>
      <c r="S21" s="4" t="e">
        <f t="array" aca="1" ref="S21">MAX(P21:R21*(1-strike(P21:R21)))</f>
        <v>#NAME?</v>
      </c>
      <c r="T21" s="4" t="e">
        <f t="shared" si="0"/>
        <v>#NAME?</v>
      </c>
      <c r="U21" s="3">
        <v>652.5</v>
      </c>
      <c r="V21" s="3">
        <v>411.27</v>
      </c>
      <c r="W21" s="3">
        <v>1</v>
      </c>
      <c r="X21" s="5">
        <v>2012</v>
      </c>
      <c r="Y21" s="5" t="s">
        <v>29</v>
      </c>
      <c r="Z21" s="5" t="s">
        <v>30</v>
      </c>
      <c r="AA21" s="5">
        <v>1488</v>
      </c>
    </row>
    <row r="22" spans="1:27">
      <c r="A22" s="3">
        <v>9</v>
      </c>
      <c r="B22" s="3" t="s">
        <v>65</v>
      </c>
      <c r="C22" s="3">
        <v>1976</v>
      </c>
      <c r="D22" s="3" t="s">
        <v>66</v>
      </c>
      <c r="E22" s="3">
        <v>117.15</v>
      </c>
      <c r="F22" s="3">
        <v>0.57830000000000004</v>
      </c>
      <c r="G22" s="3">
        <v>14</v>
      </c>
      <c r="H22" s="3">
        <v>250</v>
      </c>
      <c r="I22" s="1">
        <v>270</v>
      </c>
      <c r="J22" s="3">
        <v>275</v>
      </c>
      <c r="K22" s="4" t="e">
        <f t="array" aca="1" ref="K22">MAX(H22:J22*(1-strike(H22:J22)))</f>
        <v>#NAME?</v>
      </c>
      <c r="L22" s="3">
        <v>160</v>
      </c>
      <c r="M22" s="1">
        <v>175</v>
      </c>
      <c r="N22" s="1">
        <v>175</v>
      </c>
      <c r="O22" s="4" t="e">
        <f t="array" aca="1" ref="O22">MAX(L22:N22*(1-strike(L22:N22)))</f>
        <v>#NAME?</v>
      </c>
      <c r="P22" s="3">
        <v>290</v>
      </c>
      <c r="Q22" s="3">
        <v>320</v>
      </c>
      <c r="R22" s="1">
        <v>330</v>
      </c>
      <c r="S22" s="4" t="e">
        <f t="array" aca="1" ref="S22">MAX(P22:R22*(1-strike(P22:R22)))</f>
        <v>#NAME?</v>
      </c>
      <c r="T22" s="4" t="e">
        <f t="shared" si="0"/>
        <v>#NAME?</v>
      </c>
      <c r="U22" s="3">
        <v>755</v>
      </c>
      <c r="V22" s="3">
        <v>436.57</v>
      </c>
      <c r="W22" s="3">
        <v>2</v>
      </c>
      <c r="X22" s="5">
        <v>2012</v>
      </c>
      <c r="Y22" s="5" t="s">
        <v>29</v>
      </c>
      <c r="Z22" s="5" t="s">
        <v>30</v>
      </c>
      <c r="AA22" s="5">
        <v>1520</v>
      </c>
    </row>
    <row r="23" spans="1:27">
      <c r="A23" s="3">
        <v>4</v>
      </c>
      <c r="B23" s="3" t="s">
        <v>67</v>
      </c>
      <c r="C23" s="3">
        <v>1986</v>
      </c>
      <c r="D23" s="3" t="s">
        <v>39</v>
      </c>
      <c r="E23" s="3">
        <v>115.05</v>
      </c>
      <c r="F23" s="3">
        <v>0.58099999999999996</v>
      </c>
      <c r="G23" s="3">
        <v>4</v>
      </c>
      <c r="H23" s="3">
        <v>282.5</v>
      </c>
      <c r="I23" s="3">
        <v>300</v>
      </c>
      <c r="J23" s="1">
        <v>315</v>
      </c>
      <c r="K23" s="4" t="e">
        <f t="array" aca="1" ref="K23">MAX(H23:J23*(1-strike(H23:J23)))</f>
        <v>#NAME?</v>
      </c>
      <c r="L23" s="3">
        <v>192.5</v>
      </c>
      <c r="M23" s="3">
        <v>197.5</v>
      </c>
      <c r="N23" s="1">
        <v>202.5</v>
      </c>
      <c r="O23" s="4" t="e">
        <f t="array" aca="1" ref="O23">MAX(L23:N23*(1-strike(L23:N23)))</f>
        <v>#NAME?</v>
      </c>
      <c r="P23" s="1">
        <v>290</v>
      </c>
      <c r="Q23" s="3">
        <v>300</v>
      </c>
      <c r="R23" s="3">
        <v>307.5</v>
      </c>
      <c r="S23" s="4" t="e">
        <f t="array" aca="1" ref="S23">MAX(P23:R23*(1-strike(P23:R23)))</f>
        <v>#NAME?</v>
      </c>
      <c r="T23" s="4" t="e">
        <f t="shared" si="0"/>
        <v>#NAME?</v>
      </c>
      <c r="U23" s="3">
        <v>805</v>
      </c>
      <c r="V23" s="3">
        <v>467.7</v>
      </c>
      <c r="W23" s="3">
        <v>7</v>
      </c>
      <c r="X23" s="5">
        <v>2012</v>
      </c>
      <c r="Y23" s="5" t="s">
        <v>29</v>
      </c>
      <c r="Z23" s="5" t="s">
        <v>30</v>
      </c>
      <c r="AA23" s="5">
        <v>1515</v>
      </c>
    </row>
    <row r="24" spans="1:27">
      <c r="A24" s="3">
        <v>10</v>
      </c>
      <c r="B24" s="3" t="s">
        <v>68</v>
      </c>
      <c r="C24" s="3">
        <v>1977</v>
      </c>
      <c r="D24" s="3" t="s">
        <v>56</v>
      </c>
      <c r="E24" s="3">
        <v>91.95</v>
      </c>
      <c r="F24" s="3">
        <v>0.63170000000000004</v>
      </c>
      <c r="G24" s="3">
        <v>14</v>
      </c>
      <c r="H24" s="1">
        <v>250</v>
      </c>
      <c r="I24" s="3">
        <v>250</v>
      </c>
      <c r="J24" s="1">
        <v>262.5</v>
      </c>
      <c r="K24" s="4" t="e">
        <f t="array" aca="1" ref="K24">MAX(H24:J24*(1-strike(H24:J24)))</f>
        <v>#NAME?</v>
      </c>
      <c r="L24" s="3">
        <v>170</v>
      </c>
      <c r="M24" s="3">
        <v>180</v>
      </c>
      <c r="N24" s="1">
        <v>187.5</v>
      </c>
      <c r="O24" s="4" t="e">
        <f t="array" aca="1" ref="O24">MAX(L24:N24*(1-strike(L24:N24)))</f>
        <v>#NAME?</v>
      </c>
      <c r="P24" s="3">
        <v>270</v>
      </c>
      <c r="Q24" s="1">
        <v>285</v>
      </c>
      <c r="R24" s="1">
        <v>285</v>
      </c>
      <c r="S24" s="4" t="e">
        <f t="array" aca="1" ref="S24">MAX(P24:R24*(1-strike(P24:R24)))</f>
        <v>#NAME?</v>
      </c>
      <c r="T24" s="4" t="e">
        <f t="shared" si="0"/>
        <v>#NAME?</v>
      </c>
      <c r="U24" s="3">
        <v>700</v>
      </c>
      <c r="V24" s="3">
        <v>442.15</v>
      </c>
      <c r="W24" s="3">
        <v>1</v>
      </c>
      <c r="X24" s="5">
        <v>2012</v>
      </c>
      <c r="Y24" s="5" t="s">
        <v>29</v>
      </c>
      <c r="Z24" s="5" t="s">
        <v>30</v>
      </c>
      <c r="AA24" s="5">
        <v>1480</v>
      </c>
    </row>
    <row r="25" spans="1:27">
      <c r="A25" s="3">
        <v>5</v>
      </c>
      <c r="B25" s="3" t="s">
        <v>69</v>
      </c>
      <c r="C25" s="3">
        <v>1983</v>
      </c>
      <c r="D25" s="3" t="s">
        <v>45</v>
      </c>
      <c r="E25" s="3">
        <v>104.4</v>
      </c>
      <c r="F25" s="3">
        <v>0.5988</v>
      </c>
      <c r="G25" s="3">
        <v>10</v>
      </c>
      <c r="H25" s="3">
        <v>270</v>
      </c>
      <c r="I25" s="3">
        <v>290</v>
      </c>
      <c r="J25" s="1">
        <v>300</v>
      </c>
      <c r="K25" s="4" t="e">
        <f t="array" aca="1" ref="K25">MAX(H25:J25*(1-strike(H25:J25)))</f>
        <v>#NAME?</v>
      </c>
      <c r="L25" s="3">
        <v>170</v>
      </c>
      <c r="M25" s="3">
        <v>177.5</v>
      </c>
      <c r="N25" s="3">
        <v>180</v>
      </c>
      <c r="O25" s="4" t="e">
        <f t="array" aca="1" ref="O25">MAX(L25:N25*(1-strike(L25:N25)))</f>
        <v>#NAME?</v>
      </c>
      <c r="P25" s="3">
        <v>290</v>
      </c>
      <c r="Q25" s="3">
        <v>310</v>
      </c>
      <c r="R25" s="3">
        <v>325</v>
      </c>
      <c r="S25" s="4" t="e">
        <f t="array" aca="1" ref="S25">MAX(P25:R25*(1-strike(P25:R25)))</f>
        <v>#NAME?</v>
      </c>
      <c r="T25" s="4" t="e">
        <f t="shared" si="0"/>
        <v>#NAME?</v>
      </c>
      <c r="U25" s="3">
        <v>795</v>
      </c>
      <c r="V25" s="3">
        <v>476.04</v>
      </c>
      <c r="W25" s="3">
        <v>6</v>
      </c>
      <c r="X25" s="5">
        <v>2012</v>
      </c>
      <c r="Y25" s="5" t="s">
        <v>29</v>
      </c>
      <c r="Z25" s="5" t="s">
        <v>30</v>
      </c>
      <c r="AA25" s="5">
        <v>1497</v>
      </c>
    </row>
    <row r="26" spans="1:27">
      <c r="A26" s="3">
        <v>11</v>
      </c>
      <c r="B26" s="3" t="s">
        <v>70</v>
      </c>
      <c r="C26" s="3">
        <v>1979</v>
      </c>
      <c r="D26" s="3" t="s">
        <v>51</v>
      </c>
      <c r="E26" s="3">
        <v>81.2</v>
      </c>
      <c r="F26" s="3">
        <v>0.6764</v>
      </c>
      <c r="G26" s="3">
        <v>2</v>
      </c>
      <c r="H26" s="1">
        <v>175</v>
      </c>
      <c r="I26" s="3">
        <v>175</v>
      </c>
      <c r="J26" s="3">
        <v>177.5</v>
      </c>
      <c r="K26" s="4" t="e">
        <f t="array" aca="1" ref="K26">MAX(H26:J26*(1-strike(H26:J26)))</f>
        <v>#NAME?</v>
      </c>
      <c r="L26" s="3">
        <v>130</v>
      </c>
      <c r="M26" s="3">
        <v>137.5</v>
      </c>
      <c r="N26" s="1">
        <v>142.5</v>
      </c>
      <c r="O26" s="4" t="e">
        <f t="array" aca="1" ref="O26">MAX(L26:N26*(1-strike(L26:N26)))</f>
        <v>#NAME?</v>
      </c>
      <c r="P26" s="3">
        <v>250</v>
      </c>
      <c r="Q26" s="1">
        <v>265</v>
      </c>
      <c r="R26" s="1">
        <v>265</v>
      </c>
      <c r="S26" s="4" t="e">
        <f t="array" aca="1" ref="S26">MAX(P26:R26*(1-strike(P26:R26)))</f>
        <v>#NAME?</v>
      </c>
      <c r="T26" s="4" t="e">
        <f t="shared" si="0"/>
        <v>#NAME?</v>
      </c>
      <c r="U26" s="3">
        <v>565</v>
      </c>
      <c r="V26" s="3">
        <v>382.16</v>
      </c>
      <c r="W26" s="3">
        <v>1</v>
      </c>
      <c r="X26" s="5">
        <v>2012</v>
      </c>
      <c r="Y26" s="5" t="s">
        <v>29</v>
      </c>
      <c r="Z26" s="5" t="s">
        <v>30</v>
      </c>
      <c r="AA26" s="5">
        <v>1468</v>
      </c>
    </row>
    <row r="27" spans="1:27">
      <c r="A27" s="3">
        <v>3</v>
      </c>
      <c r="B27" s="3" t="s">
        <v>71</v>
      </c>
      <c r="C27" s="3">
        <v>1978</v>
      </c>
      <c r="D27" s="3" t="s">
        <v>72</v>
      </c>
      <c r="E27" s="3">
        <v>91.6</v>
      </c>
      <c r="F27" s="3">
        <v>0.63280000000000003</v>
      </c>
      <c r="G27" s="3">
        <v>9</v>
      </c>
      <c r="H27" s="1">
        <v>260</v>
      </c>
      <c r="I27" s="3">
        <v>260</v>
      </c>
      <c r="J27" s="1">
        <v>265</v>
      </c>
      <c r="K27" s="4" t="e">
        <f t="array" aca="1" ref="K27">MAX(H27:J27*(1-strike(H27:J27)))</f>
        <v>#NAME?</v>
      </c>
      <c r="L27" s="3">
        <v>175</v>
      </c>
      <c r="M27" s="3">
        <v>180</v>
      </c>
      <c r="N27" s="1">
        <v>190</v>
      </c>
      <c r="O27" s="4" t="e">
        <f t="array" aca="1" ref="O27">MAX(L27:N27*(1-strike(L27:N27)))</f>
        <v>#NAME?</v>
      </c>
      <c r="P27" s="3">
        <v>300</v>
      </c>
      <c r="Q27" s="3">
        <v>305</v>
      </c>
      <c r="R27" s="1">
        <v>310</v>
      </c>
      <c r="S27" s="4" t="e">
        <f t="array" aca="1" ref="S27">MAX(P27:R27*(1-strike(P27:R27)))</f>
        <v>#NAME?</v>
      </c>
      <c r="T27" s="4" t="e">
        <f t="shared" si="0"/>
        <v>#NAME?</v>
      </c>
      <c r="U27" s="3">
        <v>745</v>
      </c>
      <c r="V27" s="3">
        <v>471.43</v>
      </c>
      <c r="W27" s="3">
        <v>8</v>
      </c>
      <c r="X27" s="5">
        <v>2012</v>
      </c>
      <c r="Y27" s="5" t="s">
        <v>29</v>
      </c>
      <c r="Z27" s="5" t="s">
        <v>30</v>
      </c>
      <c r="AA27" s="5">
        <v>1473</v>
      </c>
    </row>
    <row r="28" spans="1:27">
      <c r="A28" s="3">
        <v>1</v>
      </c>
      <c r="B28" s="3" t="s">
        <v>73</v>
      </c>
      <c r="C28" s="3">
        <v>1982</v>
      </c>
      <c r="D28" s="3" t="s">
        <v>74</v>
      </c>
      <c r="E28" s="3">
        <v>64</v>
      </c>
      <c r="F28" s="3">
        <v>0.80569999999999997</v>
      </c>
      <c r="G28" s="3">
        <v>15</v>
      </c>
      <c r="H28" s="3">
        <v>205</v>
      </c>
      <c r="I28" s="1">
        <v>215</v>
      </c>
      <c r="J28" s="3">
        <v>220</v>
      </c>
      <c r="K28" s="4" t="e">
        <f t="array" aca="1" ref="K28">MAX(H28:J28*(1-strike(H28:J28)))</f>
        <v>#NAME?</v>
      </c>
      <c r="L28" s="3">
        <v>150</v>
      </c>
      <c r="M28" s="3">
        <v>160</v>
      </c>
      <c r="N28" s="1">
        <v>165.5</v>
      </c>
      <c r="O28" s="4" t="e">
        <f t="array" aca="1" ref="O28">MAX(L28:N28*(1-strike(L28:N28)))</f>
        <v>#NAME?</v>
      </c>
      <c r="P28" s="3">
        <v>245</v>
      </c>
      <c r="Q28" s="3">
        <v>260</v>
      </c>
      <c r="R28" s="1">
        <v>270.5</v>
      </c>
      <c r="S28" s="4" t="e">
        <f t="array" aca="1" ref="S28">MAX(P28:R28*(1-strike(P28:R28)))</f>
        <v>#NAME?</v>
      </c>
      <c r="T28" s="4" t="e">
        <f t="shared" si="0"/>
        <v>#NAME?</v>
      </c>
      <c r="U28" s="3">
        <v>640</v>
      </c>
      <c r="V28" s="3">
        <v>515.64</v>
      </c>
      <c r="W28" s="3">
        <v>12</v>
      </c>
      <c r="X28" s="5">
        <v>2012</v>
      </c>
      <c r="Y28" s="5" t="s">
        <v>29</v>
      </c>
      <c r="Z28" s="5" t="s">
        <v>30</v>
      </c>
      <c r="AA28" s="5">
        <v>1433</v>
      </c>
    </row>
    <row r="29" spans="1:27" ht="15" customHeight="1">
      <c r="A29" s="3">
        <v>7</v>
      </c>
      <c r="B29" s="3" t="s">
        <v>75</v>
      </c>
      <c r="C29" s="3">
        <v>1989</v>
      </c>
      <c r="D29" s="3" t="s">
        <v>74</v>
      </c>
      <c r="E29" s="3">
        <v>71.5</v>
      </c>
      <c r="F29" s="3">
        <v>0.73750000000000004</v>
      </c>
      <c r="G29" s="3">
        <v>8</v>
      </c>
      <c r="H29" s="3">
        <v>180</v>
      </c>
      <c r="I29" s="3">
        <v>190</v>
      </c>
      <c r="J29" s="3">
        <v>200</v>
      </c>
      <c r="K29" s="4" t="e">
        <f t="array" aca="1" ref="K29">MAX(H29:J29*(1-strike(H29:J29)))</f>
        <v>#NAME?</v>
      </c>
      <c r="L29" s="3">
        <v>110</v>
      </c>
      <c r="M29" s="3">
        <v>120</v>
      </c>
      <c r="N29" s="1">
        <v>122.5</v>
      </c>
      <c r="O29" s="4" t="e">
        <f t="array" aca="1" ref="O29">MAX(L29:N29*(1-strike(L29:N29)))</f>
        <v>#NAME?</v>
      </c>
      <c r="P29" s="3">
        <v>260</v>
      </c>
      <c r="Q29" s="1">
        <v>270</v>
      </c>
      <c r="R29" s="3">
        <v>272.5</v>
      </c>
      <c r="S29" s="4" t="e">
        <f t="array" aca="1" ref="S29">MAX(P29:R29*(1-strike(P29:R29)))</f>
        <v>#NAME?</v>
      </c>
      <c r="T29" s="4" t="e">
        <f t="shared" si="0"/>
        <v>#NAME?</v>
      </c>
      <c r="U29" s="3">
        <v>592.5</v>
      </c>
      <c r="V29" s="3">
        <v>436.96</v>
      </c>
      <c r="W29" s="3">
        <v>4</v>
      </c>
      <c r="X29" s="5">
        <v>2012</v>
      </c>
      <c r="Y29" s="5" t="s">
        <v>29</v>
      </c>
      <c r="Z29" s="5" t="s">
        <v>30</v>
      </c>
      <c r="AA29" s="5">
        <v>1449</v>
      </c>
    </row>
    <row r="30" spans="1:27">
      <c r="A30" s="3">
        <v>13</v>
      </c>
      <c r="B30" s="3" t="s">
        <v>76</v>
      </c>
      <c r="C30" s="3">
        <v>1991</v>
      </c>
      <c r="D30" s="3" t="s">
        <v>77</v>
      </c>
      <c r="E30" s="3">
        <v>66.45</v>
      </c>
      <c r="F30" s="3">
        <v>0.78090000000000004</v>
      </c>
      <c r="G30" s="3">
        <v>6</v>
      </c>
      <c r="H30" s="3">
        <v>170</v>
      </c>
      <c r="I30" s="1">
        <v>180</v>
      </c>
      <c r="J30" s="1">
        <v>187.5</v>
      </c>
      <c r="K30" s="4" t="e">
        <f t="array" aca="1" ref="K30">MAX(H30:J30*(1-strike(H30:J30)))</f>
        <v>#NAME?</v>
      </c>
      <c r="L30" s="3">
        <v>110</v>
      </c>
      <c r="M30" s="3">
        <v>115</v>
      </c>
      <c r="N30" s="3"/>
      <c r="O30" s="4" t="e">
        <f t="array" aca="1" ref="O30">MAX(L30:N30*(1-strike(L30:N30)))</f>
        <v>#NAME?</v>
      </c>
      <c r="P30" s="3">
        <v>215</v>
      </c>
      <c r="Q30" s="1">
        <v>230</v>
      </c>
      <c r="R30" s="1">
        <v>230</v>
      </c>
      <c r="S30" s="4" t="e">
        <f t="array" aca="1" ref="S30">MAX(P30:R30*(1-strike(P30:R30)))</f>
        <v>#NAME?</v>
      </c>
      <c r="T30" s="4" t="e">
        <f t="shared" si="0"/>
        <v>#NAME?</v>
      </c>
      <c r="U30" s="3">
        <v>500</v>
      </c>
      <c r="V30" s="3">
        <v>390.42</v>
      </c>
      <c r="W30" s="3">
        <v>1</v>
      </c>
      <c r="X30" s="5">
        <v>2012</v>
      </c>
      <c r="Y30" s="5" t="s">
        <v>29</v>
      </c>
      <c r="Z30" s="5" t="s">
        <v>30</v>
      </c>
      <c r="AA30" s="5">
        <v>1455</v>
      </c>
    </row>
    <row r="31" spans="1:27">
      <c r="A31" s="3">
        <v>15</v>
      </c>
      <c r="B31" s="3" t="s">
        <v>78</v>
      </c>
      <c r="C31" s="3">
        <v>1989</v>
      </c>
      <c r="D31" s="3" t="s">
        <v>45</v>
      </c>
      <c r="E31" s="3">
        <v>90.8</v>
      </c>
      <c r="F31" s="3">
        <v>0.63560000000000005</v>
      </c>
      <c r="G31" s="3">
        <v>1</v>
      </c>
      <c r="H31" s="3">
        <v>200</v>
      </c>
      <c r="I31" s="3">
        <v>210</v>
      </c>
      <c r="J31" s="3">
        <v>220</v>
      </c>
      <c r="K31" s="4" t="e">
        <f t="array" aca="1" ref="K31">MAX(H31:J31*(1-strike(H31:J31)))</f>
        <v>#NAME?</v>
      </c>
      <c r="L31" s="3">
        <v>185</v>
      </c>
      <c r="M31" s="1">
        <v>195</v>
      </c>
      <c r="N31" s="1">
        <v>195</v>
      </c>
      <c r="O31" s="4" t="e">
        <f t="array" aca="1" ref="O31">MAX(L31:N31*(1-strike(L31:N31)))</f>
        <v>#NAME?</v>
      </c>
      <c r="P31" s="3">
        <v>240</v>
      </c>
      <c r="Q31" s="3">
        <v>260</v>
      </c>
      <c r="R31" s="1">
        <v>265</v>
      </c>
      <c r="S31" s="4" t="e">
        <f t="array" aca="1" ref="S31">MAX(P31:R31*(1-strike(P31:R31)))</f>
        <v>#NAME?</v>
      </c>
      <c r="T31" s="4" t="e">
        <f t="shared" si="0"/>
        <v>#NAME?</v>
      </c>
      <c r="U31" s="3">
        <v>665</v>
      </c>
      <c r="V31" s="3">
        <v>422.67</v>
      </c>
      <c r="W31" s="3">
        <v>1</v>
      </c>
      <c r="X31" s="5">
        <v>2012</v>
      </c>
      <c r="Y31" s="5" t="s">
        <v>29</v>
      </c>
      <c r="Z31" s="5" t="s">
        <v>30</v>
      </c>
      <c r="AA31" s="5">
        <v>1485</v>
      </c>
    </row>
    <row r="32" spans="1:27">
      <c r="A32" s="3">
        <v>12</v>
      </c>
      <c r="B32" s="3" t="s">
        <v>79</v>
      </c>
      <c r="C32" s="3">
        <v>1982</v>
      </c>
      <c r="D32" s="3" t="s">
        <v>80</v>
      </c>
      <c r="E32" s="3">
        <v>92.4</v>
      </c>
      <c r="F32" s="3">
        <v>0.63009999999999999</v>
      </c>
      <c r="G32" s="3">
        <v>6</v>
      </c>
      <c r="H32" s="3">
        <v>232.5</v>
      </c>
      <c r="I32" s="1">
        <v>240</v>
      </c>
      <c r="J32" s="3">
        <v>240</v>
      </c>
      <c r="K32" s="4" t="e">
        <f t="array" aca="1" ref="K32">MAX(H32:J32*(1-strike(H32:J32)))</f>
        <v>#NAME?</v>
      </c>
      <c r="L32" s="3">
        <v>177.5</v>
      </c>
      <c r="M32" s="3">
        <v>182.5</v>
      </c>
      <c r="N32" s="1">
        <v>185</v>
      </c>
      <c r="O32" s="4" t="e">
        <f t="array" aca="1" ref="O32">MAX(L32:N32*(1-strike(L32:N32)))</f>
        <v>#NAME?</v>
      </c>
      <c r="P32" s="3">
        <v>270</v>
      </c>
      <c r="Q32" s="1">
        <v>280</v>
      </c>
      <c r="R32" s="1">
        <v>280</v>
      </c>
      <c r="S32" s="4" t="e">
        <f t="array" aca="1" ref="S32">MAX(P32:R32*(1-strike(P32:R32)))</f>
        <v>#NAME?</v>
      </c>
      <c r="T32" s="4" t="e">
        <f t="shared" si="0"/>
        <v>#NAME?</v>
      </c>
      <c r="U32" s="3">
        <v>692.5</v>
      </c>
      <c r="V32" s="3">
        <v>436.34</v>
      </c>
      <c r="W32" s="3">
        <v>1</v>
      </c>
      <c r="X32" s="5">
        <v>2012</v>
      </c>
      <c r="Y32" s="5" t="s">
        <v>29</v>
      </c>
      <c r="Z32" s="5" t="s">
        <v>30</v>
      </c>
      <c r="AA32" s="5">
        <v>1482</v>
      </c>
    </row>
    <row r="33" spans="1:27">
      <c r="A33" s="3">
        <v>2</v>
      </c>
      <c r="B33" s="3" t="s">
        <v>81</v>
      </c>
      <c r="C33" s="3">
        <v>1981</v>
      </c>
      <c r="D33" s="3" t="s">
        <v>77</v>
      </c>
      <c r="E33" s="3">
        <v>66</v>
      </c>
      <c r="F33" s="3">
        <v>0.78520000000000001</v>
      </c>
      <c r="G33" s="3">
        <v>16</v>
      </c>
      <c r="H33" s="3">
        <v>210</v>
      </c>
      <c r="I33" s="3">
        <v>217.5</v>
      </c>
      <c r="J33" s="3">
        <v>222.5</v>
      </c>
      <c r="K33" s="4" t="e">
        <f t="array" aca="1" ref="K33">MAX(H33:J33*(1-strike(H33:J33)))</f>
        <v>#NAME?</v>
      </c>
      <c r="L33" s="3">
        <v>145</v>
      </c>
      <c r="M33" s="3">
        <v>152.5</v>
      </c>
      <c r="N33" s="3">
        <v>160</v>
      </c>
      <c r="O33" s="4" t="e">
        <f t="array" aca="1" ref="O33">MAX(L33:N33*(1-strike(L33:N33)))</f>
        <v>#NAME?</v>
      </c>
      <c r="P33" s="1">
        <v>235</v>
      </c>
      <c r="Q33" s="3">
        <v>235</v>
      </c>
      <c r="R33" s="1">
        <v>245</v>
      </c>
      <c r="S33" s="4" t="e">
        <f t="array" aca="1" ref="S33">MAX(P33:R33*(1-strike(P33:R33)))</f>
        <v>#NAME?</v>
      </c>
      <c r="T33" s="4" t="e">
        <f t="shared" si="0"/>
        <v>#NAME?</v>
      </c>
      <c r="U33" s="3">
        <v>617.5</v>
      </c>
      <c r="V33" s="3">
        <v>484.86</v>
      </c>
      <c r="W33" s="3">
        <v>9</v>
      </c>
      <c r="X33" s="5">
        <v>2012</v>
      </c>
      <c r="Y33" s="5" t="s">
        <v>29</v>
      </c>
      <c r="Z33" s="5" t="s">
        <v>30</v>
      </c>
      <c r="AA33" s="5">
        <v>1434</v>
      </c>
    </row>
    <row r="34" spans="1:27">
      <c r="A34" s="3">
        <v>4</v>
      </c>
      <c r="B34" s="3" t="s">
        <v>82</v>
      </c>
      <c r="C34" s="3">
        <v>1984</v>
      </c>
      <c r="D34" s="3" t="s">
        <v>83</v>
      </c>
      <c r="E34" s="3">
        <v>103.8</v>
      </c>
      <c r="F34" s="3">
        <v>0.6</v>
      </c>
      <c r="G34" s="3">
        <v>8</v>
      </c>
      <c r="H34" s="3">
        <v>260</v>
      </c>
      <c r="I34" s="3">
        <v>275</v>
      </c>
      <c r="J34" s="3">
        <v>282.5</v>
      </c>
      <c r="K34" s="4" t="e">
        <f t="array" aca="1" ref="K34">MAX(H34:J34*(1-strike(H34:J34)))</f>
        <v>#NAME?</v>
      </c>
      <c r="L34" s="3">
        <v>170</v>
      </c>
      <c r="M34" s="3">
        <v>180</v>
      </c>
      <c r="N34" s="3">
        <v>187.5</v>
      </c>
      <c r="O34" s="4" t="e">
        <f t="array" aca="1" ref="O34">MAX(L34:N34*(1-strike(L34:N34)))</f>
        <v>#NAME?</v>
      </c>
      <c r="P34" s="3">
        <v>325</v>
      </c>
      <c r="Q34" s="3">
        <v>340</v>
      </c>
      <c r="R34" s="1">
        <v>360</v>
      </c>
      <c r="S34" s="4" t="e">
        <f t="array" aca="1" ref="S34">MAX(P34:R34*(1-strike(P34:R34)))</f>
        <v>#NAME?</v>
      </c>
      <c r="T34" s="4" t="e">
        <f t="shared" si="0"/>
        <v>#NAME?</v>
      </c>
      <c r="U34" s="3">
        <v>810</v>
      </c>
      <c r="V34" s="3">
        <v>486</v>
      </c>
      <c r="W34" s="3">
        <v>7</v>
      </c>
      <c r="X34" s="5">
        <v>2012</v>
      </c>
      <c r="Y34" s="5" t="s">
        <v>29</v>
      </c>
      <c r="Z34" s="5" t="s">
        <v>30</v>
      </c>
      <c r="AA34" s="5">
        <v>1496</v>
      </c>
    </row>
    <row r="35" spans="1:27">
      <c r="A35" s="3">
        <v>6</v>
      </c>
      <c r="B35" s="3" t="s">
        <v>84</v>
      </c>
      <c r="C35" s="3">
        <v>1987</v>
      </c>
      <c r="D35" s="3" t="s">
        <v>85</v>
      </c>
      <c r="E35" s="3">
        <v>73.55</v>
      </c>
      <c r="F35" s="3">
        <v>0.72250000000000003</v>
      </c>
      <c r="G35" s="3">
        <v>9</v>
      </c>
      <c r="H35" s="3">
        <v>207.5</v>
      </c>
      <c r="I35" s="1">
        <v>215</v>
      </c>
      <c r="J35" s="3">
        <v>220</v>
      </c>
      <c r="K35" s="4" t="e">
        <f t="array" aca="1" ref="K35">MAX(H35:J35*(1-strike(H35:J35)))</f>
        <v>#NAME?</v>
      </c>
      <c r="L35" s="3">
        <v>150</v>
      </c>
      <c r="M35" s="1">
        <v>155</v>
      </c>
      <c r="N35" s="1">
        <v>155</v>
      </c>
      <c r="O35" s="4" t="e">
        <f t="array" aca="1" ref="O35">MAX(L35:N35*(1-strike(L35:N35)))</f>
        <v>#NAME?</v>
      </c>
      <c r="P35" s="3">
        <v>240</v>
      </c>
      <c r="Q35" s="1">
        <v>250</v>
      </c>
      <c r="R35" s="1">
        <v>250</v>
      </c>
      <c r="S35" s="4" t="e">
        <f t="array" aca="1" ref="S35">MAX(P35:R35*(1-strike(P35:R35)))</f>
        <v>#NAME?</v>
      </c>
      <c r="T35" s="4" t="e">
        <f t="shared" si="0"/>
        <v>#NAME?</v>
      </c>
      <c r="U35" s="3">
        <v>610</v>
      </c>
      <c r="V35" s="3">
        <v>440.69</v>
      </c>
      <c r="W35" s="3">
        <v>5</v>
      </c>
      <c r="X35" s="5">
        <v>2012</v>
      </c>
      <c r="Y35" s="5" t="s">
        <v>29</v>
      </c>
      <c r="Z35" s="5" t="s">
        <v>30</v>
      </c>
      <c r="AA35" s="5">
        <v>1448</v>
      </c>
    </row>
    <row r="36" spans="1:27">
      <c r="A36" s="3">
        <v>8</v>
      </c>
      <c r="B36" s="3" t="s">
        <v>86</v>
      </c>
      <c r="C36" s="3">
        <v>1981</v>
      </c>
      <c r="D36" s="3" t="s">
        <v>51</v>
      </c>
      <c r="E36" s="3">
        <v>117.3</v>
      </c>
      <c r="F36" s="3">
        <v>0.57809999999999995</v>
      </c>
      <c r="G36" s="3">
        <v>2</v>
      </c>
      <c r="H36" s="3">
        <v>250</v>
      </c>
      <c r="I36" s="3">
        <v>260</v>
      </c>
      <c r="J36" s="3">
        <v>265</v>
      </c>
      <c r="K36" s="4" t="e">
        <f t="array" aca="1" ref="K36">MAX(H36:J36*(1-strike(H36:J36)))</f>
        <v>#NAME?</v>
      </c>
      <c r="L36" s="3">
        <v>175</v>
      </c>
      <c r="M36" s="3">
        <v>182.5</v>
      </c>
      <c r="N36" s="3">
        <v>187.5</v>
      </c>
      <c r="O36" s="4" t="e">
        <f t="array" aca="1" ref="O36">MAX(L36:N36*(1-strike(L36:N36)))</f>
        <v>#NAME?</v>
      </c>
      <c r="P36" s="3">
        <v>285</v>
      </c>
      <c r="Q36" s="3">
        <v>295</v>
      </c>
      <c r="R36" s="3">
        <v>305</v>
      </c>
      <c r="S36" s="4" t="e">
        <f t="array" aca="1" ref="S36">MAX(P36:R36*(1-strike(P36:R36)))</f>
        <v>#NAME?</v>
      </c>
      <c r="T36" s="4" t="e">
        <f t="shared" si="0"/>
        <v>#NAME?</v>
      </c>
      <c r="U36" s="3">
        <v>757.5</v>
      </c>
      <c r="V36" s="3">
        <v>437.91</v>
      </c>
      <c r="W36" s="3">
        <v>3</v>
      </c>
      <c r="X36" s="5">
        <v>2012</v>
      </c>
      <c r="Y36" s="5" t="s">
        <v>29</v>
      </c>
      <c r="Z36" s="5" t="s">
        <v>30</v>
      </c>
      <c r="AA36" s="5">
        <v>1519</v>
      </c>
    </row>
    <row r="37" spans="1:27">
      <c r="A37" s="3">
        <v>8</v>
      </c>
      <c r="B37" s="3" t="s">
        <v>87</v>
      </c>
      <c r="C37" s="3">
        <v>1987</v>
      </c>
      <c r="D37" s="3" t="s">
        <v>85</v>
      </c>
      <c r="E37" s="3">
        <v>65.95</v>
      </c>
      <c r="F37" s="3">
        <v>0.78569999999999995</v>
      </c>
      <c r="G37" s="3">
        <v>10</v>
      </c>
      <c r="H37" s="3">
        <v>140</v>
      </c>
      <c r="I37" s="3">
        <v>152.5</v>
      </c>
      <c r="J37" s="3">
        <v>160</v>
      </c>
      <c r="K37" s="4" t="e">
        <f t="array" aca="1" ref="K37">MAX(H37:J37*(1-strike(H37:J37)))</f>
        <v>#NAME?</v>
      </c>
      <c r="L37" s="3">
        <v>125</v>
      </c>
      <c r="M37" s="3">
        <v>135</v>
      </c>
      <c r="N37" s="1">
        <v>142.5</v>
      </c>
      <c r="O37" s="4" t="e">
        <f t="array" aca="1" ref="O37">MAX(L37:N37*(1-strike(L37:N37)))</f>
        <v>#NAME?</v>
      </c>
      <c r="P37" s="1">
        <v>175</v>
      </c>
      <c r="Q37" s="3">
        <v>180</v>
      </c>
      <c r="R37" s="3">
        <v>200</v>
      </c>
      <c r="S37" s="4" t="e">
        <f t="array" aca="1" ref="S37">MAX(P37:R37*(1-strike(P37:R37)))</f>
        <v>#NAME?</v>
      </c>
      <c r="T37" s="4" t="e">
        <f t="shared" si="0"/>
        <v>#NAME?</v>
      </c>
      <c r="U37" s="3">
        <v>495</v>
      </c>
      <c r="V37" s="3">
        <v>388.92</v>
      </c>
      <c r="W37" s="3">
        <v>3</v>
      </c>
      <c r="X37" s="5">
        <v>2012</v>
      </c>
      <c r="Y37" s="5" t="s">
        <v>29</v>
      </c>
      <c r="Z37" s="5" t="s">
        <v>30</v>
      </c>
      <c r="AA37" s="5">
        <v>1440</v>
      </c>
    </row>
    <row r="38" spans="1:27">
      <c r="A38" s="3">
        <v>5</v>
      </c>
      <c r="B38" s="3" t="s">
        <v>88</v>
      </c>
      <c r="C38" s="3">
        <v>1967</v>
      </c>
      <c r="D38" s="3" t="s">
        <v>35</v>
      </c>
      <c r="E38" s="3">
        <v>65.8</v>
      </c>
      <c r="F38" s="3">
        <v>0.78720000000000001</v>
      </c>
      <c r="G38" s="3">
        <v>1</v>
      </c>
      <c r="H38" s="3">
        <v>165</v>
      </c>
      <c r="I38" s="3">
        <v>175</v>
      </c>
      <c r="J38" s="3">
        <v>180</v>
      </c>
      <c r="K38" s="4" t="e">
        <f t="array" aca="1" ref="K38">MAX(H38:J38*(1-strike(H38:J38)))</f>
        <v>#NAME?</v>
      </c>
      <c r="L38" s="3">
        <v>120</v>
      </c>
      <c r="M38" s="3">
        <v>127.5</v>
      </c>
      <c r="N38" s="3">
        <v>130</v>
      </c>
      <c r="O38" s="4" t="e">
        <f t="array" aca="1" ref="O38">MAX(L38:N38*(1-strike(L38:N38)))</f>
        <v>#NAME?</v>
      </c>
      <c r="P38" s="3">
        <v>220</v>
      </c>
      <c r="Q38" s="3">
        <v>232.5</v>
      </c>
      <c r="R38" s="1">
        <v>235</v>
      </c>
      <c r="S38" s="4" t="e">
        <f t="array" aca="1" ref="S38">MAX(P38:R38*(1-strike(P38:R38)))</f>
        <v>#NAME?</v>
      </c>
      <c r="T38" s="4" t="e">
        <f t="shared" si="0"/>
        <v>#NAME?</v>
      </c>
      <c r="U38" s="3">
        <v>542.5</v>
      </c>
      <c r="V38" s="3">
        <v>427.05</v>
      </c>
      <c r="W38" s="3">
        <v>6</v>
      </c>
      <c r="X38" s="5">
        <v>2012</v>
      </c>
      <c r="Y38" s="5" t="s">
        <v>29</v>
      </c>
      <c r="Z38" s="5" t="s">
        <v>30</v>
      </c>
      <c r="AA38" s="5">
        <v>1437</v>
      </c>
    </row>
    <row r="39" spans="1:27" ht="15" customHeight="1">
      <c r="A39" s="3">
        <v>14</v>
      </c>
      <c r="B39" s="3" t="s">
        <v>89</v>
      </c>
      <c r="C39" s="3">
        <v>1966</v>
      </c>
      <c r="D39" s="3" t="s">
        <v>56</v>
      </c>
      <c r="E39" s="3">
        <v>103.75</v>
      </c>
      <c r="F39" s="3">
        <v>0.60009999999999997</v>
      </c>
      <c r="G39" s="3">
        <v>1</v>
      </c>
      <c r="H39" s="3">
        <v>240</v>
      </c>
      <c r="I39" s="3">
        <v>250</v>
      </c>
      <c r="J39" s="3">
        <v>255</v>
      </c>
      <c r="K39" s="4" t="e">
        <f t="array" aca="1" ref="K39">MAX(H39:J39*(1-strike(H39:J39)))</f>
        <v>#NAME?</v>
      </c>
      <c r="L39" s="3">
        <v>170</v>
      </c>
      <c r="M39" s="3">
        <v>180</v>
      </c>
      <c r="N39" s="3">
        <v>185</v>
      </c>
      <c r="O39" s="4" t="e">
        <f t="array" aca="1" ref="O39">MAX(L39:N39*(1-strike(L39:N39)))</f>
        <v>#NAME?</v>
      </c>
      <c r="P39" s="3">
        <v>260</v>
      </c>
      <c r="Q39" s="1">
        <v>270</v>
      </c>
      <c r="R39" s="3">
        <v>270</v>
      </c>
      <c r="S39" s="4" t="e">
        <f t="array" aca="1" ref="S39">MAX(P39:R39*(1-strike(P39:R39)))</f>
        <v>#NAME?</v>
      </c>
      <c r="T39" s="4" t="e">
        <f t="shared" si="0"/>
        <v>#NAME?</v>
      </c>
      <c r="U39" s="3">
        <v>710</v>
      </c>
      <c r="V39" s="3">
        <v>426.07</v>
      </c>
      <c r="W39" s="3">
        <v>1</v>
      </c>
      <c r="X39" s="5">
        <v>2012</v>
      </c>
      <c r="Y39" s="5" t="s">
        <v>29</v>
      </c>
      <c r="Z39" s="5" t="s">
        <v>30</v>
      </c>
      <c r="AA39" s="5">
        <v>1506</v>
      </c>
    </row>
    <row r="40" spans="1:27">
      <c r="A40" s="3">
        <v>2</v>
      </c>
      <c r="B40" s="3" t="s">
        <v>90</v>
      </c>
      <c r="C40" s="3">
        <v>1980</v>
      </c>
      <c r="D40" s="3" t="s">
        <v>28</v>
      </c>
      <c r="E40" s="3">
        <v>92.25</v>
      </c>
      <c r="F40" s="3">
        <v>0.63060000000000005</v>
      </c>
      <c r="G40" s="3">
        <v>11</v>
      </c>
      <c r="H40" s="3">
        <v>240</v>
      </c>
      <c r="I40" s="3">
        <v>252.5</v>
      </c>
      <c r="J40" s="1">
        <v>262.5</v>
      </c>
      <c r="K40" s="4" t="e">
        <f t="array" aca="1" ref="K40">MAX(H40:J40*(1-strike(H40:J40)))</f>
        <v>#NAME?</v>
      </c>
      <c r="L40" s="3">
        <v>190</v>
      </c>
      <c r="M40" s="3">
        <v>200</v>
      </c>
      <c r="N40" s="3">
        <v>205</v>
      </c>
      <c r="O40" s="4" t="e">
        <f t="array" aca="1" ref="O40">MAX(L40:N40*(1-strike(L40:N40)))</f>
        <v>#NAME?</v>
      </c>
      <c r="P40" s="3">
        <v>285</v>
      </c>
      <c r="Q40" s="3">
        <v>300</v>
      </c>
      <c r="R40" s="1">
        <v>310</v>
      </c>
      <c r="S40" s="4" t="e">
        <f t="array" aca="1" ref="S40">MAX(P40:R40*(1-strike(P40:R40)))</f>
        <v>#NAME?</v>
      </c>
      <c r="T40" s="4" t="e">
        <f t="shared" si="0"/>
        <v>#NAME?</v>
      </c>
      <c r="U40" s="3">
        <v>757.5</v>
      </c>
      <c r="V40" s="3">
        <v>477.71</v>
      </c>
      <c r="W40" s="3">
        <v>9</v>
      </c>
      <c r="X40" s="5">
        <v>2012</v>
      </c>
      <c r="Y40" s="5" t="s">
        <v>29</v>
      </c>
      <c r="Z40" s="5" t="s">
        <v>30</v>
      </c>
      <c r="AA40" s="5">
        <v>1472</v>
      </c>
    </row>
    <row r="41" spans="1:27">
      <c r="A41" s="3">
        <v>15</v>
      </c>
      <c r="B41" s="3" t="s">
        <v>91</v>
      </c>
      <c r="C41" s="3">
        <v>1970</v>
      </c>
      <c r="D41" s="3" t="s">
        <v>77</v>
      </c>
      <c r="E41" s="3">
        <v>99.75</v>
      </c>
      <c r="F41" s="3">
        <v>0.60919999999999996</v>
      </c>
      <c r="G41" s="3">
        <v>9</v>
      </c>
      <c r="H41" s="3">
        <v>225</v>
      </c>
      <c r="I41" s="3">
        <v>235</v>
      </c>
      <c r="J41" s="1">
        <v>242.5</v>
      </c>
      <c r="K41" s="4" t="e">
        <f t="array" aca="1" ref="K41">MAX(H41:J41*(1-strike(H41:J41)))</f>
        <v>#NAME?</v>
      </c>
      <c r="L41" s="3">
        <v>170</v>
      </c>
      <c r="M41" s="1">
        <v>175</v>
      </c>
      <c r="N41" s="1">
        <v>175</v>
      </c>
      <c r="O41" s="4" t="e">
        <f t="array" aca="1" ref="O41">MAX(L41:N41*(1-strike(L41:N41)))</f>
        <v>#NAME?</v>
      </c>
      <c r="P41" s="3">
        <v>220</v>
      </c>
      <c r="Q41" s="1">
        <v>235</v>
      </c>
      <c r="R41" s="3">
        <v>235</v>
      </c>
      <c r="S41" s="4" t="e">
        <f t="array" aca="1" ref="S41">MAX(P41:R41*(1-strike(P41:R41)))</f>
        <v>#NAME?</v>
      </c>
      <c r="T41" s="4" t="e">
        <f t="shared" si="0"/>
        <v>#NAME?</v>
      </c>
      <c r="U41" s="3">
        <v>640</v>
      </c>
      <c r="V41" s="3">
        <v>389.88</v>
      </c>
      <c r="W41" s="3">
        <v>1</v>
      </c>
      <c r="X41" s="5">
        <v>2012</v>
      </c>
      <c r="Y41" s="5" t="s">
        <v>29</v>
      </c>
      <c r="Z41" s="5" t="s">
        <v>30</v>
      </c>
      <c r="AA41" s="5">
        <v>1507</v>
      </c>
    </row>
    <row r="42" spans="1:27">
      <c r="A42" s="3">
        <v>16</v>
      </c>
      <c r="B42" s="3" t="s">
        <v>92</v>
      </c>
      <c r="C42" s="3">
        <v>1985</v>
      </c>
      <c r="D42" s="3" t="s">
        <v>51</v>
      </c>
      <c r="E42" s="3">
        <v>92.75</v>
      </c>
      <c r="F42" s="3">
        <v>0.629</v>
      </c>
      <c r="G42" s="3">
        <v>21</v>
      </c>
      <c r="H42" s="3">
        <v>215</v>
      </c>
      <c r="I42" s="3">
        <v>222.5</v>
      </c>
      <c r="J42" s="1">
        <v>227.5</v>
      </c>
      <c r="K42" s="4" t="e">
        <f t="array" aca="1" ref="K42">MAX(H42:J42*(1-strike(H42:J42)))</f>
        <v>#NAME?</v>
      </c>
      <c r="L42" s="3">
        <v>175</v>
      </c>
      <c r="M42" s="3">
        <v>180</v>
      </c>
      <c r="N42" s="1">
        <v>182.5</v>
      </c>
      <c r="O42" s="4" t="e">
        <f t="array" aca="1" ref="O42">MAX(L42:N42*(1-strike(L42:N42)))</f>
        <v>#NAME?</v>
      </c>
      <c r="P42" s="3">
        <v>260</v>
      </c>
      <c r="Q42" s="1">
        <v>270</v>
      </c>
      <c r="R42" s="1">
        <v>270</v>
      </c>
      <c r="S42" s="4" t="e">
        <f t="array" aca="1" ref="S42">MAX(P42:R42*(1-strike(P42:R42)))</f>
        <v>#NAME?</v>
      </c>
      <c r="T42" s="4" t="e">
        <f t="shared" si="0"/>
        <v>#NAME?</v>
      </c>
      <c r="U42" s="3">
        <v>662.5</v>
      </c>
      <c r="V42" s="3">
        <v>416.71</v>
      </c>
      <c r="W42" s="3">
        <v>1</v>
      </c>
      <c r="X42" s="5">
        <v>2012</v>
      </c>
      <c r="Y42" s="5" t="s">
        <v>29</v>
      </c>
      <c r="Z42" s="5" t="s">
        <v>30</v>
      </c>
      <c r="AA42" s="5">
        <v>1486</v>
      </c>
    </row>
    <row r="43" spans="1:27">
      <c r="A43" s="3">
        <v>7</v>
      </c>
      <c r="B43" s="3" t="s">
        <v>93</v>
      </c>
      <c r="C43" s="3">
        <v>1971</v>
      </c>
      <c r="D43" s="3" t="s">
        <v>51</v>
      </c>
      <c r="E43" s="3">
        <v>116.2</v>
      </c>
      <c r="F43" s="3">
        <v>0.57950000000000002</v>
      </c>
      <c r="G43" s="3">
        <v>10</v>
      </c>
      <c r="H43" s="3">
        <v>260</v>
      </c>
      <c r="I43" s="3">
        <v>275</v>
      </c>
      <c r="J43" s="3">
        <v>282.5</v>
      </c>
      <c r="K43" s="4" t="e">
        <f t="array" aca="1" ref="K43">MAX(H43:J43*(1-strike(H43:J43)))</f>
        <v>#NAME?</v>
      </c>
      <c r="L43" s="3">
        <v>185</v>
      </c>
      <c r="M43" s="3">
        <v>195</v>
      </c>
      <c r="N43" s="1">
        <v>200</v>
      </c>
      <c r="O43" s="4" t="e">
        <f t="array" aca="1" ref="O43">MAX(L43:N43*(1-strike(L43:N43)))</f>
        <v>#NAME?</v>
      </c>
      <c r="P43" s="3">
        <v>280</v>
      </c>
      <c r="Q43" s="3">
        <v>290</v>
      </c>
      <c r="R43" s="1">
        <v>295</v>
      </c>
      <c r="S43" s="4" t="e">
        <f t="array" aca="1" ref="S43">MAX(P43:R43*(1-strike(P43:R43)))</f>
        <v>#NAME?</v>
      </c>
      <c r="T43" s="4" t="e">
        <f t="shared" si="0"/>
        <v>#NAME?</v>
      </c>
      <c r="U43" s="3">
        <v>767.5</v>
      </c>
      <c r="V43" s="3">
        <v>444.76</v>
      </c>
      <c r="W43" s="3">
        <v>4</v>
      </c>
      <c r="X43" s="5">
        <v>2012</v>
      </c>
      <c r="Y43" s="5" t="s">
        <v>29</v>
      </c>
      <c r="Z43" s="5" t="s">
        <v>30</v>
      </c>
      <c r="AA43" s="5">
        <v>1518</v>
      </c>
    </row>
    <row r="44" spans="1:27">
      <c r="A44" s="3">
        <v>8</v>
      </c>
      <c r="B44" s="3" t="s">
        <v>94</v>
      </c>
      <c r="C44" s="3">
        <v>1982</v>
      </c>
      <c r="D44" s="3" t="s">
        <v>45</v>
      </c>
      <c r="E44" s="3">
        <v>160</v>
      </c>
      <c r="F44" s="3">
        <v>0.54820000000000002</v>
      </c>
      <c r="G44" s="3">
        <v>13</v>
      </c>
      <c r="H44" s="3">
        <v>280</v>
      </c>
      <c r="I44" s="3">
        <v>295</v>
      </c>
      <c r="J44" s="3">
        <v>300</v>
      </c>
      <c r="K44" s="4" t="e">
        <f t="array" aca="1" ref="K44">MAX(H44:J44*(1-strike(H44:J44)))</f>
        <v>#NAME?</v>
      </c>
      <c r="L44" s="3">
        <v>175</v>
      </c>
      <c r="M44" s="1">
        <v>177.5</v>
      </c>
      <c r="N44" s="3">
        <v>185</v>
      </c>
      <c r="O44" s="4" t="e">
        <f t="array" aca="1" ref="O44">MAX(L44:N44*(1-strike(L44:N44)))</f>
        <v>#NAME?</v>
      </c>
      <c r="P44" s="3">
        <v>320</v>
      </c>
      <c r="Q44" s="3">
        <v>340</v>
      </c>
      <c r="R44" s="1">
        <v>350</v>
      </c>
      <c r="S44" s="4" t="e">
        <f t="array" aca="1" ref="S44">MAX(P44:R44*(1-strike(P44:R44)))</f>
        <v>#NAME?</v>
      </c>
      <c r="T44" s="4" t="e">
        <f t="shared" si="0"/>
        <v>#NAME?</v>
      </c>
      <c r="U44" s="3">
        <v>825</v>
      </c>
      <c r="V44" s="3">
        <v>452.26</v>
      </c>
      <c r="W44" s="3">
        <v>3</v>
      </c>
      <c r="X44" s="5">
        <v>2012</v>
      </c>
      <c r="Y44" s="5" t="s">
        <v>29</v>
      </c>
      <c r="Z44" s="5" t="s">
        <v>30</v>
      </c>
      <c r="AA44" s="5">
        <v>1534</v>
      </c>
    </row>
    <row r="45" spans="1:27">
      <c r="A45" s="3">
        <v>20</v>
      </c>
      <c r="B45" s="3" t="s">
        <v>95</v>
      </c>
      <c r="C45" s="3">
        <v>1983</v>
      </c>
      <c r="D45" s="3" t="s">
        <v>54</v>
      </c>
      <c r="E45" s="3">
        <v>92</v>
      </c>
      <c r="F45" s="3">
        <v>0.63149999999999995</v>
      </c>
      <c r="G45" s="3">
        <v>4</v>
      </c>
      <c r="H45" s="3">
        <v>205</v>
      </c>
      <c r="I45" s="3">
        <v>220</v>
      </c>
      <c r="J45" s="1">
        <v>230</v>
      </c>
      <c r="K45" s="4" t="e">
        <f t="array" aca="1" ref="K45">MAX(H45:J45*(1-strike(H45:J45)))</f>
        <v>#NAME?</v>
      </c>
      <c r="L45" s="3">
        <v>160</v>
      </c>
      <c r="M45" s="3">
        <v>167.5</v>
      </c>
      <c r="N45" s="1">
        <v>170</v>
      </c>
      <c r="O45" s="4" t="e">
        <f t="array" aca="1" ref="O45">MAX(L45:N45*(1-strike(L45:N45)))</f>
        <v>#NAME?</v>
      </c>
      <c r="P45" s="3">
        <v>200</v>
      </c>
      <c r="Q45" s="3">
        <v>220</v>
      </c>
      <c r="R45" s="1">
        <v>235</v>
      </c>
      <c r="S45" s="4" t="e">
        <f t="array" aca="1" ref="S45">MAX(P45:R45*(1-strike(P45:R45)))</f>
        <v>#NAME?</v>
      </c>
      <c r="T45" s="4" t="e">
        <f t="shared" si="0"/>
        <v>#NAME?</v>
      </c>
      <c r="U45" s="3">
        <v>607.5</v>
      </c>
      <c r="V45" s="3">
        <v>383.63</v>
      </c>
      <c r="W45" s="3">
        <v>1</v>
      </c>
      <c r="X45" s="5">
        <v>2012</v>
      </c>
      <c r="Y45" s="5" t="s">
        <v>29</v>
      </c>
      <c r="Z45" s="5" t="s">
        <v>30</v>
      </c>
      <c r="AA45" s="5">
        <v>1490</v>
      </c>
    </row>
    <row r="46" spans="1:27">
      <c r="A46" s="3">
        <v>9</v>
      </c>
      <c r="B46" s="3" t="s">
        <v>96</v>
      </c>
      <c r="C46" s="3">
        <v>1988</v>
      </c>
      <c r="D46" s="3" t="s">
        <v>72</v>
      </c>
      <c r="E46" s="3">
        <v>91.3</v>
      </c>
      <c r="F46" s="3">
        <v>0.63380000000000003</v>
      </c>
      <c r="G46" s="3">
        <v>22</v>
      </c>
      <c r="H46" s="3">
        <v>250</v>
      </c>
      <c r="I46" s="3">
        <v>262.5</v>
      </c>
      <c r="J46" s="3">
        <v>265</v>
      </c>
      <c r="K46" s="4" t="e">
        <f t="array" aca="1" ref="K46">MAX(H46:J46*(1-strike(H46:J46)))</f>
        <v>#NAME?</v>
      </c>
      <c r="L46" s="3">
        <v>150</v>
      </c>
      <c r="M46" s="1">
        <v>162.5</v>
      </c>
      <c r="N46" s="3">
        <v>162.5</v>
      </c>
      <c r="O46" s="4" t="e">
        <f t="array" aca="1" ref="O46">MAX(L46:N46*(1-strike(L46:N46)))</f>
        <v>#NAME?</v>
      </c>
      <c r="P46" s="3">
        <v>280</v>
      </c>
      <c r="Q46" s="1">
        <v>295</v>
      </c>
      <c r="R46" s="1">
        <v>295</v>
      </c>
      <c r="S46" s="4" t="e">
        <f t="array" aca="1" ref="S46">MAX(P46:R46*(1-strike(P46:R46)))</f>
        <v>#NAME?</v>
      </c>
      <c r="T46" s="4" t="e">
        <f t="shared" si="0"/>
        <v>#NAME?</v>
      </c>
      <c r="U46" s="3">
        <v>707.5</v>
      </c>
      <c r="V46" s="3">
        <v>448.41</v>
      </c>
      <c r="W46" s="3">
        <v>2</v>
      </c>
      <c r="X46" s="5">
        <v>2012</v>
      </c>
      <c r="Y46" s="5" t="s">
        <v>29</v>
      </c>
      <c r="Z46" s="5" t="s">
        <v>30</v>
      </c>
      <c r="AA46" s="5">
        <v>1479</v>
      </c>
    </row>
    <row r="47" spans="1:27">
      <c r="A47" s="3">
        <v>9</v>
      </c>
      <c r="B47" s="3" t="s">
        <v>97</v>
      </c>
      <c r="C47" s="3">
        <v>1985</v>
      </c>
      <c r="D47" s="3" t="s">
        <v>85</v>
      </c>
      <c r="E47" s="3">
        <v>104.65</v>
      </c>
      <c r="F47" s="3">
        <v>0.59830000000000005</v>
      </c>
      <c r="G47" s="3">
        <v>14</v>
      </c>
      <c r="H47" s="3">
        <v>260</v>
      </c>
      <c r="I47" s="3">
        <v>270</v>
      </c>
      <c r="J47" s="1">
        <v>275</v>
      </c>
      <c r="K47" s="4" t="e">
        <f t="array" aca="1" ref="K47">MAX(H47:J47*(1-strike(H47:J47)))</f>
        <v>#NAME?</v>
      </c>
      <c r="L47" s="3">
        <v>180</v>
      </c>
      <c r="M47" s="3">
        <v>187.5</v>
      </c>
      <c r="N47" s="1">
        <v>192.5</v>
      </c>
      <c r="O47" s="4" t="e">
        <f t="array" aca="1" ref="O47">MAX(L47:N47*(1-strike(L47:N47)))</f>
        <v>#NAME?</v>
      </c>
      <c r="P47" s="3">
        <v>290</v>
      </c>
      <c r="Q47" s="1">
        <v>310</v>
      </c>
      <c r="R47" s="1">
        <v>310</v>
      </c>
      <c r="S47" s="4" t="e">
        <f t="array" aca="1" ref="S47">MAX(P47:R47*(1-strike(P47:R47)))</f>
        <v>#NAME?</v>
      </c>
      <c r="T47" s="4" t="e">
        <f t="shared" si="0"/>
        <v>#NAME?</v>
      </c>
      <c r="U47" s="3">
        <v>747.5</v>
      </c>
      <c r="V47" s="3">
        <v>447.22</v>
      </c>
      <c r="W47" s="3">
        <v>2</v>
      </c>
      <c r="X47" s="5">
        <v>2012</v>
      </c>
      <c r="Y47" s="5" t="s">
        <v>29</v>
      </c>
      <c r="Z47" s="5" t="s">
        <v>30</v>
      </c>
      <c r="AA47" s="5">
        <v>1501</v>
      </c>
    </row>
    <row r="48" spans="1:27">
      <c r="A48" s="3">
        <v>4</v>
      </c>
      <c r="B48" s="3" t="s">
        <v>98</v>
      </c>
      <c r="C48" s="3">
        <v>1982</v>
      </c>
      <c r="D48" s="3" t="s">
        <v>28</v>
      </c>
      <c r="E48" s="3">
        <v>151.4</v>
      </c>
      <c r="F48" s="3">
        <v>0.55259999999999998</v>
      </c>
      <c r="G48" s="3">
        <v>10</v>
      </c>
      <c r="H48" s="3">
        <v>330</v>
      </c>
      <c r="I48" s="1">
        <v>350</v>
      </c>
      <c r="J48" s="1">
        <v>350</v>
      </c>
      <c r="K48" s="4" t="e">
        <f t="array" aca="1" ref="K48">MAX(H48:J48*(1-strike(H48:J48)))</f>
        <v>#NAME?</v>
      </c>
      <c r="L48" s="3">
        <v>185</v>
      </c>
      <c r="M48" s="1">
        <v>195</v>
      </c>
      <c r="N48" s="1">
        <v>195</v>
      </c>
      <c r="O48" s="4" t="e">
        <f t="array" aca="1" ref="O48">MAX(L48:N48*(1-strike(L48:N48)))</f>
        <v>#NAME?</v>
      </c>
      <c r="P48" s="3">
        <v>332.5</v>
      </c>
      <c r="Q48" s="1">
        <v>345</v>
      </c>
      <c r="R48" s="1">
        <v>345</v>
      </c>
      <c r="S48" s="4" t="e">
        <f t="array" aca="1" ref="S48">MAX(P48:R48*(1-strike(P48:R48)))</f>
        <v>#NAME?</v>
      </c>
      <c r="T48" s="4" t="e">
        <f t="shared" si="0"/>
        <v>#NAME?</v>
      </c>
      <c r="U48" s="3">
        <v>847.5</v>
      </c>
      <c r="V48" s="3">
        <v>468.32</v>
      </c>
      <c r="W48" s="3">
        <v>7</v>
      </c>
      <c r="X48" s="5">
        <v>2012</v>
      </c>
      <c r="Y48" s="5" t="s">
        <v>29</v>
      </c>
      <c r="Z48" s="5" t="s">
        <v>30</v>
      </c>
      <c r="AA48" s="5">
        <v>1530</v>
      </c>
    </row>
    <row r="49" spans="1:27">
      <c r="A49" s="3">
        <v>6</v>
      </c>
      <c r="B49" s="3" t="s">
        <v>99</v>
      </c>
      <c r="C49" s="3">
        <v>1988</v>
      </c>
      <c r="D49" s="3" t="s">
        <v>100</v>
      </c>
      <c r="E49" s="3">
        <v>142.5</v>
      </c>
      <c r="F49" s="3">
        <v>0.55730000000000002</v>
      </c>
      <c r="G49" s="3">
        <v>9</v>
      </c>
      <c r="H49" s="3">
        <v>297.5</v>
      </c>
      <c r="I49" s="3">
        <v>312.5</v>
      </c>
      <c r="J49" s="3">
        <v>325</v>
      </c>
      <c r="K49" s="4" t="e">
        <f t="array" aca="1" ref="K49">MAX(H49:J49*(1-strike(H49:J49)))</f>
        <v>#NAME?</v>
      </c>
      <c r="L49" s="3">
        <v>190</v>
      </c>
      <c r="M49" s="3">
        <v>200</v>
      </c>
      <c r="N49" s="3">
        <v>205</v>
      </c>
      <c r="O49" s="4" t="e">
        <f t="array" aca="1" ref="O49">MAX(L49:N49*(1-strike(L49:N49)))</f>
        <v>#NAME?</v>
      </c>
      <c r="P49" s="3">
        <v>295</v>
      </c>
      <c r="Q49" s="3">
        <v>305</v>
      </c>
      <c r="R49" s="3">
        <v>310</v>
      </c>
      <c r="S49" s="4" t="e">
        <f t="array" aca="1" ref="S49">MAX(P49:R49*(1-strike(P49:R49)))</f>
        <v>#NAME?</v>
      </c>
      <c r="T49" s="4" t="e">
        <f t="shared" si="0"/>
        <v>#NAME?</v>
      </c>
      <c r="U49" s="3">
        <v>840</v>
      </c>
      <c r="V49" s="3">
        <v>468.13</v>
      </c>
      <c r="W49" s="3">
        <v>5</v>
      </c>
      <c r="X49" s="5">
        <v>2012</v>
      </c>
      <c r="Y49" s="5" t="s">
        <v>29</v>
      </c>
      <c r="Z49" s="5" t="s">
        <v>30</v>
      </c>
      <c r="AA49" s="5">
        <v>1532</v>
      </c>
    </row>
    <row r="50" spans="1:27">
      <c r="A50" s="3">
        <v>17</v>
      </c>
      <c r="B50" s="3" t="s">
        <v>101</v>
      </c>
      <c r="C50" s="3">
        <v>1987</v>
      </c>
      <c r="D50" s="3" t="s">
        <v>77</v>
      </c>
      <c r="E50" s="3">
        <v>92.45</v>
      </c>
      <c r="F50" s="3">
        <v>0.63</v>
      </c>
      <c r="G50" s="3">
        <v>24</v>
      </c>
      <c r="H50" s="3">
        <v>245</v>
      </c>
      <c r="I50" s="3">
        <v>260</v>
      </c>
      <c r="J50" s="1">
        <v>267.5</v>
      </c>
      <c r="K50" s="4" t="e">
        <f t="array" aca="1" ref="K50">MAX(H50:J50*(1-strike(H50:J50)))</f>
        <v>#NAME?</v>
      </c>
      <c r="L50" s="3">
        <v>140</v>
      </c>
      <c r="M50" s="3">
        <v>150</v>
      </c>
      <c r="N50" s="1">
        <v>155</v>
      </c>
      <c r="O50" s="4" t="e">
        <f t="array" aca="1" ref="O50">MAX(L50:N50*(1-strike(L50:N50)))</f>
        <v>#NAME?</v>
      </c>
      <c r="P50" s="3">
        <v>225</v>
      </c>
      <c r="Q50" s="3">
        <v>240</v>
      </c>
      <c r="R50" s="3">
        <v>250</v>
      </c>
      <c r="S50" s="4" t="e">
        <f t="array" aca="1" ref="S50">MAX(P50:R50*(1-strike(P50:R50)))</f>
        <v>#NAME?</v>
      </c>
      <c r="T50" s="4" t="e">
        <f t="shared" si="0"/>
        <v>#NAME?</v>
      </c>
      <c r="U50" s="3">
        <v>660</v>
      </c>
      <c r="V50" s="3">
        <v>415.76</v>
      </c>
      <c r="W50" s="3">
        <v>1</v>
      </c>
      <c r="X50" s="5">
        <v>2012</v>
      </c>
      <c r="Y50" s="5" t="s">
        <v>29</v>
      </c>
      <c r="Z50" s="5" t="s">
        <v>30</v>
      </c>
      <c r="AA50" s="5">
        <v>1487</v>
      </c>
    </row>
    <row r="51" spans="1:27">
      <c r="A51" s="3">
        <v>5</v>
      </c>
      <c r="B51" s="3" t="s">
        <v>102</v>
      </c>
      <c r="C51" s="3">
        <v>1985</v>
      </c>
      <c r="D51" s="3" t="s">
        <v>62</v>
      </c>
      <c r="E51" s="3">
        <v>58.7</v>
      </c>
      <c r="F51" s="3">
        <v>0.87029999999999996</v>
      </c>
      <c r="G51" s="3">
        <v>12</v>
      </c>
      <c r="H51" s="1">
        <v>210</v>
      </c>
      <c r="I51" s="3">
        <v>210</v>
      </c>
      <c r="J51" s="3">
        <v>225</v>
      </c>
      <c r="K51" s="4" t="e">
        <f t="array" aca="1" ref="K51">MAX(H51:J51*(1-strike(H51:J51)))</f>
        <v>#NAME?</v>
      </c>
      <c r="L51" s="3">
        <v>80</v>
      </c>
      <c r="M51" s="3">
        <v>90</v>
      </c>
      <c r="N51" s="3">
        <v>97.5</v>
      </c>
      <c r="O51" s="4" t="e">
        <f t="array" aca="1" ref="O51">MAX(L51:N51*(1-strike(L51:N51)))</f>
        <v>#NAME?</v>
      </c>
      <c r="P51" s="3">
        <v>162.5</v>
      </c>
      <c r="Q51" s="3">
        <v>172.5</v>
      </c>
      <c r="R51" s="1">
        <v>182.5</v>
      </c>
      <c r="S51" s="4" t="e">
        <f t="array" aca="1" ref="S51">MAX(P51:R51*(1-strike(P51:R51)))</f>
        <v>#NAME?</v>
      </c>
      <c r="T51" s="4" t="e">
        <f t="shared" si="0"/>
        <v>#NAME?</v>
      </c>
      <c r="U51" s="3">
        <v>495</v>
      </c>
      <c r="V51" s="3">
        <v>430.79</v>
      </c>
      <c r="W51" s="3">
        <v>6</v>
      </c>
      <c r="X51" s="5">
        <v>2012</v>
      </c>
      <c r="Y51" s="5" t="s">
        <v>29</v>
      </c>
      <c r="Z51" s="5" t="s">
        <v>30</v>
      </c>
      <c r="AA51" s="5">
        <v>1429</v>
      </c>
    </row>
    <row r="52" spans="1:27">
      <c r="A52" s="3">
        <v>3</v>
      </c>
      <c r="B52" s="3" t="s">
        <v>103</v>
      </c>
      <c r="C52" s="3">
        <v>1966</v>
      </c>
      <c r="D52" s="3" t="s">
        <v>62</v>
      </c>
      <c r="E52" s="3">
        <v>58.55</v>
      </c>
      <c r="F52" s="3">
        <v>0.87239999999999995</v>
      </c>
      <c r="G52" s="3">
        <v>18</v>
      </c>
      <c r="H52" s="3">
        <v>175</v>
      </c>
      <c r="I52" s="1">
        <v>187.5</v>
      </c>
      <c r="J52" s="3">
        <v>187.5</v>
      </c>
      <c r="K52" s="4" t="e">
        <f t="array" aca="1" ref="K52">MAX(H52:J52*(1-strike(H52:J52)))</f>
        <v>#NAME?</v>
      </c>
      <c r="L52" s="3">
        <v>92.5</v>
      </c>
      <c r="M52" s="3">
        <v>100</v>
      </c>
      <c r="N52" s="1">
        <v>102.5</v>
      </c>
      <c r="O52" s="4" t="e">
        <f t="array" aca="1" ref="O52">MAX(L52:N52*(1-strike(L52:N52)))</f>
        <v>#NAME?</v>
      </c>
      <c r="P52" s="3">
        <v>232.5</v>
      </c>
      <c r="Q52" s="3">
        <v>252.5</v>
      </c>
      <c r="R52" s="1">
        <v>262.5</v>
      </c>
      <c r="S52" s="4" t="e">
        <f t="array" aca="1" ref="S52">MAX(P52:R52*(1-strike(P52:R52)))</f>
        <v>#NAME?</v>
      </c>
      <c r="T52" s="4" t="e">
        <f t="shared" si="0"/>
        <v>#NAME?</v>
      </c>
      <c r="U52" s="3">
        <v>540</v>
      </c>
      <c r="V52" s="3">
        <v>471.09</v>
      </c>
      <c r="W52" s="3">
        <v>8</v>
      </c>
      <c r="X52" s="5">
        <v>2012</v>
      </c>
      <c r="Y52" s="5" t="s">
        <v>29</v>
      </c>
      <c r="Z52" s="5" t="s">
        <v>30</v>
      </c>
      <c r="AA52" s="5">
        <v>1427</v>
      </c>
    </row>
    <row r="53" spans="1:27" ht="15" customHeight="1">
      <c r="A53" s="3">
        <v>4</v>
      </c>
      <c r="B53" s="3" t="s">
        <v>104</v>
      </c>
      <c r="C53" s="3">
        <v>1986</v>
      </c>
      <c r="D53" s="3" t="s">
        <v>39</v>
      </c>
      <c r="E53" s="3">
        <v>92.95</v>
      </c>
      <c r="F53" s="3">
        <v>0.62829999999999997</v>
      </c>
      <c r="G53" s="3">
        <v>15</v>
      </c>
      <c r="H53" s="1">
        <v>252.5</v>
      </c>
      <c r="I53" s="3">
        <v>252.5</v>
      </c>
      <c r="J53" s="1">
        <v>260</v>
      </c>
      <c r="K53" s="4" t="e">
        <f t="array" aca="1" ref="K53">MAX(H53:J53*(1-strike(H53:J53)))</f>
        <v>#NAME?</v>
      </c>
      <c r="L53" s="3">
        <v>180</v>
      </c>
      <c r="M53" s="3">
        <v>190</v>
      </c>
      <c r="N53" s="3">
        <v>192.5</v>
      </c>
      <c r="O53" s="4" t="e">
        <f t="array" aca="1" ref="O53">MAX(L53:N53*(1-strike(L53:N53)))</f>
        <v>#NAME?</v>
      </c>
      <c r="P53" s="3">
        <v>287.5</v>
      </c>
      <c r="Q53" s="3">
        <v>297.5</v>
      </c>
      <c r="R53" s="1">
        <v>310</v>
      </c>
      <c r="S53" s="4" t="e">
        <f t="array" aca="1" ref="S53">MAX(P53:R53*(1-strike(P53:R53)))</f>
        <v>#NAME?</v>
      </c>
      <c r="T53" s="4" t="e">
        <f t="shared" si="0"/>
        <v>#NAME?</v>
      </c>
      <c r="U53" s="3">
        <v>742.5</v>
      </c>
      <c r="V53" s="3">
        <v>466.54</v>
      </c>
      <c r="W53" s="3">
        <v>7</v>
      </c>
      <c r="X53" s="5">
        <v>2012</v>
      </c>
      <c r="Y53" s="5" t="s">
        <v>29</v>
      </c>
      <c r="Z53" s="5" t="s">
        <v>30</v>
      </c>
      <c r="AA53" s="5">
        <v>1474</v>
      </c>
    </row>
    <row r="54" spans="1:27">
      <c r="A54" s="3">
        <v>2</v>
      </c>
      <c r="B54" s="3" t="s">
        <v>105</v>
      </c>
      <c r="C54" s="3">
        <v>1982</v>
      </c>
      <c r="D54" s="3" t="s">
        <v>28</v>
      </c>
      <c r="E54" s="3">
        <v>81.150000000000006</v>
      </c>
      <c r="F54" s="3">
        <v>0.67659999999999998</v>
      </c>
      <c r="G54" s="3">
        <v>6</v>
      </c>
      <c r="H54" s="3">
        <v>245</v>
      </c>
      <c r="I54" s="3">
        <v>252.5</v>
      </c>
      <c r="J54" s="1">
        <v>255</v>
      </c>
      <c r="K54" s="4" t="e">
        <f t="array" aca="1" ref="K54">MAX(H54:J54*(1-strike(H54:J54)))</f>
        <v>#NAME?</v>
      </c>
      <c r="L54" s="3">
        <v>167.5</v>
      </c>
      <c r="M54" s="3">
        <v>175</v>
      </c>
      <c r="N54" s="1">
        <v>180</v>
      </c>
      <c r="O54" s="4" t="e">
        <f t="array" aca="1" ref="O54">MAX(L54:N54*(1-strike(L54:N54)))</f>
        <v>#NAME?</v>
      </c>
      <c r="P54" s="3">
        <v>280</v>
      </c>
      <c r="Q54" s="3">
        <v>287.5</v>
      </c>
      <c r="R54" s="1">
        <v>297.5</v>
      </c>
      <c r="S54" s="4" t="e">
        <f t="array" aca="1" ref="S54">MAX(P54:R54*(1-strike(P54:R54)))</f>
        <v>#NAME?</v>
      </c>
      <c r="T54" s="4" t="e">
        <f t="shared" si="0"/>
        <v>#NAME?</v>
      </c>
      <c r="U54" s="3">
        <v>715</v>
      </c>
      <c r="V54" s="3">
        <v>483.8</v>
      </c>
      <c r="W54" s="3">
        <v>9</v>
      </c>
      <c r="X54" s="5">
        <v>2012</v>
      </c>
      <c r="Y54" s="5" t="s">
        <v>29</v>
      </c>
      <c r="Z54" s="5" t="s">
        <v>30</v>
      </c>
      <c r="AA54" s="5">
        <v>1459</v>
      </c>
    </row>
    <row r="55" spans="1:27">
      <c r="A55" s="3">
        <v>12</v>
      </c>
      <c r="B55" s="3" t="s">
        <v>106</v>
      </c>
      <c r="C55" s="3">
        <v>1978</v>
      </c>
      <c r="D55" s="3" t="s">
        <v>32</v>
      </c>
      <c r="E55" s="3">
        <v>80.7</v>
      </c>
      <c r="F55" s="3">
        <v>0.67900000000000005</v>
      </c>
      <c r="G55" s="3">
        <v>10</v>
      </c>
      <c r="H55" s="3">
        <v>150</v>
      </c>
      <c r="I55" s="3">
        <v>162.5</v>
      </c>
      <c r="J55" s="3">
        <v>170</v>
      </c>
      <c r="K55" s="4" t="e">
        <f t="array" aca="1" ref="K55">MAX(H55:J55*(1-strike(H55:J55)))</f>
        <v>#NAME?</v>
      </c>
      <c r="L55" s="3">
        <v>140</v>
      </c>
      <c r="M55" s="3">
        <v>152.5</v>
      </c>
      <c r="N55" s="3">
        <v>160</v>
      </c>
      <c r="O55" s="4" t="e">
        <f t="array" aca="1" ref="O55">MAX(L55:N55*(1-strike(L55:N55)))</f>
        <v>#NAME?</v>
      </c>
      <c r="P55" s="3">
        <v>190</v>
      </c>
      <c r="Q55" s="3">
        <v>210</v>
      </c>
      <c r="R55" s="3">
        <v>225</v>
      </c>
      <c r="S55" s="4" t="e">
        <f t="array" aca="1" ref="S55">MAX(P55:R55*(1-strike(P55:R55)))</f>
        <v>#NAME?</v>
      </c>
      <c r="T55" s="4" t="e">
        <f t="shared" si="0"/>
        <v>#NAME?</v>
      </c>
      <c r="U55" s="3">
        <v>555</v>
      </c>
      <c r="V55" s="3">
        <v>376.84</v>
      </c>
      <c r="W55" s="3">
        <v>1</v>
      </c>
      <c r="X55" s="5">
        <v>2012</v>
      </c>
      <c r="Y55" s="5" t="s">
        <v>29</v>
      </c>
      <c r="Z55" s="5" t="s">
        <v>30</v>
      </c>
      <c r="AA55" s="5">
        <v>1469</v>
      </c>
    </row>
    <row r="56" spans="1:27">
      <c r="A56" s="3">
        <v>4</v>
      </c>
      <c r="B56" s="3" t="s">
        <v>107</v>
      </c>
      <c r="C56" s="3">
        <v>1982</v>
      </c>
      <c r="D56" s="3" t="s">
        <v>42</v>
      </c>
      <c r="E56" s="3">
        <v>59</v>
      </c>
      <c r="F56" s="3">
        <v>0.86619999999999997</v>
      </c>
      <c r="G56" s="3">
        <v>6</v>
      </c>
      <c r="H56" s="3">
        <v>200</v>
      </c>
      <c r="I56" s="1">
        <v>210</v>
      </c>
      <c r="J56" s="1">
        <v>210</v>
      </c>
      <c r="K56" s="4" t="e">
        <f t="array" aca="1" ref="K56">MAX(H56:J56*(1-strike(H56:J56)))</f>
        <v>#NAME?</v>
      </c>
      <c r="L56" s="1">
        <v>110</v>
      </c>
      <c r="M56" s="3">
        <v>110</v>
      </c>
      <c r="N56" s="1">
        <v>112.5</v>
      </c>
      <c r="O56" s="4" t="e">
        <f t="array" aca="1" ref="O56">MAX(L56:N56*(1-strike(L56:N56)))</f>
        <v>#NAME?</v>
      </c>
      <c r="P56" s="1">
        <v>210</v>
      </c>
      <c r="Q56" s="3">
        <v>210</v>
      </c>
      <c r="R56" s="3">
        <v>217.5</v>
      </c>
      <c r="S56" s="4" t="e">
        <f t="array" aca="1" ref="S56">MAX(P56:R56*(1-strike(P56:R56)))</f>
        <v>#NAME?</v>
      </c>
      <c r="T56" s="4" t="e">
        <f t="shared" si="0"/>
        <v>#NAME?</v>
      </c>
      <c r="U56" s="3">
        <v>527.5</v>
      </c>
      <c r="V56" s="3">
        <v>456.92</v>
      </c>
      <c r="W56" s="3">
        <v>7</v>
      </c>
      <c r="X56" s="5">
        <v>2012</v>
      </c>
      <c r="Y56" s="5" t="s">
        <v>29</v>
      </c>
      <c r="Z56" s="5" t="s">
        <v>30</v>
      </c>
      <c r="AA56" s="5">
        <v>1428</v>
      </c>
    </row>
    <row r="57" spans="1:27">
      <c r="A57" s="3">
        <v>6</v>
      </c>
      <c r="B57" s="3" t="s">
        <v>108</v>
      </c>
      <c r="C57" s="3">
        <v>1969</v>
      </c>
      <c r="D57" s="3" t="s">
        <v>109</v>
      </c>
      <c r="E57" s="3">
        <v>115.7</v>
      </c>
      <c r="F57" s="3">
        <v>0.58009999999999995</v>
      </c>
      <c r="G57" s="3">
        <v>11</v>
      </c>
      <c r="H57" s="1">
        <v>290</v>
      </c>
      <c r="I57" s="3">
        <v>290</v>
      </c>
      <c r="J57" s="1">
        <v>302.5</v>
      </c>
      <c r="K57" s="4" t="e">
        <f t="array" aca="1" ref="K57">MAX(H57:J57*(1-strike(H57:J57)))</f>
        <v>#NAME?</v>
      </c>
      <c r="L57" s="3">
        <v>172.5</v>
      </c>
      <c r="M57" s="3">
        <v>177.5</v>
      </c>
      <c r="N57" s="3">
        <v>180</v>
      </c>
      <c r="O57" s="4" t="e">
        <f t="array" aca="1" ref="O57">MAX(L57:N57*(1-strike(L57:N57)))</f>
        <v>#NAME?</v>
      </c>
      <c r="P57" s="3">
        <v>290</v>
      </c>
      <c r="Q57" s="3">
        <v>300</v>
      </c>
      <c r="R57" s="1">
        <v>305</v>
      </c>
      <c r="S57" s="4" t="e">
        <f t="array" aca="1" ref="S57">MAX(P57:R57*(1-strike(P57:R57)))</f>
        <v>#NAME?</v>
      </c>
      <c r="T57" s="4" t="e">
        <f t="shared" si="0"/>
        <v>#NAME?</v>
      </c>
      <c r="U57" s="3">
        <v>770</v>
      </c>
      <c r="V57" s="3">
        <v>446.67</v>
      </c>
      <c r="W57" s="3">
        <v>5</v>
      </c>
      <c r="X57" s="5">
        <v>2012</v>
      </c>
      <c r="Y57" s="5" t="s">
        <v>29</v>
      </c>
      <c r="Z57" s="5" t="s">
        <v>30</v>
      </c>
      <c r="AA57" s="5">
        <v>1517</v>
      </c>
    </row>
    <row r="58" spans="1:27">
      <c r="A58" s="3">
        <v>3</v>
      </c>
      <c r="B58" s="3" t="s">
        <v>110</v>
      </c>
      <c r="C58" s="3">
        <v>1979</v>
      </c>
      <c r="D58" s="3" t="s">
        <v>28</v>
      </c>
      <c r="E58" s="3">
        <v>104.05</v>
      </c>
      <c r="F58" s="3">
        <v>0.59950000000000003</v>
      </c>
      <c r="G58" s="3">
        <v>17</v>
      </c>
      <c r="H58" s="3">
        <v>285</v>
      </c>
      <c r="I58" s="3">
        <v>300</v>
      </c>
      <c r="J58" s="3">
        <v>307.5</v>
      </c>
      <c r="K58" s="4" t="e">
        <f t="array" aca="1" ref="K58">MAX(H58:J58*(1-strike(H58:J58)))</f>
        <v>#NAME?</v>
      </c>
      <c r="L58" s="3">
        <v>200</v>
      </c>
      <c r="M58" s="1">
        <v>210</v>
      </c>
      <c r="N58" s="1">
        <v>215</v>
      </c>
      <c r="O58" s="4" t="e">
        <f t="array" aca="1" ref="O58">MAX(L58:N58*(1-strike(L58:N58)))</f>
        <v>#NAME?</v>
      </c>
      <c r="P58" s="3">
        <v>305</v>
      </c>
      <c r="Q58" s="3">
        <v>317.5</v>
      </c>
      <c r="R58" s="3">
        <v>322.5</v>
      </c>
      <c r="S58" s="4" t="e">
        <f t="array" aca="1" ref="S58">MAX(P58:R58*(1-strike(P58:R58)))</f>
        <v>#NAME?</v>
      </c>
      <c r="T58" s="4" t="e">
        <f t="shared" si="0"/>
        <v>#NAME?</v>
      </c>
      <c r="U58" s="3">
        <v>830</v>
      </c>
      <c r="V58" s="3">
        <v>497.58</v>
      </c>
      <c r="W58" s="3">
        <v>8</v>
      </c>
      <c r="X58" s="5">
        <v>2012</v>
      </c>
      <c r="Y58" s="5" t="s">
        <v>29</v>
      </c>
      <c r="Z58" s="5" t="s">
        <v>30</v>
      </c>
      <c r="AA58" s="5">
        <v>1495</v>
      </c>
    </row>
    <row r="59" spans="1:27">
      <c r="A59" s="3">
        <v>13</v>
      </c>
      <c r="B59" s="3" t="s">
        <v>111</v>
      </c>
      <c r="C59" s="3">
        <v>1984</v>
      </c>
      <c r="D59" s="3" t="s">
        <v>32</v>
      </c>
      <c r="E59" s="3">
        <v>129.35</v>
      </c>
      <c r="F59" s="3">
        <v>0.56610000000000005</v>
      </c>
      <c r="G59" s="3">
        <v>3</v>
      </c>
      <c r="H59" s="1">
        <v>260</v>
      </c>
      <c r="I59" s="3">
        <v>260</v>
      </c>
      <c r="J59" s="1">
        <v>295</v>
      </c>
      <c r="K59" s="4" t="e">
        <f t="array" aca="1" ref="K59">MAX(H59:J59*(1-strike(H59:J59)))</f>
        <v>#NAME?</v>
      </c>
      <c r="L59" s="3">
        <v>200</v>
      </c>
      <c r="M59" s="3">
        <v>210</v>
      </c>
      <c r="N59" s="3">
        <v>215</v>
      </c>
      <c r="O59" s="4" t="e">
        <f t="array" aca="1" ref="O59">MAX(L59:N59*(1-strike(L59:N59)))</f>
        <v>#NAME?</v>
      </c>
      <c r="P59" s="3">
        <v>260</v>
      </c>
      <c r="Q59" s="3">
        <v>275</v>
      </c>
      <c r="R59" s="1">
        <v>282.5</v>
      </c>
      <c r="S59" s="4" t="e">
        <f t="array" aca="1" ref="S59">MAX(P59:R59*(1-strike(P59:R59)))</f>
        <v>#NAME?</v>
      </c>
      <c r="T59" s="4" t="e">
        <f t="shared" si="0"/>
        <v>#NAME?</v>
      </c>
      <c r="U59" s="3">
        <v>750</v>
      </c>
      <c r="V59" s="3">
        <v>424.57</v>
      </c>
      <c r="W59" s="3">
        <v>1</v>
      </c>
      <c r="X59" s="5">
        <v>2012</v>
      </c>
      <c r="Y59" s="5" t="s">
        <v>29</v>
      </c>
      <c r="Z59" s="5" t="s">
        <v>30</v>
      </c>
      <c r="AA59" s="5">
        <v>1539</v>
      </c>
    </row>
    <row r="60" spans="1:27">
      <c r="A60" s="3">
        <v>7</v>
      </c>
      <c r="B60" s="3" t="s">
        <v>112</v>
      </c>
      <c r="C60" s="3">
        <v>1990</v>
      </c>
      <c r="D60" s="3" t="s">
        <v>113</v>
      </c>
      <c r="E60" s="3">
        <v>80.400000000000006</v>
      </c>
      <c r="F60" s="3">
        <v>0.68059999999999998</v>
      </c>
      <c r="G60" s="3">
        <v>14</v>
      </c>
      <c r="H60" s="3">
        <v>207.5</v>
      </c>
      <c r="I60" s="3">
        <v>220</v>
      </c>
      <c r="J60" s="3">
        <v>227.5</v>
      </c>
      <c r="K60" s="4" t="e">
        <f t="array" aca="1" ref="K60">MAX(H60:J60*(1-strike(H60:J60)))</f>
        <v>#NAME?</v>
      </c>
      <c r="L60" s="3">
        <v>160</v>
      </c>
      <c r="M60" s="3">
        <v>175</v>
      </c>
      <c r="N60" s="3">
        <v>177.5</v>
      </c>
      <c r="O60" s="4" t="e">
        <f t="array" aca="1" ref="O60">MAX(L60:N60*(1-strike(L60:N60)))</f>
        <v>#NAME?</v>
      </c>
      <c r="P60" s="3">
        <v>230</v>
      </c>
      <c r="Q60" s="3">
        <v>245</v>
      </c>
      <c r="R60" s="1">
        <v>250</v>
      </c>
      <c r="S60" s="4" t="e">
        <f t="array" aca="1" ref="S60">MAX(P60:R60*(1-strike(P60:R60)))</f>
        <v>#NAME?</v>
      </c>
      <c r="T60" s="4" t="e">
        <f t="shared" si="0"/>
        <v>#NAME?</v>
      </c>
      <c r="U60" s="3">
        <v>650</v>
      </c>
      <c r="V60" s="3">
        <v>442.39</v>
      </c>
      <c r="W60" s="3">
        <v>4</v>
      </c>
      <c r="X60" s="5">
        <v>2012</v>
      </c>
      <c r="Y60" s="5" t="s">
        <v>29</v>
      </c>
      <c r="Z60" s="5" t="s">
        <v>30</v>
      </c>
      <c r="AA60" s="5">
        <v>1464</v>
      </c>
    </row>
    <row r="61" spans="1:27">
      <c r="A61" s="3">
        <v>7</v>
      </c>
      <c r="B61" s="3" t="s">
        <v>114</v>
      </c>
      <c r="C61" s="3">
        <v>1975</v>
      </c>
      <c r="D61" s="3" t="s">
        <v>56</v>
      </c>
      <c r="E61" s="3">
        <v>65.45</v>
      </c>
      <c r="F61" s="3">
        <v>0.79059999999999997</v>
      </c>
      <c r="G61" s="3">
        <v>5</v>
      </c>
      <c r="H61" s="3">
        <v>172.5</v>
      </c>
      <c r="I61" s="1">
        <v>180</v>
      </c>
      <c r="J61" s="1">
        <v>180</v>
      </c>
      <c r="K61" s="4" t="e">
        <f t="array" aca="1" ref="K61">MAX(H61:J61*(1-strike(H61:J61)))</f>
        <v>#NAME?</v>
      </c>
      <c r="L61" s="3">
        <v>92.5</v>
      </c>
      <c r="M61" s="1">
        <v>97.5</v>
      </c>
      <c r="N61" s="3">
        <v>97.5</v>
      </c>
      <c r="O61" s="4" t="e">
        <f t="array" aca="1" ref="O61">MAX(L61:N61*(1-strike(L61:N61)))</f>
        <v>#NAME?</v>
      </c>
      <c r="P61" s="3">
        <v>250</v>
      </c>
      <c r="Q61" s="1">
        <v>270.5</v>
      </c>
      <c r="R61" s="1">
        <v>271</v>
      </c>
      <c r="S61" s="4" t="e">
        <f t="array" aca="1" ref="S61">MAX(P61:R61*(1-strike(P61:R61)))</f>
        <v>#NAME?</v>
      </c>
      <c r="T61" s="4" t="e">
        <f t="shared" si="0"/>
        <v>#NAME?</v>
      </c>
      <c r="U61" s="3">
        <v>520</v>
      </c>
      <c r="V61" s="3">
        <v>411.11</v>
      </c>
      <c r="W61" s="3">
        <v>4</v>
      </c>
      <c r="X61" s="5">
        <v>2012</v>
      </c>
      <c r="Y61" s="5" t="s">
        <v>29</v>
      </c>
      <c r="Z61" s="5" t="s">
        <v>30</v>
      </c>
      <c r="AA61" s="5">
        <v>1439</v>
      </c>
    </row>
    <row r="62" spans="1:27">
      <c r="A62" s="3">
        <v>14</v>
      </c>
      <c r="B62" s="3" t="s">
        <v>115</v>
      </c>
      <c r="C62" s="3">
        <v>1994</v>
      </c>
      <c r="D62" s="3" t="s">
        <v>56</v>
      </c>
      <c r="E62" s="3">
        <v>73.849999999999994</v>
      </c>
      <c r="F62" s="3">
        <v>0.72040000000000004</v>
      </c>
      <c r="G62" s="3">
        <v>12</v>
      </c>
      <c r="H62" s="3">
        <v>175</v>
      </c>
      <c r="I62" s="3">
        <v>185</v>
      </c>
      <c r="J62" s="1">
        <v>192.5</v>
      </c>
      <c r="K62" s="4" t="e">
        <f t="array" aca="1" ref="K62">MAX(H62:J62*(1-strike(H62:J62)))</f>
        <v>#NAME?</v>
      </c>
      <c r="L62" s="3">
        <v>95</v>
      </c>
      <c r="M62" s="3">
        <v>100</v>
      </c>
      <c r="N62" s="3">
        <v>102.5</v>
      </c>
      <c r="O62" s="4" t="e">
        <f t="array" aca="1" ref="O62">MAX(L62:N62*(1-strike(L62:N62)))</f>
        <v>#NAME?</v>
      </c>
      <c r="P62" s="1">
        <v>210</v>
      </c>
      <c r="Q62" s="1">
        <v>210</v>
      </c>
      <c r="R62" s="3">
        <v>210</v>
      </c>
      <c r="S62" s="4" t="e">
        <f t="array" aca="1" ref="S62">MAX(P62:R62*(1-strike(P62:R62)))</f>
        <v>#NAME?</v>
      </c>
      <c r="T62" s="4" t="e">
        <f t="shared" si="0"/>
        <v>#NAME?</v>
      </c>
      <c r="U62" s="3">
        <v>497.5</v>
      </c>
      <c r="V62" s="3">
        <v>358.37</v>
      </c>
      <c r="W62" s="3">
        <v>1</v>
      </c>
      <c r="X62" s="5">
        <v>2012</v>
      </c>
      <c r="Y62" s="5" t="s">
        <v>29</v>
      </c>
      <c r="Z62" s="5" t="s">
        <v>30</v>
      </c>
      <c r="AA62" s="5">
        <v>1456</v>
      </c>
    </row>
    <row r="63" spans="1:27">
      <c r="A63" s="3">
        <v>7</v>
      </c>
      <c r="B63" s="3" t="s">
        <v>116</v>
      </c>
      <c r="C63" s="3">
        <v>1974</v>
      </c>
      <c r="D63" s="3" t="s">
        <v>45</v>
      </c>
      <c r="E63" s="3">
        <v>129.55000000000001</v>
      </c>
      <c r="F63" s="3">
        <v>0.56589999999999996</v>
      </c>
      <c r="G63" s="3">
        <v>11</v>
      </c>
      <c r="H63" s="3">
        <v>292.5</v>
      </c>
      <c r="I63" s="3">
        <v>300</v>
      </c>
      <c r="J63" s="1">
        <v>305</v>
      </c>
      <c r="K63" s="4" t="e">
        <f t="array" aca="1" ref="K63">MAX(H63:J63*(1-strike(H63:J63)))</f>
        <v>#NAME?</v>
      </c>
      <c r="L63" s="3">
        <v>200</v>
      </c>
      <c r="M63" s="1">
        <v>210</v>
      </c>
      <c r="N63" s="1">
        <v>210</v>
      </c>
      <c r="O63" s="4" t="e">
        <f t="array" aca="1" ref="O63">MAX(L63:N63*(1-strike(L63:N63)))</f>
        <v>#NAME?</v>
      </c>
      <c r="P63" s="3">
        <v>310</v>
      </c>
      <c r="Q63" s="3">
        <v>325</v>
      </c>
      <c r="R63" s="1">
        <v>327.5</v>
      </c>
      <c r="S63" s="4" t="e">
        <f t="array" aca="1" ref="S63">MAX(P63:R63*(1-strike(P63:R63)))</f>
        <v>#NAME?</v>
      </c>
      <c r="T63" s="4" t="e">
        <f t="shared" si="0"/>
        <v>#NAME?</v>
      </c>
      <c r="U63" s="3">
        <v>825</v>
      </c>
      <c r="V63" s="3">
        <v>466.9</v>
      </c>
      <c r="W63" s="3">
        <v>4</v>
      </c>
      <c r="X63" s="5">
        <v>2012</v>
      </c>
      <c r="Y63" s="5" t="s">
        <v>29</v>
      </c>
      <c r="Z63" s="5" t="s">
        <v>30</v>
      </c>
      <c r="AA63" s="5">
        <v>1533</v>
      </c>
    </row>
    <row r="64" spans="1:27">
      <c r="A64" s="3">
        <v>19</v>
      </c>
      <c r="B64" s="3" t="s">
        <v>117</v>
      </c>
      <c r="C64" s="3">
        <v>1982</v>
      </c>
      <c r="D64" s="3" t="s">
        <v>113</v>
      </c>
      <c r="E64" s="3">
        <v>92.1</v>
      </c>
      <c r="F64" s="3">
        <v>0.63109999999999999</v>
      </c>
      <c r="G64" s="3">
        <v>13</v>
      </c>
      <c r="H64" s="3">
        <v>190</v>
      </c>
      <c r="I64" s="3">
        <v>210</v>
      </c>
      <c r="J64" s="1">
        <v>235</v>
      </c>
      <c r="K64" s="4" t="e">
        <f t="array" aca="1" ref="K64">MAX(H64:J64*(1-strike(H64:J64)))</f>
        <v>#NAME?</v>
      </c>
      <c r="L64" s="3">
        <v>170</v>
      </c>
      <c r="M64" s="3">
        <v>182.5</v>
      </c>
      <c r="N64" s="3">
        <v>187.5</v>
      </c>
      <c r="O64" s="4" t="e">
        <f t="array" aca="1" ref="O64">MAX(L64:N64*(1-strike(L64:N64)))</f>
        <v>#NAME?</v>
      </c>
      <c r="P64" s="3">
        <v>230</v>
      </c>
      <c r="Q64" s="3">
        <v>252.5</v>
      </c>
      <c r="R64" s="1">
        <v>272.5</v>
      </c>
      <c r="S64" s="4" t="e">
        <f t="array" aca="1" ref="S64">MAX(P64:R64*(1-strike(P64:R64)))</f>
        <v>#NAME?</v>
      </c>
      <c r="T64" s="4" t="e">
        <f t="shared" si="0"/>
        <v>#NAME?</v>
      </c>
      <c r="U64" s="3">
        <v>650</v>
      </c>
      <c r="V64" s="3">
        <v>410.21</v>
      </c>
      <c r="W64" s="3">
        <v>1</v>
      </c>
      <c r="X64" s="5">
        <v>2012</v>
      </c>
      <c r="Y64" s="5" t="s">
        <v>29</v>
      </c>
      <c r="Z64" s="5" t="s">
        <v>30</v>
      </c>
      <c r="AA64" s="5">
        <v>1489</v>
      </c>
    </row>
    <row r="65" spans="1:27" ht="15" customHeight="1">
      <c r="A65" s="3">
        <v>5</v>
      </c>
      <c r="B65" s="3" t="s">
        <v>118</v>
      </c>
      <c r="C65" s="3">
        <v>1980</v>
      </c>
      <c r="D65" s="3" t="s">
        <v>119</v>
      </c>
      <c r="E65" s="3">
        <v>72.2</v>
      </c>
      <c r="F65" s="3">
        <v>0.73219999999999996</v>
      </c>
      <c r="G65" s="3">
        <v>15</v>
      </c>
      <c r="H65" s="3">
        <v>190</v>
      </c>
      <c r="I65" s="1">
        <v>200</v>
      </c>
      <c r="J65" s="3">
        <v>200</v>
      </c>
      <c r="K65" s="4" t="e">
        <f t="array" aca="1" ref="K65">MAX(H65:J65*(1-strike(H65:J65)))</f>
        <v>#NAME?</v>
      </c>
      <c r="L65" s="3">
        <v>152.5</v>
      </c>
      <c r="M65" s="3">
        <v>160</v>
      </c>
      <c r="N65" s="3">
        <v>162.5</v>
      </c>
      <c r="O65" s="4" t="e">
        <f t="array" aca="1" ref="O65">MAX(L65:N65*(1-strike(L65:N65)))</f>
        <v>#NAME?</v>
      </c>
      <c r="P65" s="3">
        <v>240</v>
      </c>
      <c r="Q65" s="3">
        <v>247.5</v>
      </c>
      <c r="R65" s="1">
        <v>265</v>
      </c>
      <c r="S65" s="4" t="e">
        <f t="array" aca="1" ref="S65">MAX(P65:R65*(1-strike(P65:R65)))</f>
        <v>#NAME?</v>
      </c>
      <c r="T65" s="4" t="e">
        <f t="shared" si="0"/>
        <v>#NAME?</v>
      </c>
      <c r="U65" s="3">
        <v>610</v>
      </c>
      <c r="V65" s="3">
        <v>446.64</v>
      </c>
      <c r="W65" s="3">
        <v>6</v>
      </c>
      <c r="X65" s="5">
        <v>2012</v>
      </c>
      <c r="Y65" s="5" t="s">
        <v>29</v>
      </c>
      <c r="Z65" s="5" t="s">
        <v>30</v>
      </c>
      <c r="AA65" s="5">
        <v>1447</v>
      </c>
    </row>
    <row r="66" spans="1:27">
      <c r="A66" s="3">
        <v>13</v>
      </c>
      <c r="B66" s="3" t="s">
        <v>120</v>
      </c>
      <c r="C66" s="3">
        <v>1959</v>
      </c>
      <c r="D66" s="3" t="s">
        <v>51</v>
      </c>
      <c r="E66" s="3">
        <v>103.35</v>
      </c>
      <c r="F66" s="3">
        <v>0.60099999999999998</v>
      </c>
      <c r="G66" s="3">
        <v>7</v>
      </c>
      <c r="H66" s="1">
        <v>270</v>
      </c>
      <c r="I66" s="1">
        <v>270</v>
      </c>
      <c r="J66" s="3">
        <v>270</v>
      </c>
      <c r="K66" s="4" t="e">
        <f t="array" aca="1" ref="K66">MAX(H66:J66*(1-strike(H66:J66)))</f>
        <v>#NAME?</v>
      </c>
      <c r="L66" s="3">
        <v>150</v>
      </c>
      <c r="M66" s="3">
        <v>160</v>
      </c>
      <c r="N66" s="3">
        <v>170</v>
      </c>
      <c r="O66" s="4" t="e">
        <f t="array" aca="1" ref="O66">MAX(L66:N66*(1-strike(L66:N66)))</f>
        <v>#NAME?</v>
      </c>
      <c r="P66" s="3">
        <v>250</v>
      </c>
      <c r="Q66" s="1">
        <v>280</v>
      </c>
      <c r="R66" s="3">
        <v>280</v>
      </c>
      <c r="S66" s="4" t="e">
        <f t="array" aca="1" ref="S66">MAX(P66:R66*(1-strike(P66:R66)))</f>
        <v>#NAME?</v>
      </c>
      <c r="T66" s="4" t="e">
        <f t="shared" ref="T66:T129" si="1">IF(AND(K66&lt;&gt;0,O66&lt;&gt;0,S66&lt;&gt;0),K66+O66+S66,0)</f>
        <v>#NAME?</v>
      </c>
      <c r="U66" s="3">
        <v>720</v>
      </c>
      <c r="V66" s="3">
        <v>432.72</v>
      </c>
      <c r="W66" s="3">
        <v>1</v>
      </c>
      <c r="X66" s="5">
        <v>2012</v>
      </c>
      <c r="Y66" s="5" t="s">
        <v>29</v>
      </c>
      <c r="Z66" s="5" t="s">
        <v>30</v>
      </c>
      <c r="AA66" s="5">
        <v>1505</v>
      </c>
    </row>
    <row r="67" spans="1:27">
      <c r="A67" s="3">
        <v>6</v>
      </c>
      <c r="B67" s="3" t="s">
        <v>121</v>
      </c>
      <c r="C67" s="3">
        <v>1967</v>
      </c>
      <c r="D67" s="3" t="s">
        <v>77</v>
      </c>
      <c r="E67" s="3">
        <v>58.6</v>
      </c>
      <c r="F67" s="3">
        <v>0.87170000000000003</v>
      </c>
      <c r="G67" s="3">
        <v>4</v>
      </c>
      <c r="H67" s="3">
        <v>155</v>
      </c>
      <c r="I67" s="3">
        <v>165</v>
      </c>
      <c r="J67" s="1">
        <v>170</v>
      </c>
      <c r="K67" s="4" t="e">
        <f t="array" aca="1" ref="K67">MAX(H67:J67*(1-strike(H67:J67)))</f>
        <v>#NAME?</v>
      </c>
      <c r="L67" s="3">
        <v>120</v>
      </c>
      <c r="M67" s="1">
        <v>125</v>
      </c>
      <c r="N67" s="3">
        <v>125</v>
      </c>
      <c r="O67" s="4" t="e">
        <f t="array" aca="1" ref="O67">MAX(L67:N67*(1-strike(L67:N67)))</f>
        <v>#NAME?</v>
      </c>
      <c r="P67" s="3">
        <v>200</v>
      </c>
      <c r="Q67" s="1">
        <v>210</v>
      </c>
      <c r="R67" s="1">
        <v>212.5</v>
      </c>
      <c r="S67" s="4" t="e">
        <f t="array" aca="1" ref="S67">MAX(P67:R67*(1-strike(P67:R67)))</f>
        <v>#NAME?</v>
      </c>
      <c r="T67" s="4" t="e">
        <f t="shared" si="1"/>
        <v>#NAME?</v>
      </c>
      <c r="U67" s="3">
        <v>490</v>
      </c>
      <c r="V67" s="3">
        <v>427.13</v>
      </c>
      <c r="W67" s="3">
        <v>5</v>
      </c>
      <c r="X67" s="5">
        <v>2012</v>
      </c>
      <c r="Y67" s="5" t="s">
        <v>29</v>
      </c>
      <c r="Z67" s="5" t="s">
        <v>30</v>
      </c>
      <c r="AA67" s="5">
        <v>1430</v>
      </c>
    </row>
    <row r="68" spans="1:27">
      <c r="A68" s="3">
        <v>6</v>
      </c>
      <c r="B68" s="3" t="s">
        <v>122</v>
      </c>
      <c r="C68" s="3">
        <v>1977</v>
      </c>
      <c r="D68" s="3" t="s">
        <v>77</v>
      </c>
      <c r="E68" s="3">
        <v>65.599999999999994</v>
      </c>
      <c r="F68" s="3">
        <v>0.78910000000000002</v>
      </c>
      <c r="G68" s="3">
        <v>13</v>
      </c>
      <c r="H68" s="3">
        <v>170</v>
      </c>
      <c r="I68" s="3">
        <v>180</v>
      </c>
      <c r="J68" s="3">
        <v>185</v>
      </c>
      <c r="K68" s="4" t="e">
        <f t="array" aca="1" ref="K68">MAX(H68:J68*(1-strike(H68:J68)))</f>
        <v>#NAME?</v>
      </c>
      <c r="L68" s="3">
        <v>115</v>
      </c>
      <c r="M68" s="3">
        <v>120</v>
      </c>
      <c r="N68" s="1">
        <v>122.5</v>
      </c>
      <c r="O68" s="4" t="e">
        <f t="array" aca="1" ref="O68">MAX(L68:N68*(1-strike(L68:N68)))</f>
        <v>#NAME?</v>
      </c>
      <c r="P68" s="3">
        <v>220</v>
      </c>
      <c r="Q68" s="3">
        <v>230</v>
      </c>
      <c r="R68" s="1">
        <v>237.5</v>
      </c>
      <c r="S68" s="4" t="e">
        <f t="array" aca="1" ref="S68">MAX(P68:R68*(1-strike(P68:R68)))</f>
        <v>#NAME?</v>
      </c>
      <c r="T68" s="4" t="e">
        <f t="shared" si="1"/>
        <v>#NAME?</v>
      </c>
      <c r="U68" s="3">
        <v>535</v>
      </c>
      <c r="V68" s="3">
        <v>422.16</v>
      </c>
      <c r="W68" s="3">
        <v>5</v>
      </c>
      <c r="X68" s="5">
        <v>2012</v>
      </c>
      <c r="Y68" s="5" t="s">
        <v>29</v>
      </c>
      <c r="Z68" s="5" t="s">
        <v>30</v>
      </c>
      <c r="AA68" s="5">
        <v>1438</v>
      </c>
    </row>
    <row r="69" spans="1:27">
      <c r="A69" s="3">
        <v>6</v>
      </c>
      <c r="B69" s="3" t="s">
        <v>123</v>
      </c>
      <c r="C69" s="3">
        <v>1983</v>
      </c>
      <c r="D69" s="3" t="s">
        <v>80</v>
      </c>
      <c r="E69" s="3">
        <v>104.65</v>
      </c>
      <c r="F69" s="3">
        <v>0.59830000000000005</v>
      </c>
      <c r="G69" s="3">
        <v>5</v>
      </c>
      <c r="H69" s="3">
        <v>270</v>
      </c>
      <c r="I69" s="1">
        <v>290</v>
      </c>
      <c r="J69" s="3">
        <v>290</v>
      </c>
      <c r="K69" s="4" t="e">
        <f t="array" aca="1" ref="K69">MAX(H69:J69*(1-strike(H69:J69)))</f>
        <v>#NAME?</v>
      </c>
      <c r="L69" s="3">
        <v>190</v>
      </c>
      <c r="M69" s="3">
        <v>197.5</v>
      </c>
      <c r="N69" s="1">
        <v>202.5</v>
      </c>
      <c r="O69" s="4" t="e">
        <f t="array" aca="1" ref="O69">MAX(L69:N69*(1-strike(L69:N69)))</f>
        <v>#NAME?</v>
      </c>
      <c r="P69" s="3">
        <v>285</v>
      </c>
      <c r="Q69" s="3">
        <v>300</v>
      </c>
      <c r="R69" s="1">
        <v>310</v>
      </c>
      <c r="S69" s="4" t="e">
        <f t="array" aca="1" ref="S69">MAX(P69:R69*(1-strike(P69:R69)))</f>
        <v>#NAME?</v>
      </c>
      <c r="T69" s="4" t="e">
        <f t="shared" si="1"/>
        <v>#NAME?</v>
      </c>
      <c r="U69" s="3">
        <v>787.5</v>
      </c>
      <c r="V69" s="3">
        <v>471.16</v>
      </c>
      <c r="W69" s="3">
        <v>5</v>
      </c>
      <c r="X69" s="5">
        <v>2012</v>
      </c>
      <c r="Y69" s="5" t="s">
        <v>29</v>
      </c>
      <c r="Z69" s="5" t="s">
        <v>30</v>
      </c>
      <c r="AA69" s="5">
        <v>1498</v>
      </c>
    </row>
    <row r="70" spans="1:27">
      <c r="A70" s="3">
        <v>9</v>
      </c>
      <c r="B70" s="3" t="s">
        <v>124</v>
      </c>
      <c r="C70" s="3">
        <v>1966</v>
      </c>
      <c r="D70" s="3" t="s">
        <v>125</v>
      </c>
      <c r="E70" s="3">
        <v>73.25</v>
      </c>
      <c r="F70" s="3">
        <v>0.72460000000000002</v>
      </c>
      <c r="G70" s="3">
        <v>7</v>
      </c>
      <c r="H70" s="3">
        <v>205</v>
      </c>
      <c r="I70" s="3">
        <v>217.5</v>
      </c>
      <c r="J70" s="3">
        <v>220</v>
      </c>
      <c r="K70" s="4" t="e">
        <f t="array" aca="1" ref="K70">MAX(H70:J70*(1-strike(H70:J70)))</f>
        <v>#NAME?</v>
      </c>
      <c r="L70" s="3">
        <v>117.5</v>
      </c>
      <c r="M70" s="3">
        <v>122.5</v>
      </c>
      <c r="N70" s="3">
        <v>125</v>
      </c>
      <c r="O70" s="4" t="e">
        <f t="array" aca="1" ref="O70">MAX(L70:N70*(1-strike(L70:N70)))</f>
        <v>#NAME?</v>
      </c>
      <c r="P70" s="3">
        <v>230</v>
      </c>
      <c r="Q70" s="3">
        <v>242.5</v>
      </c>
      <c r="R70" s="3"/>
      <c r="S70" s="4" t="e">
        <f t="array" aca="1" ref="S70">MAX(P70:R70*(1-strike(P70:R70)))</f>
        <v>#NAME?</v>
      </c>
      <c r="T70" s="4" t="e">
        <f t="shared" si="1"/>
        <v>#NAME?</v>
      </c>
      <c r="U70" s="3">
        <v>587.5</v>
      </c>
      <c r="V70" s="3">
        <v>425.67</v>
      </c>
      <c r="W70" s="3">
        <v>2</v>
      </c>
      <c r="X70" s="5">
        <v>2012</v>
      </c>
      <c r="Y70" s="5" t="s">
        <v>29</v>
      </c>
      <c r="Z70" s="5" t="s">
        <v>30</v>
      </c>
      <c r="AA70" s="5">
        <v>1451</v>
      </c>
    </row>
    <row r="71" spans="1:27">
      <c r="A71" s="3">
        <v>8</v>
      </c>
      <c r="B71" s="3" t="s">
        <v>126</v>
      </c>
      <c r="C71" s="3">
        <v>1987</v>
      </c>
      <c r="D71" s="3" t="s">
        <v>80</v>
      </c>
      <c r="E71" s="3">
        <v>103.35</v>
      </c>
      <c r="F71" s="3">
        <v>0.60099999999999998</v>
      </c>
      <c r="G71" s="3">
        <v>2</v>
      </c>
      <c r="H71" s="3">
        <v>240</v>
      </c>
      <c r="I71" s="1">
        <v>250</v>
      </c>
      <c r="J71" s="3">
        <v>255</v>
      </c>
      <c r="K71" s="4" t="e">
        <f t="array" aca="1" ref="K71">MAX(H71:J71*(1-strike(H71:J71)))</f>
        <v>#NAME?</v>
      </c>
      <c r="L71" s="3">
        <v>175</v>
      </c>
      <c r="M71" s="3">
        <v>185</v>
      </c>
      <c r="N71" s="1">
        <v>192.5</v>
      </c>
      <c r="O71" s="4" t="e">
        <f t="array" aca="1" ref="O71">MAX(L71:N71*(1-strike(L71:N71)))</f>
        <v>#NAME?</v>
      </c>
      <c r="P71" s="3">
        <v>300</v>
      </c>
      <c r="Q71" s="3">
        <v>310</v>
      </c>
      <c r="R71" s="1">
        <v>325</v>
      </c>
      <c r="S71" s="4" t="e">
        <f t="array" aca="1" ref="S71">MAX(P71:R71*(1-strike(P71:R71)))</f>
        <v>#NAME?</v>
      </c>
      <c r="T71" s="4" t="e">
        <f t="shared" si="1"/>
        <v>#NAME?</v>
      </c>
      <c r="U71" s="3">
        <v>750</v>
      </c>
      <c r="V71" s="3">
        <v>450.75</v>
      </c>
      <c r="W71" s="3">
        <v>3</v>
      </c>
      <c r="X71" s="5">
        <v>2012</v>
      </c>
      <c r="Y71" s="5" t="s">
        <v>29</v>
      </c>
      <c r="Z71" s="5" t="s">
        <v>30</v>
      </c>
      <c r="AA71" s="5">
        <v>1500</v>
      </c>
    </row>
    <row r="72" spans="1:27">
      <c r="A72" s="3">
        <v>11</v>
      </c>
      <c r="B72" s="3" t="s">
        <v>127</v>
      </c>
      <c r="C72" s="3">
        <v>1978</v>
      </c>
      <c r="D72" s="3" t="s">
        <v>49</v>
      </c>
      <c r="E72" s="3">
        <v>128.05000000000001</v>
      </c>
      <c r="F72" s="3">
        <v>0.56720000000000004</v>
      </c>
      <c r="G72" s="3">
        <v>2</v>
      </c>
      <c r="H72" s="3">
        <v>275</v>
      </c>
      <c r="I72" s="3">
        <v>295</v>
      </c>
      <c r="J72" s="1">
        <v>305</v>
      </c>
      <c r="K72" s="4" t="e">
        <f t="array" aca="1" ref="K72">MAX(H72:J72*(1-strike(H72:J72)))</f>
        <v>#NAME?</v>
      </c>
      <c r="L72" s="3">
        <v>195</v>
      </c>
      <c r="M72" s="1">
        <v>207.5</v>
      </c>
      <c r="N72" s="1">
        <v>207.5</v>
      </c>
      <c r="O72" s="4" t="e">
        <f t="array" aca="1" ref="O72">MAX(L72:N72*(1-strike(L72:N72)))</f>
        <v>#NAME?</v>
      </c>
      <c r="P72" s="3">
        <v>275</v>
      </c>
      <c r="Q72" s="1">
        <v>295</v>
      </c>
      <c r="R72" s="1">
        <v>295</v>
      </c>
      <c r="S72" s="4" t="e">
        <f t="array" aca="1" ref="S72">MAX(P72:R72*(1-strike(P72:R72)))</f>
        <v>#NAME?</v>
      </c>
      <c r="T72" s="4" t="e">
        <f t="shared" si="1"/>
        <v>#NAME?</v>
      </c>
      <c r="U72" s="3">
        <v>765</v>
      </c>
      <c r="V72" s="3">
        <v>433.86</v>
      </c>
      <c r="W72" s="3">
        <v>1</v>
      </c>
      <c r="X72" s="5">
        <v>2012</v>
      </c>
      <c r="Y72" s="5" t="s">
        <v>29</v>
      </c>
      <c r="Z72" s="5" t="s">
        <v>30</v>
      </c>
      <c r="AA72" s="5">
        <v>1537</v>
      </c>
    </row>
    <row r="73" spans="1:27">
      <c r="A73" s="3">
        <v>12</v>
      </c>
      <c r="B73" s="3" t="s">
        <v>128</v>
      </c>
      <c r="C73" s="3">
        <v>1979</v>
      </c>
      <c r="D73" s="3" t="s">
        <v>129</v>
      </c>
      <c r="E73" s="3">
        <v>103.8</v>
      </c>
      <c r="F73" s="3">
        <v>0.6</v>
      </c>
      <c r="G73" s="3">
        <v>11</v>
      </c>
      <c r="H73" s="3">
        <v>250</v>
      </c>
      <c r="I73" s="3">
        <v>260</v>
      </c>
      <c r="J73" s="3">
        <v>265</v>
      </c>
      <c r="K73" s="4" t="e">
        <f t="array" aca="1" ref="K73">MAX(H73:J73*(1-strike(H73:J73)))</f>
        <v>#NAME?</v>
      </c>
      <c r="L73" s="3">
        <v>150</v>
      </c>
      <c r="M73" s="1">
        <v>160</v>
      </c>
      <c r="N73" s="3"/>
      <c r="O73" s="4" t="e">
        <f t="array" aca="1" ref="O73">MAX(L73:N73*(1-strike(L73:N73)))</f>
        <v>#NAME?</v>
      </c>
      <c r="P73" s="1">
        <v>310</v>
      </c>
      <c r="Q73" s="3">
        <v>312.5</v>
      </c>
      <c r="R73" s="1">
        <v>320</v>
      </c>
      <c r="S73" s="4" t="e">
        <f t="array" aca="1" ref="S73">MAX(P73:R73*(1-strike(P73:R73)))</f>
        <v>#NAME?</v>
      </c>
      <c r="T73" s="4" t="e">
        <f t="shared" si="1"/>
        <v>#NAME?</v>
      </c>
      <c r="U73" s="3">
        <v>727.5</v>
      </c>
      <c r="V73" s="3">
        <v>436.5</v>
      </c>
      <c r="W73" s="3">
        <v>1</v>
      </c>
      <c r="X73" s="5">
        <v>2012</v>
      </c>
      <c r="Y73" s="5" t="s">
        <v>29</v>
      </c>
      <c r="Z73" s="5" t="s">
        <v>30</v>
      </c>
      <c r="AA73" s="5">
        <v>1504</v>
      </c>
    </row>
    <row r="74" spans="1:27">
      <c r="A74" s="3">
        <v>2</v>
      </c>
      <c r="B74" s="3" t="s">
        <v>130</v>
      </c>
      <c r="C74" s="3">
        <v>1975</v>
      </c>
      <c r="D74" s="3" t="s">
        <v>80</v>
      </c>
      <c r="E74" s="3">
        <v>73.2</v>
      </c>
      <c r="F74" s="3">
        <v>0.72489999999999999</v>
      </c>
      <c r="G74" s="3">
        <v>14</v>
      </c>
      <c r="H74" s="3">
        <v>210</v>
      </c>
      <c r="I74" s="3">
        <v>220</v>
      </c>
      <c r="J74" s="1">
        <v>225</v>
      </c>
      <c r="K74" s="4" t="e">
        <f t="array" aca="1" ref="K74">MAX(H74:J74*(1-strike(H74:J74)))</f>
        <v>#NAME?</v>
      </c>
      <c r="L74" s="3">
        <v>145</v>
      </c>
      <c r="M74" s="3">
        <v>150</v>
      </c>
      <c r="N74" s="1">
        <v>155</v>
      </c>
      <c r="O74" s="4" t="e">
        <f t="array" aca="1" ref="O74">MAX(L74:N74*(1-strike(L74:N74)))</f>
        <v>#NAME?</v>
      </c>
      <c r="P74" s="3">
        <v>265</v>
      </c>
      <c r="Q74" s="3">
        <v>280</v>
      </c>
      <c r="R74" s="1">
        <v>300</v>
      </c>
      <c r="S74" s="4" t="e">
        <f t="array" aca="1" ref="S74">MAX(P74:R74*(1-strike(P74:R74)))</f>
        <v>#NAME?</v>
      </c>
      <c r="T74" s="4" t="e">
        <f t="shared" si="1"/>
        <v>#NAME?</v>
      </c>
      <c r="U74" s="3">
        <v>650</v>
      </c>
      <c r="V74" s="3">
        <v>471.18</v>
      </c>
      <c r="W74" s="3">
        <v>9</v>
      </c>
      <c r="X74" s="5">
        <v>2012</v>
      </c>
      <c r="Y74" s="5" t="s">
        <v>29</v>
      </c>
      <c r="Z74" s="5" t="s">
        <v>30</v>
      </c>
      <c r="AA74" s="5">
        <v>1444</v>
      </c>
    </row>
    <row r="75" spans="1:27">
      <c r="A75" s="3">
        <v>14</v>
      </c>
      <c r="B75" s="3" t="s">
        <v>131</v>
      </c>
      <c r="C75" s="3">
        <v>1985</v>
      </c>
      <c r="D75" s="3" t="s">
        <v>77</v>
      </c>
      <c r="E75" s="3">
        <v>92.3</v>
      </c>
      <c r="F75" s="3">
        <v>0.63049999999999995</v>
      </c>
      <c r="G75" s="3">
        <v>12</v>
      </c>
      <c r="H75" s="3">
        <v>240</v>
      </c>
      <c r="I75" s="3">
        <v>260</v>
      </c>
      <c r="J75" s="1">
        <v>265</v>
      </c>
      <c r="K75" s="4" t="e">
        <f t="array" aca="1" ref="K75">MAX(H75:J75*(1-strike(H75:J75)))</f>
        <v>#NAME?</v>
      </c>
      <c r="L75" s="3">
        <v>135</v>
      </c>
      <c r="M75" s="3">
        <v>142.5</v>
      </c>
      <c r="N75" s="1">
        <v>145</v>
      </c>
      <c r="O75" s="4" t="e">
        <f t="array" aca="1" ref="O75">MAX(L75:N75*(1-strike(L75:N75)))</f>
        <v>#NAME?</v>
      </c>
      <c r="P75" s="3">
        <v>250</v>
      </c>
      <c r="Q75" s="3">
        <v>270</v>
      </c>
      <c r="R75" s="1">
        <v>285</v>
      </c>
      <c r="S75" s="4" t="e">
        <f t="array" aca="1" ref="S75">MAX(P75:R75*(1-strike(P75:R75)))</f>
        <v>#NAME?</v>
      </c>
      <c r="T75" s="4" t="e">
        <f t="shared" si="1"/>
        <v>#NAME?</v>
      </c>
      <c r="U75" s="3">
        <v>672.5</v>
      </c>
      <c r="V75" s="3">
        <v>423.99</v>
      </c>
      <c r="W75" s="3">
        <v>1</v>
      </c>
      <c r="X75" s="5">
        <v>2012</v>
      </c>
      <c r="Y75" s="5" t="s">
        <v>29</v>
      </c>
      <c r="Z75" s="5" t="s">
        <v>30</v>
      </c>
      <c r="AA75" s="5">
        <v>1484</v>
      </c>
    </row>
    <row r="76" spans="1:27" ht="15" customHeight="1">
      <c r="A76" s="3">
        <v>11</v>
      </c>
      <c r="B76" s="3" t="s">
        <v>132</v>
      </c>
      <c r="C76" s="3">
        <v>1986</v>
      </c>
      <c r="D76" s="3" t="s">
        <v>62</v>
      </c>
      <c r="E76" s="3">
        <v>91.65</v>
      </c>
      <c r="F76" s="3">
        <v>0.63260000000000005</v>
      </c>
      <c r="G76" s="3">
        <v>17</v>
      </c>
      <c r="H76" s="1">
        <v>230</v>
      </c>
      <c r="I76" s="1">
        <v>230</v>
      </c>
      <c r="J76" s="3">
        <v>230</v>
      </c>
      <c r="K76" s="4" t="e">
        <f t="array" aca="1" ref="K76">MAX(H76:J76*(1-strike(H76:J76)))</f>
        <v>#NAME?</v>
      </c>
      <c r="L76" s="3">
        <v>157.5</v>
      </c>
      <c r="M76" s="3">
        <v>167.5</v>
      </c>
      <c r="N76" s="3">
        <v>172.5</v>
      </c>
      <c r="O76" s="4" t="e">
        <f t="array" aca="1" ref="O76">MAX(L76:N76*(1-strike(L76:N76)))</f>
        <v>#NAME?</v>
      </c>
      <c r="P76" s="3">
        <v>292.5</v>
      </c>
      <c r="Q76" s="1">
        <v>312.5</v>
      </c>
      <c r="R76" s="1">
        <v>312.5</v>
      </c>
      <c r="S76" s="4" t="e">
        <f t="array" aca="1" ref="S76">MAX(P76:R76*(1-strike(P76:R76)))</f>
        <v>#NAME?</v>
      </c>
      <c r="T76" s="4" t="e">
        <f t="shared" si="1"/>
        <v>#NAME?</v>
      </c>
      <c r="U76" s="3">
        <v>695</v>
      </c>
      <c r="V76" s="3">
        <v>439.69</v>
      </c>
      <c r="W76" s="3">
        <v>1</v>
      </c>
      <c r="X76" s="5">
        <v>2012</v>
      </c>
      <c r="Y76" s="5" t="s">
        <v>29</v>
      </c>
      <c r="Z76" s="5" t="s">
        <v>30</v>
      </c>
      <c r="AA76" s="5">
        <v>1481</v>
      </c>
    </row>
    <row r="77" spans="1:27" ht="15" customHeight="1">
      <c r="A77" s="3">
        <v>5</v>
      </c>
      <c r="B77" s="3" t="s">
        <v>133</v>
      </c>
      <c r="C77" s="3">
        <v>1983</v>
      </c>
      <c r="D77" s="3" t="s">
        <v>35</v>
      </c>
      <c r="E77" s="3">
        <v>119.25</v>
      </c>
      <c r="F77" s="3">
        <v>0.57569999999999999</v>
      </c>
      <c r="G77" s="3">
        <v>5</v>
      </c>
      <c r="H77" s="3">
        <v>280</v>
      </c>
      <c r="I77" s="1">
        <v>290</v>
      </c>
      <c r="J77" s="3">
        <v>302.5</v>
      </c>
      <c r="K77" s="4" t="e">
        <f t="array" aca="1" ref="K77">MAX(H77:J77*(1-strike(H77:J77)))</f>
        <v>#NAME?</v>
      </c>
      <c r="L77" s="3">
        <v>200</v>
      </c>
      <c r="M77" s="3">
        <v>205</v>
      </c>
      <c r="N77" s="1">
        <v>210</v>
      </c>
      <c r="O77" s="4" t="e">
        <f t="array" aca="1" ref="O77">MAX(L77:N77*(1-strike(L77:N77)))</f>
        <v>#NAME?</v>
      </c>
      <c r="P77" s="3">
        <v>280</v>
      </c>
      <c r="Q77" s="3">
        <v>292.5</v>
      </c>
      <c r="R77" s="1">
        <v>297.5</v>
      </c>
      <c r="S77" s="4" t="e">
        <f t="array" aca="1" ref="S77">MAX(P77:R77*(1-strike(P77:R77)))</f>
        <v>#NAME?</v>
      </c>
      <c r="T77" s="4" t="e">
        <f t="shared" si="1"/>
        <v>#NAME?</v>
      </c>
      <c r="U77" s="3">
        <v>800</v>
      </c>
      <c r="V77" s="3">
        <v>460.6</v>
      </c>
      <c r="W77" s="3">
        <v>6</v>
      </c>
      <c r="X77" s="5">
        <v>2012</v>
      </c>
      <c r="Y77" s="5" t="s">
        <v>29</v>
      </c>
      <c r="Z77" s="5" t="s">
        <v>30</v>
      </c>
      <c r="AA77" s="5">
        <v>1516</v>
      </c>
    </row>
    <row r="78" spans="1:27" ht="15" customHeight="1">
      <c r="A78" s="3">
        <v>12</v>
      </c>
      <c r="B78" s="3" t="s">
        <v>134</v>
      </c>
      <c r="C78" s="3">
        <v>1988</v>
      </c>
      <c r="D78" s="3" t="s">
        <v>51</v>
      </c>
      <c r="E78" s="3">
        <v>138.05000000000001</v>
      </c>
      <c r="F78" s="3">
        <v>0.56000000000000005</v>
      </c>
      <c r="G78" s="3">
        <v>4</v>
      </c>
      <c r="H78" s="3">
        <v>275</v>
      </c>
      <c r="I78" s="3">
        <v>285</v>
      </c>
      <c r="J78" s="1">
        <v>290</v>
      </c>
      <c r="K78" s="4" t="e">
        <f t="array" aca="1" ref="K78">MAX(H78:J78*(1-strike(H78:J78)))</f>
        <v>#NAME?</v>
      </c>
      <c r="L78" s="3">
        <v>185</v>
      </c>
      <c r="M78" s="3">
        <v>195</v>
      </c>
      <c r="N78" s="3">
        <v>200</v>
      </c>
      <c r="O78" s="4" t="e">
        <f t="array" aca="1" ref="O78">MAX(L78:N78*(1-strike(L78:N78)))</f>
        <v>#NAME?</v>
      </c>
      <c r="P78" s="3">
        <v>255</v>
      </c>
      <c r="Q78" s="3">
        <v>270</v>
      </c>
      <c r="R78" s="3">
        <v>275</v>
      </c>
      <c r="S78" s="4" t="e">
        <f t="array" aca="1" ref="S78">MAX(P78:R78*(1-strike(P78:R78)))</f>
        <v>#NAME?</v>
      </c>
      <c r="T78" s="4" t="e">
        <f t="shared" si="1"/>
        <v>#NAME?</v>
      </c>
      <c r="U78" s="3">
        <v>760</v>
      </c>
      <c r="V78" s="3">
        <v>425.6</v>
      </c>
      <c r="W78" s="3">
        <v>1</v>
      </c>
      <c r="X78" s="5">
        <v>2012</v>
      </c>
      <c r="Y78" s="5" t="s">
        <v>29</v>
      </c>
      <c r="Z78" s="5" t="s">
        <v>30</v>
      </c>
      <c r="AA78" s="5">
        <v>1538</v>
      </c>
    </row>
    <row r="79" spans="1:27">
      <c r="A79" s="3">
        <v>8</v>
      </c>
      <c r="B79" s="3" t="s">
        <v>135</v>
      </c>
      <c r="C79" s="3">
        <v>1991</v>
      </c>
      <c r="D79" s="3" t="s">
        <v>66</v>
      </c>
      <c r="E79" s="3">
        <v>72.650000000000006</v>
      </c>
      <c r="F79" s="3">
        <v>0.72889999999999999</v>
      </c>
      <c r="G79" s="3">
        <v>1</v>
      </c>
      <c r="H79" s="3">
        <v>190</v>
      </c>
      <c r="I79" s="3">
        <v>205</v>
      </c>
      <c r="J79" s="1">
        <v>215</v>
      </c>
      <c r="K79" s="4" t="e">
        <f t="array" aca="1" ref="K79">MAX(H79:J79*(1-strike(H79:J79)))</f>
        <v>#NAME?</v>
      </c>
      <c r="L79" s="3">
        <v>115</v>
      </c>
      <c r="M79" s="3">
        <v>125</v>
      </c>
      <c r="N79" s="1">
        <v>130</v>
      </c>
      <c r="O79" s="4" t="e">
        <f t="array" aca="1" ref="O79">MAX(L79:N79*(1-strike(L79:N79)))</f>
        <v>#NAME?</v>
      </c>
      <c r="P79" s="3">
        <v>245</v>
      </c>
      <c r="Q79" s="3">
        <v>262.5</v>
      </c>
      <c r="R79" s="1">
        <v>267.5</v>
      </c>
      <c r="S79" s="4" t="e">
        <f t="array" aca="1" ref="S79">MAX(P79:R79*(1-strike(P79:R79)))</f>
        <v>#NAME?</v>
      </c>
      <c r="T79" s="4" t="e">
        <f t="shared" si="1"/>
        <v>#NAME?</v>
      </c>
      <c r="U79" s="3">
        <v>592.5</v>
      </c>
      <c r="V79" s="3">
        <v>431.87</v>
      </c>
      <c r="W79" s="3">
        <v>3</v>
      </c>
      <c r="X79" s="5">
        <v>2012</v>
      </c>
      <c r="Y79" s="5" t="s">
        <v>29</v>
      </c>
      <c r="Z79" s="5" t="s">
        <v>30</v>
      </c>
      <c r="AA79" s="5">
        <v>1450</v>
      </c>
    </row>
    <row r="80" spans="1:27">
      <c r="A80" s="3">
        <v>4</v>
      </c>
      <c r="B80" s="3" t="s">
        <v>136</v>
      </c>
      <c r="C80" s="3">
        <v>1987</v>
      </c>
      <c r="D80" s="3" t="s">
        <v>137</v>
      </c>
      <c r="E80" s="3">
        <v>82.2</v>
      </c>
      <c r="F80" s="3">
        <v>0.6714</v>
      </c>
      <c r="G80" s="3">
        <v>5</v>
      </c>
      <c r="H80" s="3">
        <v>240</v>
      </c>
      <c r="I80" s="3">
        <v>250</v>
      </c>
      <c r="J80" s="3">
        <v>255</v>
      </c>
      <c r="K80" s="4" t="e">
        <f t="array" aca="1" ref="K80">MAX(H80:J80*(1-strike(H80:J80)))</f>
        <v>#NAME?</v>
      </c>
      <c r="L80" s="3">
        <v>152.5</v>
      </c>
      <c r="M80" s="3">
        <v>160</v>
      </c>
      <c r="N80" s="1">
        <v>162.5</v>
      </c>
      <c r="O80" s="4" t="e">
        <f t="array" aca="1" ref="O80">MAX(L80:N80*(1-strike(L80:N80)))</f>
        <v>#NAME?</v>
      </c>
      <c r="P80" s="3">
        <v>250</v>
      </c>
      <c r="Q80" s="3">
        <v>265</v>
      </c>
      <c r="R80" s="3">
        <v>275</v>
      </c>
      <c r="S80" s="4" t="e">
        <f t="array" aca="1" ref="S80">MAX(P80:R80*(1-strike(P80:R80)))</f>
        <v>#NAME?</v>
      </c>
      <c r="T80" s="4" t="e">
        <f t="shared" si="1"/>
        <v>#NAME?</v>
      </c>
      <c r="U80" s="3">
        <v>690</v>
      </c>
      <c r="V80" s="3">
        <v>463.26</v>
      </c>
      <c r="W80" s="3">
        <v>7</v>
      </c>
      <c r="X80" s="5">
        <v>2012</v>
      </c>
      <c r="Y80" s="5" t="s">
        <v>29</v>
      </c>
      <c r="Z80" s="5" t="s">
        <v>30</v>
      </c>
      <c r="AA80" s="5">
        <v>1461</v>
      </c>
    </row>
    <row r="81" spans="1:27">
      <c r="A81" s="3">
        <v>9</v>
      </c>
      <c r="B81" s="3" t="s">
        <v>138</v>
      </c>
      <c r="C81" s="3">
        <v>1974</v>
      </c>
      <c r="D81" s="3" t="s">
        <v>125</v>
      </c>
      <c r="E81" s="3">
        <v>139.35</v>
      </c>
      <c r="F81" s="3">
        <v>0.55920000000000003</v>
      </c>
      <c r="G81" s="3">
        <v>8</v>
      </c>
      <c r="H81" s="3">
        <v>295</v>
      </c>
      <c r="I81" s="3">
        <v>307.5</v>
      </c>
      <c r="J81" s="1">
        <v>312.5</v>
      </c>
      <c r="K81" s="4" t="e">
        <f t="array" aca="1" ref="K81">MAX(H81:J81*(1-strike(H81:J81)))</f>
        <v>#NAME?</v>
      </c>
      <c r="L81" s="3">
        <v>195</v>
      </c>
      <c r="M81" s="3">
        <v>207.5</v>
      </c>
      <c r="N81" s="3">
        <v>215</v>
      </c>
      <c r="O81" s="4" t="e">
        <f t="array" aca="1" ref="O81">MAX(L81:N81*(1-strike(L81:N81)))</f>
        <v>#NAME?</v>
      </c>
      <c r="P81" s="3">
        <v>290</v>
      </c>
      <c r="Q81" s="1">
        <v>300</v>
      </c>
      <c r="R81" s="1">
        <v>305</v>
      </c>
      <c r="S81" s="4" t="e">
        <f t="array" aca="1" ref="S81">MAX(P81:R81*(1-strike(P81:R81)))</f>
        <v>#NAME?</v>
      </c>
      <c r="T81" s="4" t="e">
        <f t="shared" si="1"/>
        <v>#NAME?</v>
      </c>
      <c r="U81" s="3">
        <v>812.5</v>
      </c>
      <c r="V81" s="3">
        <v>454.35</v>
      </c>
      <c r="W81" s="3">
        <v>2</v>
      </c>
      <c r="X81" s="5">
        <v>2012</v>
      </c>
      <c r="Y81" s="5" t="s">
        <v>29</v>
      </c>
      <c r="Z81" s="5" t="s">
        <v>30</v>
      </c>
      <c r="AA81" s="5">
        <v>1535</v>
      </c>
    </row>
    <row r="82" spans="1:27">
      <c r="A82" s="3">
        <v>7</v>
      </c>
      <c r="B82" s="3" t="s">
        <v>139</v>
      </c>
      <c r="C82" s="3">
        <v>1987</v>
      </c>
      <c r="D82" s="3" t="s">
        <v>137</v>
      </c>
      <c r="E82" s="3">
        <v>89.05</v>
      </c>
      <c r="F82" s="3">
        <v>0.64190000000000003</v>
      </c>
      <c r="G82" s="3">
        <v>18</v>
      </c>
      <c r="H82" s="3">
        <v>240</v>
      </c>
      <c r="I82" s="3">
        <v>250</v>
      </c>
      <c r="J82" s="1">
        <v>257.5</v>
      </c>
      <c r="K82" s="4" t="e">
        <f t="array" aca="1" ref="K82">MAX(H82:J82*(1-strike(H82:J82)))</f>
        <v>#NAME?</v>
      </c>
      <c r="L82" s="3">
        <v>165</v>
      </c>
      <c r="M82" s="3">
        <v>170</v>
      </c>
      <c r="N82" s="1">
        <v>175</v>
      </c>
      <c r="O82" s="4" t="e">
        <f t="array" aca="1" ref="O82">MAX(L82:N82*(1-strike(L82:N82)))</f>
        <v>#NAME?</v>
      </c>
      <c r="P82" s="3">
        <v>290</v>
      </c>
      <c r="Q82" s="3">
        <v>302.5</v>
      </c>
      <c r="R82" s="1">
        <v>305</v>
      </c>
      <c r="S82" s="4" t="e">
        <f t="array" aca="1" ref="S82">MAX(P82:R82*(1-strike(P82:R82)))</f>
        <v>#NAME?</v>
      </c>
      <c r="T82" s="4" t="e">
        <f t="shared" si="1"/>
        <v>#NAME?</v>
      </c>
      <c r="U82" s="3">
        <v>722.5</v>
      </c>
      <c r="V82" s="3">
        <v>463.77</v>
      </c>
      <c r="W82" s="3">
        <v>4</v>
      </c>
      <c r="X82" s="5">
        <v>2012</v>
      </c>
      <c r="Y82" s="5" t="s">
        <v>29</v>
      </c>
      <c r="Z82" s="5" t="s">
        <v>30</v>
      </c>
      <c r="AA82" s="5">
        <v>1477</v>
      </c>
    </row>
    <row r="83" spans="1:27">
      <c r="A83" s="3">
        <v>3</v>
      </c>
      <c r="B83" s="3" t="s">
        <v>140</v>
      </c>
      <c r="C83" s="3">
        <v>1970</v>
      </c>
      <c r="D83" s="3" t="s">
        <v>56</v>
      </c>
      <c r="E83" s="3">
        <v>132</v>
      </c>
      <c r="F83" s="3">
        <v>0.56410000000000005</v>
      </c>
      <c r="G83" s="3">
        <v>12</v>
      </c>
      <c r="H83" s="3">
        <v>305</v>
      </c>
      <c r="I83" s="3">
        <v>320</v>
      </c>
      <c r="J83" s="3">
        <v>330</v>
      </c>
      <c r="K83" s="4" t="e">
        <f t="array" aca="1" ref="K83">MAX(H83:J83*(1-strike(H83:J83)))</f>
        <v>#NAME?</v>
      </c>
      <c r="L83" s="3">
        <v>205</v>
      </c>
      <c r="M83" s="3">
        <v>215</v>
      </c>
      <c r="N83" s="1">
        <v>220</v>
      </c>
      <c r="O83" s="4" t="e">
        <f t="array" aca="1" ref="O83">MAX(L83:N83*(1-strike(L83:N83)))</f>
        <v>#NAME?</v>
      </c>
      <c r="P83" s="3">
        <v>295</v>
      </c>
      <c r="Q83" s="3">
        <v>310</v>
      </c>
      <c r="R83" s="1">
        <v>315</v>
      </c>
      <c r="S83" s="4" t="e">
        <f t="array" aca="1" ref="S83">MAX(P83:R83*(1-strike(P83:R83)))</f>
        <v>#NAME?</v>
      </c>
      <c r="T83" s="4" t="e">
        <f t="shared" si="1"/>
        <v>#NAME?</v>
      </c>
      <c r="U83" s="3">
        <v>855</v>
      </c>
      <c r="V83" s="3">
        <v>482.3</v>
      </c>
      <c r="W83" s="3">
        <v>8</v>
      </c>
      <c r="X83" s="5">
        <v>2012</v>
      </c>
      <c r="Y83" s="5" t="s">
        <v>29</v>
      </c>
      <c r="Z83" s="5" t="s">
        <v>30</v>
      </c>
      <c r="AA83" s="5">
        <v>1529</v>
      </c>
    </row>
    <row r="84" spans="1:27">
      <c r="A84" s="3">
        <v>2</v>
      </c>
      <c r="B84" s="3" t="s">
        <v>141</v>
      </c>
      <c r="C84" s="3">
        <v>1992</v>
      </c>
      <c r="D84" s="3" t="s">
        <v>142</v>
      </c>
      <c r="E84" s="3">
        <v>104.2</v>
      </c>
      <c r="F84" s="3">
        <v>0.59919999999999995</v>
      </c>
      <c r="G84" s="3">
        <v>19</v>
      </c>
      <c r="H84" s="3">
        <v>300</v>
      </c>
      <c r="I84" s="3">
        <v>315</v>
      </c>
      <c r="J84" s="3">
        <v>325</v>
      </c>
      <c r="K84" s="4" t="e">
        <f t="array" aca="1" ref="K84">MAX(H84:J84*(1-strike(H84:J84)))</f>
        <v>#NAME?</v>
      </c>
      <c r="L84" s="3">
        <v>195</v>
      </c>
      <c r="M84" s="3">
        <v>207.5</v>
      </c>
      <c r="N84" s="1">
        <v>215</v>
      </c>
      <c r="O84" s="4" t="e">
        <f t="array" aca="1" ref="O84">MAX(L84:N84*(1-strike(L84:N84)))</f>
        <v>#NAME?</v>
      </c>
      <c r="P84" s="3">
        <v>300</v>
      </c>
      <c r="Q84" s="3">
        <v>312.5</v>
      </c>
      <c r="R84" s="1">
        <v>325</v>
      </c>
      <c r="S84" s="4" t="e">
        <f t="array" aca="1" ref="S84">MAX(P84:R84*(1-strike(P84:R84)))</f>
        <v>#NAME?</v>
      </c>
      <c r="T84" s="4" t="e">
        <f t="shared" si="1"/>
        <v>#NAME?</v>
      </c>
      <c r="U84" s="3">
        <v>845</v>
      </c>
      <c r="V84" s="3">
        <v>506.32</v>
      </c>
      <c r="W84" s="3">
        <v>9</v>
      </c>
      <c r="X84" s="5">
        <v>2012</v>
      </c>
      <c r="Y84" s="5" t="s">
        <v>29</v>
      </c>
      <c r="Z84" s="5" t="s">
        <v>30</v>
      </c>
      <c r="AA84" s="5">
        <v>1494</v>
      </c>
    </row>
    <row r="85" spans="1:27">
      <c r="A85" s="3">
        <v>5</v>
      </c>
      <c r="B85" s="3" t="s">
        <v>143</v>
      </c>
      <c r="C85" s="3">
        <v>1987</v>
      </c>
      <c r="D85" s="3" t="s">
        <v>80</v>
      </c>
      <c r="E85" s="3">
        <v>92.3</v>
      </c>
      <c r="F85" s="3">
        <v>0.63049999999999995</v>
      </c>
      <c r="G85" s="3">
        <v>2</v>
      </c>
      <c r="H85" s="3">
        <v>240</v>
      </c>
      <c r="I85" s="3">
        <v>260</v>
      </c>
      <c r="J85" s="1">
        <v>265</v>
      </c>
      <c r="K85" s="4" t="e">
        <f t="array" aca="1" ref="K85">MAX(H85:J85*(1-strike(H85:J85)))</f>
        <v>#NAME?</v>
      </c>
      <c r="L85" s="3">
        <v>155</v>
      </c>
      <c r="M85" s="3">
        <v>165</v>
      </c>
      <c r="N85" s="3">
        <v>170</v>
      </c>
      <c r="O85" s="4" t="e">
        <f t="array" aca="1" ref="O85">MAX(L85:N85*(1-strike(L85:N85)))</f>
        <v>#NAME?</v>
      </c>
      <c r="P85" s="3">
        <v>275</v>
      </c>
      <c r="Q85" s="3">
        <v>295</v>
      </c>
      <c r="R85" s="3">
        <v>305</v>
      </c>
      <c r="S85" s="4" t="e">
        <f t="array" aca="1" ref="S85">MAX(P85:R85*(1-strike(P85:R85)))</f>
        <v>#NAME?</v>
      </c>
      <c r="T85" s="4" t="e">
        <f t="shared" si="1"/>
        <v>#NAME?</v>
      </c>
      <c r="U85" s="3">
        <v>735</v>
      </c>
      <c r="V85" s="3">
        <v>463.41</v>
      </c>
      <c r="W85" s="3">
        <v>6</v>
      </c>
      <c r="X85" s="5">
        <v>2012</v>
      </c>
      <c r="Y85" s="5" t="s">
        <v>29</v>
      </c>
      <c r="Z85" s="5" t="s">
        <v>30</v>
      </c>
      <c r="AA85" s="5">
        <v>1475</v>
      </c>
    </row>
    <row r="86" spans="1:27" ht="15" customHeight="1">
      <c r="A86" s="3">
        <v>10</v>
      </c>
      <c r="B86" s="3" t="s">
        <v>144</v>
      </c>
      <c r="C86" s="3">
        <v>1974</v>
      </c>
      <c r="D86" s="3" t="s">
        <v>125</v>
      </c>
      <c r="E86" s="3">
        <v>72.599999999999994</v>
      </c>
      <c r="F86" s="3">
        <v>0.72929999999999995</v>
      </c>
      <c r="G86" s="3">
        <v>10</v>
      </c>
      <c r="H86" s="3">
        <v>205</v>
      </c>
      <c r="I86" s="3">
        <v>215</v>
      </c>
      <c r="J86" s="3">
        <v>220</v>
      </c>
      <c r="K86" s="4" t="e">
        <f t="array" aca="1" ref="K86">MAX(H86:J86*(1-strike(H86:J86)))</f>
        <v>#NAME?</v>
      </c>
      <c r="L86" s="3">
        <v>127.5</v>
      </c>
      <c r="M86" s="1">
        <v>135</v>
      </c>
      <c r="N86" s="3">
        <v>135</v>
      </c>
      <c r="O86" s="4" t="e">
        <f t="array" aca="1" ref="O86">MAX(L86:N86*(1-strike(L86:N86)))</f>
        <v>#NAME?</v>
      </c>
      <c r="P86" s="3">
        <v>215</v>
      </c>
      <c r="Q86" s="3">
        <v>230</v>
      </c>
      <c r="R86" s="1">
        <v>237.5</v>
      </c>
      <c r="S86" s="4" t="e">
        <f t="array" aca="1" ref="S86">MAX(P86:R86*(1-strike(P86:R86)))</f>
        <v>#NAME?</v>
      </c>
      <c r="T86" s="4" t="e">
        <f t="shared" si="1"/>
        <v>#NAME?</v>
      </c>
      <c r="U86" s="3">
        <v>585</v>
      </c>
      <c r="V86" s="3">
        <v>426.64</v>
      </c>
      <c r="W86" s="3">
        <v>1</v>
      </c>
      <c r="X86" s="5">
        <v>2012</v>
      </c>
      <c r="Y86" s="5" t="s">
        <v>29</v>
      </c>
      <c r="Z86" s="5" t="s">
        <v>30</v>
      </c>
      <c r="AA86" s="5">
        <v>1452</v>
      </c>
    </row>
    <row r="87" spans="1:27">
      <c r="A87" s="3">
        <v>5</v>
      </c>
      <c r="B87" s="3" t="s">
        <v>145</v>
      </c>
      <c r="C87" s="3">
        <v>1972</v>
      </c>
      <c r="D87" s="3" t="s">
        <v>80</v>
      </c>
      <c r="E87" s="3">
        <v>137.5</v>
      </c>
      <c r="F87" s="3">
        <v>0.56030000000000002</v>
      </c>
      <c r="G87" s="3">
        <v>5</v>
      </c>
      <c r="H87" s="3">
        <v>290</v>
      </c>
      <c r="I87" s="3">
        <v>300</v>
      </c>
      <c r="J87" s="3">
        <v>307.5</v>
      </c>
      <c r="K87" s="4" t="e">
        <f t="array" aca="1" ref="K87">MAX(H87:J87*(1-strike(H87:J87)))</f>
        <v>#NAME?</v>
      </c>
      <c r="L87" s="3">
        <v>220</v>
      </c>
      <c r="M87" s="3">
        <v>227.5</v>
      </c>
      <c r="N87" s="1">
        <v>232.5</v>
      </c>
      <c r="O87" s="4" t="e">
        <f t="array" aca="1" ref="O87">MAX(L87:N87*(1-strike(L87:N87)))</f>
        <v>#NAME?</v>
      </c>
      <c r="P87" s="3">
        <v>310</v>
      </c>
      <c r="Q87" s="1">
        <v>322.5</v>
      </c>
      <c r="R87" s="1">
        <v>322.5</v>
      </c>
      <c r="S87" s="4" t="e">
        <f t="array" aca="1" ref="S87">MAX(P87:R87*(1-strike(P87:R87)))</f>
        <v>#NAME?</v>
      </c>
      <c r="T87" s="4" t="e">
        <f t="shared" si="1"/>
        <v>#NAME?</v>
      </c>
      <c r="U87" s="3">
        <v>845</v>
      </c>
      <c r="V87" s="3">
        <v>473.45</v>
      </c>
      <c r="W87" s="3">
        <v>6</v>
      </c>
      <c r="X87" s="5">
        <v>2012</v>
      </c>
      <c r="Y87" s="5" t="s">
        <v>29</v>
      </c>
      <c r="Z87" s="5" t="s">
        <v>30</v>
      </c>
      <c r="AA87" s="5">
        <v>1531</v>
      </c>
    </row>
    <row r="88" spans="1:27">
      <c r="A88" s="3">
        <v>13</v>
      </c>
      <c r="B88" s="3" t="s">
        <v>146</v>
      </c>
      <c r="C88" s="3">
        <v>1988</v>
      </c>
      <c r="D88" s="3" t="s">
        <v>32</v>
      </c>
      <c r="E88" s="3">
        <v>116.65</v>
      </c>
      <c r="F88" s="3">
        <v>0.57889999999999997</v>
      </c>
      <c r="G88" s="3">
        <v>7</v>
      </c>
      <c r="H88" s="3">
        <v>230</v>
      </c>
      <c r="I88" s="3">
        <v>252.5</v>
      </c>
      <c r="J88" s="3">
        <v>265</v>
      </c>
      <c r="K88" s="4" t="e">
        <f t="array" aca="1" ref="K88">MAX(H88:J88*(1-strike(H88:J88)))</f>
        <v>#NAME?</v>
      </c>
      <c r="L88" s="3">
        <v>130</v>
      </c>
      <c r="M88" s="3">
        <v>150</v>
      </c>
      <c r="N88" s="3">
        <v>162.5</v>
      </c>
      <c r="O88" s="4" t="e">
        <f t="array" aca="1" ref="O88">MAX(L88:N88*(1-strike(L88:N88)))</f>
        <v>#NAME?</v>
      </c>
      <c r="P88" s="3">
        <v>240</v>
      </c>
      <c r="Q88" s="3">
        <v>252.5</v>
      </c>
      <c r="R88" s="3">
        <v>262.5</v>
      </c>
      <c r="S88" s="4" t="e">
        <f t="array" aca="1" ref="S88">MAX(P88:R88*(1-strike(P88:R88)))</f>
        <v>#NAME?</v>
      </c>
      <c r="T88" s="4" t="e">
        <f t="shared" si="1"/>
        <v>#NAME?</v>
      </c>
      <c r="U88" s="3">
        <v>690</v>
      </c>
      <c r="V88" s="3">
        <v>399.44</v>
      </c>
      <c r="W88" s="3">
        <v>1</v>
      </c>
      <c r="X88" s="5">
        <v>2012</v>
      </c>
      <c r="Y88" s="5" t="s">
        <v>29</v>
      </c>
      <c r="Z88" s="5" t="s">
        <v>30</v>
      </c>
      <c r="AA88" s="5">
        <v>1524</v>
      </c>
    </row>
    <row r="89" spans="1:27">
      <c r="A89" s="3">
        <v>2</v>
      </c>
      <c r="B89" s="3" t="s">
        <v>147</v>
      </c>
      <c r="C89" s="3">
        <v>1971</v>
      </c>
      <c r="D89" s="3" t="s">
        <v>28</v>
      </c>
      <c r="E89" s="3">
        <v>113.75</v>
      </c>
      <c r="F89" s="3">
        <v>0.5827</v>
      </c>
      <c r="G89" s="3">
        <v>3</v>
      </c>
      <c r="H89" s="1">
        <v>320</v>
      </c>
      <c r="I89" s="3">
        <v>325</v>
      </c>
      <c r="J89" s="3">
        <v>340</v>
      </c>
      <c r="K89" s="4" t="e">
        <f t="array" aca="1" ref="K89">MAX(H89:J89*(1-strike(H89:J89)))</f>
        <v>#NAME?</v>
      </c>
      <c r="L89" s="3">
        <v>185</v>
      </c>
      <c r="M89" s="3">
        <v>192.5</v>
      </c>
      <c r="N89" s="3">
        <v>197.5</v>
      </c>
      <c r="O89" s="4" t="e">
        <f t="array" aca="1" ref="O89">MAX(L89:N89*(1-strike(L89:N89)))</f>
        <v>#NAME?</v>
      </c>
      <c r="P89" s="3">
        <v>310</v>
      </c>
      <c r="Q89" s="3">
        <v>327.5</v>
      </c>
      <c r="R89" s="1">
        <v>342.5</v>
      </c>
      <c r="S89" s="4" t="e">
        <f t="array" aca="1" ref="S89">MAX(P89:R89*(1-strike(P89:R89)))</f>
        <v>#NAME?</v>
      </c>
      <c r="T89" s="4" t="e">
        <f t="shared" si="1"/>
        <v>#NAME?</v>
      </c>
      <c r="U89" s="3">
        <v>865</v>
      </c>
      <c r="V89" s="3">
        <v>504.07</v>
      </c>
      <c r="W89" s="3">
        <v>9</v>
      </c>
      <c r="X89" s="5">
        <v>2012</v>
      </c>
      <c r="Y89" s="5" t="s">
        <v>29</v>
      </c>
      <c r="Z89" s="5" t="s">
        <v>30</v>
      </c>
      <c r="AA89" s="5">
        <v>1513</v>
      </c>
    </row>
    <row r="90" spans="1:27">
      <c r="A90" s="3">
        <v>6</v>
      </c>
      <c r="B90" s="3" t="s">
        <v>148</v>
      </c>
      <c r="C90" s="3">
        <v>1978</v>
      </c>
      <c r="D90" s="3" t="s">
        <v>80</v>
      </c>
      <c r="E90" s="3">
        <v>81.95</v>
      </c>
      <c r="F90" s="3">
        <v>0.67259999999999998</v>
      </c>
      <c r="G90" s="3">
        <v>4</v>
      </c>
      <c r="H90" s="3">
        <v>200</v>
      </c>
      <c r="I90" s="3">
        <v>210</v>
      </c>
      <c r="J90" s="1">
        <v>215</v>
      </c>
      <c r="K90" s="4" t="e">
        <f t="array" aca="1" ref="K90">MAX(H90:J90*(1-strike(H90:J90)))</f>
        <v>#NAME?</v>
      </c>
      <c r="L90" s="3">
        <v>160</v>
      </c>
      <c r="M90" s="3">
        <v>165</v>
      </c>
      <c r="N90" s="1">
        <v>167.5</v>
      </c>
      <c r="O90" s="4" t="e">
        <f t="array" aca="1" ref="O90">MAX(L90:N90*(1-strike(L90:N90)))</f>
        <v>#NAME?</v>
      </c>
      <c r="P90" s="3">
        <v>280</v>
      </c>
      <c r="Q90" s="1">
        <v>290</v>
      </c>
      <c r="R90" s="1">
        <v>290</v>
      </c>
      <c r="S90" s="4" t="e">
        <f t="array" aca="1" ref="S90">MAX(P90:R90*(1-strike(P90:R90)))</f>
        <v>#NAME?</v>
      </c>
      <c r="T90" s="4" t="e">
        <f t="shared" si="1"/>
        <v>#NAME?</v>
      </c>
      <c r="U90" s="3">
        <v>655</v>
      </c>
      <c r="V90" s="3">
        <v>440.58</v>
      </c>
      <c r="W90" s="3">
        <v>5</v>
      </c>
      <c r="X90" s="5">
        <v>2012</v>
      </c>
      <c r="Y90" s="5" t="s">
        <v>29</v>
      </c>
      <c r="Z90" s="5" t="s">
        <v>30</v>
      </c>
      <c r="AA90" s="5">
        <v>1463</v>
      </c>
    </row>
    <row r="91" spans="1:27">
      <c r="A91" s="3">
        <v>2</v>
      </c>
      <c r="B91" s="3" t="s">
        <v>149</v>
      </c>
      <c r="C91" s="3">
        <v>1987</v>
      </c>
      <c r="D91" s="3" t="s">
        <v>35</v>
      </c>
      <c r="E91" s="3">
        <v>162.25</v>
      </c>
      <c r="F91" s="3">
        <v>0.54710000000000003</v>
      </c>
      <c r="G91" s="3">
        <v>14</v>
      </c>
      <c r="H91" s="3">
        <v>312.5</v>
      </c>
      <c r="I91" s="3">
        <v>325</v>
      </c>
      <c r="J91" s="3">
        <v>332.5</v>
      </c>
      <c r="K91" s="4" t="e">
        <f t="array" aca="1" ref="K91">MAX(H91:J91*(1-strike(H91:J91)))</f>
        <v>#NAME?</v>
      </c>
      <c r="L91" s="3">
        <v>190</v>
      </c>
      <c r="M91" s="3">
        <v>197.5</v>
      </c>
      <c r="N91" s="1">
        <v>202.5</v>
      </c>
      <c r="O91" s="4" t="e">
        <f t="array" aca="1" ref="O91">MAX(L91:N91*(1-strike(L91:N91)))</f>
        <v>#NAME?</v>
      </c>
      <c r="P91" s="3">
        <v>310</v>
      </c>
      <c r="Q91" s="3">
        <v>330</v>
      </c>
      <c r="R91" s="1">
        <v>335</v>
      </c>
      <c r="S91" s="4" t="e">
        <f t="array" aca="1" ref="S91">MAX(P91:R91*(1-strike(P91:R91)))</f>
        <v>#NAME?</v>
      </c>
      <c r="T91" s="4" t="e">
        <f t="shared" si="1"/>
        <v>#NAME?</v>
      </c>
      <c r="U91" s="3">
        <v>860</v>
      </c>
      <c r="V91" s="3">
        <v>470.46</v>
      </c>
      <c r="W91" s="3">
        <v>9</v>
      </c>
      <c r="X91" s="5">
        <v>2012</v>
      </c>
      <c r="Y91" s="5" t="s">
        <v>29</v>
      </c>
      <c r="Z91" s="5" t="s">
        <v>30</v>
      </c>
      <c r="AA91" s="5">
        <v>1528</v>
      </c>
    </row>
    <row r="92" spans="1:27">
      <c r="A92" s="3">
        <v>11</v>
      </c>
      <c r="B92" s="3" t="s">
        <v>150</v>
      </c>
      <c r="C92" s="3">
        <v>1985</v>
      </c>
      <c r="D92" s="3" t="s">
        <v>54</v>
      </c>
      <c r="E92" s="3">
        <v>119</v>
      </c>
      <c r="F92" s="3">
        <v>0.57609999999999995</v>
      </c>
      <c r="G92" s="3">
        <v>13</v>
      </c>
      <c r="H92" s="3">
        <v>240</v>
      </c>
      <c r="I92" s="3">
        <v>255</v>
      </c>
      <c r="J92" s="1">
        <v>265</v>
      </c>
      <c r="K92" s="4" t="e">
        <f t="array" aca="1" ref="K92">MAX(H92:J92*(1-strike(H92:J92)))</f>
        <v>#NAME?</v>
      </c>
      <c r="L92" s="3">
        <v>185</v>
      </c>
      <c r="M92" s="3">
        <v>195</v>
      </c>
      <c r="N92" s="1">
        <v>205</v>
      </c>
      <c r="O92" s="4" t="e">
        <f t="array" aca="1" ref="O92">MAX(L92:N92*(1-strike(L92:N92)))</f>
        <v>#NAME?</v>
      </c>
      <c r="P92" s="3">
        <v>275</v>
      </c>
      <c r="Q92" s="1">
        <v>285</v>
      </c>
      <c r="R92" s="1">
        <v>285</v>
      </c>
      <c r="S92" s="4" t="e">
        <f t="array" aca="1" ref="S92">MAX(P92:R92*(1-strike(P92:R92)))</f>
        <v>#NAME?</v>
      </c>
      <c r="T92" s="4" t="e">
        <f t="shared" si="1"/>
        <v>#NAME?</v>
      </c>
      <c r="U92" s="3">
        <v>725</v>
      </c>
      <c r="V92" s="3">
        <v>417.67</v>
      </c>
      <c r="W92" s="3">
        <v>1</v>
      </c>
      <c r="X92" s="5">
        <v>2012</v>
      </c>
      <c r="Y92" s="5" t="s">
        <v>29</v>
      </c>
      <c r="Z92" s="5" t="s">
        <v>30</v>
      </c>
      <c r="AA92" s="5">
        <v>1522</v>
      </c>
    </row>
    <row r="93" spans="1:27">
      <c r="A93" s="3">
        <v>12</v>
      </c>
      <c r="B93" s="3" t="s">
        <v>151</v>
      </c>
      <c r="C93" s="3">
        <v>1973</v>
      </c>
      <c r="D93" s="3" t="s">
        <v>54</v>
      </c>
      <c r="E93" s="3">
        <v>118.2</v>
      </c>
      <c r="F93" s="3">
        <v>0.57699999999999996</v>
      </c>
      <c r="G93" s="3">
        <v>9</v>
      </c>
      <c r="H93" s="3">
        <v>260</v>
      </c>
      <c r="I93" s="3">
        <v>270</v>
      </c>
      <c r="J93" s="3">
        <v>275</v>
      </c>
      <c r="K93" s="4" t="e">
        <f t="array" aca="1" ref="K93">MAX(H93:J93*(1-strike(H93:J93)))</f>
        <v>#NAME?</v>
      </c>
      <c r="L93" s="3">
        <v>160</v>
      </c>
      <c r="M93" s="1">
        <v>165</v>
      </c>
      <c r="N93" s="1">
        <v>165</v>
      </c>
      <c r="O93" s="4" t="e">
        <f t="array" aca="1" ref="O93">MAX(L93:N93*(1-strike(L93:N93)))</f>
        <v>#NAME?</v>
      </c>
      <c r="P93" s="3">
        <v>240</v>
      </c>
      <c r="Q93" s="3">
        <v>260</v>
      </c>
      <c r="R93" s="3">
        <v>265</v>
      </c>
      <c r="S93" s="4" t="e">
        <f t="array" aca="1" ref="S93">MAX(P93:R93*(1-strike(P93:R93)))</f>
        <v>#NAME?</v>
      </c>
      <c r="T93" s="4" t="e">
        <f t="shared" si="1"/>
        <v>#NAME?</v>
      </c>
      <c r="U93" s="3">
        <v>700</v>
      </c>
      <c r="V93" s="3">
        <v>403.9</v>
      </c>
      <c r="W93" s="3">
        <v>1</v>
      </c>
      <c r="X93" s="5">
        <v>2012</v>
      </c>
      <c r="Y93" s="5" t="s">
        <v>29</v>
      </c>
      <c r="Z93" s="5" t="s">
        <v>30</v>
      </c>
      <c r="AA93" s="5">
        <v>1523</v>
      </c>
    </row>
    <row r="94" spans="1:27">
      <c r="A94" s="3">
        <v>10</v>
      </c>
      <c r="B94" s="3" t="s">
        <v>152</v>
      </c>
      <c r="C94" s="3">
        <v>1988</v>
      </c>
      <c r="D94" s="3" t="s">
        <v>85</v>
      </c>
      <c r="E94" s="3">
        <v>144.30000000000001</v>
      </c>
      <c r="F94" s="3">
        <v>0.55630000000000002</v>
      </c>
      <c r="G94" s="3">
        <v>1</v>
      </c>
      <c r="H94" s="3">
        <v>290</v>
      </c>
      <c r="I94" s="1">
        <v>300</v>
      </c>
      <c r="J94" s="1">
        <v>300</v>
      </c>
      <c r="K94" s="4" t="e">
        <f t="array" aca="1" ref="K94">MAX(H94:J94*(1-strike(H94:J94)))</f>
        <v>#NAME?</v>
      </c>
      <c r="L94" s="3">
        <v>175</v>
      </c>
      <c r="M94" s="3">
        <v>182.5</v>
      </c>
      <c r="N94" s="1">
        <v>190</v>
      </c>
      <c r="O94" s="4" t="e">
        <f t="array" aca="1" ref="O94">MAX(L94:N94*(1-strike(L94:N94)))</f>
        <v>#NAME?</v>
      </c>
      <c r="P94" s="3">
        <v>300</v>
      </c>
      <c r="Q94" s="3">
        <v>315</v>
      </c>
      <c r="R94" s="1">
        <v>330</v>
      </c>
      <c r="S94" s="4" t="e">
        <f t="array" aca="1" ref="S94">MAX(P94:R94*(1-strike(P94:R94)))</f>
        <v>#NAME?</v>
      </c>
      <c r="T94" s="4" t="e">
        <f t="shared" si="1"/>
        <v>#NAME?</v>
      </c>
      <c r="U94" s="3">
        <v>787.5</v>
      </c>
      <c r="V94" s="3">
        <v>438.08</v>
      </c>
      <c r="W94" s="3">
        <v>1</v>
      </c>
      <c r="X94" s="5">
        <v>2012</v>
      </c>
      <c r="Y94" s="5" t="s">
        <v>29</v>
      </c>
      <c r="Z94" s="5" t="s">
        <v>30</v>
      </c>
      <c r="AA94" s="5">
        <v>1536</v>
      </c>
    </row>
    <row r="95" spans="1:27">
      <c r="A95" s="3">
        <v>4</v>
      </c>
      <c r="B95" s="3" t="s">
        <v>153</v>
      </c>
      <c r="C95" s="3">
        <v>1984</v>
      </c>
      <c r="D95" s="3" t="s">
        <v>74</v>
      </c>
      <c r="E95" s="3">
        <v>65.7</v>
      </c>
      <c r="F95" s="3">
        <v>0.78810000000000002</v>
      </c>
      <c r="G95" s="3">
        <v>17</v>
      </c>
      <c r="H95" s="3">
        <v>170</v>
      </c>
      <c r="I95" s="3">
        <v>182.5</v>
      </c>
      <c r="J95" s="3">
        <v>187.5</v>
      </c>
      <c r="K95" s="4" t="e">
        <f t="array" aca="1" ref="K95">MAX(H95:J95*(1-strike(H95:J95)))</f>
        <v>#NAME?</v>
      </c>
      <c r="L95" s="3">
        <v>130</v>
      </c>
      <c r="M95" s="3">
        <v>135</v>
      </c>
      <c r="N95" s="3">
        <v>140</v>
      </c>
      <c r="O95" s="4" t="e">
        <f t="array" aca="1" ref="O95">MAX(L95:N95*(1-strike(L95:N95)))</f>
        <v>#NAME?</v>
      </c>
      <c r="P95" s="3">
        <v>220</v>
      </c>
      <c r="Q95" s="3">
        <v>235</v>
      </c>
      <c r="R95" s="1">
        <v>250</v>
      </c>
      <c r="S95" s="4" t="e">
        <f t="array" aca="1" ref="S95">MAX(P95:R95*(1-strike(P95:R95)))</f>
        <v>#NAME?</v>
      </c>
      <c r="T95" s="4" t="e">
        <f t="shared" si="1"/>
        <v>#NAME?</v>
      </c>
      <c r="U95" s="3">
        <v>562.5</v>
      </c>
      <c r="V95" s="3">
        <v>443.3</v>
      </c>
      <c r="W95" s="3">
        <v>7</v>
      </c>
      <c r="X95" s="5">
        <v>2012</v>
      </c>
      <c r="Y95" s="5" t="s">
        <v>29</v>
      </c>
      <c r="Z95" s="5" t="s">
        <v>30</v>
      </c>
      <c r="AA95" s="5">
        <v>1436</v>
      </c>
    </row>
    <row r="96" spans="1:27">
      <c r="A96" s="3">
        <v>1</v>
      </c>
      <c r="B96" s="3" t="s">
        <v>154</v>
      </c>
      <c r="C96" s="3">
        <v>1987</v>
      </c>
      <c r="D96" s="3" t="s">
        <v>62</v>
      </c>
      <c r="E96" s="3">
        <v>158.75</v>
      </c>
      <c r="F96" s="3">
        <v>0.54890000000000005</v>
      </c>
      <c r="G96" s="3">
        <v>6</v>
      </c>
      <c r="H96" s="1">
        <v>375</v>
      </c>
      <c r="I96" s="3">
        <v>375</v>
      </c>
      <c r="J96" s="1">
        <v>392.5</v>
      </c>
      <c r="K96" s="4" t="e">
        <f t="array" aca="1" ref="K96">MAX(H96:J96*(1-strike(H96:J96)))</f>
        <v>#NAME?</v>
      </c>
      <c r="L96" s="3">
        <v>200</v>
      </c>
      <c r="M96" s="3">
        <v>207.5</v>
      </c>
      <c r="N96" s="3">
        <v>215</v>
      </c>
      <c r="O96" s="4" t="e">
        <f t="array" aca="1" ref="O96">MAX(L96:N96*(1-strike(L96:N96)))</f>
        <v>#NAME?</v>
      </c>
      <c r="P96" s="1">
        <v>300</v>
      </c>
      <c r="Q96" s="3">
        <v>300</v>
      </c>
      <c r="R96" s="3">
        <v>317.5</v>
      </c>
      <c r="S96" s="4" t="e">
        <f t="array" aca="1" ref="S96">MAX(P96:R96*(1-strike(P96:R96)))</f>
        <v>#NAME?</v>
      </c>
      <c r="T96" s="4" t="e">
        <f t="shared" si="1"/>
        <v>#NAME?</v>
      </c>
      <c r="U96" s="3">
        <v>907.5</v>
      </c>
      <c r="V96" s="3">
        <v>498.08</v>
      </c>
      <c r="W96" s="3">
        <v>12</v>
      </c>
      <c r="X96" s="5">
        <v>2012</v>
      </c>
      <c r="Y96" s="5" t="s">
        <v>29</v>
      </c>
      <c r="Z96" s="5" t="s">
        <v>30</v>
      </c>
      <c r="AA96" s="5">
        <v>1527</v>
      </c>
    </row>
    <row r="97" spans="1:27" ht="15" customHeight="1">
      <c r="A97" s="3">
        <v>10</v>
      </c>
      <c r="B97" s="3" t="s">
        <v>155</v>
      </c>
      <c r="C97" s="3">
        <v>1985</v>
      </c>
      <c r="D97" s="3" t="s">
        <v>77</v>
      </c>
      <c r="E97" s="3">
        <v>99.85</v>
      </c>
      <c r="F97" s="3">
        <v>0.6089</v>
      </c>
      <c r="G97" s="3">
        <v>13</v>
      </c>
      <c r="H97" s="3">
        <v>245</v>
      </c>
      <c r="I97" s="3">
        <v>260</v>
      </c>
      <c r="J97" s="3">
        <v>275</v>
      </c>
      <c r="K97" s="4" t="e">
        <f t="array" aca="1" ref="K97">MAX(H97:J97*(1-strike(H97:J97)))</f>
        <v>#NAME?</v>
      </c>
      <c r="L97" s="3">
        <v>185</v>
      </c>
      <c r="M97" s="3">
        <v>195</v>
      </c>
      <c r="N97" s="3">
        <v>205</v>
      </c>
      <c r="O97" s="4" t="e">
        <f t="array" aca="1" ref="O97">MAX(L97:N97*(1-strike(L97:N97)))</f>
        <v>#NAME?</v>
      </c>
      <c r="P97" s="3">
        <v>240</v>
      </c>
      <c r="Q97" s="3">
        <v>260</v>
      </c>
      <c r="R97" s="1">
        <v>277.5</v>
      </c>
      <c r="S97" s="4" t="e">
        <f t="array" aca="1" ref="S97">MAX(P97:R97*(1-strike(P97:R97)))</f>
        <v>#NAME?</v>
      </c>
      <c r="T97" s="4" t="e">
        <f t="shared" si="1"/>
        <v>#NAME?</v>
      </c>
      <c r="U97" s="3">
        <v>740</v>
      </c>
      <c r="V97" s="3">
        <v>450.62</v>
      </c>
      <c r="W97" s="3">
        <v>1</v>
      </c>
      <c r="X97" s="5">
        <v>2012</v>
      </c>
      <c r="Y97" s="5" t="s">
        <v>29</v>
      </c>
      <c r="Z97" s="5" t="s">
        <v>30</v>
      </c>
      <c r="AA97" s="5">
        <v>1502</v>
      </c>
    </row>
    <row r="98" spans="1:27">
      <c r="A98" s="3" t="s">
        <v>37</v>
      </c>
      <c r="B98" s="3" t="s">
        <v>156</v>
      </c>
      <c r="C98" s="3">
        <v>1986</v>
      </c>
      <c r="D98" s="3" t="s">
        <v>32</v>
      </c>
      <c r="E98" s="3">
        <v>115.35</v>
      </c>
      <c r="F98" s="3">
        <v>0.58050000000000002</v>
      </c>
      <c r="G98" s="3">
        <v>12</v>
      </c>
      <c r="H98" s="1">
        <v>230</v>
      </c>
      <c r="I98" s="1">
        <v>240</v>
      </c>
      <c r="J98" s="1">
        <v>250</v>
      </c>
      <c r="K98" s="4" t="e">
        <f t="array" aca="1" ref="K98">MAX(H98:J98*(1-strike(H98:J98)))</f>
        <v>#NAME?</v>
      </c>
      <c r="L98" s="3">
        <v>180</v>
      </c>
      <c r="M98" s="1">
        <v>192.5</v>
      </c>
      <c r="N98" s="1">
        <v>192.5</v>
      </c>
      <c r="O98" s="4" t="e">
        <f t="array" aca="1" ref="O98">MAX(L98:N98*(1-strike(L98:N98)))</f>
        <v>#NAME?</v>
      </c>
      <c r="P98" s="3">
        <v>240</v>
      </c>
      <c r="Q98" s="3">
        <v>252.5</v>
      </c>
      <c r="R98" s="1">
        <v>260</v>
      </c>
      <c r="S98" s="4" t="e">
        <f t="array" aca="1" ref="S98">MAX(P98:R98*(1-strike(P98:R98)))</f>
        <v>#NAME?</v>
      </c>
      <c r="T98" s="4" t="e">
        <f t="shared" si="1"/>
        <v>#NAME?</v>
      </c>
      <c r="U98" s="3" t="s">
        <v>40</v>
      </c>
      <c r="V98" s="3" t="s">
        <v>37</v>
      </c>
      <c r="W98" s="3" t="s">
        <v>37</v>
      </c>
      <c r="X98" s="5">
        <v>2012</v>
      </c>
      <c r="Y98" s="5" t="s">
        <v>29</v>
      </c>
      <c r="Z98" s="5" t="s">
        <v>30</v>
      </c>
      <c r="AA98" s="5">
        <v>1525</v>
      </c>
    </row>
    <row r="99" spans="1:27">
      <c r="A99" s="3">
        <v>3</v>
      </c>
      <c r="B99" s="3" t="s">
        <v>157</v>
      </c>
      <c r="C99" s="3">
        <v>1978</v>
      </c>
      <c r="D99" s="3" t="s">
        <v>62</v>
      </c>
      <c r="E99" s="3">
        <v>82.9</v>
      </c>
      <c r="F99" s="3">
        <v>0.66800000000000004</v>
      </c>
      <c r="G99" s="3">
        <v>9</v>
      </c>
      <c r="H99" s="3">
        <v>222.5</v>
      </c>
      <c r="I99" s="3">
        <v>235</v>
      </c>
      <c r="J99" s="1">
        <v>247.5</v>
      </c>
      <c r="K99" s="4" t="e">
        <f t="array" aca="1" ref="K99">MAX(H99:J99*(1-strike(H99:J99)))</f>
        <v>#NAME?</v>
      </c>
      <c r="L99" s="3">
        <v>150</v>
      </c>
      <c r="M99" s="3">
        <v>157.5</v>
      </c>
      <c r="N99" s="3">
        <v>162.5</v>
      </c>
      <c r="O99" s="4" t="e">
        <f t="array" aca="1" ref="O99">MAX(L99:N99*(1-strike(L99:N99)))</f>
        <v>#NAME?</v>
      </c>
      <c r="P99" s="3">
        <v>280</v>
      </c>
      <c r="Q99" s="3">
        <v>297.5</v>
      </c>
      <c r="R99" s="3">
        <v>310</v>
      </c>
      <c r="S99" s="4" t="e">
        <f t="array" aca="1" ref="S99">MAX(P99:R99*(1-strike(P99:R99)))</f>
        <v>#NAME?</v>
      </c>
      <c r="T99" s="4" t="e">
        <f t="shared" si="1"/>
        <v>#NAME?</v>
      </c>
      <c r="U99" s="3">
        <v>707.5</v>
      </c>
      <c r="V99" s="3">
        <v>472.61</v>
      </c>
      <c r="W99" s="3">
        <v>8</v>
      </c>
      <c r="X99" s="5">
        <v>2012</v>
      </c>
      <c r="Y99" s="5" t="s">
        <v>29</v>
      </c>
      <c r="Z99" s="5" t="s">
        <v>30</v>
      </c>
      <c r="AA99" s="5">
        <v>1460</v>
      </c>
    </row>
    <row r="100" spans="1:27">
      <c r="A100" s="3">
        <v>3</v>
      </c>
      <c r="B100" s="3" t="s">
        <v>158</v>
      </c>
      <c r="C100" s="3">
        <v>1985</v>
      </c>
      <c r="D100" s="3" t="s">
        <v>62</v>
      </c>
      <c r="E100" s="3">
        <v>118.7</v>
      </c>
      <c r="F100" s="3">
        <v>0.57640000000000002</v>
      </c>
      <c r="G100" s="3">
        <v>6</v>
      </c>
      <c r="H100" s="1">
        <v>315</v>
      </c>
      <c r="I100" s="1">
        <v>315</v>
      </c>
      <c r="J100" s="3">
        <v>315</v>
      </c>
      <c r="K100" s="4" t="e">
        <f t="array" aca="1" ref="K100">MAX(H100:J100*(1-strike(H100:J100)))</f>
        <v>#NAME?</v>
      </c>
      <c r="L100" s="3">
        <v>197.5</v>
      </c>
      <c r="M100" s="3">
        <v>207.5</v>
      </c>
      <c r="N100" s="1">
        <v>212.5</v>
      </c>
      <c r="O100" s="4" t="e">
        <f t="array" aca="1" ref="O100">MAX(L100:N100*(1-strike(L100:N100)))</f>
        <v>#NAME?</v>
      </c>
      <c r="P100" s="3">
        <v>342.5</v>
      </c>
      <c r="Q100" s="1">
        <v>362.5</v>
      </c>
      <c r="R100" s="1">
        <v>362.5</v>
      </c>
      <c r="S100" s="4" t="e">
        <f t="array" aca="1" ref="S100">MAX(P100:R100*(1-strike(P100:R100)))</f>
        <v>#NAME?</v>
      </c>
      <c r="T100" s="4" t="e">
        <f t="shared" si="1"/>
        <v>#NAME?</v>
      </c>
      <c r="U100" s="3">
        <v>865</v>
      </c>
      <c r="V100" s="3">
        <v>498.58</v>
      </c>
      <c r="W100" s="3">
        <v>8</v>
      </c>
      <c r="X100" s="5">
        <v>2012</v>
      </c>
      <c r="Y100" s="5" t="s">
        <v>29</v>
      </c>
      <c r="Z100" s="5" t="s">
        <v>30</v>
      </c>
      <c r="AA100" s="5">
        <v>1514</v>
      </c>
    </row>
    <row r="101" spans="1:27">
      <c r="A101" s="3">
        <v>1</v>
      </c>
      <c r="B101" s="3" t="s">
        <v>159</v>
      </c>
      <c r="C101" s="3">
        <v>1974</v>
      </c>
      <c r="D101" s="3" t="s">
        <v>39</v>
      </c>
      <c r="E101" s="3">
        <v>80</v>
      </c>
      <c r="F101" s="3">
        <v>0.68269999999999997</v>
      </c>
      <c r="G101" s="3">
        <v>12</v>
      </c>
      <c r="H101" s="1">
        <v>250</v>
      </c>
      <c r="I101" s="1">
        <v>252.5</v>
      </c>
      <c r="J101" s="3">
        <v>252.5</v>
      </c>
      <c r="K101" s="4" t="e">
        <f t="array" aca="1" ref="K101">MAX(H101:J101*(1-strike(H101:J101)))</f>
        <v>#NAME?</v>
      </c>
      <c r="L101" s="3">
        <v>162.5</v>
      </c>
      <c r="M101" s="3">
        <v>170</v>
      </c>
      <c r="N101" s="3">
        <v>172.5</v>
      </c>
      <c r="O101" s="4" t="e">
        <f t="array" aca="1" ref="O101">MAX(L101:N101*(1-strike(L101:N101)))</f>
        <v>#NAME?</v>
      </c>
      <c r="P101" s="3">
        <v>275</v>
      </c>
      <c r="Q101" s="3">
        <v>285</v>
      </c>
      <c r="R101" s="3">
        <v>295</v>
      </c>
      <c r="S101" s="4" t="e">
        <f t="array" aca="1" ref="S101">MAX(P101:R101*(1-strike(P101:R101)))</f>
        <v>#NAME?</v>
      </c>
      <c r="T101" s="4" t="e">
        <f t="shared" si="1"/>
        <v>#NAME?</v>
      </c>
      <c r="U101" s="3">
        <v>720</v>
      </c>
      <c r="V101" s="3">
        <v>491.54</v>
      </c>
      <c r="W101" s="3">
        <v>12</v>
      </c>
      <c r="X101" s="5">
        <v>2012</v>
      </c>
      <c r="Y101" s="5" t="s">
        <v>29</v>
      </c>
      <c r="Z101" s="5" t="s">
        <v>30</v>
      </c>
      <c r="AA101" s="5">
        <v>1458</v>
      </c>
    </row>
    <row r="102" spans="1:27">
      <c r="A102" s="3">
        <v>5</v>
      </c>
      <c r="B102" s="3" t="s">
        <v>160</v>
      </c>
      <c r="C102" s="3">
        <v>1983</v>
      </c>
      <c r="D102" s="3" t="s">
        <v>125</v>
      </c>
      <c r="E102" s="3">
        <v>82.3</v>
      </c>
      <c r="F102" s="3">
        <v>0.67090000000000005</v>
      </c>
      <c r="G102" s="3">
        <v>7</v>
      </c>
      <c r="H102" s="3">
        <v>240</v>
      </c>
      <c r="I102" s="3">
        <v>250</v>
      </c>
      <c r="J102" s="1">
        <v>255</v>
      </c>
      <c r="K102" s="4" t="e">
        <f t="array" aca="1" ref="K102">MAX(H102:J102*(1-strike(H102:J102)))</f>
        <v>#NAME?</v>
      </c>
      <c r="L102" s="3">
        <v>167.5</v>
      </c>
      <c r="M102" s="3">
        <v>172.5</v>
      </c>
      <c r="N102" s="3">
        <v>177.5</v>
      </c>
      <c r="O102" s="4" t="e">
        <f t="array" aca="1" ref="O102">MAX(L102:N102*(1-strike(L102:N102)))</f>
        <v>#NAME?</v>
      </c>
      <c r="P102" s="1">
        <v>250</v>
      </c>
      <c r="Q102" s="3">
        <v>250</v>
      </c>
      <c r="R102" s="1">
        <v>272.5</v>
      </c>
      <c r="S102" s="4" t="e">
        <f t="array" aca="1" ref="S102">MAX(P102:R102*(1-strike(P102:R102)))</f>
        <v>#NAME?</v>
      </c>
      <c r="T102" s="4" t="e">
        <f t="shared" si="1"/>
        <v>#NAME?</v>
      </c>
      <c r="U102" s="3">
        <v>677.5</v>
      </c>
      <c r="V102" s="3">
        <v>454.53</v>
      </c>
      <c r="W102" s="3">
        <v>6</v>
      </c>
      <c r="X102" s="5">
        <v>2012</v>
      </c>
      <c r="Y102" s="5" t="s">
        <v>29</v>
      </c>
      <c r="Z102" s="5" t="s">
        <v>30</v>
      </c>
      <c r="AA102" s="5">
        <v>1462</v>
      </c>
    </row>
    <row r="103" spans="1:27">
      <c r="A103" s="3">
        <v>11</v>
      </c>
      <c r="B103" s="3" t="s">
        <v>161</v>
      </c>
      <c r="C103" s="3">
        <v>1988</v>
      </c>
      <c r="D103" s="3" t="s">
        <v>45</v>
      </c>
      <c r="E103" s="3">
        <v>104.55</v>
      </c>
      <c r="F103" s="3">
        <v>0.59850000000000003</v>
      </c>
      <c r="G103" s="3">
        <v>15</v>
      </c>
      <c r="H103" s="3">
        <v>255</v>
      </c>
      <c r="I103" s="3">
        <v>267.5</v>
      </c>
      <c r="J103" s="3">
        <v>272.5</v>
      </c>
      <c r="K103" s="4" t="e">
        <f t="array" aca="1" ref="K103">MAX(H103:J103*(1-strike(H103:J103)))</f>
        <v>#NAME?</v>
      </c>
      <c r="L103" s="3">
        <v>190</v>
      </c>
      <c r="M103" s="1">
        <v>197.5</v>
      </c>
      <c r="N103" s="1">
        <v>197.5</v>
      </c>
      <c r="O103" s="4" t="e">
        <f t="array" aca="1" ref="O103">MAX(L103:N103*(1-strike(L103:N103)))</f>
        <v>#NAME?</v>
      </c>
      <c r="P103" s="3">
        <v>255</v>
      </c>
      <c r="Q103" s="3">
        <v>270</v>
      </c>
      <c r="R103" s="1">
        <v>287.5</v>
      </c>
      <c r="S103" s="4" t="e">
        <f t="array" aca="1" ref="S103">MAX(P103:R103*(1-strike(P103:R103)))</f>
        <v>#NAME?</v>
      </c>
      <c r="T103" s="4" t="e">
        <f t="shared" si="1"/>
        <v>#NAME?</v>
      </c>
      <c r="U103" s="3">
        <v>732.5</v>
      </c>
      <c r="V103" s="3">
        <v>438.4</v>
      </c>
      <c r="W103" s="3">
        <v>1</v>
      </c>
      <c r="X103" s="5">
        <v>2012</v>
      </c>
      <c r="Y103" s="5" t="s">
        <v>29</v>
      </c>
      <c r="Z103" s="5" t="s">
        <v>30</v>
      </c>
      <c r="AA103" s="5">
        <v>1503</v>
      </c>
    </row>
    <row r="104" spans="1:27">
      <c r="A104" s="3" t="s">
        <v>37</v>
      </c>
      <c r="B104" s="3" t="s">
        <v>162</v>
      </c>
      <c r="C104" s="3">
        <v>1975</v>
      </c>
      <c r="D104" s="3" t="s">
        <v>163</v>
      </c>
      <c r="E104" s="3">
        <v>104.9</v>
      </c>
      <c r="F104" s="3">
        <v>0.5978</v>
      </c>
      <c r="G104" s="3">
        <v>12</v>
      </c>
      <c r="H104" s="1">
        <v>260</v>
      </c>
      <c r="I104" s="1">
        <v>260</v>
      </c>
      <c r="J104" s="1">
        <v>260</v>
      </c>
      <c r="K104" s="4" t="e">
        <f t="array" aca="1" ref="K104">MAX(H104:J104*(1-strike(H104:J104)))</f>
        <v>#NAME?</v>
      </c>
      <c r="L104" s="3">
        <v>170</v>
      </c>
      <c r="M104" s="3">
        <v>175</v>
      </c>
      <c r="N104" s="1">
        <v>182.5</v>
      </c>
      <c r="O104" s="4" t="e">
        <f t="array" aca="1" ref="O104">MAX(L104:N104*(1-strike(L104:N104)))</f>
        <v>#NAME?</v>
      </c>
      <c r="P104" s="3">
        <v>260</v>
      </c>
      <c r="Q104" s="3">
        <v>280</v>
      </c>
      <c r="R104" s="3"/>
      <c r="S104" s="4" t="e">
        <f t="array" aca="1" ref="S104">MAX(P104:R104*(1-strike(P104:R104)))</f>
        <v>#NAME?</v>
      </c>
      <c r="T104" s="4" t="e">
        <f t="shared" si="1"/>
        <v>#NAME?</v>
      </c>
      <c r="U104" s="3" t="s">
        <v>40</v>
      </c>
      <c r="V104" s="3" t="s">
        <v>37</v>
      </c>
      <c r="W104" s="3" t="s">
        <v>37</v>
      </c>
      <c r="X104" s="5">
        <v>2012</v>
      </c>
      <c r="Y104" s="5" t="s">
        <v>29</v>
      </c>
      <c r="Z104" s="5" t="s">
        <v>30</v>
      </c>
      <c r="AA104" s="5">
        <v>1510</v>
      </c>
    </row>
    <row r="105" spans="1:27">
      <c r="A105" s="3">
        <v>1</v>
      </c>
      <c r="B105" s="3" t="s">
        <v>164</v>
      </c>
      <c r="C105" s="3">
        <v>1990</v>
      </c>
      <c r="D105" s="3" t="s">
        <v>85</v>
      </c>
      <c r="E105" s="3">
        <v>89.3</v>
      </c>
      <c r="F105" s="3">
        <v>0.64100000000000001</v>
      </c>
      <c r="G105" s="3">
        <v>19</v>
      </c>
      <c r="H105" s="3">
        <v>235</v>
      </c>
      <c r="I105" s="3">
        <v>247.5</v>
      </c>
      <c r="J105" s="3">
        <v>252.5</v>
      </c>
      <c r="K105" s="4" t="e">
        <f t="array" aca="1" ref="K105">MAX(H105:J105*(1-strike(H105:J105)))</f>
        <v>#NAME?</v>
      </c>
      <c r="L105" s="3">
        <v>170</v>
      </c>
      <c r="M105" s="3">
        <v>180</v>
      </c>
      <c r="N105" s="3">
        <v>182.5</v>
      </c>
      <c r="O105" s="4" t="e">
        <f t="array" aca="1" ref="O105">MAX(L105:N105*(1-strike(L105:N105)))</f>
        <v>#NAME?</v>
      </c>
      <c r="P105" s="3">
        <v>310</v>
      </c>
      <c r="Q105" s="3">
        <v>330</v>
      </c>
      <c r="R105" s="1">
        <v>353</v>
      </c>
      <c r="S105" s="4" t="e">
        <f t="array" aca="1" ref="S105">MAX(P105:R105*(1-strike(P105:R105)))</f>
        <v>#NAME?</v>
      </c>
      <c r="T105" s="4" t="e">
        <f t="shared" si="1"/>
        <v>#NAME?</v>
      </c>
      <c r="U105" s="3">
        <v>765</v>
      </c>
      <c r="V105" s="3">
        <v>490.36</v>
      </c>
      <c r="W105" s="3">
        <v>12</v>
      </c>
      <c r="X105" s="5">
        <v>2012</v>
      </c>
      <c r="Y105" s="5" t="s">
        <v>29</v>
      </c>
      <c r="Z105" s="5" t="s">
        <v>30</v>
      </c>
      <c r="AA105" s="5">
        <v>1471</v>
      </c>
    </row>
    <row r="106" spans="1:27">
      <c r="A106" s="3">
        <v>9</v>
      </c>
      <c r="B106" s="3" t="s">
        <v>165</v>
      </c>
      <c r="C106" s="3">
        <v>1978</v>
      </c>
      <c r="D106" s="3" t="s">
        <v>51</v>
      </c>
      <c r="E106" s="3">
        <v>63.3</v>
      </c>
      <c r="F106" s="3">
        <v>0.81330000000000002</v>
      </c>
      <c r="G106" s="3">
        <v>2</v>
      </c>
      <c r="H106" s="3">
        <v>140</v>
      </c>
      <c r="I106" s="3">
        <v>147.5</v>
      </c>
      <c r="J106" s="3">
        <v>150</v>
      </c>
      <c r="K106" s="4" t="e">
        <f t="array" aca="1" ref="K106">MAX(H106:J106*(1-strike(H106:J106)))</f>
        <v>#NAME?</v>
      </c>
      <c r="L106" s="1">
        <v>112.5</v>
      </c>
      <c r="M106" s="3">
        <v>112.5</v>
      </c>
      <c r="N106" s="1">
        <v>120</v>
      </c>
      <c r="O106" s="4" t="e">
        <f t="array" aca="1" ref="O106">MAX(L106:N106*(1-strike(L106:N106)))</f>
        <v>#NAME?</v>
      </c>
      <c r="P106" s="3">
        <v>170</v>
      </c>
      <c r="Q106" s="3">
        <v>177.5</v>
      </c>
      <c r="R106" s="3">
        <v>182.5</v>
      </c>
      <c r="S106" s="4" t="e">
        <f t="array" aca="1" ref="S106">MAX(P106:R106*(1-strike(P106:R106)))</f>
        <v>#NAME?</v>
      </c>
      <c r="T106" s="4" t="e">
        <f t="shared" si="1"/>
        <v>#NAME?</v>
      </c>
      <c r="U106" s="3">
        <v>445</v>
      </c>
      <c r="V106" s="3">
        <v>361.91</v>
      </c>
      <c r="W106" s="3">
        <v>2</v>
      </c>
      <c r="X106" s="5">
        <v>2012</v>
      </c>
      <c r="Y106" s="5" t="s">
        <v>29</v>
      </c>
      <c r="Z106" s="5" t="s">
        <v>30</v>
      </c>
      <c r="AA106" s="5">
        <v>1441</v>
      </c>
    </row>
    <row r="107" spans="1:27">
      <c r="A107" s="3">
        <v>10</v>
      </c>
      <c r="B107" s="3" t="s">
        <v>166</v>
      </c>
      <c r="C107" s="3">
        <v>1986</v>
      </c>
      <c r="D107" s="3" t="s">
        <v>85</v>
      </c>
      <c r="E107" s="3">
        <v>81.5</v>
      </c>
      <c r="F107" s="3">
        <v>0.67490000000000006</v>
      </c>
      <c r="G107" s="3">
        <v>1</v>
      </c>
      <c r="H107" s="3">
        <v>185</v>
      </c>
      <c r="I107" s="3">
        <v>195</v>
      </c>
      <c r="J107" s="1">
        <v>205</v>
      </c>
      <c r="K107" s="4" t="e">
        <f t="array" aca="1" ref="K107">MAX(H107:J107*(1-strike(H107:J107)))</f>
        <v>#NAME?</v>
      </c>
      <c r="L107" s="3">
        <v>180</v>
      </c>
      <c r="M107" s="3">
        <v>190</v>
      </c>
      <c r="N107" s="3">
        <v>192.5</v>
      </c>
      <c r="O107" s="4" t="e">
        <f t="array" aca="1" ref="O107">MAX(L107:N107*(1-strike(L107:N107)))</f>
        <v>#NAME?</v>
      </c>
      <c r="P107" s="3">
        <v>220</v>
      </c>
      <c r="Q107" s="3">
        <v>230</v>
      </c>
      <c r="R107" s="1">
        <v>237.5</v>
      </c>
      <c r="S107" s="4" t="e">
        <f t="array" aca="1" ref="S107">MAX(P107:R107*(1-strike(P107:R107)))</f>
        <v>#NAME?</v>
      </c>
      <c r="T107" s="4" t="e">
        <f t="shared" si="1"/>
        <v>#NAME?</v>
      </c>
      <c r="U107" s="3">
        <v>617.5</v>
      </c>
      <c r="V107" s="3">
        <v>416.75</v>
      </c>
      <c r="W107" s="3">
        <v>1</v>
      </c>
      <c r="X107" s="5">
        <v>2012</v>
      </c>
      <c r="Y107" s="5" t="s">
        <v>29</v>
      </c>
      <c r="Z107" s="5" t="s">
        <v>30</v>
      </c>
      <c r="AA107" s="5">
        <v>1467</v>
      </c>
    </row>
    <row r="108" spans="1:27">
      <c r="A108" s="3">
        <v>2</v>
      </c>
      <c r="B108" s="3" t="s">
        <v>167</v>
      </c>
      <c r="C108" s="3">
        <v>1978</v>
      </c>
      <c r="D108" s="3" t="s">
        <v>85</v>
      </c>
      <c r="E108" s="3">
        <v>57.8</v>
      </c>
      <c r="F108" s="3">
        <v>0.88300000000000001</v>
      </c>
      <c r="G108" s="3">
        <v>14</v>
      </c>
      <c r="H108" s="3">
        <v>185</v>
      </c>
      <c r="I108" s="3">
        <v>195</v>
      </c>
      <c r="J108" s="3">
        <v>202.5</v>
      </c>
      <c r="K108" s="4" t="e">
        <f t="array" aca="1" ref="K108">MAX(H108:J108*(1-strike(H108:J108)))</f>
        <v>#NAME?</v>
      </c>
      <c r="L108" s="3">
        <v>140</v>
      </c>
      <c r="M108" s="3">
        <v>145</v>
      </c>
      <c r="N108" s="1">
        <v>150</v>
      </c>
      <c r="O108" s="4" t="e">
        <f t="array" aca="1" ref="O108">MAX(L108:N108*(1-strike(L108:N108)))</f>
        <v>#NAME?</v>
      </c>
      <c r="P108" s="3">
        <v>180</v>
      </c>
      <c r="Q108" s="3">
        <v>190</v>
      </c>
      <c r="R108" s="3">
        <v>200</v>
      </c>
      <c r="S108" s="4" t="e">
        <f t="array" aca="1" ref="S108">MAX(P108:R108*(1-strike(P108:R108)))</f>
        <v>#NAME?</v>
      </c>
      <c r="T108" s="4" t="e">
        <f t="shared" si="1"/>
        <v>#NAME?</v>
      </c>
      <c r="U108" s="3">
        <v>547.5</v>
      </c>
      <c r="V108" s="3">
        <v>483.44</v>
      </c>
      <c r="W108" s="3">
        <v>9</v>
      </c>
      <c r="X108" s="5">
        <v>2012</v>
      </c>
      <c r="Y108" s="5" t="s">
        <v>29</v>
      </c>
      <c r="Z108" s="5" t="s">
        <v>30</v>
      </c>
      <c r="AA108" s="5">
        <v>1426</v>
      </c>
    </row>
    <row r="109" spans="1:27">
      <c r="A109" s="3">
        <v>7</v>
      </c>
      <c r="B109" s="3" t="s">
        <v>168</v>
      </c>
      <c r="C109" s="3">
        <v>1969</v>
      </c>
      <c r="D109" s="3" t="s">
        <v>35</v>
      </c>
      <c r="E109" s="3">
        <v>58.9</v>
      </c>
      <c r="F109" s="3">
        <v>0.86750000000000005</v>
      </c>
      <c r="G109" s="3">
        <v>9</v>
      </c>
      <c r="H109" s="3">
        <v>150</v>
      </c>
      <c r="I109" s="3">
        <v>155</v>
      </c>
      <c r="J109" s="1">
        <v>160</v>
      </c>
      <c r="K109" s="4" t="e">
        <f t="array" aca="1" ref="K109">MAX(H109:J109*(1-strike(H109:J109)))</f>
        <v>#NAME?</v>
      </c>
      <c r="L109" s="3">
        <v>87.5</v>
      </c>
      <c r="M109" s="1">
        <v>90</v>
      </c>
      <c r="N109" s="3"/>
      <c r="O109" s="4" t="e">
        <f t="array" aca="1" ref="O109">MAX(L109:N109*(1-strike(L109:N109)))</f>
        <v>#NAME?</v>
      </c>
      <c r="P109" s="3">
        <v>200</v>
      </c>
      <c r="Q109" s="3">
        <v>212.5</v>
      </c>
      <c r="R109" s="3">
        <v>215</v>
      </c>
      <c r="S109" s="4" t="e">
        <f t="array" aca="1" ref="S109">MAX(P109:R109*(1-strike(P109:R109)))</f>
        <v>#NAME?</v>
      </c>
      <c r="T109" s="4" t="e">
        <f t="shared" si="1"/>
        <v>#NAME?</v>
      </c>
      <c r="U109" s="3">
        <v>457.5</v>
      </c>
      <c r="V109" s="3">
        <v>396.88</v>
      </c>
      <c r="W109" s="3">
        <v>4</v>
      </c>
      <c r="X109" s="5">
        <v>2012</v>
      </c>
      <c r="Y109" s="5" t="s">
        <v>29</v>
      </c>
      <c r="Z109" s="5" t="s">
        <v>30</v>
      </c>
      <c r="AA109" s="5">
        <v>1431</v>
      </c>
    </row>
    <row r="110" spans="1:27">
      <c r="A110" s="4">
        <v>8</v>
      </c>
      <c r="B110" s="4" t="s">
        <v>169</v>
      </c>
      <c r="C110" s="4">
        <v>1981</v>
      </c>
      <c r="D110" s="4" t="s">
        <v>54</v>
      </c>
      <c r="E110" s="4">
        <v>83.47</v>
      </c>
      <c r="F110" s="4">
        <v>0.89459999999999995</v>
      </c>
      <c r="G110" s="4">
        <v>11</v>
      </c>
      <c r="H110" s="4">
        <v>180</v>
      </c>
      <c r="I110" s="4">
        <v>190</v>
      </c>
      <c r="J110" s="6">
        <v>195</v>
      </c>
      <c r="K110" s="4" t="e">
        <f t="array" aca="1" ref="K110">MAX(H110:J110*(1-strike(H110:J110)))</f>
        <v>#NAME?</v>
      </c>
      <c r="L110" s="4">
        <v>110</v>
      </c>
      <c r="M110" s="6">
        <v>112.5</v>
      </c>
      <c r="N110" s="6">
        <v>112.5</v>
      </c>
      <c r="O110" s="4" t="e">
        <f t="array" aca="1" ref="O110">MAX(L110:N110*(1-strike(L110:N110)))</f>
        <v>#NAME?</v>
      </c>
      <c r="P110" s="4">
        <v>205</v>
      </c>
      <c r="Q110" s="4">
        <v>217.5</v>
      </c>
      <c r="R110" s="4">
        <v>222.5</v>
      </c>
      <c r="S110" s="4" t="e">
        <f t="array" aca="1" ref="S110">MAX(P110:R110*(1-strike(P110:R110)))</f>
        <v>#NAME?</v>
      </c>
      <c r="T110" s="4" t="e">
        <f t="shared" si="1"/>
        <v>#NAME?</v>
      </c>
      <c r="U110" s="4">
        <v>522.5</v>
      </c>
      <c r="V110" s="4">
        <v>467.43</v>
      </c>
      <c r="W110" s="4">
        <v>3</v>
      </c>
      <c r="X110" s="5">
        <v>2015</v>
      </c>
      <c r="Y110" s="5" t="s">
        <v>170</v>
      </c>
      <c r="Z110" s="5" t="s">
        <v>171</v>
      </c>
      <c r="AA110" s="5">
        <v>201</v>
      </c>
    </row>
    <row r="111" spans="1:27">
      <c r="A111" s="4">
        <v>2</v>
      </c>
      <c r="B111" s="4" t="s">
        <v>172</v>
      </c>
      <c r="C111" s="4">
        <v>1982</v>
      </c>
      <c r="D111" s="4" t="s">
        <v>35</v>
      </c>
      <c r="E111" s="4">
        <v>62.54</v>
      </c>
      <c r="F111" s="7">
        <v>10799</v>
      </c>
      <c r="G111" s="4">
        <v>12</v>
      </c>
      <c r="H111" s="4">
        <v>142.5</v>
      </c>
      <c r="I111" s="4">
        <v>150</v>
      </c>
      <c r="J111" s="4">
        <v>152.5</v>
      </c>
      <c r="K111" s="4" t="e">
        <f t="array" aca="1" ref="K111">MAX(H111:J111*(1-strike(H111:J111)))</f>
        <v>#NAME?</v>
      </c>
      <c r="L111" s="4">
        <v>105</v>
      </c>
      <c r="M111" s="4">
        <v>110</v>
      </c>
      <c r="N111" s="6">
        <v>112.5</v>
      </c>
      <c r="O111" s="4" t="e">
        <f t="array" aca="1" ref="O111">MAX(L111:N111*(1-strike(L111:N111)))</f>
        <v>#NAME?</v>
      </c>
      <c r="P111" s="4">
        <v>160</v>
      </c>
      <c r="Q111" s="4">
        <v>172.5</v>
      </c>
      <c r="R111" s="4">
        <v>177.5</v>
      </c>
      <c r="S111" s="4" t="e">
        <f t="array" aca="1" ref="S111">MAX(P111:R111*(1-strike(P111:R111)))</f>
        <v>#NAME?</v>
      </c>
      <c r="T111" s="4" t="e">
        <f t="shared" si="1"/>
        <v>#NAME?</v>
      </c>
      <c r="U111" s="4">
        <v>440</v>
      </c>
      <c r="V111" s="4">
        <v>475.16</v>
      </c>
      <c r="W111" s="4">
        <v>9</v>
      </c>
      <c r="X111" s="5">
        <v>2015</v>
      </c>
      <c r="Y111" s="5" t="s">
        <v>170</v>
      </c>
      <c r="Z111" s="5" t="s">
        <v>30</v>
      </c>
      <c r="AA111" s="5">
        <v>389</v>
      </c>
    </row>
    <row r="112" spans="1:27">
      <c r="A112" s="4">
        <v>7</v>
      </c>
      <c r="B112" s="4" t="s">
        <v>173</v>
      </c>
      <c r="C112" s="4">
        <v>1987</v>
      </c>
      <c r="D112" s="4" t="s">
        <v>32</v>
      </c>
      <c r="E112" s="4">
        <v>90.3</v>
      </c>
      <c r="F112" s="4">
        <v>0.8629</v>
      </c>
      <c r="G112" s="4">
        <v>16</v>
      </c>
      <c r="H112" s="4">
        <v>185</v>
      </c>
      <c r="I112" s="6">
        <v>192.5</v>
      </c>
      <c r="J112" s="4">
        <v>195</v>
      </c>
      <c r="K112" s="4" t="e">
        <f t="array" aca="1" ref="K112">MAX(H112:J112*(1-strike(H112:J112)))</f>
        <v>#NAME?</v>
      </c>
      <c r="L112" s="4">
        <v>85</v>
      </c>
      <c r="M112" s="4">
        <v>95</v>
      </c>
      <c r="N112" s="6">
        <v>102.5</v>
      </c>
      <c r="O112" s="4" t="e">
        <f t="array" aca="1" ref="O112">MAX(L112:N112*(1-strike(L112:N112)))</f>
        <v>#NAME?</v>
      </c>
      <c r="P112" s="4">
        <v>190</v>
      </c>
      <c r="Q112" s="4">
        <v>200</v>
      </c>
      <c r="R112" s="4">
        <v>207.5</v>
      </c>
      <c r="S112" s="4" t="e">
        <f t="array" aca="1" ref="S112">MAX(P112:R112*(1-strike(P112:R112)))</f>
        <v>#NAME?</v>
      </c>
      <c r="T112" s="4" t="e">
        <f t="shared" si="1"/>
        <v>#NAME?</v>
      </c>
      <c r="U112" s="4">
        <v>497.5</v>
      </c>
      <c r="V112" s="4">
        <v>429.29</v>
      </c>
      <c r="W112" s="4">
        <v>4</v>
      </c>
      <c r="X112" s="5">
        <v>2015</v>
      </c>
      <c r="Y112" s="5" t="s">
        <v>170</v>
      </c>
      <c r="Z112" s="5" t="s">
        <v>30</v>
      </c>
      <c r="AA112" s="5">
        <v>431</v>
      </c>
    </row>
    <row r="113" spans="1:27">
      <c r="A113" s="4">
        <v>13</v>
      </c>
      <c r="B113" s="4" t="s">
        <v>174</v>
      </c>
      <c r="C113" s="4">
        <v>1988</v>
      </c>
      <c r="D113" s="4" t="s">
        <v>137</v>
      </c>
      <c r="E113" s="4">
        <v>56.58</v>
      </c>
      <c r="F113" s="7">
        <v>11671</v>
      </c>
      <c r="G113" s="4">
        <v>6</v>
      </c>
      <c r="H113" s="4">
        <v>155</v>
      </c>
      <c r="I113" s="4">
        <v>160</v>
      </c>
      <c r="J113" s="6">
        <v>165</v>
      </c>
      <c r="K113" s="4" t="e">
        <f t="array" aca="1" ref="K113">MAX(H113:J113*(1-strike(H113:J113)))</f>
        <v>#NAME?</v>
      </c>
      <c r="L113" s="6">
        <v>120</v>
      </c>
      <c r="M113" s="4">
        <v>120</v>
      </c>
      <c r="N113" s="6">
        <v>125</v>
      </c>
      <c r="O113" s="4" t="e">
        <f t="array" aca="1" ref="O113">MAX(L113:N113*(1-strike(L113:N113)))</f>
        <v>#NAME?</v>
      </c>
      <c r="P113" s="6">
        <v>135</v>
      </c>
      <c r="Q113" s="4">
        <v>135</v>
      </c>
      <c r="R113" s="6">
        <v>140</v>
      </c>
      <c r="S113" s="4" t="e">
        <f t="array" aca="1" ref="S113">MAX(P113:R113*(1-strike(P113:R113)))</f>
        <v>#NAME?</v>
      </c>
      <c r="T113" s="4" t="e">
        <f t="shared" si="1"/>
        <v>#NAME?</v>
      </c>
      <c r="U113" s="4">
        <v>415</v>
      </c>
      <c r="V113" s="4">
        <v>484.35</v>
      </c>
      <c r="W113" s="4">
        <v>1</v>
      </c>
      <c r="X113" s="5">
        <v>2015</v>
      </c>
      <c r="Y113" s="5" t="s">
        <v>170</v>
      </c>
      <c r="Z113" s="5" t="s">
        <v>171</v>
      </c>
      <c r="AA113" s="5">
        <v>166</v>
      </c>
    </row>
    <row r="114" spans="1:27">
      <c r="A114" s="4">
        <v>4</v>
      </c>
      <c r="B114" s="4" t="s">
        <v>175</v>
      </c>
      <c r="C114" s="4">
        <v>1981</v>
      </c>
      <c r="D114" s="4" t="s">
        <v>80</v>
      </c>
      <c r="E114" s="4">
        <v>46.67</v>
      </c>
      <c r="F114" s="7">
        <v>13517</v>
      </c>
      <c r="G114" s="4">
        <v>7</v>
      </c>
      <c r="H114" s="4">
        <v>142.5</v>
      </c>
      <c r="I114" s="6">
        <v>150</v>
      </c>
      <c r="J114" s="4">
        <v>150</v>
      </c>
      <c r="K114" s="4" t="e">
        <f t="array" aca="1" ref="K114">MAX(H114:J114*(1-strike(H114:J114)))</f>
        <v>#NAME?</v>
      </c>
      <c r="L114" s="4">
        <v>80</v>
      </c>
      <c r="M114" s="6">
        <v>85</v>
      </c>
      <c r="N114" s="6">
        <v>85</v>
      </c>
      <c r="O114" s="4" t="e">
        <f t="array" aca="1" ref="O114">MAX(L114:N114*(1-strike(L114:N114)))</f>
        <v>#NAME?</v>
      </c>
      <c r="P114" s="4">
        <v>145</v>
      </c>
      <c r="Q114" s="4">
        <v>160</v>
      </c>
      <c r="R114" s="6">
        <v>165</v>
      </c>
      <c r="S114" s="4" t="e">
        <f t="array" aca="1" ref="S114">MAX(P114:R114*(1-strike(P114:R114)))</f>
        <v>#NAME?</v>
      </c>
      <c r="T114" s="4" t="e">
        <f t="shared" si="1"/>
        <v>#NAME?</v>
      </c>
      <c r="U114" s="4">
        <v>390</v>
      </c>
      <c r="V114" s="4">
        <v>527.16</v>
      </c>
      <c r="W114" s="4">
        <v>7</v>
      </c>
      <c r="X114" s="5">
        <v>2015</v>
      </c>
      <c r="Y114" s="5" t="s">
        <v>170</v>
      </c>
      <c r="Z114" s="5" t="s">
        <v>171</v>
      </c>
      <c r="AA114" s="5">
        <v>136</v>
      </c>
    </row>
    <row r="115" spans="1:27" ht="15" customHeight="1">
      <c r="A115" s="4">
        <v>5</v>
      </c>
      <c r="B115" s="4" t="s">
        <v>176</v>
      </c>
      <c r="C115" s="4">
        <v>1970</v>
      </c>
      <c r="D115" s="4" t="s">
        <v>45</v>
      </c>
      <c r="E115" s="4">
        <v>83.18</v>
      </c>
      <c r="F115" s="4">
        <v>0.8962</v>
      </c>
      <c r="G115" s="4">
        <v>9</v>
      </c>
      <c r="H115" s="4">
        <v>242.5</v>
      </c>
      <c r="I115" s="4">
        <v>247.5</v>
      </c>
      <c r="J115" s="6">
        <v>250</v>
      </c>
      <c r="K115" s="4" t="e">
        <f t="array" aca="1" ref="K115">MAX(H115:J115*(1-strike(H115:J115)))</f>
        <v>#NAME?</v>
      </c>
      <c r="L115" s="4">
        <v>140</v>
      </c>
      <c r="M115" s="6">
        <v>145</v>
      </c>
      <c r="N115" s="4">
        <v>145</v>
      </c>
      <c r="O115" s="4" t="e">
        <f t="array" aca="1" ref="O115">MAX(L115:N115*(1-strike(L115:N115)))</f>
        <v>#NAME?</v>
      </c>
      <c r="P115" s="4">
        <v>205</v>
      </c>
      <c r="Q115" s="4">
        <v>210</v>
      </c>
      <c r="R115" s="6">
        <v>217.5</v>
      </c>
      <c r="S115" s="4" t="e">
        <f t="array" aca="1" ref="S115">MAX(P115:R115*(1-strike(P115:R115)))</f>
        <v>#NAME?</v>
      </c>
      <c r="T115" s="4" t="e">
        <f t="shared" si="1"/>
        <v>#NAME?</v>
      </c>
      <c r="U115" s="4">
        <v>602.5</v>
      </c>
      <c r="V115" s="4">
        <v>539.96</v>
      </c>
      <c r="W115" s="4">
        <v>6</v>
      </c>
      <c r="X115" s="5">
        <v>2015</v>
      </c>
      <c r="Y115" s="5" t="s">
        <v>170</v>
      </c>
      <c r="Z115" s="5" t="s">
        <v>171</v>
      </c>
      <c r="AA115" s="5">
        <v>198</v>
      </c>
    </row>
    <row r="116" spans="1:27">
      <c r="A116" s="4">
        <v>8</v>
      </c>
      <c r="B116" s="4" t="s">
        <v>177</v>
      </c>
      <c r="C116" s="4">
        <v>1991</v>
      </c>
      <c r="D116" s="4" t="s">
        <v>51</v>
      </c>
      <c r="E116" s="4">
        <v>80.8</v>
      </c>
      <c r="F116" s="4">
        <v>0.91</v>
      </c>
      <c r="G116" s="4">
        <v>4</v>
      </c>
      <c r="H116" s="4">
        <v>120</v>
      </c>
      <c r="I116" s="4">
        <v>130</v>
      </c>
      <c r="J116" s="4">
        <v>135</v>
      </c>
      <c r="K116" s="4" t="e">
        <f t="array" aca="1" ref="K116">MAX(H116:J116*(1-strike(H116:J116)))</f>
        <v>#NAME?</v>
      </c>
      <c r="L116" s="4">
        <v>67.5</v>
      </c>
      <c r="M116" s="4">
        <v>75</v>
      </c>
      <c r="N116" s="6">
        <v>80</v>
      </c>
      <c r="O116" s="4" t="e">
        <f t="array" aca="1" ref="O116">MAX(L116:N116*(1-strike(L116:N116)))</f>
        <v>#NAME?</v>
      </c>
      <c r="P116" s="4">
        <v>165</v>
      </c>
      <c r="Q116" s="4">
        <v>175</v>
      </c>
      <c r="R116" s="4">
        <v>182.5</v>
      </c>
      <c r="S116" s="4" t="e">
        <f t="array" aca="1" ref="S116">MAX(P116:R116*(1-strike(P116:R116)))</f>
        <v>#NAME?</v>
      </c>
      <c r="T116" s="4" t="e">
        <f t="shared" si="1"/>
        <v>#NAME?</v>
      </c>
      <c r="U116" s="4">
        <v>392.5</v>
      </c>
      <c r="V116" s="4">
        <v>357.18</v>
      </c>
      <c r="W116" s="4">
        <v>3</v>
      </c>
      <c r="X116" s="5">
        <v>2015</v>
      </c>
      <c r="Y116" s="5" t="s">
        <v>170</v>
      </c>
      <c r="Z116" s="5" t="s">
        <v>30</v>
      </c>
      <c r="AA116" s="5">
        <v>422</v>
      </c>
    </row>
    <row r="117" spans="1:27">
      <c r="A117" s="4">
        <v>6</v>
      </c>
      <c r="B117" s="4" t="s">
        <v>178</v>
      </c>
      <c r="C117" s="4">
        <v>1986</v>
      </c>
      <c r="D117" s="4" t="s">
        <v>54</v>
      </c>
      <c r="E117" s="4">
        <v>51.77</v>
      </c>
      <c r="F117" s="7">
        <v>12509</v>
      </c>
      <c r="G117" s="4">
        <v>15</v>
      </c>
      <c r="H117" s="4">
        <v>132.5</v>
      </c>
      <c r="I117" s="4">
        <v>140</v>
      </c>
      <c r="J117" s="4">
        <v>145</v>
      </c>
      <c r="K117" s="4" t="e">
        <f t="array" aca="1" ref="K117">MAX(H117:J117*(1-strike(H117:J117)))</f>
        <v>#NAME?</v>
      </c>
      <c r="L117" s="4">
        <v>92.5</v>
      </c>
      <c r="M117" s="4">
        <v>97.5</v>
      </c>
      <c r="N117" s="6">
        <v>100</v>
      </c>
      <c r="O117" s="4" t="e">
        <f t="array" aca="1" ref="O117">MAX(L117:N117*(1-strike(L117:N117)))</f>
        <v>#NAME?</v>
      </c>
      <c r="P117" s="4">
        <v>155</v>
      </c>
      <c r="Q117" s="4">
        <v>165</v>
      </c>
      <c r="R117" s="4">
        <v>170</v>
      </c>
      <c r="S117" s="4" t="e">
        <f t="array" aca="1" ref="S117">MAX(P117:R117*(1-strike(P117:R117)))</f>
        <v>#NAME?</v>
      </c>
      <c r="T117" s="4" t="e">
        <f t="shared" si="1"/>
        <v>#NAME?</v>
      </c>
      <c r="U117" s="4">
        <v>412.5</v>
      </c>
      <c r="V117" s="4">
        <v>516</v>
      </c>
      <c r="W117" s="4">
        <v>5</v>
      </c>
      <c r="X117" s="5">
        <v>2015</v>
      </c>
      <c r="Y117" s="5" t="s">
        <v>170</v>
      </c>
      <c r="Z117" s="5" t="s">
        <v>171</v>
      </c>
      <c r="AA117" s="5">
        <v>146</v>
      </c>
    </row>
    <row r="118" spans="1:27">
      <c r="A118" s="4">
        <v>9</v>
      </c>
      <c r="B118" s="4" t="s">
        <v>179</v>
      </c>
      <c r="C118" s="4">
        <v>1987</v>
      </c>
      <c r="D118" s="4" t="s">
        <v>49</v>
      </c>
      <c r="E118" s="4">
        <v>79.27</v>
      </c>
      <c r="F118" s="4">
        <v>0.91969999999999996</v>
      </c>
      <c r="G118" s="4">
        <v>7</v>
      </c>
      <c r="H118" s="6">
        <v>145</v>
      </c>
      <c r="I118" s="4">
        <v>145</v>
      </c>
      <c r="J118" s="6">
        <v>157.5</v>
      </c>
      <c r="K118" s="4" t="e">
        <f t="array" aca="1" ref="K118">MAX(H118:J118*(1-strike(H118:J118)))</f>
        <v>#NAME?</v>
      </c>
      <c r="L118" s="4">
        <v>60</v>
      </c>
      <c r="M118" s="4">
        <v>67.5</v>
      </c>
      <c r="N118" s="6">
        <v>75</v>
      </c>
      <c r="O118" s="4" t="e">
        <f t="array" aca="1" ref="O118">MAX(L118:N118*(1-strike(L118:N118)))</f>
        <v>#NAME?</v>
      </c>
      <c r="P118" s="4">
        <v>175</v>
      </c>
      <c r="Q118" s="6">
        <v>177.5</v>
      </c>
      <c r="R118" s="6">
        <v>177.5</v>
      </c>
      <c r="S118" s="4" t="e">
        <f t="array" aca="1" ref="S118">MAX(P118:R118*(1-strike(P118:R118)))</f>
        <v>#NAME?</v>
      </c>
      <c r="T118" s="4" t="e">
        <f t="shared" si="1"/>
        <v>#NAME?</v>
      </c>
      <c r="U118" s="4">
        <v>387.5</v>
      </c>
      <c r="V118" s="4">
        <v>356.38</v>
      </c>
      <c r="W118" s="4">
        <v>2</v>
      </c>
      <c r="X118" s="5">
        <v>2015</v>
      </c>
      <c r="Y118" s="5" t="s">
        <v>170</v>
      </c>
      <c r="Z118" s="5" t="s">
        <v>30</v>
      </c>
      <c r="AA118" s="5">
        <v>423</v>
      </c>
    </row>
    <row r="119" spans="1:27">
      <c r="A119" s="4">
        <v>8</v>
      </c>
      <c r="B119" s="4" t="s">
        <v>180</v>
      </c>
      <c r="C119" s="4">
        <v>1980</v>
      </c>
      <c r="D119" s="4" t="s">
        <v>113</v>
      </c>
      <c r="E119" s="4">
        <v>61.42</v>
      </c>
      <c r="F119" s="7">
        <v>10950</v>
      </c>
      <c r="G119" s="4">
        <v>11</v>
      </c>
      <c r="H119" s="4">
        <v>125</v>
      </c>
      <c r="I119" s="4">
        <v>130</v>
      </c>
      <c r="J119" s="6">
        <v>135</v>
      </c>
      <c r="K119" s="4" t="e">
        <f t="array" aca="1" ref="K119">MAX(H119:J119*(1-strike(H119:J119)))</f>
        <v>#NAME?</v>
      </c>
      <c r="L119" s="4">
        <v>65</v>
      </c>
      <c r="M119" s="4">
        <v>67.5</v>
      </c>
      <c r="N119" s="4">
        <v>70</v>
      </c>
      <c r="O119" s="4" t="e">
        <f t="array" aca="1" ref="O119">MAX(L119:N119*(1-strike(L119:N119)))</f>
        <v>#NAME?</v>
      </c>
      <c r="P119" s="4">
        <v>165</v>
      </c>
      <c r="Q119" s="4">
        <v>175</v>
      </c>
      <c r="R119" s="4">
        <v>180</v>
      </c>
      <c r="S119" s="4" t="e">
        <f t="array" aca="1" ref="S119">MAX(P119:R119*(1-strike(P119:R119)))</f>
        <v>#NAME?</v>
      </c>
      <c r="T119" s="4" t="e">
        <f t="shared" si="1"/>
        <v>#NAME?</v>
      </c>
      <c r="U119" s="4">
        <v>380</v>
      </c>
      <c r="V119" s="4">
        <v>416.1</v>
      </c>
      <c r="W119" s="4">
        <v>3</v>
      </c>
      <c r="X119" s="5">
        <v>2015</v>
      </c>
      <c r="Y119" s="5" t="s">
        <v>170</v>
      </c>
      <c r="Z119" s="5" t="s">
        <v>30</v>
      </c>
      <c r="AA119" s="5">
        <v>395</v>
      </c>
    </row>
    <row r="120" spans="1:27">
      <c r="A120" s="4">
        <v>6</v>
      </c>
      <c r="B120" s="4" t="s">
        <v>181</v>
      </c>
      <c r="C120" s="4">
        <v>1986</v>
      </c>
      <c r="D120" s="4" t="s">
        <v>49</v>
      </c>
      <c r="E120" s="4">
        <v>56.16</v>
      </c>
      <c r="F120" s="7">
        <v>11740</v>
      </c>
      <c r="G120" s="4">
        <v>5</v>
      </c>
      <c r="H120" s="4">
        <v>172.5</v>
      </c>
      <c r="I120" s="4">
        <v>180</v>
      </c>
      <c r="J120" s="4">
        <v>185</v>
      </c>
      <c r="K120" s="4" t="e">
        <f t="array" aca="1" ref="K120">MAX(H120:J120*(1-strike(H120:J120)))</f>
        <v>#NAME?</v>
      </c>
      <c r="L120" s="4">
        <v>102.5</v>
      </c>
      <c r="M120" s="6">
        <v>107.5</v>
      </c>
      <c r="N120" s="6">
        <v>107.5</v>
      </c>
      <c r="O120" s="4" t="e">
        <f t="array" aca="1" ref="O120">MAX(L120:N120*(1-strike(L120:N120)))</f>
        <v>#NAME?</v>
      </c>
      <c r="P120" s="4">
        <v>160</v>
      </c>
      <c r="Q120" s="4">
        <v>170</v>
      </c>
      <c r="R120" s="6">
        <v>177.5</v>
      </c>
      <c r="S120" s="4" t="e">
        <f t="array" aca="1" ref="S120">MAX(P120:R120*(1-strike(P120:R120)))</f>
        <v>#NAME?</v>
      </c>
      <c r="T120" s="4" t="e">
        <f t="shared" si="1"/>
        <v>#NAME?</v>
      </c>
      <c r="U120" s="4">
        <v>457.5</v>
      </c>
      <c r="V120" s="4">
        <v>537.11</v>
      </c>
      <c r="W120" s="4">
        <v>5</v>
      </c>
      <c r="X120" s="5">
        <v>2015</v>
      </c>
      <c r="Y120" s="5" t="s">
        <v>170</v>
      </c>
      <c r="Z120" s="5" t="s">
        <v>171</v>
      </c>
      <c r="AA120" s="5">
        <v>159</v>
      </c>
    </row>
    <row r="121" spans="1:27">
      <c r="A121" s="4">
        <v>12</v>
      </c>
      <c r="B121" s="4" t="s">
        <v>182</v>
      </c>
      <c r="C121" s="4">
        <v>1984</v>
      </c>
      <c r="D121" s="4" t="s">
        <v>72</v>
      </c>
      <c r="E121" s="4">
        <v>103.29</v>
      </c>
      <c r="F121" s="4">
        <v>0.82520000000000004</v>
      </c>
      <c r="G121" s="4">
        <v>12</v>
      </c>
      <c r="H121" s="4">
        <v>100</v>
      </c>
      <c r="I121" s="6">
        <v>120</v>
      </c>
      <c r="J121" s="4">
        <v>127.5</v>
      </c>
      <c r="K121" s="4" t="e">
        <f t="array" aca="1" ref="K121">MAX(H121:J121*(1-strike(H121:J121)))</f>
        <v>#NAME?</v>
      </c>
      <c r="L121" s="6">
        <v>60</v>
      </c>
      <c r="M121" s="4">
        <v>67.5</v>
      </c>
      <c r="N121" s="4">
        <v>72.5</v>
      </c>
      <c r="O121" s="4" t="e">
        <f t="array" aca="1" ref="O121">MAX(L121:N121*(1-strike(L121:N121)))</f>
        <v>#NAME?</v>
      </c>
      <c r="P121" s="4">
        <v>110</v>
      </c>
      <c r="Q121" s="4">
        <v>125</v>
      </c>
      <c r="R121" s="4">
        <v>135</v>
      </c>
      <c r="S121" s="4" t="e">
        <f t="array" aca="1" ref="S121">MAX(P121:R121*(1-strike(P121:R121)))</f>
        <v>#NAME?</v>
      </c>
      <c r="T121" s="4" t="e">
        <f t="shared" si="1"/>
        <v>#NAME?</v>
      </c>
      <c r="U121" s="4">
        <v>335</v>
      </c>
      <c r="V121" s="4">
        <v>276.44</v>
      </c>
      <c r="W121" s="4">
        <v>1</v>
      </c>
      <c r="X121" s="5">
        <v>2015</v>
      </c>
      <c r="Y121" s="5" t="s">
        <v>170</v>
      </c>
      <c r="Z121" s="5" t="s">
        <v>30</v>
      </c>
      <c r="AA121" s="5">
        <v>436</v>
      </c>
    </row>
    <row r="122" spans="1:27">
      <c r="A122" s="4">
        <v>9</v>
      </c>
      <c r="B122" s="4" t="s">
        <v>183</v>
      </c>
      <c r="C122" s="4">
        <v>1991</v>
      </c>
      <c r="D122" s="4" t="s">
        <v>45</v>
      </c>
      <c r="E122" s="4">
        <v>56.8</v>
      </c>
      <c r="F122" s="7">
        <v>11636</v>
      </c>
      <c r="G122" s="4">
        <v>10</v>
      </c>
      <c r="H122" s="4">
        <v>177.5</v>
      </c>
      <c r="I122" s="4">
        <v>182.5</v>
      </c>
      <c r="J122" s="4">
        <v>185</v>
      </c>
      <c r="K122" s="4" t="e">
        <f t="array" aca="1" ref="K122">MAX(H122:J122*(1-strike(H122:J122)))</f>
        <v>#NAME?</v>
      </c>
      <c r="L122" s="4">
        <v>82.5</v>
      </c>
      <c r="M122" s="4">
        <v>87.5</v>
      </c>
      <c r="N122" s="4">
        <v>92.5</v>
      </c>
      <c r="O122" s="4" t="e">
        <f t="array" aca="1" ref="O122">MAX(L122:N122*(1-strike(L122:N122)))</f>
        <v>#NAME?</v>
      </c>
      <c r="P122" s="4">
        <v>157.5</v>
      </c>
      <c r="Q122" s="4">
        <v>162.5</v>
      </c>
      <c r="R122" s="4">
        <v>167.5</v>
      </c>
      <c r="S122" s="4" t="e">
        <f t="array" aca="1" ref="S122">MAX(P122:R122*(1-strike(P122:R122)))</f>
        <v>#NAME?</v>
      </c>
      <c r="T122" s="4" t="e">
        <f t="shared" si="1"/>
        <v>#NAME?</v>
      </c>
      <c r="U122" s="4">
        <v>445</v>
      </c>
      <c r="V122" s="4">
        <v>517.79999999999995</v>
      </c>
      <c r="W122" s="4">
        <v>2</v>
      </c>
      <c r="X122" s="5">
        <v>2015</v>
      </c>
      <c r="Y122" s="5" t="s">
        <v>170</v>
      </c>
      <c r="Z122" s="5" t="s">
        <v>171</v>
      </c>
      <c r="AA122" s="5">
        <v>162</v>
      </c>
    </row>
    <row r="123" spans="1:27">
      <c r="A123" s="4">
        <v>2</v>
      </c>
      <c r="B123" s="4" t="s">
        <v>184</v>
      </c>
      <c r="C123" s="4">
        <v>1972</v>
      </c>
      <c r="D123" s="4" t="s">
        <v>62</v>
      </c>
      <c r="E123" s="4">
        <v>82.59</v>
      </c>
      <c r="F123" s="4">
        <v>0.89949999999999997</v>
      </c>
      <c r="G123" s="4">
        <v>8</v>
      </c>
      <c r="H123" s="4">
        <v>232.5</v>
      </c>
      <c r="I123" s="4">
        <v>240</v>
      </c>
      <c r="J123" s="6">
        <v>247.5</v>
      </c>
      <c r="K123" s="4" t="e">
        <f t="array" aca="1" ref="K123">MAX(H123:J123*(1-strike(H123:J123)))</f>
        <v>#NAME?</v>
      </c>
      <c r="L123" s="4">
        <v>175</v>
      </c>
      <c r="M123" s="4">
        <v>182.5</v>
      </c>
      <c r="N123" s="4">
        <v>188</v>
      </c>
      <c r="O123" s="4" t="e">
        <f t="array" aca="1" ref="O123">MAX(L123:N123*(1-strike(L123:N123)))</f>
        <v>#NAME?</v>
      </c>
      <c r="P123" s="6">
        <v>212.5</v>
      </c>
      <c r="Q123" s="4">
        <v>212.5</v>
      </c>
      <c r="R123" s="6">
        <v>215</v>
      </c>
      <c r="S123" s="4" t="e">
        <f t="array" aca="1" ref="S123">MAX(P123:R123*(1-strike(P123:R123)))</f>
        <v>#NAME?</v>
      </c>
      <c r="T123" s="4" t="e">
        <f t="shared" si="1"/>
        <v>#NAME?</v>
      </c>
      <c r="U123" s="4">
        <v>640.5</v>
      </c>
      <c r="V123" s="4">
        <v>576.13</v>
      </c>
      <c r="W123" s="4">
        <v>9</v>
      </c>
      <c r="X123" s="5">
        <v>2015</v>
      </c>
      <c r="Y123" s="5" t="s">
        <v>170</v>
      </c>
      <c r="Z123" s="5" t="s">
        <v>171</v>
      </c>
      <c r="AA123" s="5">
        <v>195</v>
      </c>
    </row>
    <row r="124" spans="1:27">
      <c r="A124" s="4">
        <v>13</v>
      </c>
      <c r="B124" s="4" t="s">
        <v>185</v>
      </c>
      <c r="C124" s="4">
        <v>1983</v>
      </c>
      <c r="D124" s="4" t="s">
        <v>142</v>
      </c>
      <c r="E124" s="4">
        <v>56.59</v>
      </c>
      <c r="F124" s="7">
        <v>11670</v>
      </c>
      <c r="G124" s="4">
        <v>16</v>
      </c>
      <c r="H124" s="4">
        <v>110</v>
      </c>
      <c r="I124" s="4">
        <v>115</v>
      </c>
      <c r="J124" s="4"/>
      <c r="K124" s="4" t="e">
        <f t="array" aca="1" ref="K124">MAX(H124:J124*(1-strike(H124:J124)))</f>
        <v>#NAME?</v>
      </c>
      <c r="L124" s="4">
        <v>60</v>
      </c>
      <c r="M124" s="4">
        <v>62.5</v>
      </c>
      <c r="N124" s="4"/>
      <c r="O124" s="4" t="e">
        <f t="array" aca="1" ref="O124">MAX(L124:N124*(1-strike(L124:N124)))</f>
        <v>#NAME?</v>
      </c>
      <c r="P124" s="4">
        <v>140</v>
      </c>
      <c r="Q124" s="4">
        <v>145</v>
      </c>
      <c r="R124" s="4"/>
      <c r="S124" s="4" t="e">
        <f t="array" aca="1" ref="S124">MAX(P124:R124*(1-strike(P124:R124)))</f>
        <v>#NAME?</v>
      </c>
      <c r="T124" s="4" t="e">
        <f t="shared" si="1"/>
        <v>#NAME?</v>
      </c>
      <c r="U124" s="4">
        <v>322.5</v>
      </c>
      <c r="V124" s="4">
        <v>376.36</v>
      </c>
      <c r="W124" s="4">
        <v>1</v>
      </c>
      <c r="X124" s="5">
        <v>2015</v>
      </c>
      <c r="Y124" s="5" t="s">
        <v>170</v>
      </c>
      <c r="Z124" s="5" t="s">
        <v>30</v>
      </c>
      <c r="AA124" s="5">
        <v>383</v>
      </c>
    </row>
    <row r="125" spans="1:27">
      <c r="A125" s="4" t="s">
        <v>37</v>
      </c>
      <c r="B125" s="4" t="s">
        <v>186</v>
      </c>
      <c r="C125" s="4">
        <v>1995</v>
      </c>
      <c r="D125" s="4" t="s">
        <v>51</v>
      </c>
      <c r="E125" s="4">
        <v>83.2</v>
      </c>
      <c r="F125" s="4">
        <v>0.89610000000000001</v>
      </c>
      <c r="G125" s="4">
        <v>7</v>
      </c>
      <c r="H125" s="6">
        <v>135</v>
      </c>
      <c r="I125" s="6">
        <v>135</v>
      </c>
      <c r="J125" s="6">
        <v>135</v>
      </c>
      <c r="K125" s="4" t="e">
        <f t="array" aca="1" ref="K125">MAX(H125:J125*(1-strike(H125:J125)))</f>
        <v>#NAME?</v>
      </c>
      <c r="L125" s="4">
        <v>62.5</v>
      </c>
      <c r="M125" s="4">
        <v>65</v>
      </c>
      <c r="N125" s="4">
        <v>67.5</v>
      </c>
      <c r="O125" s="4" t="e">
        <f t="array" aca="1" ref="O125">MAX(L125:N125*(1-strike(L125:N125)))</f>
        <v>#NAME?</v>
      </c>
      <c r="P125" s="4">
        <v>110</v>
      </c>
      <c r="Q125" s="4">
        <v>117.5</v>
      </c>
      <c r="R125" s="4">
        <v>122.5</v>
      </c>
      <c r="S125" s="4" t="e">
        <f t="array" aca="1" ref="S125">MAX(P125:R125*(1-strike(P125:R125)))</f>
        <v>#NAME?</v>
      </c>
      <c r="T125" s="4" t="e">
        <f t="shared" si="1"/>
        <v>#NAME?</v>
      </c>
      <c r="U125" s="4" t="s">
        <v>187</v>
      </c>
      <c r="V125" s="4" t="s">
        <v>37</v>
      </c>
      <c r="W125" s="4" t="s">
        <v>37</v>
      </c>
      <c r="X125" s="5">
        <v>2015</v>
      </c>
      <c r="Y125" s="5" t="s">
        <v>170</v>
      </c>
      <c r="Z125" s="5" t="s">
        <v>171</v>
      </c>
      <c r="AA125" s="5">
        <v>204</v>
      </c>
    </row>
    <row r="126" spans="1:27">
      <c r="A126" s="4">
        <v>9</v>
      </c>
      <c r="B126" s="4" t="s">
        <v>188</v>
      </c>
      <c r="C126" s="4">
        <v>1986</v>
      </c>
      <c r="D126" s="4" t="s">
        <v>137</v>
      </c>
      <c r="E126" s="4">
        <v>54.98</v>
      </c>
      <c r="F126" s="7">
        <v>11937</v>
      </c>
      <c r="G126" s="4">
        <v>2</v>
      </c>
      <c r="H126" s="4">
        <v>117.5</v>
      </c>
      <c r="I126" s="4">
        <v>125</v>
      </c>
      <c r="J126" s="6">
        <v>130</v>
      </c>
      <c r="K126" s="4" t="e">
        <f t="array" aca="1" ref="K126">MAX(H126:J126*(1-strike(H126:J126)))</f>
        <v>#NAME?</v>
      </c>
      <c r="L126" s="4">
        <v>80</v>
      </c>
      <c r="M126" s="4">
        <v>85</v>
      </c>
      <c r="N126" s="4">
        <v>87.5</v>
      </c>
      <c r="O126" s="4" t="e">
        <f t="array" aca="1" ref="O126">MAX(L126:N126*(1-strike(L126:N126)))</f>
        <v>#NAME?</v>
      </c>
      <c r="P126" s="4">
        <v>140</v>
      </c>
      <c r="Q126" s="6">
        <v>147.5</v>
      </c>
      <c r="R126" s="6">
        <v>147.5</v>
      </c>
      <c r="S126" s="4" t="e">
        <f t="array" aca="1" ref="S126">MAX(P126:R126*(1-strike(P126:R126)))</f>
        <v>#NAME?</v>
      </c>
      <c r="T126" s="4" t="e">
        <f t="shared" si="1"/>
        <v>#NAME?</v>
      </c>
      <c r="U126" s="4">
        <v>352.5</v>
      </c>
      <c r="V126" s="4">
        <v>420.78</v>
      </c>
      <c r="W126" s="4">
        <v>2</v>
      </c>
      <c r="X126" s="5">
        <v>2015</v>
      </c>
      <c r="Y126" s="5" t="s">
        <v>170</v>
      </c>
      <c r="Z126" s="5" t="s">
        <v>30</v>
      </c>
      <c r="AA126" s="5">
        <v>379</v>
      </c>
    </row>
    <row r="127" spans="1:27">
      <c r="A127" s="4">
        <v>12</v>
      </c>
      <c r="B127" s="4" t="s">
        <v>189</v>
      </c>
      <c r="C127" s="4">
        <v>1978</v>
      </c>
      <c r="D127" s="4" t="s">
        <v>56</v>
      </c>
      <c r="E127" s="4">
        <v>56.35</v>
      </c>
      <c r="F127" s="7">
        <v>11709</v>
      </c>
      <c r="G127" s="4">
        <v>11</v>
      </c>
      <c r="H127" s="6">
        <v>110</v>
      </c>
      <c r="I127" s="4">
        <v>110</v>
      </c>
      <c r="J127" s="6">
        <v>115</v>
      </c>
      <c r="K127" s="4" t="e">
        <f t="array" aca="1" ref="K127">MAX(H127:J127*(1-strike(H127:J127)))</f>
        <v>#NAME?</v>
      </c>
      <c r="L127" s="4">
        <v>60</v>
      </c>
      <c r="M127" s="4">
        <v>65</v>
      </c>
      <c r="N127" s="6">
        <v>70</v>
      </c>
      <c r="O127" s="4" t="e">
        <f t="array" aca="1" ref="O127">MAX(L127:N127*(1-strike(L127:N127)))</f>
        <v>#NAME?</v>
      </c>
      <c r="P127" s="4">
        <v>147.5</v>
      </c>
      <c r="Q127" s="6">
        <v>152.5</v>
      </c>
      <c r="R127" s="4">
        <v>152.5</v>
      </c>
      <c r="S127" s="4" t="e">
        <f t="array" aca="1" ref="S127">MAX(P127:R127*(1-strike(P127:R127)))</f>
        <v>#NAME?</v>
      </c>
      <c r="T127" s="4" t="e">
        <f t="shared" si="1"/>
        <v>#NAME?</v>
      </c>
      <c r="U127" s="4">
        <v>327.5</v>
      </c>
      <c r="V127" s="4">
        <v>383.47</v>
      </c>
      <c r="W127" s="4">
        <v>1</v>
      </c>
      <c r="X127" s="5">
        <v>2015</v>
      </c>
      <c r="Y127" s="5" t="s">
        <v>170</v>
      </c>
      <c r="Z127" s="5" t="s">
        <v>30</v>
      </c>
      <c r="AA127" s="5">
        <v>382</v>
      </c>
    </row>
    <row r="128" spans="1:27">
      <c r="A128" s="4">
        <v>6</v>
      </c>
      <c r="B128" s="4" t="s">
        <v>190</v>
      </c>
      <c r="C128" s="4">
        <v>1980</v>
      </c>
      <c r="D128" s="4" t="s">
        <v>49</v>
      </c>
      <c r="E128" s="4">
        <v>61.1</v>
      </c>
      <c r="F128" s="7">
        <v>10994</v>
      </c>
      <c r="G128" s="4">
        <v>1</v>
      </c>
      <c r="H128" s="4">
        <v>185</v>
      </c>
      <c r="I128" s="4">
        <v>192.5</v>
      </c>
      <c r="J128" s="6">
        <v>197.5</v>
      </c>
      <c r="K128" s="4" t="e">
        <f t="array" aca="1" ref="K128">MAX(H128:J128*(1-strike(H128:J128)))</f>
        <v>#NAME?</v>
      </c>
      <c r="L128" s="4">
        <v>140</v>
      </c>
      <c r="M128" s="6">
        <v>147.5</v>
      </c>
      <c r="N128" s="6">
        <v>147.5</v>
      </c>
      <c r="O128" s="4" t="e">
        <f t="array" aca="1" ref="O128">MAX(L128:N128*(1-strike(L128:N128)))</f>
        <v>#NAME?</v>
      </c>
      <c r="P128" s="4">
        <v>175</v>
      </c>
      <c r="Q128" s="4">
        <v>185</v>
      </c>
      <c r="R128" s="6">
        <v>190</v>
      </c>
      <c r="S128" s="4" t="e">
        <f t="array" aca="1" ref="S128">MAX(P128:R128*(1-strike(P128:R128)))</f>
        <v>#NAME?</v>
      </c>
      <c r="T128" s="4" t="e">
        <f t="shared" si="1"/>
        <v>#NAME?</v>
      </c>
      <c r="U128" s="4">
        <v>517.5</v>
      </c>
      <c r="V128" s="4">
        <v>568.94000000000005</v>
      </c>
      <c r="W128" s="4">
        <v>5</v>
      </c>
      <c r="X128" s="5">
        <v>2015</v>
      </c>
      <c r="Y128" s="5" t="s">
        <v>170</v>
      </c>
      <c r="Z128" s="5" t="s">
        <v>171</v>
      </c>
      <c r="AA128" s="5">
        <v>175</v>
      </c>
    </row>
    <row r="129" spans="1:27">
      <c r="A129" s="4">
        <v>6</v>
      </c>
      <c r="B129" s="4" t="s">
        <v>191</v>
      </c>
      <c r="C129" s="4">
        <v>1983</v>
      </c>
      <c r="D129" s="4" t="s">
        <v>51</v>
      </c>
      <c r="E129" s="4">
        <v>69.849999999999994</v>
      </c>
      <c r="F129" s="4">
        <v>0.99629999999999996</v>
      </c>
      <c r="G129" s="4">
        <v>6</v>
      </c>
      <c r="H129" s="4">
        <v>127.5</v>
      </c>
      <c r="I129" s="4">
        <v>137.5</v>
      </c>
      <c r="J129" s="6">
        <v>142.5</v>
      </c>
      <c r="K129" s="4" t="e">
        <f t="array" aca="1" ref="K129">MAX(H129:J129*(1-strike(H129:J129)))</f>
        <v>#NAME?</v>
      </c>
      <c r="L129" s="4">
        <v>65</v>
      </c>
      <c r="M129" s="4">
        <v>70</v>
      </c>
      <c r="N129" s="4">
        <v>72.5</v>
      </c>
      <c r="O129" s="4" t="e">
        <f t="array" aca="1" ref="O129">MAX(L129:N129*(1-strike(L129:N129)))</f>
        <v>#NAME?</v>
      </c>
      <c r="P129" s="4">
        <v>160</v>
      </c>
      <c r="Q129" s="4">
        <v>175</v>
      </c>
      <c r="R129" s="4">
        <v>185</v>
      </c>
      <c r="S129" s="4" t="e">
        <f t="array" aca="1" ref="S129">MAX(P129:R129*(1-strike(P129:R129)))</f>
        <v>#NAME?</v>
      </c>
      <c r="T129" s="4" t="e">
        <f t="shared" si="1"/>
        <v>#NAME?</v>
      </c>
      <c r="U129" s="4">
        <v>395</v>
      </c>
      <c r="V129" s="4">
        <v>393.54</v>
      </c>
      <c r="W129" s="4">
        <v>5</v>
      </c>
      <c r="X129" s="5">
        <v>2015</v>
      </c>
      <c r="Y129" s="5" t="s">
        <v>170</v>
      </c>
      <c r="Z129" s="5" t="s">
        <v>30</v>
      </c>
      <c r="AA129" s="5">
        <v>409</v>
      </c>
    </row>
    <row r="130" spans="1:27">
      <c r="A130" s="4">
        <v>12</v>
      </c>
      <c r="B130" s="4" t="s">
        <v>192</v>
      </c>
      <c r="C130" s="4">
        <v>1969</v>
      </c>
      <c r="D130" s="4" t="s">
        <v>54</v>
      </c>
      <c r="E130" s="4">
        <v>56.39</v>
      </c>
      <c r="F130" s="7">
        <v>11702</v>
      </c>
      <c r="G130" s="4">
        <v>3</v>
      </c>
      <c r="H130" s="6">
        <v>155</v>
      </c>
      <c r="I130" s="4">
        <v>157.5</v>
      </c>
      <c r="J130" s="6">
        <v>162.5</v>
      </c>
      <c r="K130" s="4" t="e">
        <f t="array" aca="1" ref="K130">MAX(H130:J130*(1-strike(H130:J130)))</f>
        <v>#NAME?</v>
      </c>
      <c r="L130" s="6">
        <v>87.5</v>
      </c>
      <c r="M130" s="4">
        <v>87.5</v>
      </c>
      <c r="N130" s="6">
        <v>92.5</v>
      </c>
      <c r="O130" s="4" t="e">
        <f t="array" aca="1" ref="O130">MAX(L130:N130*(1-strike(L130:N130)))</f>
        <v>#NAME?</v>
      </c>
      <c r="P130" s="4">
        <v>170</v>
      </c>
      <c r="Q130" s="6">
        <v>177.5</v>
      </c>
      <c r="R130" s="6">
        <v>177.5</v>
      </c>
      <c r="S130" s="4" t="e">
        <f t="array" aca="1" ref="S130">MAX(P130:R130*(1-strike(P130:R130)))</f>
        <v>#NAME?</v>
      </c>
      <c r="T130" s="4" t="e">
        <f t="shared" ref="T130:T193" si="2">IF(AND(K130&lt;&gt;0,O130&lt;&gt;0,S130&lt;&gt;0),K130+O130+S130,0)</f>
        <v>#NAME?</v>
      </c>
      <c r="U130" s="4">
        <v>415</v>
      </c>
      <c r="V130" s="4">
        <v>485.63</v>
      </c>
      <c r="W130" s="4">
        <v>1</v>
      </c>
      <c r="X130" s="5">
        <v>2015</v>
      </c>
      <c r="Y130" s="5" t="s">
        <v>170</v>
      </c>
      <c r="Z130" s="5" t="s">
        <v>171</v>
      </c>
      <c r="AA130" s="5">
        <v>165</v>
      </c>
    </row>
    <row r="131" spans="1:27">
      <c r="A131" s="4">
        <v>9</v>
      </c>
      <c r="B131" s="4" t="s">
        <v>193</v>
      </c>
      <c r="C131" s="4">
        <v>1978</v>
      </c>
      <c r="D131" s="4" t="s">
        <v>194</v>
      </c>
      <c r="E131" s="4">
        <v>45.68</v>
      </c>
      <c r="F131" s="7">
        <v>13724</v>
      </c>
      <c r="G131" s="4">
        <v>6</v>
      </c>
      <c r="H131" s="4">
        <v>80</v>
      </c>
      <c r="I131" s="4">
        <v>87.5</v>
      </c>
      <c r="J131" s="4">
        <v>92.5</v>
      </c>
      <c r="K131" s="4" t="e">
        <f t="array" aca="1" ref="K131">MAX(H131:J131*(1-strike(H131:J131)))</f>
        <v>#NAME?</v>
      </c>
      <c r="L131" s="4">
        <v>45</v>
      </c>
      <c r="M131" s="4">
        <v>47.5</v>
      </c>
      <c r="N131" s="4">
        <v>50</v>
      </c>
      <c r="O131" s="4" t="e">
        <f t="array" aca="1" ref="O131">MAX(L131:N131*(1-strike(L131:N131)))</f>
        <v>#NAME?</v>
      </c>
      <c r="P131" s="4">
        <v>90</v>
      </c>
      <c r="Q131" s="4">
        <v>110</v>
      </c>
      <c r="R131" s="4">
        <v>120</v>
      </c>
      <c r="S131" s="4" t="e">
        <f t="array" aca="1" ref="S131">MAX(P131:R131*(1-strike(P131:R131)))</f>
        <v>#NAME?</v>
      </c>
      <c r="T131" s="4" t="e">
        <f t="shared" si="2"/>
        <v>#NAME?</v>
      </c>
      <c r="U131" s="4">
        <v>262.5</v>
      </c>
      <c r="V131" s="4">
        <v>360.25</v>
      </c>
      <c r="W131" s="4">
        <v>2</v>
      </c>
      <c r="X131" s="5">
        <v>2015</v>
      </c>
      <c r="Y131" s="5" t="s">
        <v>170</v>
      </c>
      <c r="Z131" s="5" t="s">
        <v>30</v>
      </c>
      <c r="AA131" s="5">
        <v>358</v>
      </c>
    </row>
    <row r="132" spans="1:27" ht="15" customHeight="1">
      <c r="A132" s="4">
        <v>2</v>
      </c>
      <c r="B132" s="4" t="s">
        <v>195</v>
      </c>
      <c r="C132" s="4">
        <v>1985</v>
      </c>
      <c r="D132" s="4" t="s">
        <v>49</v>
      </c>
      <c r="E132" s="4">
        <v>70.319999999999993</v>
      </c>
      <c r="F132" s="4">
        <v>0.99170000000000003</v>
      </c>
      <c r="G132" s="4">
        <v>12</v>
      </c>
      <c r="H132" s="4">
        <v>235</v>
      </c>
      <c r="I132" s="4">
        <v>242.5</v>
      </c>
      <c r="J132" s="6">
        <v>247.5</v>
      </c>
      <c r="K132" s="4" t="e">
        <f t="array" aca="1" ref="K132">MAX(H132:J132*(1-strike(H132:J132)))</f>
        <v>#NAME?</v>
      </c>
      <c r="L132" s="4">
        <v>162.5</v>
      </c>
      <c r="M132" s="4">
        <v>167.5</v>
      </c>
      <c r="N132" s="6">
        <v>177.5</v>
      </c>
      <c r="O132" s="4" t="e">
        <f t="array" aca="1" ref="O132">MAX(L132:N132*(1-strike(L132:N132)))</f>
        <v>#NAME?</v>
      </c>
      <c r="P132" s="4">
        <v>200</v>
      </c>
      <c r="Q132" s="4">
        <v>210</v>
      </c>
      <c r="R132" s="6">
        <v>212.5</v>
      </c>
      <c r="S132" s="4" t="e">
        <f t="array" aca="1" ref="S132">MAX(P132:R132*(1-strike(P132:R132)))</f>
        <v>#NAME?</v>
      </c>
      <c r="T132" s="4" t="e">
        <f t="shared" si="2"/>
        <v>#NAME?</v>
      </c>
      <c r="U132" s="4">
        <v>620</v>
      </c>
      <c r="V132" s="4">
        <v>614.85</v>
      </c>
      <c r="W132" s="4">
        <v>9</v>
      </c>
      <c r="X132" s="5">
        <v>2015</v>
      </c>
      <c r="Y132" s="5" t="s">
        <v>170</v>
      </c>
      <c r="Z132" s="5" t="s">
        <v>171</v>
      </c>
      <c r="AA132" s="5">
        <v>181</v>
      </c>
    </row>
    <row r="133" spans="1:27">
      <c r="A133" s="4">
        <v>5</v>
      </c>
      <c r="B133" s="4" t="s">
        <v>196</v>
      </c>
      <c r="C133" s="4">
        <v>1984</v>
      </c>
      <c r="D133" s="4" t="s">
        <v>74</v>
      </c>
      <c r="E133" s="4">
        <v>91.59</v>
      </c>
      <c r="F133" s="4">
        <v>0.85799999999999998</v>
      </c>
      <c r="G133" s="4">
        <v>15</v>
      </c>
      <c r="H133" s="4">
        <v>200</v>
      </c>
      <c r="I133" s="4">
        <v>210</v>
      </c>
      <c r="J133" s="4">
        <v>215</v>
      </c>
      <c r="K133" s="4" t="e">
        <f t="array" aca="1" ref="K133">MAX(H133:J133*(1-strike(H133:J133)))</f>
        <v>#NAME?</v>
      </c>
      <c r="L133" s="4">
        <v>102.5</v>
      </c>
      <c r="M133" s="4">
        <v>110</v>
      </c>
      <c r="N133" s="6">
        <v>115</v>
      </c>
      <c r="O133" s="4" t="e">
        <f t="array" aca="1" ref="O133">MAX(L133:N133*(1-strike(L133:N133)))</f>
        <v>#NAME?</v>
      </c>
      <c r="P133" s="4">
        <v>170</v>
      </c>
      <c r="Q133" s="4">
        <v>190</v>
      </c>
      <c r="R133" s="6">
        <v>205</v>
      </c>
      <c r="S133" s="4" t="e">
        <f t="array" aca="1" ref="S133">MAX(P133:R133*(1-strike(P133:R133)))</f>
        <v>#NAME?</v>
      </c>
      <c r="T133" s="4" t="e">
        <f t="shared" si="2"/>
        <v>#NAME?</v>
      </c>
      <c r="U133" s="4">
        <v>515</v>
      </c>
      <c r="V133" s="4">
        <v>441.87</v>
      </c>
      <c r="W133" s="4">
        <v>6</v>
      </c>
      <c r="X133" s="5">
        <v>2015</v>
      </c>
      <c r="Y133" s="5" t="s">
        <v>170</v>
      </c>
      <c r="Z133" s="5" t="s">
        <v>30</v>
      </c>
      <c r="AA133" s="5">
        <v>429</v>
      </c>
    </row>
    <row r="134" spans="1:27">
      <c r="A134" s="4">
        <v>4</v>
      </c>
      <c r="B134" s="4" t="s">
        <v>196</v>
      </c>
      <c r="C134" s="4">
        <v>1984</v>
      </c>
      <c r="D134" s="4" t="s">
        <v>74</v>
      </c>
      <c r="E134" s="4">
        <v>89.89</v>
      </c>
      <c r="F134" s="4">
        <v>0.86450000000000005</v>
      </c>
      <c r="G134" s="4">
        <v>20</v>
      </c>
      <c r="H134" s="4">
        <v>245</v>
      </c>
      <c r="I134" s="4">
        <v>255</v>
      </c>
      <c r="J134" s="6">
        <v>260</v>
      </c>
      <c r="K134" s="4" t="e">
        <f t="array" aca="1" ref="K134">MAX(H134:J134*(1-strike(H134:J134)))</f>
        <v>#NAME?</v>
      </c>
      <c r="L134" s="4">
        <v>145</v>
      </c>
      <c r="M134" s="4">
        <v>152.5</v>
      </c>
      <c r="N134" s="6">
        <v>160</v>
      </c>
      <c r="O134" s="4" t="e">
        <f t="array" aca="1" ref="O134">MAX(L134:N134*(1-strike(L134:N134)))</f>
        <v>#NAME?</v>
      </c>
      <c r="P134" s="4">
        <v>210</v>
      </c>
      <c r="Q134" s="6">
        <v>220</v>
      </c>
      <c r="R134" s="4">
        <v>220</v>
      </c>
      <c r="S134" s="4" t="e">
        <f t="array" aca="1" ref="S134">MAX(P134:R134*(1-strike(P134:R134)))</f>
        <v>#NAME?</v>
      </c>
      <c r="T134" s="4" t="e">
        <f t="shared" si="2"/>
        <v>#NAME?</v>
      </c>
      <c r="U134" s="4">
        <v>627.5</v>
      </c>
      <c r="V134" s="4">
        <v>542.47</v>
      </c>
      <c r="W134" s="4">
        <v>7</v>
      </c>
      <c r="X134" s="5">
        <v>2015</v>
      </c>
      <c r="Y134" s="5" t="s">
        <v>170</v>
      </c>
      <c r="Z134" s="5" t="s">
        <v>171</v>
      </c>
      <c r="AA134" s="5">
        <v>209</v>
      </c>
    </row>
    <row r="135" spans="1:27">
      <c r="A135" s="4">
        <v>6</v>
      </c>
      <c r="B135" s="4" t="s">
        <v>197</v>
      </c>
      <c r="C135" s="4">
        <v>1990</v>
      </c>
      <c r="D135" s="4" t="s">
        <v>74</v>
      </c>
      <c r="E135" s="4">
        <v>125.41</v>
      </c>
      <c r="F135" s="4">
        <v>0.79339999999999999</v>
      </c>
      <c r="G135" s="4">
        <v>16</v>
      </c>
      <c r="H135" s="6">
        <v>252.5</v>
      </c>
      <c r="I135" s="4">
        <v>252.5</v>
      </c>
      <c r="J135" s="4">
        <v>262.5</v>
      </c>
      <c r="K135" s="4" t="e">
        <f t="array" aca="1" ref="K135">MAX(H135:J135*(1-strike(H135:J135)))</f>
        <v>#NAME?</v>
      </c>
      <c r="L135" s="4">
        <v>135</v>
      </c>
      <c r="M135" s="4">
        <v>150</v>
      </c>
      <c r="N135" s="4">
        <v>152.5</v>
      </c>
      <c r="O135" s="4" t="e">
        <f t="array" aca="1" ref="O135">MAX(L135:N135*(1-strike(L135:N135)))</f>
        <v>#NAME?</v>
      </c>
      <c r="P135" s="4">
        <v>170</v>
      </c>
      <c r="Q135" s="4">
        <v>182.5</v>
      </c>
      <c r="R135" s="6">
        <v>190</v>
      </c>
      <c r="S135" s="4" t="e">
        <f t="array" aca="1" ref="S135">MAX(P135:R135*(1-strike(P135:R135)))</f>
        <v>#NAME?</v>
      </c>
      <c r="T135" s="4" t="e">
        <f t="shared" si="2"/>
        <v>#NAME?</v>
      </c>
      <c r="U135" s="4">
        <v>597.5</v>
      </c>
      <c r="V135" s="4">
        <v>474.06</v>
      </c>
      <c r="W135" s="4">
        <v>5</v>
      </c>
      <c r="X135" s="5">
        <v>2015</v>
      </c>
      <c r="Y135" s="5" t="s">
        <v>170</v>
      </c>
      <c r="Z135" s="5" t="s">
        <v>171</v>
      </c>
      <c r="AA135" s="5">
        <v>211</v>
      </c>
    </row>
    <row r="136" spans="1:27">
      <c r="A136" s="4">
        <v>1</v>
      </c>
      <c r="B136" s="4" t="s">
        <v>198</v>
      </c>
      <c r="C136" s="4">
        <v>1982</v>
      </c>
      <c r="D136" s="4" t="s">
        <v>74</v>
      </c>
      <c r="E136" s="4">
        <v>46.56</v>
      </c>
      <c r="F136" s="7">
        <v>13540</v>
      </c>
      <c r="G136" s="4">
        <v>3</v>
      </c>
      <c r="H136" s="4">
        <v>140</v>
      </c>
      <c r="I136" s="4">
        <v>147.5</v>
      </c>
      <c r="J136" s="4">
        <v>152.5</v>
      </c>
      <c r="K136" s="4" t="e">
        <f t="array" aca="1" ref="K136">MAX(H136:J136*(1-strike(H136:J136)))</f>
        <v>#NAME?</v>
      </c>
      <c r="L136" s="4">
        <v>72.5</v>
      </c>
      <c r="M136" s="4">
        <v>80</v>
      </c>
      <c r="N136" s="6">
        <v>85</v>
      </c>
      <c r="O136" s="4" t="e">
        <f t="array" aca="1" ref="O136">MAX(L136:N136*(1-strike(L136:N136)))</f>
        <v>#NAME?</v>
      </c>
      <c r="P136" s="4">
        <v>165</v>
      </c>
      <c r="Q136" s="4">
        <v>172.5</v>
      </c>
      <c r="R136" s="4">
        <v>175</v>
      </c>
      <c r="S136" s="4" t="e">
        <f t="array" aca="1" ref="S136">MAX(P136:R136*(1-strike(P136:R136)))</f>
        <v>#NAME?</v>
      </c>
      <c r="T136" s="4" t="e">
        <f t="shared" si="2"/>
        <v>#NAME?</v>
      </c>
      <c r="U136" s="4" t="s">
        <v>199</v>
      </c>
      <c r="V136" s="4">
        <v>551.75</v>
      </c>
      <c r="W136" s="4">
        <v>12</v>
      </c>
      <c r="X136" s="5">
        <v>2015</v>
      </c>
      <c r="Y136" s="5" t="s">
        <v>170</v>
      </c>
      <c r="Z136" s="5" t="s">
        <v>30</v>
      </c>
      <c r="AA136" s="5">
        <v>350</v>
      </c>
    </row>
    <row r="137" spans="1:27">
      <c r="A137" s="4">
        <v>7</v>
      </c>
      <c r="B137" s="4" t="s">
        <v>200</v>
      </c>
      <c r="C137" s="4">
        <v>1982</v>
      </c>
      <c r="D137" s="4" t="s">
        <v>62</v>
      </c>
      <c r="E137" s="4">
        <v>56</v>
      </c>
      <c r="F137" s="7">
        <v>11766</v>
      </c>
      <c r="G137" s="4">
        <v>5</v>
      </c>
      <c r="H137" s="4">
        <v>117.5</v>
      </c>
      <c r="I137" s="6">
        <v>125</v>
      </c>
      <c r="J137" s="4">
        <v>125</v>
      </c>
      <c r="K137" s="4" t="e">
        <f t="array" aca="1" ref="K137">MAX(H137:J137*(1-strike(H137:J137)))</f>
        <v>#NAME?</v>
      </c>
      <c r="L137" s="6">
        <v>67.5</v>
      </c>
      <c r="M137" s="4">
        <v>67.5</v>
      </c>
      <c r="N137" s="6">
        <v>72.5</v>
      </c>
      <c r="O137" s="4" t="e">
        <f t="array" aca="1" ref="O137">MAX(L137:N137*(1-strike(L137:N137)))</f>
        <v>#NAME?</v>
      </c>
      <c r="P137" s="4">
        <v>145</v>
      </c>
      <c r="Q137" s="4">
        <v>157.5</v>
      </c>
      <c r="R137" s="4">
        <v>165</v>
      </c>
      <c r="S137" s="4" t="e">
        <f t="array" aca="1" ref="S137">MAX(P137:R137*(1-strike(P137:R137)))</f>
        <v>#NAME?</v>
      </c>
      <c r="T137" s="4" t="e">
        <f t="shared" si="2"/>
        <v>#NAME?</v>
      </c>
      <c r="U137" s="4">
        <v>357.5</v>
      </c>
      <c r="V137" s="4">
        <v>420.63</v>
      </c>
      <c r="W137" s="4">
        <v>4</v>
      </c>
      <c r="X137" s="5">
        <v>2015</v>
      </c>
      <c r="Y137" s="5" t="s">
        <v>170</v>
      </c>
      <c r="Z137" s="5" t="s">
        <v>30</v>
      </c>
      <c r="AA137" s="5">
        <v>377</v>
      </c>
    </row>
    <row r="138" spans="1:27">
      <c r="A138" s="4">
        <v>7</v>
      </c>
      <c r="B138" s="4" t="s">
        <v>201</v>
      </c>
      <c r="C138" s="4">
        <v>1982</v>
      </c>
      <c r="D138" s="4" t="s">
        <v>74</v>
      </c>
      <c r="E138" s="4">
        <v>56.47</v>
      </c>
      <c r="F138" s="7">
        <v>11689</v>
      </c>
      <c r="G138" s="4">
        <v>11</v>
      </c>
      <c r="H138" s="4">
        <v>160</v>
      </c>
      <c r="I138" s="4">
        <v>170</v>
      </c>
      <c r="J138" s="6">
        <v>180</v>
      </c>
      <c r="K138" s="4" t="e">
        <f t="array" aca="1" ref="K138">MAX(H138:J138*(1-strike(H138:J138)))</f>
        <v>#NAME?</v>
      </c>
      <c r="L138" s="4">
        <v>80</v>
      </c>
      <c r="M138" s="4">
        <v>90</v>
      </c>
      <c r="N138" s="6">
        <v>95</v>
      </c>
      <c r="O138" s="4" t="e">
        <f t="array" aca="1" ref="O138">MAX(L138:N138*(1-strike(L138:N138)))</f>
        <v>#NAME?</v>
      </c>
      <c r="P138" s="4">
        <v>185</v>
      </c>
      <c r="Q138" s="4">
        <v>197.5</v>
      </c>
      <c r="R138" s="6">
        <v>207.5</v>
      </c>
      <c r="S138" s="4" t="e">
        <f t="array" aca="1" ref="S138">MAX(P138:R138*(1-strike(P138:R138)))</f>
        <v>#NAME?</v>
      </c>
      <c r="T138" s="4" t="e">
        <f t="shared" si="2"/>
        <v>#NAME?</v>
      </c>
      <c r="U138" s="4">
        <v>457.5</v>
      </c>
      <c r="V138" s="4">
        <v>534.77</v>
      </c>
      <c r="W138" s="4">
        <v>4</v>
      </c>
      <c r="X138" s="5">
        <v>2015</v>
      </c>
      <c r="Y138" s="5" t="s">
        <v>170</v>
      </c>
      <c r="Z138" s="5" t="s">
        <v>171</v>
      </c>
      <c r="AA138" s="5">
        <v>160</v>
      </c>
    </row>
    <row r="139" spans="1:27">
      <c r="A139" s="4">
        <v>5</v>
      </c>
      <c r="B139" s="4" t="s">
        <v>202</v>
      </c>
      <c r="C139" s="4">
        <v>1980</v>
      </c>
      <c r="D139" s="4" t="s">
        <v>74</v>
      </c>
      <c r="E139" s="4">
        <v>50.52</v>
      </c>
      <c r="F139" s="7">
        <v>12746</v>
      </c>
      <c r="G139" s="4">
        <v>14</v>
      </c>
      <c r="H139" s="4">
        <v>150</v>
      </c>
      <c r="I139" s="4">
        <v>160</v>
      </c>
      <c r="J139" s="4">
        <v>165</v>
      </c>
      <c r="K139" s="4" t="e">
        <f t="array" aca="1" ref="K139">MAX(H139:J139*(1-strike(H139:J139)))</f>
        <v>#NAME?</v>
      </c>
      <c r="L139" s="4">
        <v>67.5</v>
      </c>
      <c r="M139" s="4">
        <v>75</v>
      </c>
      <c r="N139" s="4">
        <v>77.5</v>
      </c>
      <c r="O139" s="4" t="e">
        <f t="array" aca="1" ref="O139">MAX(L139:N139*(1-strike(L139:N139)))</f>
        <v>#NAME?</v>
      </c>
      <c r="P139" s="4">
        <v>180</v>
      </c>
      <c r="Q139" s="4">
        <v>185</v>
      </c>
      <c r="R139" s="6">
        <v>190</v>
      </c>
      <c r="S139" s="4" t="e">
        <f t="array" aca="1" ref="S139">MAX(P139:R139*(1-strike(P139:R139)))</f>
        <v>#NAME?</v>
      </c>
      <c r="T139" s="4" t="e">
        <f t="shared" si="2"/>
        <v>#NAME?</v>
      </c>
      <c r="U139" s="4">
        <v>427.5</v>
      </c>
      <c r="V139" s="4">
        <v>544.89</v>
      </c>
      <c r="W139" s="4">
        <v>6</v>
      </c>
      <c r="X139" s="5">
        <v>2015</v>
      </c>
      <c r="Y139" s="5" t="s">
        <v>170</v>
      </c>
      <c r="Z139" s="5" t="s">
        <v>171</v>
      </c>
      <c r="AA139" s="5">
        <v>145</v>
      </c>
    </row>
    <row r="140" spans="1:27">
      <c r="A140" s="4">
        <v>14</v>
      </c>
      <c r="B140" s="4" t="s">
        <v>203</v>
      </c>
      <c r="C140" s="4">
        <v>1987</v>
      </c>
      <c r="D140" s="4" t="s">
        <v>125</v>
      </c>
      <c r="E140" s="4">
        <v>56.52</v>
      </c>
      <c r="F140" s="7">
        <v>11681</v>
      </c>
      <c r="G140" s="4">
        <v>13</v>
      </c>
      <c r="H140" s="4">
        <v>157.5</v>
      </c>
      <c r="I140" s="6">
        <v>165</v>
      </c>
      <c r="J140" s="4">
        <v>165</v>
      </c>
      <c r="K140" s="4" t="e">
        <f t="array" aca="1" ref="K140">MAX(H140:J140*(1-strike(H140:J140)))</f>
        <v>#NAME?</v>
      </c>
      <c r="L140" s="4">
        <v>72.5</v>
      </c>
      <c r="M140" s="4">
        <v>77.5</v>
      </c>
      <c r="N140" s="4">
        <v>82.5</v>
      </c>
      <c r="O140" s="4" t="e">
        <f t="array" aca="1" ref="O140">MAX(L140:N140*(1-strike(L140:N140)))</f>
        <v>#NAME?</v>
      </c>
      <c r="P140" s="4">
        <v>160</v>
      </c>
      <c r="Q140" s="6">
        <v>170</v>
      </c>
      <c r="R140" s="6">
        <v>170</v>
      </c>
      <c r="S140" s="4" t="e">
        <f t="array" aca="1" ref="S140">MAX(P140:R140*(1-strike(P140:R140)))</f>
        <v>#NAME?</v>
      </c>
      <c r="T140" s="4" t="e">
        <f t="shared" si="2"/>
        <v>#NAME?</v>
      </c>
      <c r="U140" s="4">
        <v>407.5</v>
      </c>
      <c r="V140" s="4">
        <v>476</v>
      </c>
      <c r="W140" s="4">
        <v>1</v>
      </c>
      <c r="X140" s="5">
        <v>2015</v>
      </c>
      <c r="Y140" s="5" t="s">
        <v>170</v>
      </c>
      <c r="Z140" s="5" t="s">
        <v>171</v>
      </c>
      <c r="AA140" s="5">
        <v>167</v>
      </c>
    </row>
    <row r="141" spans="1:27">
      <c r="A141" s="4">
        <v>4</v>
      </c>
      <c r="B141" s="4" t="s">
        <v>204</v>
      </c>
      <c r="C141" s="4">
        <v>1980</v>
      </c>
      <c r="D141" s="4" t="s">
        <v>56</v>
      </c>
      <c r="E141" s="4">
        <v>61.98</v>
      </c>
      <c r="F141" s="7">
        <v>10874</v>
      </c>
      <c r="G141" s="4">
        <v>8</v>
      </c>
      <c r="H141" s="4">
        <v>147.5</v>
      </c>
      <c r="I141" s="4">
        <v>160</v>
      </c>
      <c r="J141" s="6">
        <v>167.5</v>
      </c>
      <c r="K141" s="4" t="e">
        <f t="array" aca="1" ref="K141">MAX(H141:J141*(1-strike(H141:J141)))</f>
        <v>#NAME?</v>
      </c>
      <c r="L141" s="4">
        <v>70</v>
      </c>
      <c r="M141" s="4">
        <v>75</v>
      </c>
      <c r="N141" s="6">
        <v>77.5</v>
      </c>
      <c r="O141" s="4" t="e">
        <f t="array" aca="1" ref="O141">MAX(L141:N141*(1-strike(L141:N141)))</f>
        <v>#NAME?</v>
      </c>
      <c r="P141" s="4">
        <v>170</v>
      </c>
      <c r="Q141" s="4">
        <v>180</v>
      </c>
      <c r="R141" s="4">
        <v>187.5</v>
      </c>
      <c r="S141" s="4" t="e">
        <f t="array" aca="1" ref="S141">MAX(P141:R141*(1-strike(P141:R141)))</f>
        <v>#NAME?</v>
      </c>
      <c r="T141" s="4" t="e">
        <f t="shared" si="2"/>
        <v>#NAME?</v>
      </c>
      <c r="U141" s="4">
        <v>422.5</v>
      </c>
      <c r="V141" s="4">
        <v>459.43</v>
      </c>
      <c r="W141" s="4">
        <v>7</v>
      </c>
      <c r="X141" s="5">
        <v>2015</v>
      </c>
      <c r="Y141" s="5" t="s">
        <v>170</v>
      </c>
      <c r="Z141" s="5" t="s">
        <v>30</v>
      </c>
      <c r="AA141" s="5">
        <v>391</v>
      </c>
    </row>
    <row r="142" spans="1:27">
      <c r="A142" s="4">
        <v>15</v>
      </c>
      <c r="B142" s="4" t="s">
        <v>205</v>
      </c>
      <c r="C142" s="4">
        <v>1983</v>
      </c>
      <c r="D142" s="4" t="s">
        <v>137</v>
      </c>
      <c r="E142" s="4">
        <v>56.52</v>
      </c>
      <c r="F142" s="7">
        <v>11681</v>
      </c>
      <c r="G142" s="4">
        <v>12</v>
      </c>
      <c r="H142" s="4">
        <v>150</v>
      </c>
      <c r="I142" s="4">
        <v>157.5</v>
      </c>
      <c r="J142" s="4">
        <v>162.5</v>
      </c>
      <c r="K142" s="4" t="e">
        <f t="array" aca="1" ref="K142">MAX(H142:J142*(1-strike(H142:J142)))</f>
        <v>#NAME?</v>
      </c>
      <c r="L142" s="4">
        <v>75</v>
      </c>
      <c r="M142" s="6">
        <v>80</v>
      </c>
      <c r="N142" s="6">
        <v>80</v>
      </c>
      <c r="O142" s="4" t="e">
        <f t="array" aca="1" ref="O142">MAX(L142:N142*(1-strike(L142:N142)))</f>
        <v>#NAME?</v>
      </c>
      <c r="P142" s="4">
        <v>145</v>
      </c>
      <c r="Q142" s="4">
        <v>155</v>
      </c>
      <c r="R142" s="6">
        <v>162.5</v>
      </c>
      <c r="S142" s="4" t="e">
        <f t="array" aca="1" ref="S142">MAX(P142:R142*(1-strike(P142:R142)))</f>
        <v>#NAME?</v>
      </c>
      <c r="T142" s="4" t="e">
        <f t="shared" si="2"/>
        <v>#NAME?</v>
      </c>
      <c r="U142" s="4">
        <v>392.5</v>
      </c>
      <c r="V142" s="4">
        <v>458.48</v>
      </c>
      <c r="W142" s="4">
        <v>1</v>
      </c>
      <c r="X142" s="5">
        <v>2015</v>
      </c>
      <c r="Y142" s="5" t="s">
        <v>170</v>
      </c>
      <c r="Z142" s="5" t="s">
        <v>171</v>
      </c>
      <c r="AA142" s="5">
        <v>168</v>
      </c>
    </row>
    <row r="143" spans="1:27">
      <c r="A143" s="4">
        <v>3</v>
      </c>
      <c r="B143" s="4" t="s">
        <v>206</v>
      </c>
      <c r="C143" s="4">
        <v>1970</v>
      </c>
      <c r="D143" s="4" t="s">
        <v>62</v>
      </c>
      <c r="E143" s="4">
        <v>81.08</v>
      </c>
      <c r="F143" s="4">
        <v>0.9083</v>
      </c>
      <c r="G143" s="4">
        <v>8</v>
      </c>
      <c r="H143" s="4">
        <v>165</v>
      </c>
      <c r="I143" s="6">
        <v>182.5</v>
      </c>
      <c r="J143" s="6">
        <v>182.5</v>
      </c>
      <c r="K143" s="4" t="e">
        <f t="array" aca="1" ref="K143">MAX(H143:J143*(1-strike(H143:J143)))</f>
        <v>#NAME?</v>
      </c>
      <c r="L143" s="4">
        <v>95</v>
      </c>
      <c r="M143" s="4">
        <v>100</v>
      </c>
      <c r="N143" s="6">
        <v>107.5</v>
      </c>
      <c r="O143" s="4" t="e">
        <f t="array" aca="1" ref="O143">MAX(L143:N143*(1-strike(L143:N143)))</f>
        <v>#NAME?</v>
      </c>
      <c r="P143" s="4">
        <v>205</v>
      </c>
      <c r="Q143" s="4">
        <v>217.5</v>
      </c>
      <c r="R143" s="6">
        <v>228</v>
      </c>
      <c r="S143" s="4" t="e">
        <f t="array" aca="1" ref="S143">MAX(P143:R143*(1-strike(P143:R143)))</f>
        <v>#NAME?</v>
      </c>
      <c r="T143" s="4" t="e">
        <f t="shared" si="2"/>
        <v>#NAME?</v>
      </c>
      <c r="U143" s="4">
        <v>482.5</v>
      </c>
      <c r="V143" s="4">
        <v>438.25</v>
      </c>
      <c r="W143" s="4">
        <v>8</v>
      </c>
      <c r="X143" s="5">
        <v>2015</v>
      </c>
      <c r="Y143" s="5" t="s">
        <v>170</v>
      </c>
      <c r="Z143" s="5" t="s">
        <v>30</v>
      </c>
      <c r="AA143" s="5">
        <v>417</v>
      </c>
    </row>
    <row r="144" spans="1:27">
      <c r="A144" s="4">
        <v>11</v>
      </c>
      <c r="B144" s="4" t="s">
        <v>207</v>
      </c>
      <c r="C144" s="4">
        <v>1979</v>
      </c>
      <c r="D144" s="4" t="s">
        <v>163</v>
      </c>
      <c r="E144" s="4">
        <v>101.84</v>
      </c>
      <c r="F144" s="4">
        <v>0.82830000000000004</v>
      </c>
      <c r="G144" s="4">
        <v>19</v>
      </c>
      <c r="H144" s="4">
        <v>165</v>
      </c>
      <c r="I144" s="6">
        <v>175</v>
      </c>
      <c r="J144" s="6">
        <v>180</v>
      </c>
      <c r="K144" s="4" t="e">
        <f t="array" aca="1" ref="K144">MAX(H144:J144*(1-strike(H144:J144)))</f>
        <v>#NAME?</v>
      </c>
      <c r="L144" s="4">
        <v>77.5</v>
      </c>
      <c r="M144" s="6">
        <v>82.5</v>
      </c>
      <c r="N144" s="4">
        <v>82.5</v>
      </c>
      <c r="O144" s="4" t="e">
        <f t="array" aca="1" ref="O144">MAX(L144:N144*(1-strike(L144:N144)))</f>
        <v>#NAME?</v>
      </c>
      <c r="P144" s="6">
        <v>175</v>
      </c>
      <c r="Q144" s="4">
        <v>175</v>
      </c>
      <c r="R144" s="6">
        <v>190</v>
      </c>
      <c r="S144" s="4" t="e">
        <f t="array" aca="1" ref="S144">MAX(P144:R144*(1-strike(P144:R144)))</f>
        <v>#NAME?</v>
      </c>
      <c r="T144" s="4" t="e">
        <f t="shared" si="2"/>
        <v>#NAME?</v>
      </c>
      <c r="U144" s="4">
        <v>422.5</v>
      </c>
      <c r="V144" s="4">
        <v>349.96</v>
      </c>
      <c r="W144" s="4">
        <v>1</v>
      </c>
      <c r="X144" s="5">
        <v>2015</v>
      </c>
      <c r="Y144" s="5" t="s">
        <v>170</v>
      </c>
      <c r="Z144" s="5" t="s">
        <v>30</v>
      </c>
      <c r="AA144" s="5">
        <v>435</v>
      </c>
    </row>
    <row r="145" spans="1:27">
      <c r="A145" s="4">
        <v>2</v>
      </c>
      <c r="B145" s="4" t="s">
        <v>208</v>
      </c>
      <c r="C145" s="4">
        <v>1987</v>
      </c>
      <c r="D145" s="4" t="s">
        <v>119</v>
      </c>
      <c r="E145" s="4">
        <v>51.03</v>
      </c>
      <c r="F145" s="7">
        <v>12648</v>
      </c>
      <c r="G145" s="4">
        <v>9</v>
      </c>
      <c r="H145" s="4">
        <v>175</v>
      </c>
      <c r="I145" s="6">
        <v>185</v>
      </c>
      <c r="J145" s="4">
        <v>187.5</v>
      </c>
      <c r="K145" s="4" t="e">
        <f t="array" aca="1" ref="K145">MAX(H145:J145*(1-strike(H145:J145)))</f>
        <v>#NAME?</v>
      </c>
      <c r="L145" s="4">
        <v>110</v>
      </c>
      <c r="M145" s="4">
        <v>115</v>
      </c>
      <c r="N145" s="4">
        <v>120</v>
      </c>
      <c r="O145" s="4" t="e">
        <f t="array" aca="1" ref="O145">MAX(L145:N145*(1-strike(L145:N145)))</f>
        <v>#NAME?</v>
      </c>
      <c r="P145" s="4">
        <v>180</v>
      </c>
      <c r="Q145" s="4">
        <v>185</v>
      </c>
      <c r="R145" s="4">
        <v>190</v>
      </c>
      <c r="S145" s="4" t="e">
        <f t="array" aca="1" ref="S145">MAX(P145:R145*(1-strike(P145:R145)))</f>
        <v>#NAME?</v>
      </c>
      <c r="T145" s="4" t="e">
        <f t="shared" si="2"/>
        <v>#NAME?</v>
      </c>
      <c r="U145" s="4">
        <v>497.5</v>
      </c>
      <c r="V145" s="4">
        <v>629.24</v>
      </c>
      <c r="W145" s="4">
        <v>9</v>
      </c>
      <c r="X145" s="5">
        <v>2015</v>
      </c>
      <c r="Y145" s="5" t="s">
        <v>170</v>
      </c>
      <c r="Z145" s="5" t="s">
        <v>171</v>
      </c>
      <c r="AA145" s="5">
        <v>142</v>
      </c>
    </row>
    <row r="146" spans="1:27">
      <c r="A146" s="4">
        <v>13</v>
      </c>
      <c r="B146" s="4" t="s">
        <v>209</v>
      </c>
      <c r="C146" s="4">
        <v>1983</v>
      </c>
      <c r="D146" s="4" t="s">
        <v>163</v>
      </c>
      <c r="E146" s="4">
        <v>62.84</v>
      </c>
      <c r="F146" s="7">
        <v>10760</v>
      </c>
      <c r="G146" s="4">
        <v>4</v>
      </c>
      <c r="H146" s="4">
        <v>115</v>
      </c>
      <c r="I146" s="4">
        <v>122.5</v>
      </c>
      <c r="J146" s="4">
        <v>125</v>
      </c>
      <c r="K146" s="4" t="e">
        <f t="array" aca="1" ref="K146">MAX(H146:J146*(1-strike(H146:J146)))</f>
        <v>#NAME?</v>
      </c>
      <c r="L146" s="4">
        <v>67.5</v>
      </c>
      <c r="M146" s="6">
        <v>72.5</v>
      </c>
      <c r="N146" s="4">
        <v>72.5</v>
      </c>
      <c r="O146" s="4" t="e">
        <f t="array" aca="1" ref="O146">MAX(L146:N146*(1-strike(L146:N146)))</f>
        <v>#NAME?</v>
      </c>
      <c r="P146" s="4">
        <v>140</v>
      </c>
      <c r="Q146" s="4">
        <v>150</v>
      </c>
      <c r="R146" s="4">
        <v>152.5</v>
      </c>
      <c r="S146" s="4" t="e">
        <f t="array" aca="1" ref="S146">MAX(P146:R146*(1-strike(P146:R146)))</f>
        <v>#NAME?</v>
      </c>
      <c r="T146" s="4" t="e">
        <f t="shared" si="2"/>
        <v>#NAME?</v>
      </c>
      <c r="U146" s="4">
        <v>350</v>
      </c>
      <c r="V146" s="4">
        <v>376.6</v>
      </c>
      <c r="W146" s="4">
        <v>1</v>
      </c>
      <c r="X146" s="5">
        <v>2015</v>
      </c>
      <c r="Y146" s="5" t="s">
        <v>170</v>
      </c>
      <c r="Z146" s="5" t="s">
        <v>30</v>
      </c>
      <c r="AA146" s="5">
        <v>400</v>
      </c>
    </row>
    <row r="147" spans="1:27">
      <c r="A147" s="4">
        <v>11</v>
      </c>
      <c r="B147" s="4" t="s">
        <v>210</v>
      </c>
      <c r="C147" s="4">
        <v>1989</v>
      </c>
      <c r="D147" s="4" t="s">
        <v>72</v>
      </c>
      <c r="E147" s="4">
        <v>70.48</v>
      </c>
      <c r="F147" s="4">
        <v>0.99019999999999997</v>
      </c>
      <c r="G147" s="4">
        <v>3</v>
      </c>
      <c r="H147" s="4">
        <v>170</v>
      </c>
      <c r="I147" s="4">
        <v>180</v>
      </c>
      <c r="J147" s="6">
        <v>190</v>
      </c>
      <c r="K147" s="4" t="e">
        <f t="array" aca="1" ref="K147">MAX(H147:J147*(1-strike(H147:J147)))</f>
        <v>#NAME?</v>
      </c>
      <c r="L147" s="4">
        <v>100</v>
      </c>
      <c r="M147" s="4">
        <v>105</v>
      </c>
      <c r="N147" s="4">
        <v>112.5</v>
      </c>
      <c r="O147" s="4" t="e">
        <f t="array" aca="1" ref="O147">MAX(L147:N147*(1-strike(L147:N147)))</f>
        <v>#NAME?</v>
      </c>
      <c r="P147" s="4">
        <v>140</v>
      </c>
      <c r="Q147" s="4">
        <v>150</v>
      </c>
      <c r="R147" s="6">
        <v>157.5</v>
      </c>
      <c r="S147" s="4" t="e">
        <f t="array" aca="1" ref="S147">MAX(P147:R147*(1-strike(P147:R147)))</f>
        <v>#NAME?</v>
      </c>
      <c r="T147" s="4" t="e">
        <f t="shared" si="2"/>
        <v>#NAME?</v>
      </c>
      <c r="U147" s="4">
        <v>442.5</v>
      </c>
      <c r="V147" s="4">
        <v>438.16</v>
      </c>
      <c r="W147" s="4">
        <v>1</v>
      </c>
      <c r="X147" s="5">
        <v>2015</v>
      </c>
      <c r="Y147" s="5" t="s">
        <v>170</v>
      </c>
      <c r="Z147" s="5" t="s">
        <v>171</v>
      </c>
      <c r="AA147" s="5">
        <v>190</v>
      </c>
    </row>
    <row r="148" spans="1:27">
      <c r="A148" s="4">
        <v>2</v>
      </c>
      <c r="B148" s="4" t="s">
        <v>211</v>
      </c>
      <c r="C148" s="4">
        <v>1988</v>
      </c>
      <c r="D148" s="4" t="s">
        <v>28</v>
      </c>
      <c r="E148" s="4">
        <v>62.53</v>
      </c>
      <c r="F148" s="7">
        <v>10801</v>
      </c>
      <c r="G148" s="4">
        <v>4</v>
      </c>
      <c r="H148" s="4">
        <v>212.5</v>
      </c>
      <c r="I148" s="4">
        <v>222.5</v>
      </c>
      <c r="J148" s="4">
        <v>227.5</v>
      </c>
      <c r="K148" s="4" t="e">
        <f t="array" aca="1" ref="K148">MAX(H148:J148*(1-strike(H148:J148)))</f>
        <v>#NAME?</v>
      </c>
      <c r="L148" s="4">
        <v>155</v>
      </c>
      <c r="M148" s="4">
        <v>162.5</v>
      </c>
      <c r="N148" s="4">
        <v>171.5</v>
      </c>
      <c r="O148" s="4" t="e">
        <f t="array" aca="1" ref="O148">MAX(L148:N148*(1-strike(L148:N148)))</f>
        <v>#NAME?</v>
      </c>
      <c r="P148" s="6">
        <v>185</v>
      </c>
      <c r="Q148" s="4">
        <v>185</v>
      </c>
      <c r="R148" s="6">
        <v>195</v>
      </c>
      <c r="S148" s="4" t="e">
        <f t="array" aca="1" ref="S148">MAX(P148:R148*(1-strike(P148:R148)))</f>
        <v>#NAME?</v>
      </c>
      <c r="T148" s="4" t="e">
        <f t="shared" si="2"/>
        <v>#NAME?</v>
      </c>
      <c r="U148" s="4">
        <v>584</v>
      </c>
      <c r="V148" s="4">
        <v>630.78</v>
      </c>
      <c r="W148" s="4">
        <v>9</v>
      </c>
      <c r="X148" s="5">
        <v>2015</v>
      </c>
      <c r="Y148" s="5" t="s">
        <v>170</v>
      </c>
      <c r="Z148" s="5" t="s">
        <v>171</v>
      </c>
      <c r="AA148" s="5">
        <v>171</v>
      </c>
    </row>
    <row r="149" spans="1:27">
      <c r="A149" s="4">
        <v>5</v>
      </c>
      <c r="B149" s="4" t="s">
        <v>212</v>
      </c>
      <c r="C149" s="4">
        <v>1983</v>
      </c>
      <c r="D149" s="4" t="s">
        <v>113</v>
      </c>
      <c r="E149" s="4">
        <v>75.41</v>
      </c>
      <c r="F149" s="4">
        <v>0.94740000000000002</v>
      </c>
      <c r="G149" s="4">
        <v>1</v>
      </c>
      <c r="H149" s="4">
        <v>155</v>
      </c>
      <c r="I149" s="4">
        <v>165</v>
      </c>
      <c r="J149" s="4">
        <v>170</v>
      </c>
      <c r="K149" s="4" t="e">
        <f t="array" aca="1" ref="K149">MAX(H149:J149*(1-strike(H149:J149)))</f>
        <v>#NAME?</v>
      </c>
      <c r="L149" s="4">
        <v>87.5</v>
      </c>
      <c r="M149" s="4">
        <v>92.5</v>
      </c>
      <c r="N149" s="6">
        <v>95</v>
      </c>
      <c r="O149" s="4" t="e">
        <f t="array" aca="1" ref="O149">MAX(L149:N149*(1-strike(L149:N149)))</f>
        <v>#NAME?</v>
      </c>
      <c r="P149" s="4">
        <v>175</v>
      </c>
      <c r="Q149" s="4">
        <v>185</v>
      </c>
      <c r="R149" s="4">
        <v>192.5</v>
      </c>
      <c r="S149" s="4" t="e">
        <f t="array" aca="1" ref="S149">MAX(P149:R149*(1-strike(P149:R149)))</f>
        <v>#NAME?</v>
      </c>
      <c r="T149" s="4" t="e">
        <f t="shared" si="2"/>
        <v>#NAME?</v>
      </c>
      <c r="U149" s="4">
        <v>455</v>
      </c>
      <c r="V149" s="4">
        <v>431.07</v>
      </c>
      <c r="W149" s="4">
        <v>6</v>
      </c>
      <c r="X149" s="5">
        <v>2015</v>
      </c>
      <c r="Y149" s="5" t="s">
        <v>170</v>
      </c>
      <c r="Z149" s="5" t="s">
        <v>30</v>
      </c>
      <c r="AA149" s="5">
        <v>419</v>
      </c>
    </row>
    <row r="150" spans="1:27">
      <c r="A150" s="4">
        <v>10</v>
      </c>
      <c r="B150" s="4" t="s">
        <v>213</v>
      </c>
      <c r="C150" s="4">
        <v>1978</v>
      </c>
      <c r="D150" s="4" t="s">
        <v>51</v>
      </c>
      <c r="E150" s="4">
        <v>51.42</v>
      </c>
      <c r="F150" s="7">
        <v>12575</v>
      </c>
      <c r="G150" s="4">
        <v>11</v>
      </c>
      <c r="H150" s="4">
        <v>130</v>
      </c>
      <c r="I150" s="4">
        <v>137.5</v>
      </c>
      <c r="J150" s="4"/>
      <c r="K150" s="4" t="e">
        <f t="array" aca="1" ref="K150">MAX(H150:J150*(1-strike(H150:J150)))</f>
        <v>#NAME?</v>
      </c>
      <c r="L150" s="4">
        <v>67.5</v>
      </c>
      <c r="M150" s="4">
        <v>72.5</v>
      </c>
      <c r="N150" s="4">
        <v>75</v>
      </c>
      <c r="O150" s="4" t="e">
        <f t="array" aca="1" ref="O150">MAX(L150:N150*(1-strike(L150:N150)))</f>
        <v>#NAME?</v>
      </c>
      <c r="P150" s="4">
        <v>142.5</v>
      </c>
      <c r="Q150" s="4">
        <v>150</v>
      </c>
      <c r="R150" s="4">
        <v>157.5</v>
      </c>
      <c r="S150" s="4" t="e">
        <f t="array" aca="1" ref="S150">MAX(P150:R150*(1-strike(P150:R150)))</f>
        <v>#NAME?</v>
      </c>
      <c r="T150" s="4" t="e">
        <f t="shared" si="2"/>
        <v>#NAME?</v>
      </c>
      <c r="U150" s="4">
        <v>370</v>
      </c>
      <c r="V150" s="4">
        <v>465.27</v>
      </c>
      <c r="W150" s="4">
        <v>1</v>
      </c>
      <c r="X150" s="5">
        <v>2015</v>
      </c>
      <c r="Y150" s="5" t="s">
        <v>170</v>
      </c>
      <c r="Z150" s="5" t="s">
        <v>171</v>
      </c>
      <c r="AA150" s="5">
        <v>150</v>
      </c>
    </row>
    <row r="151" spans="1:27">
      <c r="A151" s="4">
        <v>3</v>
      </c>
      <c r="B151" s="4" t="s">
        <v>214</v>
      </c>
      <c r="C151" s="4">
        <v>1990</v>
      </c>
      <c r="D151" s="4" t="s">
        <v>45</v>
      </c>
      <c r="E151" s="4">
        <v>71.17</v>
      </c>
      <c r="F151" s="4">
        <v>0.98370000000000002</v>
      </c>
      <c r="G151" s="4">
        <v>6</v>
      </c>
      <c r="H151" s="6">
        <v>235</v>
      </c>
      <c r="I151" s="4">
        <v>235</v>
      </c>
      <c r="J151" s="6">
        <v>242.5</v>
      </c>
      <c r="K151" s="4" t="e">
        <f t="array" aca="1" ref="K151">MAX(H151:J151*(1-strike(H151:J151)))</f>
        <v>#NAME?</v>
      </c>
      <c r="L151" s="6">
        <v>135</v>
      </c>
      <c r="M151" s="4">
        <v>135</v>
      </c>
      <c r="N151" s="4">
        <v>137.5</v>
      </c>
      <c r="O151" s="4" t="e">
        <f t="array" aca="1" ref="O151">MAX(L151:N151*(1-strike(L151:N151)))</f>
        <v>#NAME?</v>
      </c>
      <c r="P151" s="4">
        <v>210</v>
      </c>
      <c r="Q151" s="4">
        <v>220</v>
      </c>
      <c r="R151" s="4">
        <v>222.5</v>
      </c>
      <c r="S151" s="4" t="e">
        <f t="array" aca="1" ref="S151">MAX(P151:R151*(1-strike(P151:R151)))</f>
        <v>#NAME?</v>
      </c>
      <c r="T151" s="4" t="e">
        <f t="shared" si="2"/>
        <v>#NAME?</v>
      </c>
      <c r="U151" s="4">
        <v>595</v>
      </c>
      <c r="V151" s="4">
        <v>585.29999999999995</v>
      </c>
      <c r="W151" s="4">
        <v>8</v>
      </c>
      <c r="X151" s="5">
        <v>2015</v>
      </c>
      <c r="Y151" s="5" t="s">
        <v>170</v>
      </c>
      <c r="Z151" s="5" t="s">
        <v>171</v>
      </c>
      <c r="AA151" s="5">
        <v>182</v>
      </c>
    </row>
    <row r="152" spans="1:27" ht="15" customHeight="1">
      <c r="A152" s="4">
        <v>7</v>
      </c>
      <c r="B152" s="4" t="s">
        <v>215</v>
      </c>
      <c r="C152" s="4">
        <v>1947</v>
      </c>
      <c r="D152" s="4" t="s">
        <v>62</v>
      </c>
      <c r="E152" s="4">
        <v>45.96</v>
      </c>
      <c r="F152" s="7">
        <v>13665</v>
      </c>
      <c r="G152" s="4">
        <v>4</v>
      </c>
      <c r="H152" s="4">
        <v>85</v>
      </c>
      <c r="I152" s="4">
        <v>100</v>
      </c>
      <c r="J152" s="6">
        <v>105</v>
      </c>
      <c r="K152" s="4" t="e">
        <f t="array" aca="1" ref="K152">MAX(H152:J152*(1-strike(H152:J152)))</f>
        <v>#NAME?</v>
      </c>
      <c r="L152" s="4">
        <v>45</v>
      </c>
      <c r="M152" s="6">
        <v>52.5</v>
      </c>
      <c r="N152" s="6">
        <v>52.5</v>
      </c>
      <c r="O152" s="4" t="e">
        <f t="array" aca="1" ref="O152">MAX(L152:N152*(1-strike(L152:N152)))</f>
        <v>#NAME?</v>
      </c>
      <c r="P152" s="4">
        <v>110</v>
      </c>
      <c r="Q152" s="4">
        <v>122.5</v>
      </c>
      <c r="R152" s="4">
        <v>127.5</v>
      </c>
      <c r="S152" s="4" t="e">
        <f t="array" aca="1" ref="S152">MAX(P152:R152*(1-strike(P152:R152)))</f>
        <v>#NAME?</v>
      </c>
      <c r="T152" s="4" t="e">
        <f t="shared" si="2"/>
        <v>#NAME?</v>
      </c>
      <c r="U152" s="4">
        <v>272.5</v>
      </c>
      <c r="V152" s="4">
        <v>372.37</v>
      </c>
      <c r="W152" s="4">
        <v>4</v>
      </c>
      <c r="X152" s="5">
        <v>2015</v>
      </c>
      <c r="Y152" s="5" t="s">
        <v>170</v>
      </c>
      <c r="Z152" s="5" t="s">
        <v>171</v>
      </c>
      <c r="AA152" s="5">
        <v>139</v>
      </c>
    </row>
    <row r="153" spans="1:27">
      <c r="A153" s="4">
        <v>6</v>
      </c>
      <c r="B153" s="4" t="s">
        <v>216</v>
      </c>
      <c r="C153" s="4">
        <v>1981</v>
      </c>
      <c r="D153" s="4" t="s">
        <v>217</v>
      </c>
      <c r="E153" s="4">
        <v>46.78</v>
      </c>
      <c r="F153" s="7">
        <v>13494</v>
      </c>
      <c r="G153" s="4">
        <v>9</v>
      </c>
      <c r="H153" s="4">
        <v>102.5</v>
      </c>
      <c r="I153" s="4">
        <v>107.5</v>
      </c>
      <c r="J153" s="4">
        <v>110</v>
      </c>
      <c r="K153" s="4" t="e">
        <f t="array" aca="1" ref="K153">MAX(H153:J153*(1-strike(H153:J153)))</f>
        <v>#NAME?</v>
      </c>
      <c r="L153" s="4">
        <v>57.5</v>
      </c>
      <c r="M153" s="4">
        <v>60</v>
      </c>
      <c r="N153" s="4">
        <v>65</v>
      </c>
      <c r="O153" s="4" t="e">
        <f t="array" aca="1" ref="O153">MAX(L153:N153*(1-strike(L153:N153)))</f>
        <v>#NAME?</v>
      </c>
      <c r="P153" s="4">
        <v>142.5</v>
      </c>
      <c r="Q153" s="6">
        <v>150</v>
      </c>
      <c r="R153" s="4">
        <v>152.5</v>
      </c>
      <c r="S153" s="4" t="e">
        <f t="array" aca="1" ref="S153">MAX(P153:R153*(1-strike(P153:R153)))</f>
        <v>#NAME?</v>
      </c>
      <c r="T153" s="4" t="e">
        <f t="shared" si="2"/>
        <v>#NAME?</v>
      </c>
      <c r="U153" s="4">
        <v>327.5</v>
      </c>
      <c r="V153" s="4">
        <v>441.93</v>
      </c>
      <c r="W153" s="4">
        <v>5</v>
      </c>
      <c r="X153" s="5">
        <v>2015</v>
      </c>
      <c r="Y153" s="5" t="s">
        <v>170</v>
      </c>
      <c r="Z153" s="5" t="s">
        <v>30</v>
      </c>
      <c r="AA153" s="5">
        <v>355</v>
      </c>
    </row>
    <row r="154" spans="1:27">
      <c r="A154" s="4">
        <v>1</v>
      </c>
      <c r="B154" s="4" t="s">
        <v>218</v>
      </c>
      <c r="C154" s="4">
        <v>1976</v>
      </c>
      <c r="D154" s="4" t="s">
        <v>28</v>
      </c>
      <c r="E154" s="4">
        <v>56.54</v>
      </c>
      <c r="F154" s="7">
        <v>11678</v>
      </c>
      <c r="G154" s="4">
        <v>7</v>
      </c>
      <c r="H154" s="4">
        <v>160</v>
      </c>
      <c r="I154" s="4">
        <v>168</v>
      </c>
      <c r="J154" s="4">
        <v>172.5</v>
      </c>
      <c r="K154" s="4" t="e">
        <f t="array" aca="1" ref="K154">MAX(H154:J154*(1-strike(H154:J154)))</f>
        <v>#NAME?</v>
      </c>
      <c r="L154" s="4">
        <v>75</v>
      </c>
      <c r="M154" s="4">
        <v>80</v>
      </c>
      <c r="N154" s="4">
        <v>85</v>
      </c>
      <c r="O154" s="4" t="e">
        <f t="array" aca="1" ref="O154">MAX(L154:N154*(1-strike(L154:N154)))</f>
        <v>#NAME?</v>
      </c>
      <c r="P154" s="4">
        <v>175</v>
      </c>
      <c r="Q154" s="4">
        <v>182.5</v>
      </c>
      <c r="R154" s="4">
        <v>190</v>
      </c>
      <c r="S154" s="4" t="e">
        <f t="array" aca="1" ref="S154">MAX(P154:R154*(1-strike(P154:R154)))</f>
        <v>#NAME?</v>
      </c>
      <c r="T154" s="4" t="e">
        <f t="shared" si="2"/>
        <v>#NAME?</v>
      </c>
      <c r="U154" s="4" t="s">
        <v>219</v>
      </c>
      <c r="V154" s="4">
        <v>522.59</v>
      </c>
      <c r="W154" s="4">
        <v>12</v>
      </c>
      <c r="X154" s="5">
        <v>2015</v>
      </c>
      <c r="Y154" s="5" t="s">
        <v>170</v>
      </c>
      <c r="Z154" s="5" t="s">
        <v>30</v>
      </c>
      <c r="AA154" s="5">
        <v>371</v>
      </c>
    </row>
    <row r="155" spans="1:27">
      <c r="A155" s="4">
        <v>3</v>
      </c>
      <c r="B155" s="4" t="s">
        <v>218</v>
      </c>
      <c r="C155" s="4">
        <v>1976</v>
      </c>
      <c r="D155" s="4" t="s">
        <v>28</v>
      </c>
      <c r="E155" s="4">
        <v>56.66</v>
      </c>
      <c r="F155" s="7">
        <v>11658</v>
      </c>
      <c r="G155" s="4">
        <v>8</v>
      </c>
      <c r="H155" s="4">
        <v>205</v>
      </c>
      <c r="I155" s="4">
        <v>215</v>
      </c>
      <c r="J155" s="4">
        <v>220</v>
      </c>
      <c r="K155" s="4" t="e">
        <f t="array" aca="1" ref="K155">MAX(H155:J155*(1-strike(H155:J155)))</f>
        <v>#NAME?</v>
      </c>
      <c r="L155" s="6">
        <v>105</v>
      </c>
      <c r="M155" s="4">
        <v>105</v>
      </c>
      <c r="N155" s="6">
        <v>110</v>
      </c>
      <c r="O155" s="4" t="e">
        <f t="array" aca="1" ref="O155">MAX(L155:N155*(1-strike(L155:N155)))</f>
        <v>#NAME?</v>
      </c>
      <c r="P155" s="4">
        <v>185</v>
      </c>
      <c r="Q155" s="4">
        <v>192.5</v>
      </c>
      <c r="R155" s="6">
        <v>207.5</v>
      </c>
      <c r="S155" s="4" t="e">
        <f t="array" aca="1" ref="S155">MAX(P155:R155*(1-strike(P155:R155)))</f>
        <v>#NAME?</v>
      </c>
      <c r="T155" s="4" t="e">
        <f t="shared" si="2"/>
        <v>#NAME?</v>
      </c>
      <c r="U155" s="4">
        <v>517.5</v>
      </c>
      <c r="V155" s="4">
        <v>603.29999999999995</v>
      </c>
      <c r="W155" s="4">
        <v>8</v>
      </c>
      <c r="X155" s="5">
        <v>2015</v>
      </c>
      <c r="Y155" s="5" t="s">
        <v>170</v>
      </c>
      <c r="Z155" s="5" t="s">
        <v>171</v>
      </c>
      <c r="AA155" s="5">
        <v>156</v>
      </c>
    </row>
    <row r="156" spans="1:27">
      <c r="A156" s="4">
        <v>1</v>
      </c>
      <c r="B156" s="4" t="s">
        <v>220</v>
      </c>
      <c r="C156" s="4">
        <v>1970</v>
      </c>
      <c r="D156" s="4" t="s">
        <v>77</v>
      </c>
      <c r="E156" s="4">
        <v>46.09</v>
      </c>
      <c r="F156" s="7">
        <v>13638</v>
      </c>
      <c r="G156" s="4">
        <v>1</v>
      </c>
      <c r="H156" s="4">
        <v>170</v>
      </c>
      <c r="I156" s="4">
        <v>180</v>
      </c>
      <c r="J156" s="4">
        <v>187.5</v>
      </c>
      <c r="K156" s="4" t="e">
        <f t="array" aca="1" ref="K156">MAX(H156:J156*(1-strike(H156:J156)))</f>
        <v>#NAME?</v>
      </c>
      <c r="L156" s="4">
        <v>120</v>
      </c>
      <c r="M156" s="4">
        <v>127.5</v>
      </c>
      <c r="N156" s="4">
        <v>131.5</v>
      </c>
      <c r="O156" s="4" t="e">
        <f t="array" aca="1" ref="O156">MAX(L156:N156*(1-strike(L156:N156)))</f>
        <v>#NAME?</v>
      </c>
      <c r="P156" s="4">
        <v>155</v>
      </c>
      <c r="Q156" s="4">
        <v>165</v>
      </c>
      <c r="R156" s="6">
        <v>170</v>
      </c>
      <c r="S156" s="4" t="e">
        <f t="array" aca="1" ref="S156">MAX(P156:R156*(1-strike(P156:R156)))</f>
        <v>#NAME?</v>
      </c>
      <c r="T156" s="4" t="e">
        <f t="shared" si="2"/>
        <v>#NAME?</v>
      </c>
      <c r="U156" s="4" t="s">
        <v>221</v>
      </c>
      <c r="V156" s="4">
        <v>660.08</v>
      </c>
      <c r="W156" s="4">
        <v>12</v>
      </c>
      <c r="X156" s="5">
        <v>2015</v>
      </c>
      <c r="Y156" s="5" t="s">
        <v>170</v>
      </c>
      <c r="Z156" s="4" t="s">
        <v>171</v>
      </c>
      <c r="AA156" s="5">
        <v>133</v>
      </c>
    </row>
    <row r="157" spans="1:27">
      <c r="A157" s="4">
        <v>1</v>
      </c>
      <c r="B157" s="4" t="s">
        <v>222</v>
      </c>
      <c r="C157" s="4">
        <v>1986</v>
      </c>
      <c r="D157" s="4" t="s">
        <v>28</v>
      </c>
      <c r="E157" s="4">
        <v>115.39</v>
      </c>
      <c r="F157" s="4">
        <v>0.8054</v>
      </c>
      <c r="G157" s="4">
        <v>18</v>
      </c>
      <c r="H157" s="4">
        <v>270</v>
      </c>
      <c r="I157" s="4">
        <v>280</v>
      </c>
      <c r="J157" s="4">
        <v>285</v>
      </c>
      <c r="K157" s="4" t="e">
        <f t="array" aca="1" ref="K157">MAX(H157:J157*(1-strike(H157:J157)))</f>
        <v>#NAME?</v>
      </c>
      <c r="L157" s="4">
        <v>165</v>
      </c>
      <c r="M157" s="4">
        <v>175</v>
      </c>
      <c r="N157" s="4">
        <v>180</v>
      </c>
      <c r="O157" s="4" t="e">
        <f t="array" aca="1" ref="O157">MAX(L157:N157*(1-strike(L157:N157)))</f>
        <v>#NAME?</v>
      </c>
      <c r="P157" s="4">
        <v>220</v>
      </c>
      <c r="Q157" s="4">
        <v>240</v>
      </c>
      <c r="R157" s="6">
        <v>271</v>
      </c>
      <c r="S157" s="4" t="e">
        <f t="array" aca="1" ref="S157">MAX(P157:R157*(1-strike(P157:R157)))</f>
        <v>#NAME?</v>
      </c>
      <c r="T157" s="4" t="e">
        <f t="shared" si="2"/>
        <v>#NAME?</v>
      </c>
      <c r="U157" s="4">
        <v>705</v>
      </c>
      <c r="V157" s="4">
        <v>567.80999999999995</v>
      </c>
      <c r="W157" s="4">
        <v>12</v>
      </c>
      <c r="X157" s="5">
        <v>2015</v>
      </c>
      <c r="Y157" s="5" t="s">
        <v>170</v>
      </c>
      <c r="Z157" s="5" t="s">
        <v>171</v>
      </c>
      <c r="AA157" s="5">
        <v>206</v>
      </c>
    </row>
    <row r="158" spans="1:27">
      <c r="A158" s="4">
        <v>2</v>
      </c>
      <c r="B158" s="4" t="s">
        <v>223</v>
      </c>
      <c r="C158" s="4">
        <v>1970</v>
      </c>
      <c r="D158" s="4" t="s">
        <v>28</v>
      </c>
      <c r="E158" s="4">
        <v>51.48</v>
      </c>
      <c r="F158" s="7">
        <v>12563</v>
      </c>
      <c r="G158" s="4">
        <v>12</v>
      </c>
      <c r="H158" s="4">
        <v>125</v>
      </c>
      <c r="I158" s="4">
        <v>130</v>
      </c>
      <c r="J158" s="4">
        <v>135</v>
      </c>
      <c r="K158" s="4" t="e">
        <f t="array" aca="1" ref="K158">MAX(H158:J158*(1-strike(H158:J158)))</f>
        <v>#NAME?</v>
      </c>
      <c r="L158" s="4">
        <v>92.5</v>
      </c>
      <c r="M158" s="4">
        <v>97.5</v>
      </c>
      <c r="N158" s="6">
        <v>100</v>
      </c>
      <c r="O158" s="4" t="e">
        <f t="array" aca="1" ref="O158">MAX(L158:N158*(1-strike(L158:N158)))</f>
        <v>#NAME?</v>
      </c>
      <c r="P158" s="4">
        <v>160</v>
      </c>
      <c r="Q158" s="4">
        <v>170</v>
      </c>
      <c r="R158" s="6">
        <v>180.5</v>
      </c>
      <c r="S158" s="4" t="e">
        <f t="array" aca="1" ref="S158">MAX(P158:R158*(1-strike(P158:R158)))</f>
        <v>#NAME?</v>
      </c>
      <c r="T158" s="4" t="e">
        <f t="shared" si="2"/>
        <v>#NAME?</v>
      </c>
      <c r="U158" s="4" t="s">
        <v>224</v>
      </c>
      <c r="V158" s="4">
        <v>505.66</v>
      </c>
      <c r="W158" s="4">
        <v>9</v>
      </c>
      <c r="X158" s="5">
        <v>2015</v>
      </c>
      <c r="Y158" s="5" t="s">
        <v>170</v>
      </c>
      <c r="Z158" s="5" t="s">
        <v>30</v>
      </c>
      <c r="AA158" s="5">
        <v>361</v>
      </c>
    </row>
    <row r="159" spans="1:27">
      <c r="A159" s="4">
        <v>9</v>
      </c>
      <c r="B159" s="4" t="s">
        <v>225</v>
      </c>
      <c r="C159" s="4">
        <v>1978</v>
      </c>
      <c r="D159" s="4" t="s">
        <v>51</v>
      </c>
      <c r="E159" s="4">
        <v>62.12</v>
      </c>
      <c r="F159" s="7">
        <v>10855</v>
      </c>
      <c r="G159" s="4">
        <v>2</v>
      </c>
      <c r="H159" s="4">
        <v>110</v>
      </c>
      <c r="I159" s="4">
        <v>120</v>
      </c>
      <c r="J159" s="4">
        <v>125</v>
      </c>
      <c r="K159" s="4" t="e">
        <f t="array" aca="1" ref="K159">MAX(H159:J159*(1-strike(H159:J159)))</f>
        <v>#NAME?</v>
      </c>
      <c r="L159" s="4">
        <v>72.5</v>
      </c>
      <c r="M159" s="4">
        <v>77.5</v>
      </c>
      <c r="N159" s="6">
        <v>80</v>
      </c>
      <c r="O159" s="4" t="e">
        <f t="array" aca="1" ref="O159">MAX(L159:N159*(1-strike(L159:N159)))</f>
        <v>#NAME?</v>
      </c>
      <c r="P159" s="4">
        <v>160</v>
      </c>
      <c r="Q159" s="4">
        <v>170</v>
      </c>
      <c r="R159" s="4">
        <v>175</v>
      </c>
      <c r="S159" s="4" t="e">
        <f t="array" aca="1" ref="S159">MAX(P159:R159*(1-strike(P159:R159)))</f>
        <v>#NAME?</v>
      </c>
      <c r="T159" s="4" t="e">
        <f t="shared" si="2"/>
        <v>#NAME?</v>
      </c>
      <c r="U159" s="4">
        <v>377.5</v>
      </c>
      <c r="V159" s="4">
        <v>409.78</v>
      </c>
      <c r="W159" s="4">
        <v>2</v>
      </c>
      <c r="X159" s="5">
        <v>2015</v>
      </c>
      <c r="Y159" s="5" t="s">
        <v>170</v>
      </c>
      <c r="Z159" s="5" t="s">
        <v>30</v>
      </c>
      <c r="AA159" s="5">
        <v>396</v>
      </c>
    </row>
    <row r="160" spans="1:27">
      <c r="A160" s="4">
        <v>5</v>
      </c>
      <c r="B160" s="4" t="s">
        <v>226</v>
      </c>
      <c r="C160" s="4">
        <v>1986</v>
      </c>
      <c r="D160" s="4" t="s">
        <v>35</v>
      </c>
      <c r="E160" s="4">
        <v>50.13</v>
      </c>
      <c r="F160" s="7">
        <v>12821</v>
      </c>
      <c r="G160" s="4">
        <v>10</v>
      </c>
      <c r="H160" s="4">
        <v>125</v>
      </c>
      <c r="I160" s="6">
        <v>132.5</v>
      </c>
      <c r="J160" s="6">
        <v>132.5</v>
      </c>
      <c r="K160" s="4" t="e">
        <f t="array" aca="1" ref="K160">MAX(H160:J160*(1-strike(H160:J160)))</f>
        <v>#NAME?</v>
      </c>
      <c r="L160" s="4">
        <v>65</v>
      </c>
      <c r="M160" s="4">
        <v>70</v>
      </c>
      <c r="N160" s="6">
        <v>75</v>
      </c>
      <c r="O160" s="4" t="e">
        <f t="array" aca="1" ref="O160">MAX(L160:N160*(1-strike(L160:N160)))</f>
        <v>#NAME?</v>
      </c>
      <c r="P160" s="4">
        <v>150</v>
      </c>
      <c r="Q160" s="4">
        <v>160</v>
      </c>
      <c r="R160" s="6">
        <v>170</v>
      </c>
      <c r="S160" s="4" t="e">
        <f t="array" aca="1" ref="S160">MAX(P160:R160*(1-strike(P160:R160)))</f>
        <v>#NAME?</v>
      </c>
      <c r="T160" s="4" t="e">
        <f t="shared" si="2"/>
        <v>#NAME?</v>
      </c>
      <c r="U160" s="4">
        <v>355</v>
      </c>
      <c r="V160" s="4">
        <v>455.15</v>
      </c>
      <c r="W160" s="4">
        <v>6</v>
      </c>
      <c r="X160" s="5">
        <v>2015</v>
      </c>
      <c r="Y160" s="5" t="s">
        <v>170</v>
      </c>
      <c r="Z160" s="5" t="s">
        <v>30</v>
      </c>
      <c r="AA160" s="5">
        <v>364</v>
      </c>
    </row>
    <row r="161" spans="1:27">
      <c r="A161" s="4">
        <v>4</v>
      </c>
      <c r="B161" s="4" t="s">
        <v>226</v>
      </c>
      <c r="C161" s="4">
        <v>1986</v>
      </c>
      <c r="D161" s="4" t="s">
        <v>35</v>
      </c>
      <c r="E161" s="4">
        <v>50.73</v>
      </c>
      <c r="F161" s="7">
        <v>12706</v>
      </c>
      <c r="G161" s="4">
        <v>19</v>
      </c>
      <c r="H161" s="4">
        <v>175</v>
      </c>
      <c r="I161" s="6">
        <v>177.5</v>
      </c>
      <c r="J161" s="6">
        <v>192.5</v>
      </c>
      <c r="K161" s="4" t="e">
        <f t="array" aca="1" ref="K161">MAX(H161:J161*(1-strike(H161:J161)))</f>
        <v>#NAME?</v>
      </c>
      <c r="L161" s="4">
        <v>85</v>
      </c>
      <c r="M161" s="6">
        <v>90</v>
      </c>
      <c r="N161" s="6">
        <v>90</v>
      </c>
      <c r="O161" s="4" t="e">
        <f t="array" aca="1" ref="O161">MAX(L161:N161*(1-strike(L161:N161)))</f>
        <v>#NAME?</v>
      </c>
      <c r="P161" s="4">
        <v>170</v>
      </c>
      <c r="Q161" s="4">
        <v>175</v>
      </c>
      <c r="R161" s="6">
        <v>182.5</v>
      </c>
      <c r="S161" s="4" t="e">
        <f t="array" aca="1" ref="S161">MAX(P161:R161*(1-strike(P161:R161)))</f>
        <v>#NAME?</v>
      </c>
      <c r="T161" s="4" t="e">
        <f t="shared" si="2"/>
        <v>#NAME?</v>
      </c>
      <c r="U161" s="4">
        <v>435</v>
      </c>
      <c r="V161" s="4">
        <v>552.71</v>
      </c>
      <c r="W161" s="4">
        <v>7</v>
      </c>
      <c r="X161" s="5">
        <v>2015</v>
      </c>
      <c r="Y161" s="5" t="s">
        <v>170</v>
      </c>
      <c r="Z161" s="5" t="s">
        <v>171</v>
      </c>
      <c r="AA161" s="5">
        <v>144</v>
      </c>
    </row>
    <row r="162" spans="1:27">
      <c r="A162" s="4">
        <v>7</v>
      </c>
      <c r="B162" s="4" t="s">
        <v>227</v>
      </c>
      <c r="C162" s="4">
        <v>1974</v>
      </c>
      <c r="D162" s="4" t="s">
        <v>228</v>
      </c>
      <c r="E162" s="4">
        <v>62.72</v>
      </c>
      <c r="F162" s="7">
        <v>10776</v>
      </c>
      <c r="G162" s="4">
        <v>5</v>
      </c>
      <c r="H162" s="4">
        <v>172.5</v>
      </c>
      <c r="I162" s="4">
        <v>177.5</v>
      </c>
      <c r="J162" s="4">
        <v>180</v>
      </c>
      <c r="K162" s="4" t="e">
        <f t="array" aca="1" ref="K162">MAX(H162:J162*(1-strike(H162:J162)))</f>
        <v>#NAME?</v>
      </c>
      <c r="L162" s="4">
        <v>115</v>
      </c>
      <c r="M162" s="6">
        <v>120</v>
      </c>
      <c r="N162" s="4">
        <v>120</v>
      </c>
      <c r="O162" s="4" t="e">
        <f t="array" aca="1" ref="O162">MAX(L162:N162*(1-strike(L162:N162)))</f>
        <v>#NAME?</v>
      </c>
      <c r="P162" s="4">
        <v>172.5</v>
      </c>
      <c r="Q162" s="6">
        <v>177.5</v>
      </c>
      <c r="R162" s="6">
        <v>177.5</v>
      </c>
      <c r="S162" s="4" t="e">
        <f t="array" aca="1" ref="S162">MAX(P162:R162*(1-strike(P162:R162)))</f>
        <v>#NAME?</v>
      </c>
      <c r="T162" s="4" t="e">
        <f t="shared" si="2"/>
        <v>#NAME?</v>
      </c>
      <c r="U162" s="4">
        <v>472.5</v>
      </c>
      <c r="V162" s="4">
        <v>509.17</v>
      </c>
      <c r="W162" s="4">
        <v>4</v>
      </c>
      <c r="X162" s="5">
        <v>2015</v>
      </c>
      <c r="Y162" s="5" t="s">
        <v>170</v>
      </c>
      <c r="Z162" s="5" t="s">
        <v>171</v>
      </c>
      <c r="AA162" s="5">
        <v>176</v>
      </c>
    </row>
    <row r="163" spans="1:27">
      <c r="A163" s="4">
        <v>8</v>
      </c>
      <c r="B163" s="4" t="s">
        <v>229</v>
      </c>
      <c r="C163" s="4">
        <v>1970</v>
      </c>
      <c r="D163" s="4" t="s">
        <v>228</v>
      </c>
      <c r="E163" s="4">
        <v>71.08</v>
      </c>
      <c r="F163" s="4">
        <v>0.98450000000000004</v>
      </c>
      <c r="G163" s="4">
        <v>2</v>
      </c>
      <c r="H163" s="6">
        <v>177.5</v>
      </c>
      <c r="I163" s="4">
        <v>177.5</v>
      </c>
      <c r="J163" s="6">
        <v>185</v>
      </c>
      <c r="K163" s="4" t="e">
        <f t="array" aca="1" ref="K163">MAX(H163:J163*(1-strike(H163:J163)))</f>
        <v>#NAME?</v>
      </c>
      <c r="L163" s="4">
        <v>107.5</v>
      </c>
      <c r="M163" s="6">
        <v>112.5</v>
      </c>
      <c r="N163" s="4">
        <v>112.5</v>
      </c>
      <c r="O163" s="4" t="e">
        <f t="array" aca="1" ref="O163">MAX(L163:N163*(1-strike(L163:N163)))</f>
        <v>#NAME?</v>
      </c>
      <c r="P163" s="4">
        <v>175</v>
      </c>
      <c r="Q163" s="4">
        <v>182.5</v>
      </c>
      <c r="R163" s="6">
        <v>190</v>
      </c>
      <c r="S163" s="4" t="e">
        <f t="array" aca="1" ref="S163">MAX(P163:R163*(1-strike(P163:R163)))</f>
        <v>#NAME?</v>
      </c>
      <c r="T163" s="4" t="e">
        <f t="shared" si="2"/>
        <v>#NAME?</v>
      </c>
      <c r="U163" s="4">
        <v>472.5</v>
      </c>
      <c r="V163" s="4">
        <v>465.18</v>
      </c>
      <c r="W163" s="4">
        <v>3</v>
      </c>
      <c r="X163" s="5">
        <v>2015</v>
      </c>
      <c r="Y163" s="5" t="s">
        <v>170</v>
      </c>
      <c r="Z163" s="5" t="s">
        <v>171</v>
      </c>
      <c r="AA163" s="5">
        <v>187</v>
      </c>
    </row>
    <row r="164" spans="1:27">
      <c r="A164" s="4">
        <v>10</v>
      </c>
      <c r="B164" s="4" t="s">
        <v>230</v>
      </c>
      <c r="C164" s="4">
        <v>1986</v>
      </c>
      <c r="D164" s="4" t="s">
        <v>56</v>
      </c>
      <c r="E164" s="4">
        <v>56.41</v>
      </c>
      <c r="F164" s="7">
        <v>11699</v>
      </c>
      <c r="G164" s="4">
        <v>14</v>
      </c>
      <c r="H164" s="4">
        <v>112.5</v>
      </c>
      <c r="I164" s="4">
        <v>120</v>
      </c>
      <c r="J164" s="6">
        <v>125</v>
      </c>
      <c r="K164" s="4" t="e">
        <f t="array" aca="1" ref="K164">MAX(H164:J164*(1-strike(H164:J164)))</f>
        <v>#NAME?</v>
      </c>
      <c r="L164" s="6">
        <v>60</v>
      </c>
      <c r="M164" s="4">
        <v>60</v>
      </c>
      <c r="N164" s="4">
        <v>65</v>
      </c>
      <c r="O164" s="4" t="e">
        <f t="array" aca="1" ref="O164">MAX(L164:N164*(1-strike(L164:N164)))</f>
        <v>#NAME?</v>
      </c>
      <c r="P164" s="4">
        <v>160</v>
      </c>
      <c r="Q164" s="6">
        <v>170</v>
      </c>
      <c r="R164" s="4"/>
      <c r="S164" s="4" t="e">
        <f t="array" aca="1" ref="S164">MAX(P164:R164*(1-strike(P164:R164)))</f>
        <v>#NAME?</v>
      </c>
      <c r="T164" s="4" t="e">
        <f t="shared" si="2"/>
        <v>#NAME?</v>
      </c>
      <c r="U164" s="4">
        <v>345</v>
      </c>
      <c r="V164" s="4">
        <v>403.62</v>
      </c>
      <c r="W164" s="4">
        <v>1</v>
      </c>
      <c r="X164" s="5">
        <v>2015</v>
      </c>
      <c r="Y164" s="5" t="s">
        <v>170</v>
      </c>
      <c r="Z164" s="5" t="s">
        <v>30</v>
      </c>
      <c r="AA164" s="5">
        <v>380</v>
      </c>
    </row>
    <row r="165" spans="1:27">
      <c r="A165" s="4">
        <v>4</v>
      </c>
      <c r="B165" s="4" t="s">
        <v>231</v>
      </c>
      <c r="C165" s="4">
        <v>1990</v>
      </c>
      <c r="D165" s="4" t="s">
        <v>62</v>
      </c>
      <c r="E165" s="4">
        <v>82.89</v>
      </c>
      <c r="F165" s="4">
        <v>0.89780000000000004</v>
      </c>
      <c r="G165" s="4">
        <v>12</v>
      </c>
      <c r="H165" s="4">
        <v>240</v>
      </c>
      <c r="I165" s="6">
        <v>247.5</v>
      </c>
      <c r="J165" s="6">
        <v>247.5</v>
      </c>
      <c r="K165" s="4" t="e">
        <f t="array" aca="1" ref="K165">MAX(H165:J165*(1-strike(H165:J165)))</f>
        <v>#NAME?</v>
      </c>
      <c r="L165" s="4">
        <v>147.5</v>
      </c>
      <c r="M165" s="4">
        <v>155</v>
      </c>
      <c r="N165" s="4">
        <v>160</v>
      </c>
      <c r="O165" s="4" t="e">
        <f t="array" aca="1" ref="O165">MAX(L165:N165*(1-strike(L165:N165)))</f>
        <v>#NAME?</v>
      </c>
      <c r="P165" s="6">
        <v>200</v>
      </c>
      <c r="Q165" s="4">
        <v>200</v>
      </c>
      <c r="R165" s="4">
        <v>207.5</v>
      </c>
      <c r="S165" s="4" t="e">
        <f t="array" aca="1" ref="S165">MAX(P165:R165*(1-strike(P165:R165)))</f>
        <v>#NAME?</v>
      </c>
      <c r="T165" s="4" t="e">
        <f t="shared" si="2"/>
        <v>#NAME?</v>
      </c>
      <c r="U165" s="4">
        <v>607.5</v>
      </c>
      <c r="V165" s="4">
        <v>545.41</v>
      </c>
      <c r="W165" s="4">
        <v>7</v>
      </c>
      <c r="X165" s="5">
        <v>2015</v>
      </c>
      <c r="Y165" s="5" t="s">
        <v>170</v>
      </c>
      <c r="Z165" s="5" t="s">
        <v>171</v>
      </c>
      <c r="AA165" s="5">
        <v>197</v>
      </c>
    </row>
    <row r="166" spans="1:27" ht="15" customHeight="1">
      <c r="A166" s="4">
        <v>4</v>
      </c>
      <c r="B166" s="4" t="s">
        <v>232</v>
      </c>
      <c r="C166" s="4">
        <v>1968</v>
      </c>
      <c r="D166" s="4" t="s">
        <v>62</v>
      </c>
      <c r="E166" s="4">
        <v>51.09</v>
      </c>
      <c r="F166" s="7">
        <v>12637</v>
      </c>
      <c r="G166" s="4">
        <v>13</v>
      </c>
      <c r="H166" s="4">
        <v>135</v>
      </c>
      <c r="I166" s="4">
        <v>145</v>
      </c>
      <c r="J166" s="6">
        <v>151</v>
      </c>
      <c r="K166" s="4" t="e">
        <f t="array" aca="1" ref="K166">MAX(H166:J166*(1-strike(H166:J166)))</f>
        <v>#NAME?</v>
      </c>
      <c r="L166" s="4">
        <v>67.5</v>
      </c>
      <c r="M166" s="4">
        <v>72.5</v>
      </c>
      <c r="N166" s="4">
        <v>75</v>
      </c>
      <c r="O166" s="4" t="e">
        <f t="array" aca="1" ref="O166">MAX(L166:N166*(1-strike(L166:N166)))</f>
        <v>#NAME?</v>
      </c>
      <c r="P166" s="4">
        <v>135</v>
      </c>
      <c r="Q166" s="4">
        <v>145</v>
      </c>
      <c r="R166" s="6">
        <v>150</v>
      </c>
      <c r="S166" s="4" t="e">
        <f t="array" aca="1" ref="S166">MAX(P166:R166*(1-strike(P166:R166)))</f>
        <v>#NAME?</v>
      </c>
      <c r="T166" s="4" t="e">
        <f t="shared" si="2"/>
        <v>#NAME?</v>
      </c>
      <c r="U166" s="4">
        <v>365</v>
      </c>
      <c r="V166" s="4">
        <v>461.25</v>
      </c>
      <c r="W166" s="4">
        <v>7</v>
      </c>
      <c r="X166" s="5">
        <v>2015</v>
      </c>
      <c r="Y166" s="5" t="s">
        <v>170</v>
      </c>
      <c r="Z166" s="5" t="s">
        <v>30</v>
      </c>
      <c r="AA166" s="5">
        <v>363</v>
      </c>
    </row>
    <row r="167" spans="1:27">
      <c r="A167" s="4">
        <v>8</v>
      </c>
      <c r="B167" s="4" t="s">
        <v>233</v>
      </c>
      <c r="C167" s="4">
        <v>1988</v>
      </c>
      <c r="D167" s="4" t="s">
        <v>62</v>
      </c>
      <c r="E167" s="4">
        <v>56.48</v>
      </c>
      <c r="F167" s="7">
        <v>11688</v>
      </c>
      <c r="G167" s="4">
        <v>15</v>
      </c>
      <c r="H167" s="4">
        <v>115</v>
      </c>
      <c r="I167" s="4">
        <v>122.5</v>
      </c>
      <c r="J167" s="6">
        <v>127.5</v>
      </c>
      <c r="K167" s="4" t="e">
        <f t="array" aca="1" ref="K167">MAX(H167:J167*(1-strike(H167:J167)))</f>
        <v>#NAME?</v>
      </c>
      <c r="L167" s="4">
        <v>67.5</v>
      </c>
      <c r="M167" s="4">
        <v>72.5</v>
      </c>
      <c r="N167" s="6">
        <v>77.5</v>
      </c>
      <c r="O167" s="4" t="e">
        <f t="array" aca="1" ref="O167">MAX(L167:N167*(1-strike(L167:N167)))</f>
        <v>#NAME?</v>
      </c>
      <c r="P167" s="4">
        <v>142.5</v>
      </c>
      <c r="Q167" s="4">
        <v>160</v>
      </c>
      <c r="R167" s="6">
        <v>162.5</v>
      </c>
      <c r="S167" s="4" t="e">
        <f t="array" aca="1" ref="S167">MAX(P167:R167*(1-strike(P167:R167)))</f>
        <v>#NAME?</v>
      </c>
      <c r="T167" s="4" t="e">
        <f t="shared" si="2"/>
        <v>#NAME?</v>
      </c>
      <c r="U167" s="4">
        <v>355</v>
      </c>
      <c r="V167" s="4">
        <v>414.92</v>
      </c>
      <c r="W167" s="4">
        <v>3</v>
      </c>
      <c r="X167" s="5">
        <v>2015</v>
      </c>
      <c r="Y167" s="5" t="s">
        <v>170</v>
      </c>
      <c r="Z167" s="5" t="s">
        <v>30</v>
      </c>
      <c r="AA167" s="5">
        <v>378</v>
      </c>
    </row>
    <row r="168" spans="1:27">
      <c r="A168" s="4">
        <v>15</v>
      </c>
      <c r="B168" s="4" t="s">
        <v>234</v>
      </c>
      <c r="C168" s="4">
        <v>1951</v>
      </c>
      <c r="D168" s="4" t="s">
        <v>77</v>
      </c>
      <c r="E168" s="4">
        <v>61.69</v>
      </c>
      <c r="F168" s="7">
        <v>10913</v>
      </c>
      <c r="G168" s="4">
        <v>6</v>
      </c>
      <c r="H168" s="4">
        <v>110</v>
      </c>
      <c r="I168" s="4">
        <v>120</v>
      </c>
      <c r="J168" s="6">
        <v>130</v>
      </c>
      <c r="K168" s="4" t="e">
        <f t="array" aca="1" ref="K168">MAX(H168:J168*(1-strike(H168:J168)))</f>
        <v>#NAME?</v>
      </c>
      <c r="L168" s="4">
        <v>60</v>
      </c>
      <c r="M168" s="4">
        <v>67.5</v>
      </c>
      <c r="N168" s="4">
        <v>70</v>
      </c>
      <c r="O168" s="4" t="e">
        <f t="array" aca="1" ref="O168">MAX(L168:N168*(1-strike(L168:N168)))</f>
        <v>#NAME?</v>
      </c>
      <c r="P168" s="4">
        <v>125</v>
      </c>
      <c r="Q168" s="4">
        <v>135</v>
      </c>
      <c r="R168" s="6">
        <v>137.5</v>
      </c>
      <c r="S168" s="4" t="e">
        <f t="array" aca="1" ref="S168">MAX(P168:R168*(1-strike(P168:R168)))</f>
        <v>#NAME?</v>
      </c>
      <c r="T168" s="4" t="e">
        <f t="shared" si="2"/>
        <v>#NAME?</v>
      </c>
      <c r="U168" s="4" t="s">
        <v>235</v>
      </c>
      <c r="V168" s="4">
        <v>354.67</v>
      </c>
      <c r="W168" s="4">
        <v>1</v>
      </c>
      <c r="X168" s="5">
        <v>2015</v>
      </c>
      <c r="Y168" s="5" t="s">
        <v>170</v>
      </c>
      <c r="Z168" s="5" t="s">
        <v>30</v>
      </c>
      <c r="AA168" s="5">
        <v>402</v>
      </c>
    </row>
    <row r="169" spans="1:27">
      <c r="A169" s="4">
        <v>8</v>
      </c>
      <c r="B169" s="4" t="s">
        <v>236</v>
      </c>
      <c r="C169" s="4">
        <v>1980</v>
      </c>
      <c r="D169" s="4" t="s">
        <v>56</v>
      </c>
      <c r="E169" s="4">
        <v>51.7</v>
      </c>
      <c r="F169" s="7">
        <v>12522</v>
      </c>
      <c r="G169" s="4">
        <v>18</v>
      </c>
      <c r="H169" s="4">
        <v>102.5</v>
      </c>
      <c r="I169" s="6">
        <v>105</v>
      </c>
      <c r="J169" s="6">
        <v>105</v>
      </c>
      <c r="K169" s="4" t="e">
        <f t="array" aca="1" ref="K169">MAX(H169:J169*(1-strike(H169:J169)))</f>
        <v>#NAME?</v>
      </c>
      <c r="L169" s="4">
        <v>70</v>
      </c>
      <c r="M169" s="4">
        <v>75</v>
      </c>
      <c r="N169" s="6">
        <v>80</v>
      </c>
      <c r="O169" s="4" t="e">
        <f t="array" aca="1" ref="O169">MAX(L169:N169*(1-strike(L169:N169)))</f>
        <v>#NAME?</v>
      </c>
      <c r="P169" s="4">
        <v>130</v>
      </c>
      <c r="Q169" s="4">
        <v>135</v>
      </c>
      <c r="R169" s="6">
        <v>140</v>
      </c>
      <c r="S169" s="4" t="e">
        <f t="array" aca="1" ref="S169">MAX(P169:R169*(1-strike(P169:R169)))</f>
        <v>#NAME?</v>
      </c>
      <c r="T169" s="4" t="e">
        <f t="shared" si="2"/>
        <v>#NAME?</v>
      </c>
      <c r="U169" s="4">
        <v>312.5</v>
      </c>
      <c r="V169" s="4">
        <v>391.31</v>
      </c>
      <c r="W169" s="4">
        <v>3</v>
      </c>
      <c r="X169" s="5">
        <v>2015</v>
      </c>
      <c r="Y169" s="5" t="s">
        <v>170</v>
      </c>
      <c r="Z169" s="5" t="s">
        <v>30</v>
      </c>
      <c r="AA169" s="5">
        <v>367</v>
      </c>
    </row>
    <row r="170" spans="1:27">
      <c r="A170" s="4">
        <v>9</v>
      </c>
      <c r="B170" s="4" t="s">
        <v>237</v>
      </c>
      <c r="C170" s="4">
        <v>1981</v>
      </c>
      <c r="D170" s="4" t="s">
        <v>56</v>
      </c>
      <c r="E170" s="4">
        <v>51.21</v>
      </c>
      <c r="F170" s="7">
        <v>12614</v>
      </c>
      <c r="G170" s="4">
        <v>15</v>
      </c>
      <c r="H170" s="4">
        <v>110</v>
      </c>
      <c r="I170" s="4">
        <v>115</v>
      </c>
      <c r="J170" s="6">
        <v>117.5</v>
      </c>
      <c r="K170" s="4" t="e">
        <f t="array" aca="1" ref="K170">MAX(H170:J170*(1-strike(H170:J170)))</f>
        <v>#NAME?</v>
      </c>
      <c r="L170" s="4">
        <v>57.5</v>
      </c>
      <c r="M170" s="4">
        <v>62.5</v>
      </c>
      <c r="N170" s="6">
        <v>65</v>
      </c>
      <c r="O170" s="4" t="e">
        <f t="array" aca="1" ref="O170">MAX(L170:N170*(1-strike(L170:N170)))</f>
        <v>#NAME?</v>
      </c>
      <c r="P170" s="4">
        <v>122.5</v>
      </c>
      <c r="Q170" s="4">
        <v>130</v>
      </c>
      <c r="R170" s="4">
        <v>132.5</v>
      </c>
      <c r="S170" s="4" t="e">
        <f t="array" aca="1" ref="S170">MAX(P170:R170*(1-strike(P170:R170)))</f>
        <v>#NAME?</v>
      </c>
      <c r="T170" s="4" t="e">
        <f t="shared" si="2"/>
        <v>#NAME?</v>
      </c>
      <c r="U170" s="4">
        <v>310</v>
      </c>
      <c r="V170" s="4">
        <v>391.03</v>
      </c>
      <c r="W170" s="4">
        <v>2</v>
      </c>
      <c r="X170" s="5">
        <v>2015</v>
      </c>
      <c r="Y170" s="5" t="s">
        <v>170</v>
      </c>
      <c r="Z170" s="5" t="s">
        <v>30</v>
      </c>
      <c r="AA170" s="5">
        <v>368</v>
      </c>
    </row>
    <row r="171" spans="1:27">
      <c r="A171" s="4">
        <v>6</v>
      </c>
      <c r="B171" s="4" t="s">
        <v>238</v>
      </c>
      <c r="C171" s="4">
        <v>1990</v>
      </c>
      <c r="D171" s="4" t="s">
        <v>239</v>
      </c>
      <c r="E171" s="4">
        <v>62.49</v>
      </c>
      <c r="F171" s="7">
        <v>10806</v>
      </c>
      <c r="G171" s="4">
        <v>9</v>
      </c>
      <c r="H171" s="4">
        <v>147.5</v>
      </c>
      <c r="I171" s="4">
        <v>152.5</v>
      </c>
      <c r="J171" s="4">
        <v>157.5</v>
      </c>
      <c r="K171" s="4" t="e">
        <f t="array" aca="1" ref="K171">MAX(H171:J171*(1-strike(H171:J171)))</f>
        <v>#NAME?</v>
      </c>
      <c r="L171" s="4">
        <v>77.5</v>
      </c>
      <c r="M171" s="6">
        <v>82.5</v>
      </c>
      <c r="N171" s="6">
        <v>82.5</v>
      </c>
      <c r="O171" s="4" t="e">
        <f t="array" aca="1" ref="O171">MAX(L171:N171*(1-strike(L171:N171)))</f>
        <v>#NAME?</v>
      </c>
      <c r="P171" s="4">
        <v>185</v>
      </c>
      <c r="Q171" s="6">
        <v>190</v>
      </c>
      <c r="R171" s="6">
        <v>190</v>
      </c>
      <c r="S171" s="4" t="e">
        <f t="array" aca="1" ref="S171">MAX(P171:R171*(1-strike(P171:R171)))</f>
        <v>#NAME?</v>
      </c>
      <c r="T171" s="4" t="e">
        <f t="shared" si="2"/>
        <v>#NAME?</v>
      </c>
      <c r="U171" s="4">
        <v>420</v>
      </c>
      <c r="V171" s="4">
        <v>453.85</v>
      </c>
      <c r="W171" s="4">
        <v>5</v>
      </c>
      <c r="X171" s="5">
        <v>2015</v>
      </c>
      <c r="Y171" s="5" t="s">
        <v>170</v>
      </c>
      <c r="Z171" s="5" t="s">
        <v>30</v>
      </c>
      <c r="AA171" s="5">
        <v>393</v>
      </c>
    </row>
    <row r="172" spans="1:27">
      <c r="A172" s="4">
        <v>3</v>
      </c>
      <c r="B172" s="4" t="s">
        <v>240</v>
      </c>
      <c r="C172" s="4">
        <v>1988</v>
      </c>
      <c r="D172" s="4" t="s">
        <v>113</v>
      </c>
      <c r="E172" s="4">
        <v>56.21</v>
      </c>
      <c r="F172" s="7">
        <v>11732</v>
      </c>
      <c r="G172" s="4">
        <v>12</v>
      </c>
      <c r="H172" s="4">
        <v>155</v>
      </c>
      <c r="I172" s="4">
        <v>160</v>
      </c>
      <c r="J172" s="4">
        <v>162.5</v>
      </c>
      <c r="K172" s="4" t="e">
        <f t="array" aca="1" ref="K172">MAX(H172:J172*(1-strike(H172:J172)))</f>
        <v>#NAME?</v>
      </c>
      <c r="L172" s="4">
        <v>82.5</v>
      </c>
      <c r="M172" s="4">
        <v>85</v>
      </c>
      <c r="N172" s="4">
        <v>87.5</v>
      </c>
      <c r="O172" s="4" t="e">
        <f t="array" aca="1" ref="O172">MAX(L172:N172*(1-strike(L172:N172)))</f>
        <v>#NAME?</v>
      </c>
      <c r="P172" s="4">
        <v>150</v>
      </c>
      <c r="Q172" s="4">
        <v>155</v>
      </c>
      <c r="R172" s="6">
        <v>157.5</v>
      </c>
      <c r="S172" s="4" t="e">
        <f t="array" aca="1" ref="S172">MAX(P172:R172*(1-strike(P172:R172)))</f>
        <v>#NAME?</v>
      </c>
      <c r="T172" s="4" t="e">
        <f t="shared" si="2"/>
        <v>#NAME?</v>
      </c>
      <c r="U172" s="4">
        <v>405</v>
      </c>
      <c r="V172" s="4">
        <v>475.15</v>
      </c>
      <c r="W172" s="4">
        <v>8</v>
      </c>
      <c r="X172" s="5">
        <v>2015</v>
      </c>
      <c r="Y172" s="5" t="s">
        <v>170</v>
      </c>
      <c r="Z172" s="5" t="s">
        <v>30</v>
      </c>
      <c r="AA172" s="5">
        <v>373</v>
      </c>
    </row>
    <row r="173" spans="1:27">
      <c r="A173" s="4">
        <v>10</v>
      </c>
      <c r="B173" s="4" t="s">
        <v>241</v>
      </c>
      <c r="C173" s="4">
        <v>1983</v>
      </c>
      <c r="D173" s="4" t="s">
        <v>74</v>
      </c>
      <c r="E173" s="4">
        <v>83.34</v>
      </c>
      <c r="F173" s="4">
        <v>0.89529999999999998</v>
      </c>
      <c r="G173" s="4">
        <v>6</v>
      </c>
      <c r="H173" s="6">
        <v>170</v>
      </c>
      <c r="I173" s="4">
        <v>170</v>
      </c>
      <c r="J173" s="4"/>
      <c r="K173" s="4" t="e">
        <f t="array" aca="1" ref="K173">MAX(H173:J173*(1-strike(H173:J173)))</f>
        <v>#NAME?</v>
      </c>
      <c r="L173" s="4">
        <v>160</v>
      </c>
      <c r="M173" s="4">
        <v>167.5</v>
      </c>
      <c r="N173" s="4">
        <v>172.5</v>
      </c>
      <c r="O173" s="4" t="e">
        <f t="array" aca="1" ref="O173">MAX(L173:N173*(1-strike(L173:N173)))</f>
        <v>#NAME?</v>
      </c>
      <c r="P173" s="4">
        <v>130</v>
      </c>
      <c r="Q173" s="4">
        <v>140</v>
      </c>
      <c r="R173" s="6">
        <v>145</v>
      </c>
      <c r="S173" s="4" t="e">
        <f t="array" aca="1" ref="S173">MAX(P173:R173*(1-strike(P173:R173)))</f>
        <v>#NAME?</v>
      </c>
      <c r="T173" s="4" t="e">
        <f t="shared" si="2"/>
        <v>#NAME?</v>
      </c>
      <c r="U173" s="4">
        <v>482.5</v>
      </c>
      <c r="V173" s="4">
        <v>431.98</v>
      </c>
      <c r="W173" s="4">
        <v>1</v>
      </c>
      <c r="X173" s="5">
        <v>2015</v>
      </c>
      <c r="Y173" s="5" t="s">
        <v>170</v>
      </c>
      <c r="Z173" s="5" t="s">
        <v>171</v>
      </c>
      <c r="AA173" s="5">
        <v>203</v>
      </c>
    </row>
    <row r="174" spans="1:27">
      <c r="A174" s="4">
        <v>9</v>
      </c>
      <c r="B174" s="4" t="s">
        <v>242</v>
      </c>
      <c r="C174" s="4">
        <v>1961</v>
      </c>
      <c r="D174" s="4" t="s">
        <v>243</v>
      </c>
      <c r="E174" s="4">
        <v>61.25</v>
      </c>
      <c r="F174" s="7">
        <v>10973</v>
      </c>
      <c r="G174" s="4">
        <v>9</v>
      </c>
      <c r="H174" s="4">
        <v>107.5</v>
      </c>
      <c r="I174" s="6">
        <v>127.5</v>
      </c>
      <c r="J174" s="6">
        <v>127.5</v>
      </c>
      <c r="K174" s="4" t="e">
        <f t="array" aca="1" ref="K174">MAX(H174:J174*(1-strike(H174:J174)))</f>
        <v>#NAME?</v>
      </c>
      <c r="L174" s="4">
        <v>77.5</v>
      </c>
      <c r="M174" s="6">
        <v>87.5</v>
      </c>
      <c r="N174" s="6">
        <v>87.5</v>
      </c>
      <c r="O174" s="4" t="e">
        <f t="array" aca="1" ref="O174">MAX(L174:N174*(1-strike(L174:N174)))</f>
        <v>#NAME?</v>
      </c>
      <c r="P174" s="4">
        <v>100</v>
      </c>
      <c r="Q174" s="4">
        <v>120</v>
      </c>
      <c r="R174" s="6">
        <v>135</v>
      </c>
      <c r="S174" s="4" t="e">
        <f t="array" aca="1" ref="S174">MAX(P174:R174*(1-strike(P174:R174)))</f>
        <v>#NAME?</v>
      </c>
      <c r="T174" s="4" t="e">
        <f t="shared" si="2"/>
        <v>#NAME?</v>
      </c>
      <c r="U174" s="4">
        <v>305</v>
      </c>
      <c r="V174" s="4">
        <v>334.68</v>
      </c>
      <c r="W174" s="4">
        <v>2</v>
      </c>
      <c r="X174" s="5">
        <v>2015</v>
      </c>
      <c r="Y174" s="5" t="s">
        <v>170</v>
      </c>
      <c r="Z174" s="5" t="s">
        <v>171</v>
      </c>
      <c r="AA174" s="5">
        <v>178</v>
      </c>
    </row>
    <row r="175" spans="1:27">
      <c r="A175" s="4">
        <v>10</v>
      </c>
      <c r="B175" s="4" t="s">
        <v>244</v>
      </c>
      <c r="C175" s="4">
        <v>1986</v>
      </c>
      <c r="D175" s="4" t="s">
        <v>77</v>
      </c>
      <c r="E175" s="4">
        <v>67.5</v>
      </c>
      <c r="F175" s="7">
        <v>10206</v>
      </c>
      <c r="G175" s="4">
        <v>2</v>
      </c>
      <c r="H175" s="4">
        <v>110</v>
      </c>
      <c r="I175" s="4">
        <v>120</v>
      </c>
      <c r="J175" s="6">
        <v>127.5</v>
      </c>
      <c r="K175" s="4" t="e">
        <f t="array" aca="1" ref="K175">MAX(H175:J175*(1-strike(H175:J175)))</f>
        <v>#NAME?</v>
      </c>
      <c r="L175" s="4">
        <v>60</v>
      </c>
      <c r="M175" s="4">
        <v>65</v>
      </c>
      <c r="N175" s="4">
        <v>67.5</v>
      </c>
      <c r="O175" s="4" t="e">
        <f t="array" aca="1" ref="O175">MAX(L175:N175*(1-strike(L175:N175)))</f>
        <v>#NAME?</v>
      </c>
      <c r="P175" s="4">
        <v>110</v>
      </c>
      <c r="Q175" s="4">
        <v>120</v>
      </c>
      <c r="R175" s="6">
        <v>127.5</v>
      </c>
      <c r="S175" s="4" t="e">
        <f t="array" aca="1" ref="S175">MAX(P175:R175*(1-strike(P175:R175)))</f>
        <v>#NAME?</v>
      </c>
      <c r="T175" s="4" t="e">
        <f t="shared" si="2"/>
        <v>#NAME?</v>
      </c>
      <c r="U175" s="4">
        <v>307.5</v>
      </c>
      <c r="V175" s="4">
        <v>313.83</v>
      </c>
      <c r="W175" s="4">
        <v>1</v>
      </c>
      <c r="X175" s="5">
        <v>2015</v>
      </c>
      <c r="Y175" s="5" t="s">
        <v>170</v>
      </c>
      <c r="Z175" s="5" t="s">
        <v>30</v>
      </c>
      <c r="AA175" s="5">
        <v>413</v>
      </c>
    </row>
    <row r="176" spans="1:27">
      <c r="A176" s="4">
        <v>5</v>
      </c>
      <c r="B176" s="4" t="s">
        <v>245</v>
      </c>
      <c r="C176" s="4">
        <v>1979</v>
      </c>
      <c r="D176" s="4" t="s">
        <v>77</v>
      </c>
      <c r="E176" s="4">
        <v>46.36</v>
      </c>
      <c r="F176" s="7">
        <v>13582</v>
      </c>
      <c r="G176" s="4">
        <v>1</v>
      </c>
      <c r="H176" s="4">
        <v>102.5</v>
      </c>
      <c r="I176" s="4">
        <v>107.5</v>
      </c>
      <c r="J176" s="4">
        <v>110</v>
      </c>
      <c r="K176" s="4" t="e">
        <f t="array" aca="1" ref="K176">MAX(H176:J176*(1-strike(H176:J176)))</f>
        <v>#NAME?</v>
      </c>
      <c r="L176" s="4">
        <v>70</v>
      </c>
      <c r="M176" s="4">
        <v>72.5</v>
      </c>
      <c r="N176" s="6">
        <v>75</v>
      </c>
      <c r="O176" s="4" t="e">
        <f t="array" aca="1" ref="O176">MAX(L176:N176*(1-strike(L176:N176)))</f>
        <v>#NAME?</v>
      </c>
      <c r="P176" s="4">
        <v>140</v>
      </c>
      <c r="Q176" s="4">
        <v>147.5</v>
      </c>
      <c r="R176" s="4">
        <v>152.5</v>
      </c>
      <c r="S176" s="4" t="e">
        <f t="array" aca="1" ref="S176">MAX(P176:R176*(1-strike(P176:R176)))</f>
        <v>#NAME?</v>
      </c>
      <c r="T176" s="4" t="e">
        <f t="shared" si="2"/>
        <v>#NAME?</v>
      </c>
      <c r="U176" s="4">
        <v>335</v>
      </c>
      <c r="V176" s="4">
        <v>455</v>
      </c>
      <c r="W176" s="4">
        <v>6</v>
      </c>
      <c r="X176" s="5">
        <v>2015</v>
      </c>
      <c r="Y176" s="5" t="s">
        <v>170</v>
      </c>
      <c r="Z176" s="5" t="s">
        <v>30</v>
      </c>
      <c r="AA176" s="5">
        <v>354</v>
      </c>
    </row>
    <row r="177" spans="1:27">
      <c r="A177" s="4">
        <v>7</v>
      </c>
      <c r="B177" s="4" t="s">
        <v>246</v>
      </c>
      <c r="C177" s="4">
        <v>1984</v>
      </c>
      <c r="D177" s="4" t="s">
        <v>80</v>
      </c>
      <c r="E177" s="4">
        <v>76.03</v>
      </c>
      <c r="F177" s="4">
        <v>0.94259999999999999</v>
      </c>
      <c r="G177" s="4">
        <v>2</v>
      </c>
      <c r="H177" s="4">
        <v>167.5</v>
      </c>
      <c r="I177" s="4">
        <v>175</v>
      </c>
      <c r="J177" s="6">
        <v>177.5</v>
      </c>
      <c r="K177" s="4" t="e">
        <f t="array" aca="1" ref="K177">MAX(H177:J177*(1-strike(H177:J177)))</f>
        <v>#NAME?</v>
      </c>
      <c r="L177" s="4">
        <v>100</v>
      </c>
      <c r="M177" s="4">
        <v>105</v>
      </c>
      <c r="N177" s="6">
        <v>107.5</v>
      </c>
      <c r="O177" s="4" t="e">
        <f t="array" aca="1" ref="O177">MAX(L177:N177*(1-strike(L177:N177)))</f>
        <v>#NAME?</v>
      </c>
      <c r="P177" s="4">
        <v>160</v>
      </c>
      <c r="Q177" s="4">
        <v>170</v>
      </c>
      <c r="R177" s="6">
        <v>175</v>
      </c>
      <c r="S177" s="4" t="e">
        <f t="array" aca="1" ref="S177">MAX(P177:R177*(1-strike(P177:R177)))</f>
        <v>#NAME?</v>
      </c>
      <c r="T177" s="4" t="e">
        <f t="shared" si="2"/>
        <v>#NAME?</v>
      </c>
      <c r="U177" s="4">
        <v>450</v>
      </c>
      <c r="V177" s="4">
        <v>424.17</v>
      </c>
      <c r="W177" s="4">
        <v>4</v>
      </c>
      <c r="X177" s="5">
        <v>2015</v>
      </c>
      <c r="Y177" s="5" t="s">
        <v>170</v>
      </c>
      <c r="Z177" s="5" t="s">
        <v>30</v>
      </c>
      <c r="AA177" s="5">
        <v>421</v>
      </c>
    </row>
    <row r="178" spans="1:27">
      <c r="A178" s="4">
        <v>6</v>
      </c>
      <c r="B178" s="4" t="s">
        <v>247</v>
      </c>
      <c r="C178" s="4">
        <v>1982</v>
      </c>
      <c r="D178" s="4" t="s">
        <v>56</v>
      </c>
      <c r="E178" s="4">
        <v>123.56</v>
      </c>
      <c r="F178" s="4">
        <v>0.79549999999999998</v>
      </c>
      <c r="G178" s="4">
        <v>13</v>
      </c>
      <c r="H178" s="4">
        <v>195</v>
      </c>
      <c r="I178" s="4">
        <v>205</v>
      </c>
      <c r="J178" s="4">
        <v>212.5</v>
      </c>
      <c r="K178" s="4" t="e">
        <f t="array" aca="1" ref="K178">MAX(H178:J178*(1-strike(H178:J178)))</f>
        <v>#NAME?</v>
      </c>
      <c r="L178" s="4">
        <v>77.5</v>
      </c>
      <c r="M178" s="4">
        <v>82.5</v>
      </c>
      <c r="N178" s="4">
        <v>87.5</v>
      </c>
      <c r="O178" s="4" t="e">
        <f t="array" aca="1" ref="O178">MAX(L178:N178*(1-strike(L178:N178)))</f>
        <v>#NAME?</v>
      </c>
      <c r="P178" s="4">
        <v>190</v>
      </c>
      <c r="Q178" s="6">
        <v>200</v>
      </c>
      <c r="R178" s="4">
        <v>205</v>
      </c>
      <c r="S178" s="4" t="e">
        <f t="array" aca="1" ref="S178">MAX(P178:R178*(1-strike(P178:R178)))</f>
        <v>#NAME?</v>
      </c>
      <c r="T178" s="4" t="e">
        <f t="shared" si="2"/>
        <v>#NAME?</v>
      </c>
      <c r="U178" s="4">
        <v>505</v>
      </c>
      <c r="V178" s="4">
        <v>401.73</v>
      </c>
      <c r="W178" s="4">
        <v>5</v>
      </c>
      <c r="X178" s="5">
        <v>2015</v>
      </c>
      <c r="Y178" s="5" t="s">
        <v>170</v>
      </c>
      <c r="Z178" s="5" t="s">
        <v>30</v>
      </c>
      <c r="AA178" s="5">
        <v>430</v>
      </c>
    </row>
    <row r="179" spans="1:27">
      <c r="A179" s="4">
        <v>5</v>
      </c>
      <c r="B179" s="4" t="s">
        <v>248</v>
      </c>
      <c r="C179" s="4">
        <v>1967</v>
      </c>
      <c r="D179" s="4" t="s">
        <v>77</v>
      </c>
      <c r="E179" s="4">
        <v>62.72</v>
      </c>
      <c r="F179" s="7">
        <v>10776</v>
      </c>
      <c r="G179" s="4">
        <v>8</v>
      </c>
      <c r="H179" s="4">
        <v>190</v>
      </c>
      <c r="I179" s="4">
        <v>200</v>
      </c>
      <c r="J179" s="4">
        <v>205</v>
      </c>
      <c r="K179" s="4" t="e">
        <f t="array" aca="1" ref="K179">MAX(H179:J179*(1-strike(H179:J179)))</f>
        <v>#NAME?</v>
      </c>
      <c r="L179" s="4">
        <v>160</v>
      </c>
      <c r="M179" s="6">
        <v>167.5</v>
      </c>
      <c r="N179" s="6">
        <v>172</v>
      </c>
      <c r="O179" s="4" t="e">
        <f t="array" aca="1" ref="O179">MAX(L179:N179*(1-strike(L179:N179)))</f>
        <v>#NAME?</v>
      </c>
      <c r="P179" s="4">
        <v>175</v>
      </c>
      <c r="Q179" s="4">
        <v>185</v>
      </c>
      <c r="R179" s="6">
        <v>195</v>
      </c>
      <c r="S179" s="4" t="e">
        <f t="array" aca="1" ref="S179">MAX(P179:R179*(1-strike(P179:R179)))</f>
        <v>#NAME?</v>
      </c>
      <c r="T179" s="4" t="e">
        <f t="shared" si="2"/>
        <v>#NAME?</v>
      </c>
      <c r="U179" s="4">
        <v>550</v>
      </c>
      <c r="V179" s="4">
        <v>592.67999999999995</v>
      </c>
      <c r="W179" s="4">
        <v>6</v>
      </c>
      <c r="X179" s="5">
        <v>2015</v>
      </c>
      <c r="Y179" s="5" t="s">
        <v>170</v>
      </c>
      <c r="Z179" s="5" t="s">
        <v>171</v>
      </c>
      <c r="AA179" s="5">
        <v>174</v>
      </c>
    </row>
    <row r="180" spans="1:27">
      <c r="A180" s="4">
        <v>3</v>
      </c>
      <c r="B180" s="4" t="s">
        <v>249</v>
      </c>
      <c r="C180" s="4">
        <v>1985</v>
      </c>
      <c r="D180" s="4" t="s">
        <v>119</v>
      </c>
      <c r="E180" s="4">
        <v>51.69</v>
      </c>
      <c r="F180" s="7">
        <v>12524</v>
      </c>
      <c r="G180" s="4">
        <v>10</v>
      </c>
      <c r="H180" s="6">
        <v>182.5</v>
      </c>
      <c r="I180" s="6">
        <v>185</v>
      </c>
      <c r="J180" s="4">
        <v>185</v>
      </c>
      <c r="K180" s="4" t="e">
        <f t="array" aca="1" ref="K180">MAX(H180:J180*(1-strike(H180:J180)))</f>
        <v>#NAME?</v>
      </c>
      <c r="L180" s="4">
        <v>117.5</v>
      </c>
      <c r="M180" s="4">
        <v>122.5</v>
      </c>
      <c r="N180" s="4">
        <v>125</v>
      </c>
      <c r="O180" s="4" t="e">
        <f t="array" aca="1" ref="O180">MAX(L180:N180*(1-strike(L180:N180)))</f>
        <v>#NAME?</v>
      </c>
      <c r="P180" s="4">
        <v>170</v>
      </c>
      <c r="Q180" s="4">
        <v>175</v>
      </c>
      <c r="R180" s="4">
        <v>185</v>
      </c>
      <c r="S180" s="4" t="e">
        <f t="array" aca="1" ref="S180">MAX(P180:R180*(1-strike(P180:R180)))</f>
        <v>#NAME?</v>
      </c>
      <c r="T180" s="4" t="e">
        <f t="shared" si="2"/>
        <v>#NAME?</v>
      </c>
      <c r="U180" s="4">
        <v>495</v>
      </c>
      <c r="V180" s="4">
        <v>619.94000000000005</v>
      </c>
      <c r="W180" s="4">
        <v>8</v>
      </c>
      <c r="X180" s="5">
        <v>2015</v>
      </c>
      <c r="Y180" s="5" t="s">
        <v>170</v>
      </c>
      <c r="Z180" s="5" t="s">
        <v>171</v>
      </c>
      <c r="AA180" s="5">
        <v>143</v>
      </c>
    </row>
    <row r="181" spans="1:27">
      <c r="A181" s="4">
        <v>7</v>
      </c>
      <c r="B181" s="4" t="s">
        <v>250</v>
      </c>
      <c r="C181" s="4">
        <v>1991</v>
      </c>
      <c r="D181" s="4" t="s">
        <v>80</v>
      </c>
      <c r="E181" s="4">
        <v>71.48</v>
      </c>
      <c r="F181" s="4">
        <v>0.98080000000000001</v>
      </c>
      <c r="G181" s="4">
        <v>5</v>
      </c>
      <c r="H181" s="6">
        <v>140</v>
      </c>
      <c r="I181" s="4">
        <v>140</v>
      </c>
      <c r="J181" s="4"/>
      <c r="K181" s="4" t="e">
        <f t="array" aca="1" ref="K181">MAX(H181:J181*(1-strike(H181:J181)))</f>
        <v>#NAME?</v>
      </c>
      <c r="L181" s="4">
        <v>70</v>
      </c>
      <c r="M181" s="4">
        <v>75</v>
      </c>
      <c r="N181" s="6">
        <v>80</v>
      </c>
      <c r="O181" s="4" t="e">
        <f t="array" aca="1" ref="O181">MAX(L181:N181*(1-strike(L181:N181)))</f>
        <v>#NAME?</v>
      </c>
      <c r="P181" s="4">
        <v>170</v>
      </c>
      <c r="Q181" s="4">
        <v>177.5</v>
      </c>
      <c r="R181" s="6">
        <v>182.5</v>
      </c>
      <c r="S181" s="4" t="e">
        <f t="array" aca="1" ref="S181">MAX(P181:R181*(1-strike(P181:R181)))</f>
        <v>#NAME?</v>
      </c>
      <c r="T181" s="4" t="e">
        <f t="shared" si="2"/>
        <v>#NAME?</v>
      </c>
      <c r="U181" s="4">
        <v>392.5</v>
      </c>
      <c r="V181" s="4">
        <v>384.96</v>
      </c>
      <c r="W181" s="4">
        <v>4</v>
      </c>
      <c r="X181" s="5">
        <v>2015</v>
      </c>
      <c r="Y181" s="5" t="s">
        <v>170</v>
      </c>
      <c r="Z181" s="5" t="s">
        <v>30</v>
      </c>
      <c r="AA181" s="5">
        <v>410</v>
      </c>
    </row>
    <row r="182" spans="1:27" ht="15" customHeight="1">
      <c r="A182" s="4">
        <v>12</v>
      </c>
      <c r="B182" s="4" t="s">
        <v>251</v>
      </c>
      <c r="C182" s="4">
        <v>1984</v>
      </c>
      <c r="D182" s="4" t="s">
        <v>252</v>
      </c>
      <c r="E182" s="4">
        <v>67.17</v>
      </c>
      <c r="F182" s="7">
        <v>10242</v>
      </c>
      <c r="G182" s="4">
        <v>9</v>
      </c>
      <c r="H182" s="4">
        <v>60</v>
      </c>
      <c r="I182" s="4">
        <v>70</v>
      </c>
      <c r="J182" s="6">
        <v>85</v>
      </c>
      <c r="K182" s="4" t="e">
        <f t="array" aca="1" ref="K182">MAX(H182:J182*(1-strike(H182:J182)))</f>
        <v>#NAME?</v>
      </c>
      <c r="L182" s="4">
        <v>30</v>
      </c>
      <c r="M182" s="4">
        <v>35</v>
      </c>
      <c r="N182" s="4">
        <v>40</v>
      </c>
      <c r="O182" s="4" t="e">
        <f t="array" aca="1" ref="O182">MAX(L182:N182*(1-strike(L182:N182)))</f>
        <v>#NAME?</v>
      </c>
      <c r="P182" s="4">
        <v>65</v>
      </c>
      <c r="Q182" s="4">
        <v>75</v>
      </c>
      <c r="R182" s="4">
        <v>80</v>
      </c>
      <c r="S182" s="4" t="e">
        <f t="array" aca="1" ref="S182">MAX(P182:R182*(1-strike(P182:R182)))</f>
        <v>#NAME?</v>
      </c>
      <c r="T182" s="4" t="e">
        <f t="shared" si="2"/>
        <v>#NAME?</v>
      </c>
      <c r="U182" s="4">
        <v>190</v>
      </c>
      <c r="V182" s="4">
        <v>194.6</v>
      </c>
      <c r="W182" s="4">
        <v>1</v>
      </c>
      <c r="X182" s="5">
        <v>2015</v>
      </c>
      <c r="Y182" s="5" t="s">
        <v>170</v>
      </c>
      <c r="Z182" s="5" t="s">
        <v>171</v>
      </c>
      <c r="AA182" s="5">
        <v>191</v>
      </c>
    </row>
    <row r="183" spans="1:27">
      <c r="A183" s="4">
        <v>6</v>
      </c>
      <c r="B183" s="4" t="s">
        <v>253</v>
      </c>
      <c r="C183" s="4">
        <v>1971</v>
      </c>
      <c r="D183" s="4" t="s">
        <v>194</v>
      </c>
      <c r="E183" s="4">
        <v>54.72</v>
      </c>
      <c r="F183" s="7">
        <v>11981</v>
      </c>
      <c r="G183" s="4">
        <v>3</v>
      </c>
      <c r="H183" s="4">
        <v>117.5</v>
      </c>
      <c r="I183" s="4">
        <v>125</v>
      </c>
      <c r="J183" s="6">
        <v>130</v>
      </c>
      <c r="K183" s="4" t="e">
        <f t="array" aca="1" ref="K183">MAX(H183:J183*(1-strike(H183:J183)))</f>
        <v>#NAME?</v>
      </c>
      <c r="L183" s="4">
        <v>85</v>
      </c>
      <c r="M183" s="4">
        <v>90</v>
      </c>
      <c r="N183" s="6">
        <v>92.5</v>
      </c>
      <c r="O183" s="4" t="e">
        <f t="array" aca="1" ref="O183">MAX(L183:N183*(1-strike(L183:N183)))</f>
        <v>#NAME?</v>
      </c>
      <c r="P183" s="4">
        <v>145</v>
      </c>
      <c r="Q183" s="6">
        <v>152.5</v>
      </c>
      <c r="R183" s="4"/>
      <c r="S183" s="4" t="e">
        <f t="array" aca="1" ref="S183">MAX(P183:R183*(1-strike(P183:R183)))</f>
        <v>#NAME?</v>
      </c>
      <c r="T183" s="4" t="e">
        <f t="shared" si="2"/>
        <v>#NAME?</v>
      </c>
      <c r="U183" s="4">
        <v>360</v>
      </c>
      <c r="V183" s="4">
        <v>431.32</v>
      </c>
      <c r="W183" s="4">
        <v>5</v>
      </c>
      <c r="X183" s="5">
        <v>2015</v>
      </c>
      <c r="Y183" s="5" t="s">
        <v>170</v>
      </c>
      <c r="Z183" s="5" t="s">
        <v>30</v>
      </c>
      <c r="AA183" s="5">
        <v>376</v>
      </c>
    </row>
    <row r="184" spans="1:27">
      <c r="A184" s="4">
        <v>7</v>
      </c>
      <c r="B184" s="4" t="s">
        <v>254</v>
      </c>
      <c r="C184" s="4">
        <v>1977</v>
      </c>
      <c r="D184" s="4" t="s">
        <v>45</v>
      </c>
      <c r="E184" s="4">
        <v>71.349999999999994</v>
      </c>
      <c r="F184" s="4">
        <v>0.98199999999999998</v>
      </c>
      <c r="G184" s="4">
        <v>10</v>
      </c>
      <c r="H184" s="4">
        <v>195</v>
      </c>
      <c r="I184" s="4">
        <v>202.5</v>
      </c>
      <c r="J184" s="4">
        <v>207.5</v>
      </c>
      <c r="K184" s="4" t="e">
        <f t="array" aca="1" ref="K184">MAX(H184:J184*(1-strike(H184:J184)))</f>
        <v>#NAME?</v>
      </c>
      <c r="L184" s="4">
        <v>132.5</v>
      </c>
      <c r="M184" s="4">
        <v>137.5</v>
      </c>
      <c r="N184" s="6">
        <v>142.5</v>
      </c>
      <c r="O184" s="4" t="e">
        <f t="array" aca="1" ref="O184">MAX(L184:N184*(1-strike(L184:N184)))</f>
        <v>#NAME?</v>
      </c>
      <c r="P184" s="4">
        <v>172.5</v>
      </c>
      <c r="Q184" s="4">
        <v>177.5</v>
      </c>
      <c r="R184" s="6">
        <v>180</v>
      </c>
      <c r="S184" s="4" t="e">
        <f t="array" aca="1" ref="S184">MAX(P184:R184*(1-strike(P184:R184)))</f>
        <v>#NAME?</v>
      </c>
      <c r="T184" s="4" t="e">
        <f t="shared" si="2"/>
        <v>#NAME?</v>
      </c>
      <c r="U184" s="4">
        <v>522.5</v>
      </c>
      <c r="V184" s="4">
        <v>513.1</v>
      </c>
      <c r="W184" s="4">
        <v>4</v>
      </c>
      <c r="X184" s="5">
        <v>2015</v>
      </c>
      <c r="Y184" s="5" t="s">
        <v>170</v>
      </c>
      <c r="Z184" s="5" t="s">
        <v>171</v>
      </c>
      <c r="AA184" s="5">
        <v>186</v>
      </c>
    </row>
    <row r="185" spans="1:27">
      <c r="A185" s="4">
        <v>15</v>
      </c>
      <c r="B185" s="4" t="s">
        <v>255</v>
      </c>
      <c r="C185" s="4">
        <v>1990</v>
      </c>
      <c r="D185" s="4" t="s">
        <v>100</v>
      </c>
      <c r="E185" s="4">
        <v>56.84</v>
      </c>
      <c r="F185" s="7">
        <v>11630</v>
      </c>
      <c r="G185" s="4">
        <v>8</v>
      </c>
      <c r="H185" s="4">
        <v>90</v>
      </c>
      <c r="I185" s="4">
        <v>97.5</v>
      </c>
      <c r="J185" s="4">
        <v>100</v>
      </c>
      <c r="K185" s="4" t="e">
        <f t="array" aca="1" ref="K185">MAX(H185:J185*(1-strike(H185:J185)))</f>
        <v>#NAME?</v>
      </c>
      <c r="L185" s="4">
        <v>50</v>
      </c>
      <c r="M185" s="4">
        <v>55</v>
      </c>
      <c r="N185" s="6">
        <v>57.5</v>
      </c>
      <c r="O185" s="4" t="e">
        <f t="array" aca="1" ref="O185">MAX(L185:N185*(1-strike(L185:N185)))</f>
        <v>#NAME?</v>
      </c>
      <c r="P185" s="4">
        <v>105</v>
      </c>
      <c r="Q185" s="6">
        <v>110</v>
      </c>
      <c r="R185" s="4">
        <v>110</v>
      </c>
      <c r="S185" s="4" t="e">
        <f t="array" aca="1" ref="S185">MAX(P185:R185*(1-strike(P185:R185)))</f>
        <v>#NAME?</v>
      </c>
      <c r="T185" s="4" t="e">
        <f t="shared" si="2"/>
        <v>#NAME?</v>
      </c>
      <c r="U185" s="4">
        <v>265</v>
      </c>
      <c r="V185" s="4">
        <v>308.19</v>
      </c>
      <c r="W185" s="4">
        <v>1</v>
      </c>
      <c r="X185" s="5">
        <v>2015</v>
      </c>
      <c r="Y185" s="5" t="s">
        <v>170</v>
      </c>
      <c r="Z185" s="5" t="s">
        <v>30</v>
      </c>
      <c r="AA185" s="5">
        <v>385</v>
      </c>
    </row>
    <row r="186" spans="1:27">
      <c r="A186" s="4">
        <v>6</v>
      </c>
      <c r="B186" s="4" t="s">
        <v>256</v>
      </c>
      <c r="C186" s="4">
        <v>1985</v>
      </c>
      <c r="D186" s="4" t="s">
        <v>39</v>
      </c>
      <c r="E186" s="4">
        <v>71.349999999999994</v>
      </c>
      <c r="F186" s="4">
        <v>0.98199999999999998</v>
      </c>
      <c r="G186" s="4">
        <v>8</v>
      </c>
      <c r="H186" s="4">
        <v>200</v>
      </c>
      <c r="I186" s="4">
        <v>210</v>
      </c>
      <c r="J186" s="6">
        <v>217.5</v>
      </c>
      <c r="K186" s="4" t="e">
        <f t="array" aca="1" ref="K186">MAX(H186:J186*(1-strike(H186:J186)))</f>
        <v>#NAME?</v>
      </c>
      <c r="L186" s="4">
        <v>130</v>
      </c>
      <c r="M186" s="4">
        <v>137.5</v>
      </c>
      <c r="N186" s="4">
        <v>142.5</v>
      </c>
      <c r="O186" s="4" t="e">
        <f t="array" aca="1" ref="O186">MAX(L186:N186*(1-strike(L186:N186)))</f>
        <v>#NAME?</v>
      </c>
      <c r="P186" s="4">
        <v>180</v>
      </c>
      <c r="Q186" s="4">
        <v>190</v>
      </c>
      <c r="R186" s="6">
        <v>195</v>
      </c>
      <c r="S186" s="4" t="e">
        <f t="array" aca="1" ref="S186">MAX(P186:R186*(1-strike(P186:R186)))</f>
        <v>#NAME?</v>
      </c>
      <c r="T186" s="4" t="e">
        <f t="shared" si="2"/>
        <v>#NAME?</v>
      </c>
      <c r="U186" s="4">
        <v>542.5</v>
      </c>
      <c r="V186" s="4">
        <v>532.74</v>
      </c>
      <c r="W186" s="4">
        <v>5</v>
      </c>
      <c r="X186" s="5">
        <v>2015</v>
      </c>
      <c r="Y186" s="5" t="s">
        <v>170</v>
      </c>
      <c r="Z186" s="5" t="s">
        <v>171</v>
      </c>
      <c r="AA186" s="5">
        <v>185</v>
      </c>
    </row>
    <row r="187" spans="1:27">
      <c r="A187" s="4">
        <v>2</v>
      </c>
      <c r="B187" s="4" t="s">
        <v>257</v>
      </c>
      <c r="C187" s="4">
        <v>1992</v>
      </c>
      <c r="D187" s="4" t="s">
        <v>28</v>
      </c>
      <c r="E187" s="4">
        <v>104.03</v>
      </c>
      <c r="F187" s="4">
        <v>0.8236</v>
      </c>
      <c r="G187" s="4">
        <v>17</v>
      </c>
      <c r="H187" s="6">
        <v>250</v>
      </c>
      <c r="I187" s="4">
        <v>250</v>
      </c>
      <c r="J187" s="4">
        <v>260</v>
      </c>
      <c r="K187" s="4" t="e">
        <f t="array" aca="1" ref="K187">MAX(H187:J187*(1-strike(H187:J187)))</f>
        <v>#NAME?</v>
      </c>
      <c r="L187" s="4">
        <v>162.5</v>
      </c>
      <c r="M187" s="4">
        <v>170</v>
      </c>
      <c r="N187" s="6">
        <v>175</v>
      </c>
      <c r="O187" s="4" t="e">
        <f t="array" aca="1" ref="O187">MAX(L187:N187*(1-strike(L187:N187)))</f>
        <v>#NAME?</v>
      </c>
      <c r="P187" s="4">
        <v>207.5</v>
      </c>
      <c r="Q187" s="4">
        <v>220</v>
      </c>
      <c r="R187" s="4">
        <v>225</v>
      </c>
      <c r="S187" s="4" t="e">
        <f t="array" aca="1" ref="S187">MAX(P187:R187*(1-strike(P187:R187)))</f>
        <v>#NAME?</v>
      </c>
      <c r="T187" s="4" t="e">
        <f t="shared" si="2"/>
        <v>#NAME?</v>
      </c>
      <c r="U187" s="4">
        <v>655</v>
      </c>
      <c r="V187" s="4">
        <v>539.46</v>
      </c>
      <c r="W187" s="4">
        <v>9</v>
      </c>
      <c r="X187" s="5">
        <v>2015</v>
      </c>
      <c r="Y187" s="5" t="s">
        <v>170</v>
      </c>
      <c r="Z187" s="5" t="s">
        <v>171</v>
      </c>
      <c r="AA187" s="5">
        <v>207</v>
      </c>
    </row>
    <row r="188" spans="1:27">
      <c r="A188" s="4">
        <v>7</v>
      </c>
      <c r="B188" s="4" t="s">
        <v>258</v>
      </c>
      <c r="C188" s="4">
        <v>1978</v>
      </c>
      <c r="D188" s="4" t="s">
        <v>137</v>
      </c>
      <c r="E188" s="4">
        <v>46.75</v>
      </c>
      <c r="F188" s="7">
        <v>13501</v>
      </c>
      <c r="G188" s="4">
        <v>4</v>
      </c>
      <c r="H188" s="4">
        <v>110</v>
      </c>
      <c r="I188" s="6">
        <v>115</v>
      </c>
      <c r="J188" s="6">
        <v>115</v>
      </c>
      <c r="K188" s="4" t="e">
        <f t="array" aca="1" ref="K188">MAX(H188:J188*(1-strike(H188:J188)))</f>
        <v>#NAME?</v>
      </c>
      <c r="L188" s="4">
        <v>65</v>
      </c>
      <c r="M188" s="4">
        <v>70</v>
      </c>
      <c r="N188" s="6">
        <v>72.5</v>
      </c>
      <c r="O188" s="4" t="e">
        <f t="array" aca="1" ref="O188">MAX(L188:N188*(1-strike(L188:N188)))</f>
        <v>#NAME?</v>
      </c>
      <c r="P188" s="4">
        <v>125</v>
      </c>
      <c r="Q188" s="4">
        <v>132.5</v>
      </c>
      <c r="R188" s="6">
        <v>137.5</v>
      </c>
      <c r="S188" s="4" t="e">
        <f t="array" aca="1" ref="S188">MAX(P188:R188*(1-strike(P188:R188)))</f>
        <v>#NAME?</v>
      </c>
      <c r="T188" s="4" t="e">
        <f t="shared" si="2"/>
        <v>#NAME?</v>
      </c>
      <c r="U188" s="4">
        <v>312.5</v>
      </c>
      <c r="V188" s="4">
        <v>421.91</v>
      </c>
      <c r="W188" s="4">
        <v>4</v>
      </c>
      <c r="X188" s="5">
        <v>2015</v>
      </c>
      <c r="Y188" s="5" t="s">
        <v>170</v>
      </c>
      <c r="Z188" s="5" t="s">
        <v>30</v>
      </c>
      <c r="AA188" s="5">
        <v>356</v>
      </c>
    </row>
    <row r="189" spans="1:27">
      <c r="A189" s="4">
        <v>1</v>
      </c>
      <c r="B189" s="4" t="s">
        <v>259</v>
      </c>
      <c r="C189" s="4">
        <v>1990</v>
      </c>
      <c r="D189" s="4" t="s">
        <v>35</v>
      </c>
      <c r="E189" s="4">
        <v>51.14</v>
      </c>
      <c r="F189" s="7">
        <v>12627</v>
      </c>
      <c r="G189" s="4">
        <v>17</v>
      </c>
      <c r="H189" s="4">
        <v>135</v>
      </c>
      <c r="I189" s="4">
        <v>145</v>
      </c>
      <c r="J189" s="4">
        <v>147.5</v>
      </c>
      <c r="K189" s="4" t="e">
        <f t="array" aca="1" ref="K189">MAX(H189:J189*(1-strike(H189:J189)))</f>
        <v>#NAME?</v>
      </c>
      <c r="L189" s="4">
        <v>85</v>
      </c>
      <c r="M189" s="4">
        <v>90</v>
      </c>
      <c r="N189" s="4">
        <v>92.5</v>
      </c>
      <c r="O189" s="4" t="e">
        <f t="array" aca="1" ref="O189">MAX(L189:N189*(1-strike(L189:N189)))</f>
        <v>#NAME?</v>
      </c>
      <c r="P189" s="4">
        <v>160</v>
      </c>
      <c r="Q189" s="4">
        <v>170</v>
      </c>
      <c r="R189" s="4">
        <v>172.5</v>
      </c>
      <c r="S189" s="4" t="e">
        <f t="array" aca="1" ref="S189">MAX(P189:R189*(1-strike(P189:R189)))</f>
        <v>#NAME?</v>
      </c>
      <c r="T189" s="4" t="e">
        <f t="shared" si="2"/>
        <v>#NAME?</v>
      </c>
      <c r="U189" s="4" t="s">
        <v>260</v>
      </c>
      <c r="V189" s="4">
        <v>520.86</v>
      </c>
      <c r="W189" s="4">
        <v>12</v>
      </c>
      <c r="X189" s="5">
        <v>2015</v>
      </c>
      <c r="Y189" s="5" t="s">
        <v>170</v>
      </c>
      <c r="Z189" s="5" t="s">
        <v>30</v>
      </c>
      <c r="AA189" s="5">
        <v>360</v>
      </c>
    </row>
    <row r="190" spans="1:27">
      <c r="A190" s="4">
        <v>5</v>
      </c>
      <c r="B190" s="4" t="s">
        <v>261</v>
      </c>
      <c r="C190" s="4">
        <v>1977</v>
      </c>
      <c r="D190" s="4" t="s">
        <v>62</v>
      </c>
      <c r="E190" s="4">
        <v>56.66</v>
      </c>
      <c r="F190" s="7">
        <v>11658</v>
      </c>
      <c r="G190" s="4">
        <v>4</v>
      </c>
      <c r="H190" s="4">
        <v>175</v>
      </c>
      <c r="I190" s="6">
        <v>185</v>
      </c>
      <c r="J190" s="4">
        <v>185</v>
      </c>
      <c r="K190" s="4" t="e">
        <f t="array" aca="1" ref="K190">MAX(H190:J190*(1-strike(H190:J190)))</f>
        <v>#NAME?</v>
      </c>
      <c r="L190" s="4">
        <v>115</v>
      </c>
      <c r="M190" s="4">
        <v>122.5</v>
      </c>
      <c r="N190" s="4">
        <v>125</v>
      </c>
      <c r="O190" s="4" t="e">
        <f t="array" aca="1" ref="O190">MAX(L190:N190*(1-strike(L190:N190)))</f>
        <v>#NAME?</v>
      </c>
      <c r="P190" s="4">
        <v>175</v>
      </c>
      <c r="Q190" s="6">
        <v>190</v>
      </c>
      <c r="R190" s="6">
        <v>192.5</v>
      </c>
      <c r="S190" s="4" t="e">
        <f t="array" aca="1" ref="S190">MAX(P190:R190*(1-strike(P190:R190)))</f>
        <v>#NAME?</v>
      </c>
      <c r="T190" s="4" t="e">
        <f t="shared" si="2"/>
        <v>#NAME?</v>
      </c>
      <c r="U190" s="4">
        <v>485</v>
      </c>
      <c r="V190" s="4">
        <v>565.41</v>
      </c>
      <c r="W190" s="4">
        <v>6</v>
      </c>
      <c r="X190" s="5">
        <v>2015</v>
      </c>
      <c r="Y190" s="5" t="s">
        <v>170</v>
      </c>
      <c r="Z190" s="5" t="s">
        <v>171</v>
      </c>
      <c r="AA190" s="5">
        <v>158</v>
      </c>
    </row>
    <row r="191" spans="1:27">
      <c r="A191" s="4">
        <v>1</v>
      </c>
      <c r="B191" s="4" t="s">
        <v>262</v>
      </c>
      <c r="C191" s="4">
        <v>1988</v>
      </c>
      <c r="D191" s="4" t="s">
        <v>62</v>
      </c>
      <c r="E191" s="4">
        <v>130.29</v>
      </c>
      <c r="F191" s="4">
        <v>0.78800000000000003</v>
      </c>
      <c r="G191" s="4">
        <v>14</v>
      </c>
      <c r="H191" s="4">
        <v>247.5</v>
      </c>
      <c r="I191" s="6">
        <v>260</v>
      </c>
      <c r="J191" s="6">
        <v>260</v>
      </c>
      <c r="K191" s="4" t="e">
        <f t="array" aca="1" ref="K191">MAX(H191:J191*(1-strike(H191:J191)))</f>
        <v>#NAME?</v>
      </c>
      <c r="L191" s="4">
        <v>132.5</v>
      </c>
      <c r="M191" s="4">
        <v>142.5</v>
      </c>
      <c r="N191" s="4">
        <v>145.5</v>
      </c>
      <c r="O191" s="4" t="e">
        <f t="array" aca="1" ref="O191">MAX(L191:N191*(1-strike(L191:N191)))</f>
        <v>#NAME?</v>
      </c>
      <c r="P191" s="4">
        <v>207.5</v>
      </c>
      <c r="Q191" s="4">
        <v>222.5</v>
      </c>
      <c r="R191" s="6">
        <v>236.5</v>
      </c>
      <c r="S191" s="4" t="e">
        <f t="array" aca="1" ref="S191">MAX(P191:R191*(1-strike(P191:R191)))</f>
        <v>#NAME?</v>
      </c>
      <c r="T191" s="4" t="e">
        <f t="shared" si="2"/>
        <v>#NAME?</v>
      </c>
      <c r="U191" s="4" t="s">
        <v>263</v>
      </c>
      <c r="V191" s="4">
        <v>485.01</v>
      </c>
      <c r="W191" s="4">
        <v>12</v>
      </c>
      <c r="X191" s="5">
        <v>2015</v>
      </c>
      <c r="Y191" s="5" t="s">
        <v>170</v>
      </c>
      <c r="Z191" s="5" t="s">
        <v>30</v>
      </c>
      <c r="AA191" s="5">
        <v>425</v>
      </c>
    </row>
    <row r="192" spans="1:27">
      <c r="A192" s="4">
        <v>10</v>
      </c>
      <c r="B192" s="4" t="s">
        <v>264</v>
      </c>
      <c r="C192" s="4">
        <v>1984</v>
      </c>
      <c r="D192" s="4" t="s">
        <v>51</v>
      </c>
      <c r="E192" s="4">
        <v>105.92</v>
      </c>
      <c r="F192" s="4">
        <v>0.82</v>
      </c>
      <c r="G192" s="4">
        <v>20</v>
      </c>
      <c r="H192" s="4">
        <v>177.5</v>
      </c>
      <c r="I192" s="4">
        <v>187.5</v>
      </c>
      <c r="J192" s="4">
        <v>192.5</v>
      </c>
      <c r="K192" s="4" t="e">
        <f t="array" aca="1" ref="K192">MAX(H192:J192*(1-strike(H192:J192)))</f>
        <v>#NAME?</v>
      </c>
      <c r="L192" s="4">
        <v>65</v>
      </c>
      <c r="M192" s="4">
        <v>70</v>
      </c>
      <c r="N192" s="4">
        <v>75</v>
      </c>
      <c r="O192" s="4" t="e">
        <f t="array" aca="1" ref="O192">MAX(L192:N192*(1-strike(L192:N192)))</f>
        <v>#NAME?</v>
      </c>
      <c r="P192" s="4">
        <v>175</v>
      </c>
      <c r="Q192" s="4">
        <v>187.5</v>
      </c>
      <c r="R192" s="4">
        <v>192.5</v>
      </c>
      <c r="S192" s="4" t="e">
        <f t="array" aca="1" ref="S192">MAX(P192:R192*(1-strike(P192:R192)))</f>
        <v>#NAME?</v>
      </c>
      <c r="T192" s="4" t="e">
        <f t="shared" si="2"/>
        <v>#NAME?</v>
      </c>
      <c r="U192" s="4">
        <v>460</v>
      </c>
      <c r="V192" s="4">
        <v>377.2</v>
      </c>
      <c r="W192" s="4">
        <v>1</v>
      </c>
      <c r="X192" s="5">
        <v>2015</v>
      </c>
      <c r="Y192" s="5" t="s">
        <v>170</v>
      </c>
      <c r="Z192" s="5" t="s">
        <v>30</v>
      </c>
      <c r="AA192" s="5">
        <v>434</v>
      </c>
    </row>
    <row r="193" spans="1:27">
      <c r="A193" s="4" t="s">
        <v>37</v>
      </c>
      <c r="B193" s="4" t="s">
        <v>265</v>
      </c>
      <c r="C193" s="4">
        <v>1976</v>
      </c>
      <c r="D193" s="4" t="s">
        <v>137</v>
      </c>
      <c r="E193" s="4">
        <v>51.49</v>
      </c>
      <c r="F193" s="7">
        <v>12561</v>
      </c>
      <c r="G193" s="4">
        <v>8</v>
      </c>
      <c r="H193" s="6">
        <v>165</v>
      </c>
      <c r="I193" s="6">
        <v>170</v>
      </c>
      <c r="J193" s="6">
        <v>170</v>
      </c>
      <c r="K193" s="4" t="e">
        <f t="array" aca="1" ref="K193">MAX(H193:J193*(1-strike(H193:J193)))</f>
        <v>#NAME?</v>
      </c>
      <c r="L193" s="4"/>
      <c r="M193" s="4"/>
      <c r="N193" s="4"/>
      <c r="O193" s="4" t="e">
        <f t="array" aca="1" ref="O193">MAX(L193:N193*(1-strike(L193:N193)))</f>
        <v>#NAME?</v>
      </c>
      <c r="P193" s="4"/>
      <c r="Q193" s="4"/>
      <c r="R193" s="4"/>
      <c r="S193" s="4" t="e">
        <f t="array" aca="1" ref="S193">MAX(P193:R193*(1-strike(P193:R193)))</f>
        <v>#NAME?</v>
      </c>
      <c r="T193" s="4" t="e">
        <f t="shared" si="2"/>
        <v>#NAME?</v>
      </c>
      <c r="U193" s="4" t="s">
        <v>187</v>
      </c>
      <c r="V193" s="4" t="s">
        <v>37</v>
      </c>
      <c r="W193" s="4" t="s">
        <v>37</v>
      </c>
      <c r="X193" s="5">
        <v>2015</v>
      </c>
      <c r="Y193" s="5" t="s">
        <v>170</v>
      </c>
      <c r="Z193" s="5" t="s">
        <v>171</v>
      </c>
      <c r="AA193" s="5">
        <v>152</v>
      </c>
    </row>
    <row r="194" spans="1:27">
      <c r="A194" s="4">
        <v>5</v>
      </c>
      <c r="B194" s="4" t="s">
        <v>266</v>
      </c>
      <c r="C194" s="4">
        <v>1982</v>
      </c>
      <c r="D194" s="4" t="s">
        <v>137</v>
      </c>
      <c r="E194" s="4">
        <v>46.62</v>
      </c>
      <c r="F194" s="7">
        <v>13528</v>
      </c>
      <c r="G194" s="4">
        <v>3</v>
      </c>
      <c r="H194" s="4">
        <v>135</v>
      </c>
      <c r="I194" s="4">
        <v>140</v>
      </c>
      <c r="J194" s="4">
        <v>145</v>
      </c>
      <c r="K194" s="4" t="e">
        <f t="array" aca="1" ref="K194">MAX(H194:J194*(1-strike(H194:J194)))</f>
        <v>#NAME?</v>
      </c>
      <c r="L194" s="4">
        <v>82.5</v>
      </c>
      <c r="M194" s="4">
        <v>87.5</v>
      </c>
      <c r="N194" s="4">
        <v>92.5</v>
      </c>
      <c r="O194" s="4" t="e">
        <f t="array" aca="1" ref="O194">MAX(L194:N194*(1-strike(L194:N194)))</f>
        <v>#NAME?</v>
      </c>
      <c r="P194" s="4">
        <v>120</v>
      </c>
      <c r="Q194" s="4">
        <v>125</v>
      </c>
      <c r="R194" s="6">
        <v>127.5</v>
      </c>
      <c r="S194" s="4" t="e">
        <f t="array" aca="1" ref="S194">MAX(P194:R194*(1-strike(P194:R194)))</f>
        <v>#NAME?</v>
      </c>
      <c r="T194" s="4" t="e">
        <f t="shared" ref="T194:T257" si="3">IF(AND(K194&lt;&gt;0,O194&lt;&gt;0,S194&lt;&gt;0),K194+O194+S194,0)</f>
        <v>#NAME?</v>
      </c>
      <c r="U194" s="4">
        <v>362.5</v>
      </c>
      <c r="V194" s="4">
        <v>490.39</v>
      </c>
      <c r="W194" s="4">
        <v>6</v>
      </c>
      <c r="X194" s="5">
        <v>2015</v>
      </c>
      <c r="Y194" s="5" t="s">
        <v>170</v>
      </c>
      <c r="Z194" s="5" t="s">
        <v>171</v>
      </c>
      <c r="AA194" s="5">
        <v>137</v>
      </c>
    </row>
    <row r="195" spans="1:27">
      <c r="A195" s="4">
        <v>9</v>
      </c>
      <c r="B195" s="4" t="s">
        <v>267</v>
      </c>
      <c r="C195" s="4">
        <v>1998</v>
      </c>
      <c r="D195" s="4" t="s">
        <v>252</v>
      </c>
      <c r="E195" s="4">
        <v>91.87</v>
      </c>
      <c r="F195" s="4">
        <v>0.8569</v>
      </c>
      <c r="G195" s="4">
        <v>19</v>
      </c>
      <c r="H195" s="4">
        <v>185</v>
      </c>
      <c r="I195" s="6">
        <v>190</v>
      </c>
      <c r="J195" s="6">
        <v>190</v>
      </c>
      <c r="K195" s="4" t="e">
        <f t="array" aca="1" ref="K195">MAX(H195:J195*(1-strike(H195:J195)))</f>
        <v>#NAME?</v>
      </c>
      <c r="L195" s="4">
        <v>50</v>
      </c>
      <c r="M195" s="4">
        <v>55</v>
      </c>
      <c r="N195" s="6">
        <v>62.5</v>
      </c>
      <c r="O195" s="4" t="e">
        <f t="array" aca="1" ref="O195">MAX(L195:N195*(1-strike(L195:N195)))</f>
        <v>#NAME?</v>
      </c>
      <c r="P195" s="4">
        <v>150</v>
      </c>
      <c r="Q195" s="6">
        <v>160</v>
      </c>
      <c r="R195" s="4">
        <v>160</v>
      </c>
      <c r="S195" s="4" t="e">
        <f t="array" aca="1" ref="S195">MAX(P195:R195*(1-strike(P195:R195)))</f>
        <v>#NAME?</v>
      </c>
      <c r="T195" s="4" t="e">
        <f t="shared" si="3"/>
        <v>#NAME?</v>
      </c>
      <c r="U195" s="4">
        <v>400</v>
      </c>
      <c r="V195" s="4">
        <v>342.76</v>
      </c>
      <c r="W195" s="4">
        <v>2</v>
      </c>
      <c r="X195" s="5">
        <v>2015</v>
      </c>
      <c r="Y195" s="5" t="s">
        <v>170</v>
      </c>
      <c r="Z195" s="5" t="s">
        <v>171</v>
      </c>
      <c r="AA195" s="5">
        <v>214</v>
      </c>
    </row>
    <row r="196" spans="1:27">
      <c r="A196" s="4">
        <v>7</v>
      </c>
      <c r="B196" s="4" t="s">
        <v>268</v>
      </c>
      <c r="C196" s="4">
        <v>1975</v>
      </c>
      <c r="D196" s="4" t="s">
        <v>62</v>
      </c>
      <c r="E196" s="4">
        <v>113.15</v>
      </c>
      <c r="F196" s="4">
        <v>0.80840000000000001</v>
      </c>
      <c r="G196" s="4">
        <v>15</v>
      </c>
      <c r="H196" s="4">
        <v>225</v>
      </c>
      <c r="I196" s="4">
        <v>235</v>
      </c>
      <c r="J196" s="6">
        <v>242.5</v>
      </c>
      <c r="K196" s="4" t="e">
        <f t="array" aca="1" ref="K196">MAX(H196:J196*(1-strike(H196:J196)))</f>
        <v>#NAME?</v>
      </c>
      <c r="L196" s="6">
        <v>120</v>
      </c>
      <c r="M196" s="4">
        <v>120</v>
      </c>
      <c r="N196" s="6">
        <v>130</v>
      </c>
      <c r="O196" s="4" t="e">
        <f t="array" aca="1" ref="O196">MAX(L196:N196*(1-strike(L196:N196)))</f>
        <v>#NAME?</v>
      </c>
      <c r="P196" s="4">
        <v>192.5</v>
      </c>
      <c r="Q196" s="4">
        <v>205</v>
      </c>
      <c r="R196" s="6">
        <v>212.5</v>
      </c>
      <c r="S196" s="4" t="e">
        <f t="array" aca="1" ref="S196">MAX(P196:R196*(1-strike(P196:R196)))</f>
        <v>#NAME?</v>
      </c>
      <c r="T196" s="4" t="e">
        <f t="shared" si="3"/>
        <v>#NAME?</v>
      </c>
      <c r="U196" s="4">
        <v>560</v>
      </c>
      <c r="V196" s="4">
        <v>452.7</v>
      </c>
      <c r="W196" s="4">
        <v>4</v>
      </c>
      <c r="X196" s="5">
        <v>2015</v>
      </c>
      <c r="Y196" s="5" t="s">
        <v>170</v>
      </c>
      <c r="Z196" s="5" t="s">
        <v>171</v>
      </c>
      <c r="AA196" s="5">
        <v>212</v>
      </c>
    </row>
    <row r="197" spans="1:27">
      <c r="A197" s="4">
        <v>4</v>
      </c>
      <c r="B197" s="4" t="s">
        <v>269</v>
      </c>
      <c r="C197" s="4">
        <v>1986</v>
      </c>
      <c r="D197" s="4" t="s">
        <v>28</v>
      </c>
      <c r="E197" s="4">
        <v>66.680000000000007</v>
      </c>
      <c r="F197" s="7">
        <v>10297</v>
      </c>
      <c r="G197" s="4">
        <v>7</v>
      </c>
      <c r="H197" s="4">
        <v>215</v>
      </c>
      <c r="I197" s="6">
        <v>225</v>
      </c>
      <c r="J197" s="6">
        <v>230</v>
      </c>
      <c r="K197" s="4" t="e">
        <f t="array" aca="1" ref="K197">MAX(H197:J197*(1-strike(H197:J197)))</f>
        <v>#NAME?</v>
      </c>
      <c r="L197" s="4">
        <v>157.5</v>
      </c>
      <c r="M197" s="4">
        <v>167.5</v>
      </c>
      <c r="N197" s="4">
        <v>177.5</v>
      </c>
      <c r="O197" s="4" t="e">
        <f t="array" aca="1" ref="O197">MAX(L197:N197*(1-strike(L197:N197)))</f>
        <v>#NAME?</v>
      </c>
      <c r="P197" s="4">
        <v>185</v>
      </c>
      <c r="Q197" s="4">
        <v>200</v>
      </c>
      <c r="R197" s="6">
        <v>205</v>
      </c>
      <c r="S197" s="4" t="e">
        <f t="array" aca="1" ref="S197">MAX(P197:R197*(1-strike(P197:R197)))</f>
        <v>#NAME?</v>
      </c>
      <c r="T197" s="4" t="e">
        <f t="shared" si="3"/>
        <v>#NAME?</v>
      </c>
      <c r="U197" s="4">
        <v>592.5</v>
      </c>
      <c r="V197" s="4">
        <v>610.1</v>
      </c>
      <c r="W197" s="4">
        <v>7</v>
      </c>
      <c r="X197" s="5">
        <v>2015</v>
      </c>
      <c r="Y197" s="5" t="s">
        <v>170</v>
      </c>
      <c r="Z197" s="5" t="s">
        <v>171</v>
      </c>
      <c r="AA197" s="5">
        <v>183</v>
      </c>
    </row>
    <row r="198" spans="1:27">
      <c r="A198" s="4">
        <v>9</v>
      </c>
      <c r="B198" s="4" t="s">
        <v>270</v>
      </c>
      <c r="C198" s="4">
        <v>1980</v>
      </c>
      <c r="D198" s="4" t="s">
        <v>49</v>
      </c>
      <c r="E198" s="4">
        <v>70.17</v>
      </c>
      <c r="F198" s="4">
        <v>0.99319999999999997</v>
      </c>
      <c r="G198" s="4">
        <v>8</v>
      </c>
      <c r="H198" s="4">
        <v>135</v>
      </c>
      <c r="I198" s="4">
        <v>142.5</v>
      </c>
      <c r="J198" s="6">
        <v>147.5</v>
      </c>
      <c r="K198" s="4" t="e">
        <f t="array" aca="1" ref="K198">MAX(H198:J198*(1-strike(H198:J198)))</f>
        <v>#NAME?</v>
      </c>
      <c r="L198" s="4">
        <v>70</v>
      </c>
      <c r="M198" s="4">
        <v>75</v>
      </c>
      <c r="N198" s="6">
        <v>80</v>
      </c>
      <c r="O198" s="4" t="e">
        <f t="array" aca="1" ref="O198">MAX(L198:N198*(1-strike(L198:N198)))</f>
        <v>#NAME?</v>
      </c>
      <c r="P198" s="4">
        <v>150</v>
      </c>
      <c r="Q198" s="6">
        <v>160</v>
      </c>
      <c r="R198" s="6">
        <v>160</v>
      </c>
      <c r="S198" s="4" t="e">
        <f t="array" aca="1" ref="S198">MAX(P198:R198*(1-strike(P198:R198)))</f>
        <v>#NAME?</v>
      </c>
      <c r="T198" s="4" t="e">
        <f t="shared" si="3"/>
        <v>#NAME?</v>
      </c>
      <c r="U198" s="4">
        <v>367.5</v>
      </c>
      <c r="V198" s="4">
        <v>365</v>
      </c>
      <c r="W198" s="4">
        <v>2</v>
      </c>
      <c r="X198" s="5">
        <v>2015</v>
      </c>
      <c r="Y198" s="5" t="s">
        <v>170</v>
      </c>
      <c r="Z198" s="5" t="s">
        <v>30</v>
      </c>
      <c r="AA198" s="5">
        <v>412</v>
      </c>
    </row>
    <row r="199" spans="1:27">
      <c r="A199" s="4">
        <v>4</v>
      </c>
      <c r="B199" s="4" t="s">
        <v>271</v>
      </c>
      <c r="C199" s="4">
        <v>1974</v>
      </c>
      <c r="D199" s="4" t="s">
        <v>28</v>
      </c>
      <c r="E199" s="4">
        <v>95.7</v>
      </c>
      <c r="F199" s="4">
        <v>0.84430000000000005</v>
      </c>
      <c r="G199" s="4">
        <v>21</v>
      </c>
      <c r="H199" s="4">
        <v>185</v>
      </c>
      <c r="I199" s="4">
        <v>195</v>
      </c>
      <c r="J199" s="6">
        <v>200</v>
      </c>
      <c r="K199" s="4" t="e">
        <f t="array" aca="1" ref="K199">MAX(H199:J199*(1-strike(H199:J199)))</f>
        <v>#NAME?</v>
      </c>
      <c r="L199" s="4">
        <v>120</v>
      </c>
      <c r="M199" s="4">
        <v>125</v>
      </c>
      <c r="N199" s="6">
        <v>127.5</v>
      </c>
      <c r="O199" s="4" t="e">
        <f t="array" aca="1" ref="O199">MAX(L199:N199*(1-strike(L199:N199)))</f>
        <v>#NAME?</v>
      </c>
      <c r="P199" s="4">
        <v>185</v>
      </c>
      <c r="Q199" s="4">
        <v>197.5</v>
      </c>
      <c r="R199" s="6">
        <v>202.5</v>
      </c>
      <c r="S199" s="4" t="e">
        <f t="array" aca="1" ref="S199">MAX(P199:R199*(1-strike(P199:R199)))</f>
        <v>#NAME?</v>
      </c>
      <c r="T199" s="4" t="e">
        <f t="shared" si="3"/>
        <v>#NAME?</v>
      </c>
      <c r="U199" s="4" t="s">
        <v>272</v>
      </c>
      <c r="V199" s="4">
        <v>436.93</v>
      </c>
      <c r="W199" s="4">
        <v>7</v>
      </c>
      <c r="X199" s="5">
        <v>2015</v>
      </c>
      <c r="Y199" s="5" t="s">
        <v>170</v>
      </c>
      <c r="Z199" s="5" t="s">
        <v>30</v>
      </c>
      <c r="AA199" s="5">
        <v>428</v>
      </c>
    </row>
    <row r="200" spans="1:27">
      <c r="A200" s="4">
        <v>9</v>
      </c>
      <c r="B200" s="4" t="s">
        <v>273</v>
      </c>
      <c r="C200" s="4">
        <v>1975</v>
      </c>
      <c r="D200" s="4" t="s">
        <v>274</v>
      </c>
      <c r="E200" s="4">
        <v>51.71</v>
      </c>
      <c r="F200" s="7">
        <v>12520</v>
      </c>
      <c r="G200" s="4">
        <v>17</v>
      </c>
      <c r="H200" s="4">
        <v>140</v>
      </c>
      <c r="I200" s="4">
        <v>147.5</v>
      </c>
      <c r="J200" s="4">
        <v>155</v>
      </c>
      <c r="K200" s="4" t="e">
        <f t="array" aca="1" ref="K200">MAX(H200:J200*(1-strike(H200:J200)))</f>
        <v>#NAME?</v>
      </c>
      <c r="L200" s="4">
        <v>80</v>
      </c>
      <c r="M200" s="6">
        <v>82.5</v>
      </c>
      <c r="N200" s="4">
        <v>82.5</v>
      </c>
      <c r="O200" s="4" t="e">
        <f t="array" aca="1" ref="O200">MAX(L200:N200*(1-strike(L200:N200)))</f>
        <v>#NAME?</v>
      </c>
      <c r="P200" s="4">
        <v>147.5</v>
      </c>
      <c r="Q200" s="4">
        <v>155</v>
      </c>
      <c r="R200" s="6">
        <v>157.5</v>
      </c>
      <c r="S200" s="4" t="e">
        <f t="array" aca="1" ref="S200">MAX(P200:R200*(1-strike(P200:R200)))</f>
        <v>#NAME?</v>
      </c>
      <c r="T200" s="4" t="e">
        <f t="shared" si="3"/>
        <v>#NAME?</v>
      </c>
      <c r="U200" s="4">
        <v>392.5</v>
      </c>
      <c r="V200" s="4">
        <v>491.41</v>
      </c>
      <c r="W200" s="4">
        <v>2</v>
      </c>
      <c r="X200" s="5">
        <v>2015</v>
      </c>
      <c r="Y200" s="5" t="s">
        <v>170</v>
      </c>
      <c r="Z200" s="5" t="s">
        <v>171</v>
      </c>
      <c r="AA200" s="5">
        <v>149</v>
      </c>
    </row>
    <row r="201" spans="1:27">
      <c r="A201" s="4">
        <v>5</v>
      </c>
      <c r="B201" s="4" t="s">
        <v>275</v>
      </c>
      <c r="C201" s="4">
        <v>1988</v>
      </c>
      <c r="D201" s="4" t="s">
        <v>51</v>
      </c>
      <c r="E201" s="4">
        <v>56.84</v>
      </c>
      <c r="F201" s="7">
        <v>11630</v>
      </c>
      <c r="G201" s="4">
        <v>9</v>
      </c>
      <c r="H201" s="4">
        <v>130</v>
      </c>
      <c r="I201" s="4">
        <v>137.5</v>
      </c>
      <c r="J201" s="6">
        <v>142.5</v>
      </c>
      <c r="K201" s="4" t="e">
        <f t="array" aca="1" ref="K201">MAX(H201:J201*(1-strike(H201:J201)))</f>
        <v>#NAME?</v>
      </c>
      <c r="L201" s="4">
        <v>80</v>
      </c>
      <c r="M201" s="4">
        <v>85</v>
      </c>
      <c r="N201" s="6">
        <v>87.5</v>
      </c>
      <c r="O201" s="4" t="e">
        <f t="array" aca="1" ref="O201">MAX(L201:N201*(1-strike(L201:N201)))</f>
        <v>#NAME?</v>
      </c>
      <c r="P201" s="4">
        <v>142.5</v>
      </c>
      <c r="Q201" s="4">
        <v>147.5</v>
      </c>
      <c r="R201" s="6">
        <v>152.5</v>
      </c>
      <c r="S201" s="4" t="e">
        <f t="array" aca="1" ref="S201">MAX(P201:R201*(1-strike(P201:R201)))</f>
        <v>#NAME?</v>
      </c>
      <c r="T201" s="4" t="e">
        <f t="shared" si="3"/>
        <v>#NAME?</v>
      </c>
      <c r="U201" s="4">
        <v>370</v>
      </c>
      <c r="V201" s="4">
        <v>430.31</v>
      </c>
      <c r="W201" s="4">
        <v>6</v>
      </c>
      <c r="X201" s="5">
        <v>2015</v>
      </c>
      <c r="Y201" s="5" t="s">
        <v>170</v>
      </c>
      <c r="Z201" s="5" t="s">
        <v>30</v>
      </c>
      <c r="AA201" s="5">
        <v>375</v>
      </c>
    </row>
    <row r="202" spans="1:27">
      <c r="A202" s="4">
        <v>8</v>
      </c>
      <c r="B202" s="4" t="s">
        <v>275</v>
      </c>
      <c r="C202" s="4">
        <v>1988</v>
      </c>
      <c r="D202" s="4" t="s">
        <v>51</v>
      </c>
      <c r="E202" s="4">
        <v>56.91</v>
      </c>
      <c r="F202" s="7">
        <v>11618</v>
      </c>
      <c r="G202" s="4">
        <v>15</v>
      </c>
      <c r="H202" s="4">
        <v>162.5</v>
      </c>
      <c r="I202" s="4">
        <v>170</v>
      </c>
      <c r="J202" s="4">
        <v>175</v>
      </c>
      <c r="K202" s="4" t="e">
        <f t="array" aca="1" ref="K202">MAX(H202:J202*(1-strike(H202:J202)))</f>
        <v>#NAME?</v>
      </c>
      <c r="L202" s="4">
        <v>95</v>
      </c>
      <c r="M202" s="6">
        <v>102.5</v>
      </c>
      <c r="N202" s="4">
        <v>102.5</v>
      </c>
      <c r="O202" s="4" t="e">
        <f t="array" aca="1" ref="O202">MAX(L202:N202*(1-strike(L202:N202)))</f>
        <v>#NAME?</v>
      </c>
      <c r="P202" s="4">
        <v>170</v>
      </c>
      <c r="Q202" s="6">
        <v>177.5</v>
      </c>
      <c r="R202" s="6">
        <v>177.5</v>
      </c>
      <c r="S202" s="4" t="e">
        <f t="array" aca="1" ref="S202">MAX(P202:R202*(1-strike(P202:R202)))</f>
        <v>#NAME?</v>
      </c>
      <c r="T202" s="4" t="e">
        <f t="shared" si="3"/>
        <v>#NAME?</v>
      </c>
      <c r="U202" s="4">
        <v>447.5</v>
      </c>
      <c r="V202" s="4">
        <v>519.91</v>
      </c>
      <c r="W202" s="4">
        <v>3</v>
      </c>
      <c r="X202" s="5">
        <v>2015</v>
      </c>
      <c r="Y202" s="5" t="s">
        <v>170</v>
      </c>
      <c r="Z202" s="5" t="s">
        <v>171</v>
      </c>
      <c r="AA202" s="5">
        <v>161</v>
      </c>
    </row>
    <row r="203" spans="1:27">
      <c r="A203" s="4">
        <v>10</v>
      </c>
      <c r="B203" s="4" t="s">
        <v>276</v>
      </c>
      <c r="C203" s="4">
        <v>1987</v>
      </c>
      <c r="D203" s="4" t="s">
        <v>194</v>
      </c>
      <c r="E203" s="4">
        <v>51.35</v>
      </c>
      <c r="F203" s="7">
        <v>12588</v>
      </c>
      <c r="G203" s="4">
        <v>11</v>
      </c>
      <c r="H203" s="4">
        <v>95</v>
      </c>
      <c r="I203" s="4">
        <v>105</v>
      </c>
      <c r="J203" s="4">
        <v>112.5</v>
      </c>
      <c r="K203" s="4" t="e">
        <f t="array" aca="1" ref="K203">MAX(H203:J203*(1-strike(H203:J203)))</f>
        <v>#NAME?</v>
      </c>
      <c r="L203" s="4">
        <v>50</v>
      </c>
      <c r="M203" s="4">
        <v>55</v>
      </c>
      <c r="N203" s="6">
        <v>57.5</v>
      </c>
      <c r="O203" s="4" t="e">
        <f t="array" aca="1" ref="O203">MAX(L203:N203*(1-strike(L203:N203)))</f>
        <v>#NAME?</v>
      </c>
      <c r="P203" s="4">
        <v>110</v>
      </c>
      <c r="Q203" s="4">
        <v>120</v>
      </c>
      <c r="R203" s="6">
        <v>127.5</v>
      </c>
      <c r="S203" s="4" t="e">
        <f t="array" aca="1" ref="S203">MAX(P203:R203*(1-strike(P203:R203)))</f>
        <v>#NAME?</v>
      </c>
      <c r="T203" s="4" t="e">
        <f t="shared" si="3"/>
        <v>#NAME?</v>
      </c>
      <c r="U203" s="4">
        <v>287.5</v>
      </c>
      <c r="V203" s="4">
        <v>361.9</v>
      </c>
      <c r="W203" s="4">
        <v>1</v>
      </c>
      <c r="X203" s="5">
        <v>2015</v>
      </c>
      <c r="Y203" s="5" t="s">
        <v>170</v>
      </c>
      <c r="Z203" s="5" t="s">
        <v>30</v>
      </c>
      <c r="AA203" s="5">
        <v>369</v>
      </c>
    </row>
    <row r="204" spans="1:27">
      <c r="A204" s="4">
        <v>7</v>
      </c>
      <c r="B204" s="4" t="s">
        <v>277</v>
      </c>
      <c r="C204" s="4">
        <v>1981</v>
      </c>
      <c r="D204" s="4" t="s">
        <v>62</v>
      </c>
      <c r="E204" s="4">
        <v>51.12</v>
      </c>
      <c r="F204" s="7">
        <v>12631</v>
      </c>
      <c r="G204" s="4">
        <v>13</v>
      </c>
      <c r="H204" s="4">
        <v>150</v>
      </c>
      <c r="I204" s="4">
        <v>160</v>
      </c>
      <c r="J204" s="4">
        <v>165</v>
      </c>
      <c r="K204" s="4" t="e">
        <f t="array" aca="1" ref="K204">MAX(H204:J204*(1-strike(H204:J204)))</f>
        <v>#NAME?</v>
      </c>
      <c r="L204" s="4">
        <v>85</v>
      </c>
      <c r="M204" s="4">
        <v>92.5</v>
      </c>
      <c r="N204" s="6">
        <v>97.5</v>
      </c>
      <c r="O204" s="4" t="e">
        <f t="array" aca="1" ref="O204">MAX(L204:N204*(1-strike(L204:N204)))</f>
        <v>#NAME?</v>
      </c>
      <c r="P204" s="4">
        <v>150</v>
      </c>
      <c r="Q204" s="6">
        <v>160</v>
      </c>
      <c r="R204" s="6">
        <v>160</v>
      </c>
      <c r="S204" s="4" t="e">
        <f t="array" aca="1" ref="S204">MAX(P204:R204*(1-strike(P204:R204)))</f>
        <v>#NAME?</v>
      </c>
      <c r="T204" s="4" t="e">
        <f t="shared" si="3"/>
        <v>#NAME?</v>
      </c>
      <c r="U204" s="4">
        <v>407.5</v>
      </c>
      <c r="V204" s="4">
        <v>514.71</v>
      </c>
      <c r="W204" s="4">
        <v>4</v>
      </c>
      <c r="X204" s="5">
        <v>2015</v>
      </c>
      <c r="Y204" s="5" t="s">
        <v>170</v>
      </c>
      <c r="Z204" s="5" t="s">
        <v>171</v>
      </c>
      <c r="AA204" s="5">
        <v>147</v>
      </c>
    </row>
    <row r="205" spans="1:27">
      <c r="A205" s="4">
        <v>9</v>
      </c>
      <c r="B205" s="4" t="s">
        <v>278</v>
      </c>
      <c r="C205" s="4">
        <v>1973</v>
      </c>
      <c r="D205" s="4" t="s">
        <v>80</v>
      </c>
      <c r="E205" s="4">
        <v>101.74</v>
      </c>
      <c r="F205" s="4">
        <v>0.82850000000000001</v>
      </c>
      <c r="G205" s="4">
        <v>10</v>
      </c>
      <c r="H205" s="4">
        <v>185</v>
      </c>
      <c r="I205" s="6">
        <v>207.5</v>
      </c>
      <c r="J205" s="6">
        <v>207.5</v>
      </c>
      <c r="K205" s="4" t="e">
        <f t="array" aca="1" ref="K205">MAX(H205:J205*(1-strike(H205:J205)))</f>
        <v>#NAME?</v>
      </c>
      <c r="L205" s="4">
        <v>97.5</v>
      </c>
      <c r="M205" s="6">
        <v>100</v>
      </c>
      <c r="N205" s="4"/>
      <c r="O205" s="4" t="e">
        <f t="array" aca="1" ref="O205">MAX(L205:N205*(1-strike(L205:N205)))</f>
        <v>#NAME?</v>
      </c>
      <c r="P205" s="4">
        <v>180</v>
      </c>
      <c r="Q205" s="6">
        <v>192.5</v>
      </c>
      <c r="R205" s="6">
        <v>202.5</v>
      </c>
      <c r="S205" s="4" t="e">
        <f t="array" aca="1" ref="S205">MAX(P205:R205*(1-strike(P205:R205)))</f>
        <v>#NAME?</v>
      </c>
      <c r="T205" s="4" t="e">
        <f t="shared" si="3"/>
        <v>#NAME?</v>
      </c>
      <c r="U205" s="4">
        <v>462.5</v>
      </c>
      <c r="V205" s="4">
        <v>383.18</v>
      </c>
      <c r="W205" s="4">
        <v>2</v>
      </c>
      <c r="X205" s="5">
        <v>2015</v>
      </c>
      <c r="Y205" s="5" t="s">
        <v>170</v>
      </c>
      <c r="Z205" s="5" t="s">
        <v>30</v>
      </c>
      <c r="AA205" s="5">
        <v>433</v>
      </c>
    </row>
    <row r="206" spans="1:27">
      <c r="A206" s="4">
        <v>3</v>
      </c>
      <c r="B206" s="4" t="s">
        <v>279</v>
      </c>
      <c r="C206" s="4">
        <v>1984</v>
      </c>
      <c r="D206" s="4" t="s">
        <v>280</v>
      </c>
      <c r="E206" s="4">
        <v>60.5</v>
      </c>
      <c r="F206" s="7">
        <v>11078</v>
      </c>
      <c r="G206" s="4">
        <v>2</v>
      </c>
      <c r="H206" s="4">
        <v>200</v>
      </c>
      <c r="I206" s="4">
        <v>210</v>
      </c>
      <c r="J206" s="4">
        <v>225</v>
      </c>
      <c r="K206" s="4" t="e">
        <f t="array" aca="1" ref="K206">MAX(H206:J206*(1-strike(H206:J206)))</f>
        <v>#NAME?</v>
      </c>
      <c r="L206" s="4">
        <v>120</v>
      </c>
      <c r="M206" s="6">
        <v>130</v>
      </c>
      <c r="N206" s="4">
        <v>130</v>
      </c>
      <c r="O206" s="4" t="e">
        <f t="array" aca="1" ref="O206">MAX(L206:N206*(1-strike(L206:N206)))</f>
        <v>#NAME?</v>
      </c>
      <c r="P206" s="4">
        <v>200</v>
      </c>
      <c r="Q206" s="4">
        <v>215</v>
      </c>
      <c r="R206" s="6">
        <v>220</v>
      </c>
      <c r="S206" s="4" t="e">
        <f t="array" aca="1" ref="S206">MAX(P206:R206*(1-strike(P206:R206)))</f>
        <v>#NAME?</v>
      </c>
      <c r="T206" s="4" t="e">
        <f t="shared" si="3"/>
        <v>#NAME?</v>
      </c>
      <c r="U206" s="4">
        <v>570</v>
      </c>
      <c r="V206" s="4">
        <v>631.45000000000005</v>
      </c>
      <c r="W206" s="4">
        <v>8</v>
      </c>
      <c r="X206" s="5">
        <v>2015</v>
      </c>
      <c r="Y206" s="5" t="s">
        <v>170</v>
      </c>
      <c r="Z206" s="5" t="s">
        <v>171</v>
      </c>
      <c r="AA206" s="5">
        <v>172</v>
      </c>
    </row>
    <row r="207" spans="1:27" ht="15" customHeight="1">
      <c r="A207" s="4">
        <v>4</v>
      </c>
      <c r="B207" s="4" t="s">
        <v>281</v>
      </c>
      <c r="C207" s="4">
        <v>1980</v>
      </c>
      <c r="D207" s="4" t="s">
        <v>282</v>
      </c>
      <c r="E207" s="4">
        <v>54.81</v>
      </c>
      <c r="F207" s="7">
        <v>11966</v>
      </c>
      <c r="G207" s="4">
        <v>14</v>
      </c>
      <c r="H207" s="4">
        <v>205</v>
      </c>
      <c r="I207" s="4">
        <v>215</v>
      </c>
      <c r="J207" s="4">
        <v>220</v>
      </c>
      <c r="K207" s="4" t="e">
        <f t="array" aca="1" ref="K207">MAX(H207:J207*(1-strike(H207:J207)))</f>
        <v>#NAME?</v>
      </c>
      <c r="L207" s="4">
        <v>100</v>
      </c>
      <c r="M207" s="4">
        <v>107.5</v>
      </c>
      <c r="N207" s="4">
        <v>112.5</v>
      </c>
      <c r="O207" s="4" t="e">
        <f t="array" aca="1" ref="O207">MAX(L207:N207*(1-strike(L207:N207)))</f>
        <v>#NAME?</v>
      </c>
      <c r="P207" s="4">
        <v>165</v>
      </c>
      <c r="Q207" s="4">
        <v>177.5</v>
      </c>
      <c r="R207" s="6">
        <v>185</v>
      </c>
      <c r="S207" s="4" t="e">
        <f t="array" aca="1" ref="S207">MAX(P207:R207*(1-strike(P207:R207)))</f>
        <v>#NAME?</v>
      </c>
      <c r="T207" s="4" t="e">
        <f t="shared" si="3"/>
        <v>#NAME?</v>
      </c>
      <c r="U207" s="4">
        <v>510</v>
      </c>
      <c r="V207" s="4">
        <v>610.27</v>
      </c>
      <c r="W207" s="4">
        <v>7</v>
      </c>
      <c r="X207" s="5">
        <v>2015</v>
      </c>
      <c r="Y207" s="5" t="s">
        <v>170</v>
      </c>
      <c r="Z207" s="5" t="s">
        <v>171</v>
      </c>
      <c r="AA207" s="5">
        <v>157</v>
      </c>
    </row>
    <row r="208" spans="1:27" ht="15" customHeight="1">
      <c r="A208" s="4">
        <v>3</v>
      </c>
      <c r="B208" s="4" t="s">
        <v>283</v>
      </c>
      <c r="C208" s="4">
        <v>1971</v>
      </c>
      <c r="D208" s="4" t="s">
        <v>119</v>
      </c>
      <c r="E208" s="4">
        <v>107.88</v>
      </c>
      <c r="F208" s="4">
        <v>0.8165</v>
      </c>
      <c r="G208" s="4">
        <v>21</v>
      </c>
      <c r="H208" s="4">
        <v>240</v>
      </c>
      <c r="I208" s="4">
        <v>245</v>
      </c>
      <c r="J208" s="4">
        <v>250</v>
      </c>
      <c r="K208" s="4" t="e">
        <f t="array" aca="1" ref="K208">MAX(H208:J208*(1-strike(H208:J208)))</f>
        <v>#NAME?</v>
      </c>
      <c r="L208" s="4">
        <v>180</v>
      </c>
      <c r="M208" s="4">
        <v>187.5</v>
      </c>
      <c r="N208" s="4">
        <v>192.5</v>
      </c>
      <c r="O208" s="4" t="e">
        <f t="array" aca="1" ref="O208">MAX(L208:N208*(1-strike(L208:N208)))</f>
        <v>#NAME?</v>
      </c>
      <c r="P208" s="4">
        <v>200</v>
      </c>
      <c r="Q208" s="4">
        <v>207.5</v>
      </c>
      <c r="R208" s="4">
        <v>212.5</v>
      </c>
      <c r="S208" s="4" t="e">
        <f t="array" aca="1" ref="S208">MAX(P208:R208*(1-strike(P208:R208)))</f>
        <v>#NAME?</v>
      </c>
      <c r="T208" s="4" t="e">
        <f t="shared" si="3"/>
        <v>#NAME?</v>
      </c>
      <c r="U208" s="4">
        <v>655</v>
      </c>
      <c r="V208" s="4">
        <v>534.80999999999995</v>
      </c>
      <c r="W208" s="4">
        <v>8</v>
      </c>
      <c r="X208" s="5">
        <v>2015</v>
      </c>
      <c r="Y208" s="5" t="s">
        <v>170</v>
      </c>
      <c r="Z208" s="5" t="s">
        <v>171</v>
      </c>
      <c r="AA208" s="5">
        <v>208</v>
      </c>
    </row>
    <row r="209" spans="1:27" ht="15" customHeight="1">
      <c r="A209" s="4">
        <v>2</v>
      </c>
      <c r="B209" s="4" t="s">
        <v>284</v>
      </c>
      <c r="C209" s="4">
        <v>1991</v>
      </c>
      <c r="D209" s="4" t="s">
        <v>83</v>
      </c>
      <c r="E209" s="4">
        <v>46.42</v>
      </c>
      <c r="F209" s="7">
        <v>13569</v>
      </c>
      <c r="G209" s="4">
        <v>8</v>
      </c>
      <c r="H209" s="4">
        <v>130</v>
      </c>
      <c r="I209" s="4">
        <v>137.5</v>
      </c>
      <c r="J209" s="4">
        <v>140</v>
      </c>
      <c r="K209" s="4" t="e">
        <f t="array" aca="1" ref="K209">MAX(H209:J209*(1-strike(H209:J209)))</f>
        <v>#NAME?</v>
      </c>
      <c r="L209" s="4">
        <v>67.5</v>
      </c>
      <c r="M209" s="4">
        <v>70</v>
      </c>
      <c r="N209" s="4">
        <v>72.5</v>
      </c>
      <c r="O209" s="4" t="e">
        <f t="array" aca="1" ref="O209">MAX(L209:N209*(1-strike(L209:N209)))</f>
        <v>#NAME?</v>
      </c>
      <c r="P209" s="4">
        <v>140</v>
      </c>
      <c r="Q209" s="4">
        <v>145</v>
      </c>
      <c r="R209" s="4">
        <v>150</v>
      </c>
      <c r="S209" s="4" t="e">
        <f t="array" aca="1" ref="S209">MAX(P209:R209*(1-strike(P209:R209)))</f>
        <v>#NAME?</v>
      </c>
      <c r="T209" s="4" t="e">
        <f t="shared" si="3"/>
        <v>#NAME?</v>
      </c>
      <c r="U209" s="4" t="s">
        <v>285</v>
      </c>
      <c r="V209" s="4">
        <v>491.88</v>
      </c>
      <c r="W209" s="4">
        <v>9</v>
      </c>
      <c r="X209" s="5">
        <v>2015</v>
      </c>
      <c r="Y209" s="5" t="s">
        <v>170</v>
      </c>
      <c r="Z209" s="5" t="s">
        <v>30</v>
      </c>
      <c r="AA209" s="5">
        <v>351</v>
      </c>
    </row>
    <row r="210" spans="1:27">
      <c r="A210" s="4">
        <v>13</v>
      </c>
      <c r="B210" s="4" t="s">
        <v>286</v>
      </c>
      <c r="C210" s="4">
        <v>1986</v>
      </c>
      <c r="D210" s="4" t="s">
        <v>252</v>
      </c>
      <c r="E210" s="4">
        <v>65.42</v>
      </c>
      <c r="F210" s="7">
        <v>10441</v>
      </c>
      <c r="G210" s="4">
        <v>4</v>
      </c>
      <c r="H210" s="6">
        <v>50</v>
      </c>
      <c r="I210" s="4">
        <v>50</v>
      </c>
      <c r="J210" s="4"/>
      <c r="K210" s="4" t="e">
        <f t="array" aca="1" ref="K210">MAX(H210:J210*(1-strike(H210:J210)))</f>
        <v>#NAME?</v>
      </c>
      <c r="L210" s="4">
        <v>30</v>
      </c>
      <c r="M210" s="4"/>
      <c r="N210" s="4"/>
      <c r="O210" s="4" t="e">
        <f t="array" aca="1" ref="O210">MAX(L210:N210*(1-strike(L210:N210)))</f>
        <v>#NAME?</v>
      </c>
      <c r="P210" s="4">
        <v>55</v>
      </c>
      <c r="Q210" s="4"/>
      <c r="R210" s="4"/>
      <c r="S210" s="4" t="e">
        <f t="array" aca="1" ref="S210">MAX(P210:R210*(1-strike(P210:R210)))</f>
        <v>#NAME?</v>
      </c>
      <c r="T210" s="4" t="e">
        <f t="shared" si="3"/>
        <v>#NAME?</v>
      </c>
      <c r="U210" s="4">
        <v>135</v>
      </c>
      <c r="V210" s="4">
        <v>140.94999999999999</v>
      </c>
      <c r="W210" s="4">
        <v>1</v>
      </c>
      <c r="X210" s="5">
        <v>2015</v>
      </c>
      <c r="Y210" s="5" t="s">
        <v>170</v>
      </c>
      <c r="Z210" s="5" t="s">
        <v>171</v>
      </c>
      <c r="AA210" s="5">
        <v>192</v>
      </c>
    </row>
    <row r="211" spans="1:27">
      <c r="A211" s="4">
        <v>6</v>
      </c>
      <c r="B211" s="4" t="s">
        <v>287</v>
      </c>
      <c r="C211" s="4">
        <v>1976</v>
      </c>
      <c r="D211" s="4" t="s">
        <v>274</v>
      </c>
      <c r="E211" s="4">
        <v>45.99</v>
      </c>
      <c r="F211" s="7">
        <v>13659</v>
      </c>
      <c r="G211" s="4">
        <v>6</v>
      </c>
      <c r="H211" s="4">
        <v>122.5</v>
      </c>
      <c r="I211" s="6">
        <v>127.5</v>
      </c>
      <c r="J211" s="6">
        <v>127.5</v>
      </c>
      <c r="K211" s="4" t="e">
        <f t="array" aca="1" ref="K211">MAX(H211:J211*(1-strike(H211:J211)))</f>
        <v>#NAME?</v>
      </c>
      <c r="L211" s="4">
        <v>70</v>
      </c>
      <c r="M211" s="4">
        <v>75</v>
      </c>
      <c r="N211" s="6">
        <v>80</v>
      </c>
      <c r="O211" s="4" t="e">
        <f t="array" aca="1" ref="O211">MAX(L211:N211*(1-strike(L211:N211)))</f>
        <v>#NAME?</v>
      </c>
      <c r="P211" s="4">
        <v>125</v>
      </c>
      <c r="Q211" s="4">
        <v>132.5</v>
      </c>
      <c r="R211" s="4">
        <v>140</v>
      </c>
      <c r="S211" s="4" t="e">
        <f t="array" aca="1" ref="S211">MAX(P211:R211*(1-strike(P211:R211)))</f>
        <v>#NAME?</v>
      </c>
      <c r="T211" s="4" t="e">
        <f t="shared" si="3"/>
        <v>#NAME?</v>
      </c>
      <c r="U211" s="4">
        <v>337.5</v>
      </c>
      <c r="V211" s="4">
        <v>460.99</v>
      </c>
      <c r="W211" s="4">
        <v>5</v>
      </c>
      <c r="X211" s="5">
        <v>2015</v>
      </c>
      <c r="Y211" s="5" t="s">
        <v>170</v>
      </c>
      <c r="Z211" s="5" t="s">
        <v>171</v>
      </c>
      <c r="AA211" s="5">
        <v>138</v>
      </c>
    </row>
    <row r="212" spans="1:27">
      <c r="A212" s="4">
        <v>3</v>
      </c>
      <c r="B212" s="4" t="s">
        <v>288</v>
      </c>
      <c r="C212" s="4">
        <v>1968</v>
      </c>
      <c r="D212" s="4" t="s">
        <v>289</v>
      </c>
      <c r="E212" s="4">
        <v>51.59</v>
      </c>
      <c r="F212" s="7">
        <v>12543</v>
      </c>
      <c r="G212" s="4">
        <v>16</v>
      </c>
      <c r="H212" s="4">
        <v>130</v>
      </c>
      <c r="I212" s="4">
        <v>135</v>
      </c>
      <c r="J212" s="4">
        <v>140</v>
      </c>
      <c r="K212" s="4" t="e">
        <f t="array" aca="1" ref="K212">MAX(H212:J212*(1-strike(H212:J212)))</f>
        <v>#NAME?</v>
      </c>
      <c r="L212" s="4">
        <v>80</v>
      </c>
      <c r="M212" s="6">
        <v>85</v>
      </c>
      <c r="N212" s="6">
        <v>85</v>
      </c>
      <c r="O212" s="4" t="e">
        <f t="array" aca="1" ref="O212">MAX(L212:N212*(1-strike(L212:N212)))</f>
        <v>#NAME?</v>
      </c>
      <c r="P212" s="4">
        <v>155</v>
      </c>
      <c r="Q212" s="4">
        <v>162.5</v>
      </c>
      <c r="R212" s="4">
        <v>165</v>
      </c>
      <c r="S212" s="4" t="e">
        <f t="array" aca="1" ref="S212">MAX(P212:R212*(1-strike(P212:R212)))</f>
        <v>#NAME?</v>
      </c>
      <c r="T212" s="4" t="e">
        <f t="shared" si="3"/>
        <v>#NAME?</v>
      </c>
      <c r="U212" s="4">
        <v>385</v>
      </c>
      <c r="V212" s="4">
        <v>482.91</v>
      </c>
      <c r="W212" s="4">
        <v>8</v>
      </c>
      <c r="X212" s="5">
        <v>2015</v>
      </c>
      <c r="Y212" s="5" t="s">
        <v>170</v>
      </c>
      <c r="Z212" s="5" t="s">
        <v>30</v>
      </c>
      <c r="AA212" s="5">
        <v>362</v>
      </c>
    </row>
    <row r="213" spans="1:27">
      <c r="A213" s="4">
        <v>2</v>
      </c>
      <c r="B213" s="4" t="s">
        <v>290</v>
      </c>
      <c r="C213" s="4">
        <v>1980</v>
      </c>
      <c r="D213" s="4" t="s">
        <v>35</v>
      </c>
      <c r="E213" s="4">
        <v>110.32</v>
      </c>
      <c r="F213" s="4">
        <v>0.81259999999999999</v>
      </c>
      <c r="G213" s="4">
        <v>11</v>
      </c>
      <c r="H213" s="4">
        <v>200</v>
      </c>
      <c r="I213" s="4">
        <v>210</v>
      </c>
      <c r="J213" s="4">
        <v>215</v>
      </c>
      <c r="K213" s="4" t="e">
        <f t="array" aca="1" ref="K213">MAX(H213:J213*(1-strike(H213:J213)))</f>
        <v>#NAME?</v>
      </c>
      <c r="L213" s="4">
        <v>120</v>
      </c>
      <c r="M213" s="4">
        <v>125</v>
      </c>
      <c r="N213" s="4">
        <v>127.5</v>
      </c>
      <c r="O213" s="4" t="e">
        <f t="array" aca="1" ref="O213">MAX(L213:N213*(1-strike(L213:N213)))</f>
        <v>#NAME?</v>
      </c>
      <c r="P213" s="4">
        <v>205</v>
      </c>
      <c r="Q213" s="6">
        <v>210</v>
      </c>
      <c r="R213" s="6">
        <v>210</v>
      </c>
      <c r="S213" s="4" t="e">
        <f t="array" aca="1" ref="S213">MAX(P213:R213*(1-strike(P213:R213)))</f>
        <v>#NAME?</v>
      </c>
      <c r="T213" s="4" t="e">
        <f t="shared" si="3"/>
        <v>#NAME?</v>
      </c>
      <c r="U213" s="4">
        <v>547.5</v>
      </c>
      <c r="V213" s="4">
        <v>444.9</v>
      </c>
      <c r="W213" s="4">
        <v>9</v>
      </c>
      <c r="X213" s="5">
        <v>2015</v>
      </c>
      <c r="Y213" s="5" t="s">
        <v>170</v>
      </c>
      <c r="Z213" s="5" t="s">
        <v>30</v>
      </c>
      <c r="AA213" s="5">
        <v>426</v>
      </c>
    </row>
    <row r="214" spans="1:27">
      <c r="A214" s="4">
        <v>8</v>
      </c>
      <c r="B214" s="4" t="s">
        <v>291</v>
      </c>
      <c r="C214" s="4">
        <v>1976</v>
      </c>
      <c r="D214" s="4" t="s">
        <v>51</v>
      </c>
      <c r="E214" s="4">
        <v>117.39</v>
      </c>
      <c r="F214" s="4">
        <v>0.80279999999999996</v>
      </c>
      <c r="G214" s="4">
        <v>22</v>
      </c>
      <c r="H214" s="4">
        <v>180</v>
      </c>
      <c r="I214" s="6">
        <v>190</v>
      </c>
      <c r="J214" s="4">
        <v>200</v>
      </c>
      <c r="K214" s="4" t="e">
        <f t="array" aca="1" ref="K214">MAX(H214:J214*(1-strike(H214:J214)))</f>
        <v>#NAME?</v>
      </c>
      <c r="L214" s="4">
        <v>122.5</v>
      </c>
      <c r="M214" s="4">
        <v>130</v>
      </c>
      <c r="N214" s="4">
        <v>137.5</v>
      </c>
      <c r="O214" s="4" t="e">
        <f t="array" aca="1" ref="O214">MAX(L214:N214*(1-strike(L214:N214)))</f>
        <v>#NAME?</v>
      </c>
      <c r="P214" s="4">
        <v>150</v>
      </c>
      <c r="Q214" s="4">
        <v>160</v>
      </c>
      <c r="R214" s="6">
        <v>167.5</v>
      </c>
      <c r="S214" s="4" t="e">
        <f t="array" aca="1" ref="S214">MAX(P214:R214*(1-strike(P214:R214)))</f>
        <v>#NAME?</v>
      </c>
      <c r="T214" s="4" t="e">
        <f t="shared" si="3"/>
        <v>#NAME?</v>
      </c>
      <c r="U214" s="4">
        <v>497.5</v>
      </c>
      <c r="V214" s="4">
        <v>399.39</v>
      </c>
      <c r="W214" s="4">
        <v>3</v>
      </c>
      <c r="X214" s="5">
        <v>2015</v>
      </c>
      <c r="Y214" s="5" t="s">
        <v>170</v>
      </c>
      <c r="Z214" s="5" t="s">
        <v>171</v>
      </c>
      <c r="AA214" s="5">
        <v>213</v>
      </c>
    </row>
    <row r="215" spans="1:27">
      <c r="A215" s="4">
        <v>8</v>
      </c>
      <c r="B215" s="4" t="s">
        <v>292</v>
      </c>
      <c r="C215" s="4">
        <v>1992</v>
      </c>
      <c r="D215" s="4" t="s">
        <v>119</v>
      </c>
      <c r="E215" s="4">
        <v>62.94</v>
      </c>
      <c r="F215" s="7">
        <v>10747</v>
      </c>
      <c r="G215" s="4">
        <v>3</v>
      </c>
      <c r="H215" s="4">
        <v>170</v>
      </c>
      <c r="I215" s="6">
        <v>180</v>
      </c>
      <c r="J215" s="6">
        <v>180</v>
      </c>
      <c r="K215" s="4" t="e">
        <f t="array" aca="1" ref="K215">MAX(H215:J215*(1-strike(H215:J215)))</f>
        <v>#NAME?</v>
      </c>
      <c r="L215" s="4">
        <v>110</v>
      </c>
      <c r="M215" s="4">
        <v>115</v>
      </c>
      <c r="N215" s="6">
        <v>120</v>
      </c>
      <c r="O215" s="4" t="e">
        <f t="array" aca="1" ref="O215">MAX(L215:N215*(1-strike(L215:N215)))</f>
        <v>#NAME?</v>
      </c>
      <c r="P215" s="4">
        <v>175</v>
      </c>
      <c r="Q215" s="6">
        <v>187.5</v>
      </c>
      <c r="R215" s="4"/>
      <c r="S215" s="4" t="e">
        <f t="array" aca="1" ref="S215">MAX(P215:R215*(1-strike(P215:R215)))</f>
        <v>#NAME?</v>
      </c>
      <c r="T215" s="4" t="e">
        <f t="shared" si="3"/>
        <v>#NAME?</v>
      </c>
      <c r="U215" s="4">
        <v>460</v>
      </c>
      <c r="V215" s="4">
        <v>494.36</v>
      </c>
      <c r="W215" s="4">
        <v>3</v>
      </c>
      <c r="X215" s="5">
        <v>2015</v>
      </c>
      <c r="Y215" s="5" t="s">
        <v>170</v>
      </c>
      <c r="Z215" s="5" t="s">
        <v>171</v>
      </c>
      <c r="AA215" s="5">
        <v>177</v>
      </c>
    </row>
    <row r="216" spans="1:27">
      <c r="A216" s="4">
        <v>14</v>
      </c>
      <c r="B216" s="4" t="s">
        <v>293</v>
      </c>
      <c r="C216" s="4">
        <v>1984</v>
      </c>
      <c r="D216" s="4" t="s">
        <v>163</v>
      </c>
      <c r="E216" s="4">
        <v>53.74</v>
      </c>
      <c r="F216" s="7">
        <v>12152</v>
      </c>
      <c r="G216" s="4">
        <v>6</v>
      </c>
      <c r="H216" s="6">
        <v>85</v>
      </c>
      <c r="I216" s="4">
        <v>85</v>
      </c>
      <c r="J216" s="4">
        <v>95</v>
      </c>
      <c r="K216" s="4" t="e">
        <f t="array" aca="1" ref="K216">MAX(H216:J216*(1-strike(H216:J216)))</f>
        <v>#NAME?</v>
      </c>
      <c r="L216" s="4">
        <v>50</v>
      </c>
      <c r="M216" s="4">
        <v>55</v>
      </c>
      <c r="N216" s="4">
        <v>60</v>
      </c>
      <c r="O216" s="4" t="e">
        <f t="array" aca="1" ref="O216">MAX(L216:N216*(1-strike(L216:N216)))</f>
        <v>#NAME?</v>
      </c>
      <c r="P216" s="4">
        <v>115</v>
      </c>
      <c r="Q216" s="4">
        <v>125</v>
      </c>
      <c r="R216" s="4">
        <v>132.5</v>
      </c>
      <c r="S216" s="4" t="e">
        <f t="array" aca="1" ref="S216">MAX(P216:R216*(1-strike(P216:R216)))</f>
        <v>#NAME?</v>
      </c>
      <c r="T216" s="4" t="e">
        <f t="shared" si="3"/>
        <v>#NAME?</v>
      </c>
      <c r="U216" s="4">
        <v>287.5</v>
      </c>
      <c r="V216" s="4">
        <v>349.37</v>
      </c>
      <c r="W216" s="4">
        <v>1</v>
      </c>
      <c r="X216" s="5">
        <v>2015</v>
      </c>
      <c r="Y216" s="5" t="s">
        <v>170</v>
      </c>
      <c r="Z216" s="5" t="s">
        <v>30</v>
      </c>
      <c r="AA216" s="5">
        <v>384</v>
      </c>
    </row>
    <row r="217" spans="1:27">
      <c r="A217" s="4">
        <v>3</v>
      </c>
      <c r="B217" s="4" t="s">
        <v>294</v>
      </c>
      <c r="C217" s="4">
        <v>1986</v>
      </c>
      <c r="D217" s="4" t="s">
        <v>113</v>
      </c>
      <c r="E217" s="4">
        <v>46.57</v>
      </c>
      <c r="F217" s="7">
        <v>13538</v>
      </c>
      <c r="G217" s="4">
        <v>5</v>
      </c>
      <c r="H217" s="4">
        <v>122.5</v>
      </c>
      <c r="I217" s="4">
        <v>130</v>
      </c>
      <c r="J217" s="4">
        <v>135</v>
      </c>
      <c r="K217" s="4" t="e">
        <f t="array" aca="1" ref="K217">MAX(H217:J217*(1-strike(H217:J217)))</f>
        <v>#NAME?</v>
      </c>
      <c r="L217" s="4">
        <v>60</v>
      </c>
      <c r="M217" s="6">
        <v>65</v>
      </c>
      <c r="N217" s="4">
        <v>65</v>
      </c>
      <c r="O217" s="4" t="e">
        <f t="array" aca="1" ref="O217">MAX(L217:N217*(1-strike(L217:N217)))</f>
        <v>#NAME?</v>
      </c>
      <c r="P217" s="4">
        <v>140</v>
      </c>
      <c r="Q217" s="4">
        <v>145</v>
      </c>
      <c r="R217" s="4">
        <v>147.5</v>
      </c>
      <c r="S217" s="4" t="e">
        <f t="array" aca="1" ref="S217">MAX(P217:R217*(1-strike(P217:R217)))</f>
        <v>#NAME?</v>
      </c>
      <c r="T217" s="4" t="e">
        <f t="shared" si="3"/>
        <v>#NAME?</v>
      </c>
      <c r="U217" s="4">
        <v>347.5</v>
      </c>
      <c r="V217" s="4">
        <v>470.45</v>
      </c>
      <c r="W217" s="4">
        <v>8</v>
      </c>
      <c r="X217" s="5">
        <v>2015</v>
      </c>
      <c r="Y217" s="5" t="s">
        <v>170</v>
      </c>
      <c r="Z217" s="5" t="s">
        <v>30</v>
      </c>
      <c r="AA217" s="5">
        <v>352</v>
      </c>
    </row>
    <row r="218" spans="1:27">
      <c r="A218" s="4">
        <v>2</v>
      </c>
      <c r="B218" s="4" t="s">
        <v>295</v>
      </c>
      <c r="C218" s="4">
        <v>1971</v>
      </c>
      <c r="D218" s="4" t="s">
        <v>296</v>
      </c>
      <c r="E218" s="4">
        <v>70.69</v>
      </c>
      <c r="F218" s="4">
        <v>0.98819999999999997</v>
      </c>
      <c r="G218" s="4">
        <v>9</v>
      </c>
      <c r="H218" s="4">
        <v>177.5</v>
      </c>
      <c r="I218" s="4">
        <v>182.5</v>
      </c>
      <c r="J218" s="6">
        <v>185</v>
      </c>
      <c r="K218" s="4" t="e">
        <f t="array" aca="1" ref="K218">MAX(H218:J218*(1-strike(H218:J218)))</f>
        <v>#NAME?</v>
      </c>
      <c r="L218" s="4">
        <v>87.5</v>
      </c>
      <c r="M218" s="4">
        <v>92.5</v>
      </c>
      <c r="N218" s="4">
        <v>97.5</v>
      </c>
      <c r="O218" s="4" t="e">
        <f t="array" aca="1" ref="O218">MAX(L218:N218*(1-strike(L218:N218)))</f>
        <v>#NAME?</v>
      </c>
      <c r="P218" s="4">
        <v>187.5</v>
      </c>
      <c r="Q218" s="6">
        <v>195</v>
      </c>
      <c r="R218" s="6">
        <v>195</v>
      </c>
      <c r="S218" s="4" t="e">
        <f t="array" aca="1" ref="S218">MAX(P218:R218*(1-strike(P218:R218)))</f>
        <v>#NAME?</v>
      </c>
      <c r="T218" s="4" t="e">
        <f t="shared" si="3"/>
        <v>#NAME?</v>
      </c>
      <c r="U218" s="4">
        <v>467.5</v>
      </c>
      <c r="V218" s="4">
        <v>461.98</v>
      </c>
      <c r="W218" s="4">
        <v>9</v>
      </c>
      <c r="X218" s="5">
        <v>2015</v>
      </c>
      <c r="Y218" s="5" t="s">
        <v>170</v>
      </c>
      <c r="Z218" s="5" t="s">
        <v>30</v>
      </c>
      <c r="AA218" s="5">
        <v>405</v>
      </c>
    </row>
    <row r="219" spans="1:27" ht="15" customHeight="1">
      <c r="A219" s="4">
        <v>4</v>
      </c>
      <c r="B219" s="4" t="s">
        <v>297</v>
      </c>
      <c r="C219" s="4">
        <v>1982</v>
      </c>
      <c r="D219" s="4" t="s">
        <v>80</v>
      </c>
      <c r="E219" s="4">
        <v>46.9</v>
      </c>
      <c r="F219" s="7">
        <v>13470</v>
      </c>
      <c r="G219" s="4">
        <v>2</v>
      </c>
      <c r="H219" s="4">
        <v>100</v>
      </c>
      <c r="I219" s="4">
        <v>107.5</v>
      </c>
      <c r="J219" s="4">
        <v>110</v>
      </c>
      <c r="K219" s="4" t="e">
        <f t="array" aca="1" ref="K219">MAX(H219:J219*(1-strike(H219:J219)))</f>
        <v>#NAME?</v>
      </c>
      <c r="L219" s="4">
        <v>85</v>
      </c>
      <c r="M219" s="4">
        <v>90</v>
      </c>
      <c r="N219" s="4">
        <v>91.5</v>
      </c>
      <c r="O219" s="4" t="e">
        <f t="array" aca="1" ref="O219">MAX(L219:N219*(1-strike(L219:N219)))</f>
        <v>#NAME?</v>
      </c>
      <c r="P219" s="4">
        <v>127.5</v>
      </c>
      <c r="Q219" s="4">
        <v>140</v>
      </c>
      <c r="R219" s="6">
        <v>145</v>
      </c>
      <c r="S219" s="4" t="e">
        <f t="array" aca="1" ref="S219">MAX(P219:R219*(1-strike(P219:R219)))</f>
        <v>#NAME?</v>
      </c>
      <c r="T219" s="4" t="e">
        <f t="shared" si="3"/>
        <v>#NAME?</v>
      </c>
      <c r="U219" s="4">
        <v>341.5</v>
      </c>
      <c r="V219" s="4">
        <v>460</v>
      </c>
      <c r="W219" s="4">
        <v>7</v>
      </c>
      <c r="X219" s="5">
        <v>2015</v>
      </c>
      <c r="Y219" s="5" t="s">
        <v>170</v>
      </c>
      <c r="Z219" s="5" t="s">
        <v>30</v>
      </c>
      <c r="AA219" s="5">
        <v>353</v>
      </c>
    </row>
    <row r="220" spans="1:27">
      <c r="A220" s="4">
        <v>8</v>
      </c>
      <c r="B220" s="4" t="s">
        <v>298</v>
      </c>
      <c r="C220" s="4">
        <v>1977</v>
      </c>
      <c r="D220" s="4" t="s">
        <v>51</v>
      </c>
      <c r="E220" s="4">
        <v>45.55</v>
      </c>
      <c r="F220" s="7">
        <v>13752</v>
      </c>
      <c r="G220" s="4">
        <v>7</v>
      </c>
      <c r="H220" s="4">
        <v>87.5</v>
      </c>
      <c r="I220" s="4">
        <v>92.5</v>
      </c>
      <c r="J220" s="4">
        <v>97.5</v>
      </c>
      <c r="K220" s="4" t="e">
        <f t="array" aca="1" ref="K220">MAX(H220:J220*(1-strike(H220:J220)))</f>
        <v>#NAME?</v>
      </c>
      <c r="L220" s="4">
        <v>55</v>
      </c>
      <c r="M220" s="4">
        <v>57.5</v>
      </c>
      <c r="N220" s="4">
        <v>60</v>
      </c>
      <c r="O220" s="4" t="e">
        <f t="array" aca="1" ref="O220">MAX(L220:N220*(1-strike(L220:N220)))</f>
        <v>#NAME?</v>
      </c>
      <c r="P220" s="4">
        <v>107.5</v>
      </c>
      <c r="Q220" s="4">
        <v>115</v>
      </c>
      <c r="R220" s="4">
        <v>122.5</v>
      </c>
      <c r="S220" s="4" t="e">
        <f t="array" aca="1" ref="S220">MAX(P220:R220*(1-strike(P220:R220)))</f>
        <v>#NAME?</v>
      </c>
      <c r="T220" s="4" t="e">
        <f t="shared" si="3"/>
        <v>#NAME?</v>
      </c>
      <c r="U220" s="4">
        <v>280</v>
      </c>
      <c r="V220" s="4">
        <v>385.06</v>
      </c>
      <c r="W220" s="4">
        <v>3</v>
      </c>
      <c r="X220" s="5">
        <v>2015</v>
      </c>
      <c r="Y220" s="5" t="s">
        <v>170</v>
      </c>
      <c r="Z220" s="5" t="s">
        <v>30</v>
      </c>
      <c r="AA220" s="5">
        <v>357</v>
      </c>
    </row>
    <row r="221" spans="1:27">
      <c r="A221" s="4">
        <v>8</v>
      </c>
      <c r="B221" s="4" t="s">
        <v>299</v>
      </c>
      <c r="C221" s="4">
        <v>1967</v>
      </c>
      <c r="D221" s="4" t="s">
        <v>300</v>
      </c>
      <c r="E221" s="4">
        <v>93.43</v>
      </c>
      <c r="F221" s="4">
        <v>0.85150000000000003</v>
      </c>
      <c r="G221" s="4">
        <v>17</v>
      </c>
      <c r="H221" s="4">
        <v>180</v>
      </c>
      <c r="I221" s="4">
        <v>190</v>
      </c>
      <c r="J221" s="4">
        <v>200</v>
      </c>
      <c r="K221" s="4" t="e">
        <f t="array" aca="1" ref="K221">MAX(H221:J221*(1-strike(H221:J221)))</f>
        <v>#NAME?</v>
      </c>
      <c r="L221" s="4">
        <v>95</v>
      </c>
      <c r="M221" s="4">
        <v>102.5</v>
      </c>
      <c r="N221" s="6">
        <v>107.5</v>
      </c>
      <c r="O221" s="4" t="e">
        <f t="array" aca="1" ref="O221">MAX(L221:N221*(1-strike(L221:N221)))</f>
        <v>#NAME?</v>
      </c>
      <c r="P221" s="4">
        <v>175</v>
      </c>
      <c r="Q221" s="6">
        <v>182.5</v>
      </c>
      <c r="R221" s="6">
        <v>182.5</v>
      </c>
      <c r="S221" s="4" t="e">
        <f t="array" aca="1" ref="S221">MAX(P221:R221*(1-strike(P221:R221)))</f>
        <v>#NAME?</v>
      </c>
      <c r="T221" s="4" t="e">
        <f t="shared" si="3"/>
        <v>#NAME?</v>
      </c>
      <c r="U221" s="4">
        <v>477.5</v>
      </c>
      <c r="V221" s="4">
        <v>406.59</v>
      </c>
      <c r="W221" s="4">
        <v>3</v>
      </c>
      <c r="X221" s="5">
        <v>2015</v>
      </c>
      <c r="Y221" s="5" t="s">
        <v>170</v>
      </c>
      <c r="Z221" s="5" t="s">
        <v>30</v>
      </c>
      <c r="AA221" s="5">
        <v>432</v>
      </c>
    </row>
    <row r="222" spans="1:27">
      <c r="A222" s="4">
        <v>1</v>
      </c>
      <c r="B222" s="4" t="s">
        <v>301</v>
      </c>
      <c r="C222" s="4">
        <v>1972</v>
      </c>
      <c r="D222" s="4" t="s">
        <v>62</v>
      </c>
      <c r="E222" s="4">
        <v>71.55</v>
      </c>
      <c r="F222" s="4">
        <v>0.98009999999999997</v>
      </c>
      <c r="G222" s="4">
        <v>11</v>
      </c>
      <c r="H222" s="6">
        <v>217.5</v>
      </c>
      <c r="I222" s="4">
        <v>220</v>
      </c>
      <c r="J222" s="6">
        <v>230</v>
      </c>
      <c r="K222" s="4" t="e">
        <f t="array" aca="1" ref="K222">MAX(H222:J222*(1-strike(H222:J222)))</f>
        <v>#NAME?</v>
      </c>
      <c r="L222" s="4">
        <v>137.5</v>
      </c>
      <c r="M222" s="4">
        <v>147.5</v>
      </c>
      <c r="N222" s="4">
        <v>155</v>
      </c>
      <c r="O222" s="4" t="e">
        <f t="array" aca="1" ref="O222">MAX(L222:N222*(1-strike(L222:N222)))</f>
        <v>#NAME?</v>
      </c>
      <c r="P222" s="6">
        <v>222.5</v>
      </c>
      <c r="Q222" s="4">
        <v>222.5</v>
      </c>
      <c r="R222" s="4">
        <v>247.5</v>
      </c>
      <c r="S222" s="4" t="e">
        <f t="array" aca="1" ref="S222">MAX(P222:R222*(1-strike(P222:R222)))</f>
        <v>#NAME?</v>
      </c>
      <c r="T222" s="4" t="e">
        <f t="shared" si="3"/>
        <v>#NAME?</v>
      </c>
      <c r="U222" s="4">
        <v>622.5</v>
      </c>
      <c r="V222" s="4">
        <v>610.11</v>
      </c>
      <c r="W222" s="4">
        <v>12</v>
      </c>
      <c r="X222" s="5">
        <v>2015</v>
      </c>
      <c r="Y222" s="5" t="s">
        <v>170</v>
      </c>
      <c r="Z222" s="5" t="s">
        <v>171</v>
      </c>
      <c r="AA222" s="5">
        <v>180</v>
      </c>
    </row>
    <row r="223" spans="1:27">
      <c r="A223" s="4">
        <v>8</v>
      </c>
      <c r="B223" s="4" t="s">
        <v>302</v>
      </c>
      <c r="C223" s="4">
        <v>1977</v>
      </c>
      <c r="D223" s="4" t="s">
        <v>51</v>
      </c>
      <c r="E223" s="4">
        <v>68.44</v>
      </c>
      <c r="F223" s="7">
        <v>10106</v>
      </c>
      <c r="G223" s="4">
        <v>10</v>
      </c>
      <c r="H223" s="4">
        <v>140</v>
      </c>
      <c r="I223" s="4">
        <v>147.5</v>
      </c>
      <c r="J223" s="4">
        <v>152.5</v>
      </c>
      <c r="K223" s="4" t="e">
        <f t="array" aca="1" ref="K223">MAX(H223:J223*(1-strike(H223:J223)))</f>
        <v>#NAME?</v>
      </c>
      <c r="L223" s="4">
        <v>65</v>
      </c>
      <c r="M223" s="4">
        <v>70</v>
      </c>
      <c r="N223" s="6">
        <v>72.5</v>
      </c>
      <c r="O223" s="4" t="e">
        <f t="array" aca="1" ref="O223">MAX(L223:N223*(1-strike(L223:N223)))</f>
        <v>#NAME?</v>
      </c>
      <c r="P223" s="4">
        <v>150</v>
      </c>
      <c r="Q223" s="4">
        <v>160</v>
      </c>
      <c r="R223" s="6">
        <v>165</v>
      </c>
      <c r="S223" s="4" t="e">
        <f t="array" aca="1" ref="S223">MAX(P223:R223*(1-strike(P223:R223)))</f>
        <v>#NAME?</v>
      </c>
      <c r="T223" s="4" t="e">
        <f t="shared" si="3"/>
        <v>#NAME?</v>
      </c>
      <c r="U223" s="4">
        <v>382.5</v>
      </c>
      <c r="V223" s="4">
        <v>386.56</v>
      </c>
      <c r="W223" s="4">
        <v>3</v>
      </c>
      <c r="X223" s="5">
        <v>2015</v>
      </c>
      <c r="Y223" s="5" t="s">
        <v>170</v>
      </c>
      <c r="Z223" s="5" t="s">
        <v>30</v>
      </c>
      <c r="AA223" s="5">
        <v>411</v>
      </c>
    </row>
    <row r="224" spans="1:27">
      <c r="A224" s="4">
        <v>6</v>
      </c>
      <c r="B224" s="4" t="s">
        <v>303</v>
      </c>
      <c r="C224" s="4">
        <v>1976</v>
      </c>
      <c r="D224" s="4" t="s">
        <v>113</v>
      </c>
      <c r="E224" s="4">
        <v>50.92</v>
      </c>
      <c r="F224" s="7">
        <v>12669</v>
      </c>
      <c r="G224" s="4">
        <v>19</v>
      </c>
      <c r="H224" s="4">
        <v>112.5</v>
      </c>
      <c r="I224" s="4">
        <v>120</v>
      </c>
      <c r="J224" s="6">
        <v>125</v>
      </c>
      <c r="K224" s="4" t="e">
        <f t="array" aca="1" ref="K224">MAX(H224:J224*(1-strike(H224:J224)))</f>
        <v>#NAME?</v>
      </c>
      <c r="L224" s="4">
        <v>80</v>
      </c>
      <c r="M224" s="4">
        <v>85</v>
      </c>
      <c r="N224" s="6">
        <v>87.5</v>
      </c>
      <c r="O224" s="4" t="e">
        <f t="array" aca="1" ref="O224">MAX(L224:N224*(1-strike(L224:N224)))</f>
        <v>#NAME?</v>
      </c>
      <c r="P224" s="4">
        <v>137.5</v>
      </c>
      <c r="Q224" s="4">
        <v>145</v>
      </c>
      <c r="R224" s="6">
        <v>147.5</v>
      </c>
      <c r="S224" s="4" t="e">
        <f t="array" aca="1" ref="S224">MAX(P224:R224*(1-strike(P224:R224)))</f>
        <v>#NAME?</v>
      </c>
      <c r="T224" s="4" t="e">
        <f t="shared" si="3"/>
        <v>#NAME?</v>
      </c>
      <c r="U224" s="4">
        <v>350</v>
      </c>
      <c r="V224" s="4">
        <v>443.42</v>
      </c>
      <c r="W224" s="4">
        <v>5</v>
      </c>
      <c r="X224" s="5">
        <v>2015</v>
      </c>
      <c r="Y224" s="5" t="s">
        <v>170</v>
      </c>
      <c r="Z224" s="5" t="s">
        <v>30</v>
      </c>
      <c r="AA224" s="5">
        <v>365</v>
      </c>
    </row>
    <row r="225" spans="1:27">
      <c r="A225" s="4">
        <v>7</v>
      </c>
      <c r="B225" s="4" t="s">
        <v>304</v>
      </c>
      <c r="C225" s="4">
        <v>1986</v>
      </c>
      <c r="D225" s="4" t="s">
        <v>113</v>
      </c>
      <c r="E225" s="4">
        <v>52</v>
      </c>
      <c r="F225" s="7">
        <v>12466</v>
      </c>
      <c r="G225" s="4">
        <v>14</v>
      </c>
      <c r="H225" s="4">
        <v>120</v>
      </c>
      <c r="I225" s="4">
        <v>125</v>
      </c>
      <c r="J225" s="4">
        <v>127.5</v>
      </c>
      <c r="K225" s="4" t="e">
        <f t="array" aca="1" ref="K225">MAX(H225:J225*(1-strike(H225:J225)))</f>
        <v>#NAME?</v>
      </c>
      <c r="L225" s="4">
        <v>72.5</v>
      </c>
      <c r="M225" s="4">
        <v>75</v>
      </c>
      <c r="N225" s="6">
        <v>77.5</v>
      </c>
      <c r="O225" s="4" t="e">
        <f t="array" aca="1" ref="O225">MAX(L225:N225*(1-strike(L225:N225)))</f>
        <v>#NAME?</v>
      </c>
      <c r="P225" s="4">
        <v>135</v>
      </c>
      <c r="Q225" s="6">
        <v>145</v>
      </c>
      <c r="R225" s="6">
        <v>145</v>
      </c>
      <c r="S225" s="4" t="e">
        <f t="array" aca="1" ref="S225">MAX(P225:R225*(1-strike(P225:R225)))</f>
        <v>#NAME?</v>
      </c>
      <c r="T225" s="4" t="e">
        <f t="shared" si="3"/>
        <v>#NAME?</v>
      </c>
      <c r="U225" s="4">
        <v>337.5</v>
      </c>
      <c r="V225" s="4">
        <v>420.73</v>
      </c>
      <c r="W225" s="4">
        <v>4</v>
      </c>
      <c r="X225" s="5">
        <v>2015</v>
      </c>
      <c r="Y225" s="5" t="s">
        <v>170</v>
      </c>
      <c r="Z225" s="5" t="s">
        <v>30</v>
      </c>
      <c r="AA225" s="5">
        <v>366</v>
      </c>
    </row>
    <row r="226" spans="1:27">
      <c r="A226" s="4">
        <v>10</v>
      </c>
      <c r="B226" s="4" t="s">
        <v>305</v>
      </c>
      <c r="C226" s="4">
        <v>1988</v>
      </c>
      <c r="D226" s="4" t="s">
        <v>125</v>
      </c>
      <c r="E226" s="4">
        <v>71.16</v>
      </c>
      <c r="F226" s="4">
        <v>0.98370000000000002</v>
      </c>
      <c r="G226" s="4">
        <v>5</v>
      </c>
      <c r="H226" s="6">
        <v>152.5</v>
      </c>
      <c r="I226" s="4">
        <v>155</v>
      </c>
      <c r="J226" s="4">
        <v>162.5</v>
      </c>
      <c r="K226" s="4" t="e">
        <f t="array" aca="1" ref="K226">MAX(H226:J226*(1-strike(H226:J226)))</f>
        <v>#NAME?</v>
      </c>
      <c r="L226" s="6">
        <v>142.5</v>
      </c>
      <c r="M226" s="4">
        <v>142.5</v>
      </c>
      <c r="N226" s="6">
        <v>155</v>
      </c>
      <c r="O226" s="4" t="e">
        <f t="array" aca="1" ref="O226">MAX(L226:N226*(1-strike(L226:N226)))</f>
        <v>#NAME?</v>
      </c>
      <c r="P226" s="4">
        <v>152.5</v>
      </c>
      <c r="Q226" s="6">
        <v>162.5</v>
      </c>
      <c r="R226" s="6">
        <v>162.5</v>
      </c>
      <c r="S226" s="4" t="e">
        <f t="array" aca="1" ref="S226">MAX(P226:R226*(1-strike(P226:R226)))</f>
        <v>#NAME?</v>
      </c>
      <c r="T226" s="4" t="e">
        <f t="shared" si="3"/>
        <v>#NAME?</v>
      </c>
      <c r="U226" s="4">
        <v>457.5</v>
      </c>
      <c r="V226" s="4">
        <v>450.04</v>
      </c>
      <c r="W226" s="4">
        <v>1</v>
      </c>
      <c r="X226" s="5">
        <v>2015</v>
      </c>
      <c r="Y226" s="5" t="s">
        <v>170</v>
      </c>
      <c r="Z226" s="5" t="s">
        <v>171</v>
      </c>
      <c r="AA226" s="5">
        <v>189</v>
      </c>
    </row>
    <row r="227" spans="1:27">
      <c r="A227" s="4">
        <v>6</v>
      </c>
      <c r="B227" s="4" t="s">
        <v>306</v>
      </c>
      <c r="C227" s="4">
        <v>1991</v>
      </c>
      <c r="D227" s="4" t="s">
        <v>45</v>
      </c>
      <c r="E227" s="4">
        <v>83.33</v>
      </c>
      <c r="F227" s="4">
        <v>0.89529999999999998</v>
      </c>
      <c r="G227" s="4">
        <v>2</v>
      </c>
      <c r="H227" s="6">
        <v>227.5</v>
      </c>
      <c r="I227" s="4">
        <v>227.5</v>
      </c>
      <c r="J227" s="4">
        <v>235</v>
      </c>
      <c r="K227" s="4" t="e">
        <f t="array" aca="1" ref="K227">MAX(H227:J227*(1-strike(H227:J227)))</f>
        <v>#NAME?</v>
      </c>
      <c r="L227" s="4">
        <v>140</v>
      </c>
      <c r="M227" s="4">
        <v>145</v>
      </c>
      <c r="N227" s="4">
        <v>147.5</v>
      </c>
      <c r="O227" s="4" t="e">
        <f t="array" aca="1" ref="O227">MAX(L227:N227*(1-strike(L227:N227)))</f>
        <v>#NAME?</v>
      </c>
      <c r="P227" s="4">
        <v>197.5</v>
      </c>
      <c r="Q227" s="6">
        <v>202.5</v>
      </c>
      <c r="R227" s="4">
        <v>202.5</v>
      </c>
      <c r="S227" s="4" t="e">
        <f t="array" aca="1" ref="S227">MAX(P227:R227*(1-strike(P227:R227)))</f>
        <v>#NAME?</v>
      </c>
      <c r="T227" s="4" t="e">
        <f t="shared" si="3"/>
        <v>#NAME?</v>
      </c>
      <c r="U227" s="4">
        <v>585</v>
      </c>
      <c r="V227" s="4">
        <v>523.75</v>
      </c>
      <c r="W227" s="4">
        <v>5</v>
      </c>
      <c r="X227" s="5">
        <v>2015</v>
      </c>
      <c r="Y227" s="5" t="s">
        <v>170</v>
      </c>
      <c r="Z227" s="5" t="s">
        <v>171</v>
      </c>
      <c r="AA227" s="5">
        <v>199</v>
      </c>
    </row>
    <row r="228" spans="1:27">
      <c r="A228" s="4">
        <v>8</v>
      </c>
      <c r="B228" s="4" t="s">
        <v>307</v>
      </c>
      <c r="C228" s="4">
        <v>1990</v>
      </c>
      <c r="D228" s="4" t="s">
        <v>77</v>
      </c>
      <c r="E228" s="4">
        <v>50.94</v>
      </c>
      <c r="F228" s="7">
        <v>12665</v>
      </c>
      <c r="G228" s="4">
        <v>18</v>
      </c>
      <c r="H228" s="6">
        <v>130</v>
      </c>
      <c r="I228" s="4">
        <v>130</v>
      </c>
      <c r="J228" s="4">
        <v>140</v>
      </c>
      <c r="K228" s="4" t="e">
        <f t="array" aca="1" ref="K228">MAX(H228:J228*(1-strike(H228:J228)))</f>
        <v>#NAME?</v>
      </c>
      <c r="L228" s="4">
        <v>95</v>
      </c>
      <c r="M228" s="4">
        <v>102.5</v>
      </c>
      <c r="N228" s="4">
        <v>107.5</v>
      </c>
      <c r="O228" s="4" t="e">
        <f t="array" aca="1" ref="O228">MAX(L228:N228*(1-strike(L228:N228)))</f>
        <v>#NAME?</v>
      </c>
      <c r="P228" s="4">
        <v>140</v>
      </c>
      <c r="Q228" s="4">
        <v>150</v>
      </c>
      <c r="R228" s="6">
        <v>155</v>
      </c>
      <c r="S228" s="4" t="e">
        <f t="array" aca="1" ref="S228">MAX(P228:R228*(1-strike(P228:R228)))</f>
        <v>#NAME?</v>
      </c>
      <c r="T228" s="4" t="e">
        <f t="shared" si="3"/>
        <v>#NAME?</v>
      </c>
      <c r="U228" s="4">
        <v>397.5</v>
      </c>
      <c r="V228" s="4">
        <v>503.43</v>
      </c>
      <c r="W228" s="4">
        <v>3</v>
      </c>
      <c r="X228" s="5">
        <v>2015</v>
      </c>
      <c r="Y228" s="5" t="s">
        <v>170</v>
      </c>
      <c r="Z228" s="5" t="s">
        <v>171</v>
      </c>
      <c r="AA228" s="5">
        <v>148</v>
      </c>
    </row>
    <row r="229" spans="1:27">
      <c r="A229" s="4">
        <v>1</v>
      </c>
      <c r="B229" s="4" t="s">
        <v>308</v>
      </c>
      <c r="C229" s="4">
        <v>1986</v>
      </c>
      <c r="D229" s="4" t="s">
        <v>28</v>
      </c>
      <c r="E229" s="4">
        <v>50.96</v>
      </c>
      <c r="F229" s="7">
        <v>12662</v>
      </c>
      <c r="G229" s="4">
        <v>12</v>
      </c>
      <c r="H229" s="4">
        <v>192.5</v>
      </c>
      <c r="I229" s="4">
        <v>205</v>
      </c>
      <c r="J229" s="4">
        <v>210</v>
      </c>
      <c r="K229" s="4" t="e">
        <f t="array" aca="1" ref="K229">MAX(H229:J229*(1-strike(H229:J229)))</f>
        <v>#NAME?</v>
      </c>
      <c r="L229" s="4">
        <v>125</v>
      </c>
      <c r="M229" s="4">
        <v>135</v>
      </c>
      <c r="N229" s="4"/>
      <c r="O229" s="4" t="e">
        <f t="array" aca="1" ref="O229">MAX(L229:N229*(1-strike(L229:N229)))</f>
        <v>#NAME?</v>
      </c>
      <c r="P229" s="4">
        <v>167.5</v>
      </c>
      <c r="Q229" s="4">
        <v>180</v>
      </c>
      <c r="R229" s="6">
        <v>187.5</v>
      </c>
      <c r="S229" s="4" t="e">
        <f t="array" aca="1" ref="S229">MAX(P229:R229*(1-strike(P229:R229)))</f>
        <v>#NAME?</v>
      </c>
      <c r="T229" s="4" t="e">
        <f t="shared" si="3"/>
        <v>#NAME?</v>
      </c>
      <c r="U229" s="4">
        <v>525</v>
      </c>
      <c r="V229" s="4">
        <v>664.75</v>
      </c>
      <c r="W229" s="4">
        <v>12</v>
      </c>
      <c r="X229" s="5">
        <v>2015</v>
      </c>
      <c r="Y229" s="5" t="s">
        <v>170</v>
      </c>
      <c r="Z229" s="5" t="s">
        <v>171</v>
      </c>
      <c r="AA229" s="5">
        <v>141</v>
      </c>
    </row>
    <row r="230" spans="1:27" ht="15" customHeight="1">
      <c r="A230" s="4">
        <v>11</v>
      </c>
      <c r="B230" s="4" t="s">
        <v>309</v>
      </c>
      <c r="C230" s="4">
        <v>1985</v>
      </c>
      <c r="D230" s="4" t="s">
        <v>252</v>
      </c>
      <c r="E230" s="4">
        <v>50.62</v>
      </c>
      <c r="F230" s="7">
        <v>12727</v>
      </c>
      <c r="G230" s="4">
        <v>16</v>
      </c>
      <c r="H230" s="6">
        <v>100</v>
      </c>
      <c r="I230" s="4">
        <v>100</v>
      </c>
      <c r="J230" s="4">
        <v>120</v>
      </c>
      <c r="K230" s="4" t="e">
        <f t="array" aca="1" ref="K230">MAX(H230:J230*(1-strike(H230:J230)))</f>
        <v>#NAME?</v>
      </c>
      <c r="L230" s="4">
        <v>50</v>
      </c>
      <c r="M230" s="4">
        <v>60</v>
      </c>
      <c r="N230" s="4">
        <v>65</v>
      </c>
      <c r="O230" s="4" t="e">
        <f t="array" aca="1" ref="O230">MAX(L230:N230*(1-strike(L230:N230)))</f>
        <v>#NAME?</v>
      </c>
      <c r="P230" s="4">
        <v>100</v>
      </c>
      <c r="Q230" s="4">
        <v>115</v>
      </c>
      <c r="R230" s="6">
        <v>130</v>
      </c>
      <c r="S230" s="4" t="e">
        <f t="array" aca="1" ref="S230">MAX(P230:R230*(1-strike(P230:R230)))</f>
        <v>#NAME?</v>
      </c>
      <c r="T230" s="4" t="e">
        <f t="shared" si="3"/>
        <v>#NAME?</v>
      </c>
      <c r="U230" s="4">
        <v>300</v>
      </c>
      <c r="V230" s="4">
        <v>381.81</v>
      </c>
      <c r="W230" s="4">
        <v>1</v>
      </c>
      <c r="X230" s="5">
        <v>2015</v>
      </c>
      <c r="Y230" s="5" t="s">
        <v>170</v>
      </c>
      <c r="Z230" s="5" t="s">
        <v>171</v>
      </c>
      <c r="AA230" s="5">
        <v>151</v>
      </c>
    </row>
    <row r="231" spans="1:27">
      <c r="A231" s="4">
        <v>3</v>
      </c>
      <c r="B231" s="4" t="s">
        <v>310</v>
      </c>
      <c r="C231" s="4">
        <v>1965</v>
      </c>
      <c r="D231" s="4" t="s">
        <v>109</v>
      </c>
      <c r="E231" s="4">
        <v>46.68</v>
      </c>
      <c r="F231" s="7">
        <v>13515</v>
      </c>
      <c r="G231" s="4">
        <v>2</v>
      </c>
      <c r="H231" s="4">
        <v>132.5</v>
      </c>
      <c r="I231" s="4">
        <v>140</v>
      </c>
      <c r="J231" s="4">
        <v>145</v>
      </c>
      <c r="K231" s="4" t="e">
        <f t="array" aca="1" ref="K231">MAX(H231:J231*(1-strike(H231:J231)))</f>
        <v>#NAME?</v>
      </c>
      <c r="L231" s="6">
        <v>105</v>
      </c>
      <c r="M231" s="6">
        <v>105</v>
      </c>
      <c r="N231" s="4">
        <v>105</v>
      </c>
      <c r="O231" s="4" t="e">
        <f t="array" aca="1" ref="O231">MAX(L231:N231*(1-strike(L231:N231)))</f>
        <v>#NAME?</v>
      </c>
      <c r="P231" s="4">
        <v>140</v>
      </c>
      <c r="Q231" s="4">
        <v>145</v>
      </c>
      <c r="R231" s="6">
        <v>150</v>
      </c>
      <c r="S231" s="4" t="e">
        <f t="array" aca="1" ref="S231">MAX(P231:R231*(1-strike(P231:R231)))</f>
        <v>#NAME?</v>
      </c>
      <c r="T231" s="4" t="e">
        <f t="shared" si="3"/>
        <v>#NAME?</v>
      </c>
      <c r="U231" s="4">
        <v>395</v>
      </c>
      <c r="V231" s="4">
        <v>533.84</v>
      </c>
      <c r="W231" s="4">
        <v>8</v>
      </c>
      <c r="X231" s="5">
        <v>2015</v>
      </c>
      <c r="Y231" s="5" t="s">
        <v>170</v>
      </c>
      <c r="Z231" s="5" t="s">
        <v>171</v>
      </c>
      <c r="AA231" s="5">
        <v>135</v>
      </c>
    </row>
    <row r="232" spans="1:27">
      <c r="A232" s="4">
        <v>7</v>
      </c>
      <c r="B232" s="4" t="s">
        <v>311</v>
      </c>
      <c r="C232" s="4">
        <v>1983</v>
      </c>
      <c r="D232" s="4" t="s">
        <v>51</v>
      </c>
      <c r="E232" s="4">
        <v>83.58</v>
      </c>
      <c r="F232" s="4">
        <v>0.89400000000000002</v>
      </c>
      <c r="G232" s="4">
        <v>1</v>
      </c>
      <c r="H232" s="4">
        <v>190</v>
      </c>
      <c r="I232" s="4">
        <v>200</v>
      </c>
      <c r="J232" s="4">
        <v>210</v>
      </c>
      <c r="K232" s="4" t="e">
        <f t="array" aca="1" ref="K232">MAX(H232:J232*(1-strike(H232:J232)))</f>
        <v>#NAME?</v>
      </c>
      <c r="L232" s="4">
        <v>117.5</v>
      </c>
      <c r="M232" s="4">
        <v>122.5</v>
      </c>
      <c r="N232" s="4">
        <v>130</v>
      </c>
      <c r="O232" s="4" t="e">
        <f t="array" aca="1" ref="O232">MAX(L232:N232*(1-strike(L232:N232)))</f>
        <v>#NAME?</v>
      </c>
      <c r="P232" s="4">
        <v>185</v>
      </c>
      <c r="Q232" s="6">
        <v>197.5</v>
      </c>
      <c r="R232" s="4">
        <v>200</v>
      </c>
      <c r="S232" s="4" t="e">
        <f t="array" aca="1" ref="S232">MAX(P232:R232*(1-strike(P232:R232)))</f>
        <v>#NAME?</v>
      </c>
      <c r="T232" s="4" t="e">
        <f t="shared" si="3"/>
        <v>#NAME?</v>
      </c>
      <c r="U232" s="4">
        <v>540</v>
      </c>
      <c r="V232" s="4">
        <v>482.76</v>
      </c>
      <c r="W232" s="4">
        <v>4</v>
      </c>
      <c r="X232" s="5">
        <v>2015</v>
      </c>
      <c r="Y232" s="5" t="s">
        <v>170</v>
      </c>
      <c r="Z232" s="5" t="s">
        <v>171</v>
      </c>
      <c r="AA232" s="5">
        <v>200</v>
      </c>
    </row>
    <row r="233" spans="1:27">
      <c r="A233" s="4">
        <v>14</v>
      </c>
      <c r="B233" s="4" t="s">
        <v>312</v>
      </c>
      <c r="C233" s="4">
        <v>1989</v>
      </c>
      <c r="D233" s="4" t="s">
        <v>85</v>
      </c>
      <c r="E233" s="4">
        <v>62.44</v>
      </c>
      <c r="F233" s="7">
        <v>10813</v>
      </c>
      <c r="G233" s="4">
        <v>15</v>
      </c>
      <c r="H233" s="4">
        <v>115</v>
      </c>
      <c r="I233" s="4">
        <v>120</v>
      </c>
      <c r="J233" s="6">
        <v>125</v>
      </c>
      <c r="K233" s="4" t="e">
        <f t="array" aca="1" ref="K233">MAX(H233:J233*(1-strike(H233:J233)))</f>
        <v>#NAME?</v>
      </c>
      <c r="L233" s="4">
        <v>62.5</v>
      </c>
      <c r="M233" s="4">
        <v>67.5</v>
      </c>
      <c r="N233" s="6">
        <v>70</v>
      </c>
      <c r="O233" s="4" t="e">
        <f t="array" aca="1" ref="O233">MAX(L233:N233*(1-strike(L233:N233)))</f>
        <v>#NAME?</v>
      </c>
      <c r="P233" s="4">
        <v>140</v>
      </c>
      <c r="Q233" s="4">
        <v>150</v>
      </c>
      <c r="R233" s="6">
        <v>152.5</v>
      </c>
      <c r="S233" s="4" t="e">
        <f t="array" aca="1" ref="S233">MAX(P233:R233*(1-strike(P233:R233)))</f>
        <v>#NAME?</v>
      </c>
      <c r="T233" s="4" t="e">
        <f t="shared" si="3"/>
        <v>#NAME?</v>
      </c>
      <c r="U233" s="4">
        <v>337.5</v>
      </c>
      <c r="V233" s="4">
        <v>364.94</v>
      </c>
      <c r="W233" s="4">
        <v>1</v>
      </c>
      <c r="X233" s="5">
        <v>2015</v>
      </c>
      <c r="Y233" s="5" t="s">
        <v>170</v>
      </c>
      <c r="Z233" s="5" t="s">
        <v>30</v>
      </c>
      <c r="AA233" s="5">
        <v>401</v>
      </c>
    </row>
    <row r="234" spans="1:27">
      <c r="A234" s="4">
        <v>1</v>
      </c>
      <c r="B234" s="4" t="s">
        <v>313</v>
      </c>
      <c r="C234" s="4">
        <v>1978</v>
      </c>
      <c r="D234" s="4" t="s">
        <v>119</v>
      </c>
      <c r="E234" s="4">
        <v>63</v>
      </c>
      <c r="F234" s="7">
        <v>10740</v>
      </c>
      <c r="G234" s="4">
        <v>6</v>
      </c>
      <c r="H234" s="4">
        <v>215</v>
      </c>
      <c r="I234" s="6">
        <v>230</v>
      </c>
      <c r="J234" s="4">
        <v>235</v>
      </c>
      <c r="K234" s="4" t="e">
        <f t="array" aca="1" ref="K234">MAX(H234:J234*(1-strike(H234:J234)))</f>
        <v>#NAME?</v>
      </c>
      <c r="L234" s="4">
        <v>162.5</v>
      </c>
      <c r="M234" s="6">
        <v>171</v>
      </c>
      <c r="N234" s="6">
        <v>171</v>
      </c>
      <c r="O234" s="4" t="e">
        <f t="array" aca="1" ref="O234">MAX(L234:N234*(1-strike(L234:N234)))</f>
        <v>#NAME?</v>
      </c>
      <c r="P234" s="4">
        <v>210</v>
      </c>
      <c r="Q234" s="4">
        <v>220</v>
      </c>
      <c r="R234" s="6">
        <v>230</v>
      </c>
      <c r="S234" s="4" t="e">
        <f t="array" aca="1" ref="S234">MAX(P234:R234*(1-strike(P234:R234)))</f>
        <v>#NAME?</v>
      </c>
      <c r="T234" s="4" t="e">
        <f t="shared" si="3"/>
        <v>#NAME?</v>
      </c>
      <c r="U234" s="4">
        <v>617.5</v>
      </c>
      <c r="V234" s="4">
        <v>663.2</v>
      </c>
      <c r="W234" s="4">
        <v>12</v>
      </c>
      <c r="X234" s="5">
        <v>2015</v>
      </c>
      <c r="Y234" s="5" t="s">
        <v>170</v>
      </c>
      <c r="Z234" s="5" t="s">
        <v>171</v>
      </c>
      <c r="AA234" s="5">
        <v>170</v>
      </c>
    </row>
    <row r="235" spans="1:27">
      <c r="A235" s="4">
        <v>1</v>
      </c>
      <c r="B235" s="4" t="s">
        <v>314</v>
      </c>
      <c r="C235" s="4">
        <v>1984</v>
      </c>
      <c r="D235" s="4" t="s">
        <v>280</v>
      </c>
      <c r="E235" s="4">
        <v>56.34</v>
      </c>
      <c r="F235" s="7">
        <v>11710</v>
      </c>
      <c r="G235" s="4">
        <v>2</v>
      </c>
      <c r="H235" s="4">
        <v>200</v>
      </c>
      <c r="I235" s="4">
        <v>210</v>
      </c>
      <c r="J235" s="6">
        <v>220</v>
      </c>
      <c r="K235" s="4" t="e">
        <f t="array" aca="1" ref="K235">MAX(H235:J235*(1-strike(H235:J235)))</f>
        <v>#NAME?</v>
      </c>
      <c r="L235" s="6">
        <v>125</v>
      </c>
      <c r="M235" s="4">
        <v>125</v>
      </c>
      <c r="N235" s="4">
        <v>135</v>
      </c>
      <c r="O235" s="4" t="e">
        <f t="array" aca="1" ref="O235">MAX(L235:N235*(1-strike(L235:N235)))</f>
        <v>#NAME?</v>
      </c>
      <c r="P235" s="4">
        <v>180</v>
      </c>
      <c r="Q235" s="4">
        <v>190</v>
      </c>
      <c r="R235" s="4">
        <v>192.5</v>
      </c>
      <c r="S235" s="4" t="e">
        <f t="array" aca="1" ref="S235">MAX(P235:R235*(1-strike(P235:R235)))</f>
        <v>#NAME?</v>
      </c>
      <c r="T235" s="4" t="e">
        <f t="shared" si="3"/>
        <v>#NAME?</v>
      </c>
      <c r="U235" s="4">
        <v>537.5</v>
      </c>
      <c r="V235" s="4">
        <v>629.41</v>
      </c>
      <c r="W235" s="4">
        <v>12</v>
      </c>
      <c r="X235" s="5">
        <v>2015</v>
      </c>
      <c r="Y235" s="5" t="s">
        <v>170</v>
      </c>
      <c r="Z235" s="5" t="s">
        <v>171</v>
      </c>
      <c r="AA235" s="5">
        <v>154</v>
      </c>
    </row>
    <row r="236" spans="1:27">
      <c r="A236" s="4">
        <v>11</v>
      </c>
      <c r="B236" s="4" t="s">
        <v>315</v>
      </c>
      <c r="C236" s="4">
        <v>1990</v>
      </c>
      <c r="D236" s="4" t="s">
        <v>54</v>
      </c>
      <c r="E236" s="4">
        <v>62.04</v>
      </c>
      <c r="F236" s="7">
        <v>10866</v>
      </c>
      <c r="G236" s="4">
        <v>13</v>
      </c>
      <c r="H236" s="4">
        <v>115</v>
      </c>
      <c r="I236" s="4">
        <v>122.5</v>
      </c>
      <c r="J236" s="4">
        <v>127.5</v>
      </c>
      <c r="K236" s="4" t="e">
        <f t="array" aca="1" ref="K236">MAX(H236:J236*(1-strike(H236:J236)))</f>
        <v>#NAME?</v>
      </c>
      <c r="L236" s="4">
        <v>62.5</v>
      </c>
      <c r="M236" s="4">
        <v>67.5</v>
      </c>
      <c r="N236" s="4">
        <v>70</v>
      </c>
      <c r="O236" s="4" t="e">
        <f t="array" aca="1" ref="O236">MAX(L236:N236*(1-strike(L236:N236)))</f>
        <v>#NAME?</v>
      </c>
      <c r="P236" s="4">
        <v>147.5</v>
      </c>
      <c r="Q236" s="4">
        <v>160</v>
      </c>
      <c r="R236" s="6">
        <v>167.5</v>
      </c>
      <c r="S236" s="4" t="e">
        <f t="array" aca="1" ref="S236">MAX(P236:R236*(1-strike(P236:R236)))</f>
        <v>#NAME?</v>
      </c>
      <c r="T236" s="4" t="e">
        <f t="shared" si="3"/>
        <v>#NAME?</v>
      </c>
      <c r="U236" s="4">
        <v>357.5</v>
      </c>
      <c r="V236" s="4">
        <v>388.46</v>
      </c>
      <c r="W236" s="4">
        <v>1</v>
      </c>
      <c r="X236" s="5">
        <v>2015</v>
      </c>
      <c r="Y236" s="5" t="s">
        <v>170</v>
      </c>
      <c r="Z236" s="5" t="s">
        <v>30</v>
      </c>
      <c r="AA236" s="5">
        <v>398</v>
      </c>
    </row>
    <row r="237" spans="1:27">
      <c r="A237" s="4">
        <v>4</v>
      </c>
      <c r="B237" s="4" t="s">
        <v>316</v>
      </c>
      <c r="C237" s="4">
        <v>1988</v>
      </c>
      <c r="D237" s="4" t="s">
        <v>113</v>
      </c>
      <c r="E237" s="4">
        <v>71.69</v>
      </c>
      <c r="F237" s="4">
        <v>0.97889999999999999</v>
      </c>
      <c r="G237" s="4">
        <v>7</v>
      </c>
      <c r="H237" s="6">
        <v>170</v>
      </c>
      <c r="I237" s="4">
        <v>170</v>
      </c>
      <c r="J237" s="6">
        <v>177.5</v>
      </c>
      <c r="K237" s="4" t="e">
        <f t="array" aca="1" ref="K237">MAX(H237:J237*(1-strike(H237:J237)))</f>
        <v>#NAME?</v>
      </c>
      <c r="L237" s="4">
        <v>107.5</v>
      </c>
      <c r="M237" s="4">
        <v>115</v>
      </c>
      <c r="N237" s="6">
        <v>117.5</v>
      </c>
      <c r="O237" s="4" t="e">
        <f t="array" aca="1" ref="O237">MAX(L237:N237*(1-strike(L237:N237)))</f>
        <v>#NAME?</v>
      </c>
      <c r="P237" s="4">
        <v>172.5</v>
      </c>
      <c r="Q237" s="4">
        <v>180</v>
      </c>
      <c r="R237" s="6">
        <v>185</v>
      </c>
      <c r="S237" s="4" t="e">
        <f t="array" aca="1" ref="S237">MAX(P237:R237*(1-strike(P237:R237)))</f>
        <v>#NAME?</v>
      </c>
      <c r="T237" s="4" t="e">
        <f t="shared" si="3"/>
        <v>#NAME?</v>
      </c>
      <c r="U237" s="4">
        <v>465</v>
      </c>
      <c r="V237" s="4">
        <v>455.19</v>
      </c>
      <c r="W237" s="4">
        <v>7</v>
      </c>
      <c r="X237" s="5">
        <v>2015</v>
      </c>
      <c r="Y237" s="5" t="s">
        <v>170</v>
      </c>
      <c r="Z237" s="5" t="s">
        <v>30</v>
      </c>
      <c r="AA237" s="5">
        <v>407</v>
      </c>
    </row>
    <row r="238" spans="1:27">
      <c r="A238" s="4">
        <v>1</v>
      </c>
      <c r="B238" s="4" t="s">
        <v>317</v>
      </c>
      <c r="C238" s="4">
        <v>1973</v>
      </c>
      <c r="D238" s="4" t="s">
        <v>318</v>
      </c>
      <c r="E238" s="4">
        <v>83.71</v>
      </c>
      <c r="F238" s="4">
        <v>0.89329999999999998</v>
      </c>
      <c r="G238" s="4">
        <v>5</v>
      </c>
      <c r="H238" s="4">
        <v>185</v>
      </c>
      <c r="I238" s="4">
        <v>197.5</v>
      </c>
      <c r="J238" s="6">
        <v>207</v>
      </c>
      <c r="K238" s="4" t="e">
        <f t="array" aca="1" ref="K238">MAX(H238:J238*(1-strike(H238:J238)))</f>
        <v>#NAME?</v>
      </c>
      <c r="L238" s="4">
        <v>127.5</v>
      </c>
      <c r="M238" s="4">
        <v>132.5</v>
      </c>
      <c r="N238" s="4">
        <v>136</v>
      </c>
      <c r="O238" s="4" t="e">
        <f t="array" aca="1" ref="O238">MAX(L238:N238*(1-strike(L238:N238)))</f>
        <v>#NAME?</v>
      </c>
      <c r="P238" s="4">
        <v>180</v>
      </c>
      <c r="Q238" s="4">
        <v>190</v>
      </c>
      <c r="R238" s="6">
        <v>200</v>
      </c>
      <c r="S238" s="4" t="e">
        <f t="array" aca="1" ref="S238">MAX(P238:R238*(1-strike(P238:R238)))</f>
        <v>#NAME?</v>
      </c>
      <c r="T238" s="4" t="e">
        <f t="shared" si="3"/>
        <v>#NAME?</v>
      </c>
      <c r="U238" s="4" t="s">
        <v>319</v>
      </c>
      <c r="V238" s="4">
        <v>467.64</v>
      </c>
      <c r="W238" s="4">
        <v>12</v>
      </c>
      <c r="X238" s="5">
        <v>2015</v>
      </c>
      <c r="Y238" s="5" t="s">
        <v>170</v>
      </c>
      <c r="Z238" s="5" t="s">
        <v>30</v>
      </c>
      <c r="AA238" s="5">
        <v>415</v>
      </c>
    </row>
    <row r="239" spans="1:27">
      <c r="A239" s="4">
        <v>10</v>
      </c>
      <c r="B239" s="4" t="s">
        <v>320</v>
      </c>
      <c r="C239" s="4">
        <v>1978</v>
      </c>
      <c r="D239" s="4" t="s">
        <v>125</v>
      </c>
      <c r="E239" s="4">
        <v>62.59</v>
      </c>
      <c r="F239" s="7">
        <v>10793</v>
      </c>
      <c r="G239" s="4">
        <v>1</v>
      </c>
      <c r="H239" s="6">
        <v>105</v>
      </c>
      <c r="I239" s="6">
        <v>110</v>
      </c>
      <c r="J239" s="4">
        <v>110</v>
      </c>
      <c r="K239" s="4" t="e">
        <f t="array" aca="1" ref="K239">MAX(H239:J239*(1-strike(H239:J239)))</f>
        <v>#NAME?</v>
      </c>
      <c r="L239" s="4">
        <v>80</v>
      </c>
      <c r="M239" s="4">
        <v>82.5</v>
      </c>
      <c r="N239" s="6">
        <v>85</v>
      </c>
      <c r="O239" s="4" t="e">
        <f t="array" aca="1" ref="O239">MAX(L239:N239*(1-strike(L239:N239)))</f>
        <v>#NAME?</v>
      </c>
      <c r="P239" s="4">
        <v>155</v>
      </c>
      <c r="Q239" s="4">
        <v>162.5</v>
      </c>
      <c r="R239" s="4">
        <v>170</v>
      </c>
      <c r="S239" s="4" t="e">
        <f t="array" aca="1" ref="S239">MAX(P239:R239*(1-strike(P239:R239)))</f>
        <v>#NAME?</v>
      </c>
      <c r="T239" s="4" t="e">
        <f t="shared" si="3"/>
        <v>#NAME?</v>
      </c>
      <c r="U239" s="4">
        <v>362.5</v>
      </c>
      <c r="V239" s="4">
        <v>391.25</v>
      </c>
      <c r="W239" s="4">
        <v>1</v>
      </c>
      <c r="X239" s="5">
        <v>2015</v>
      </c>
      <c r="Y239" s="5" t="s">
        <v>170</v>
      </c>
      <c r="Z239" s="5" t="s">
        <v>30</v>
      </c>
      <c r="AA239" s="5">
        <v>397</v>
      </c>
    </row>
    <row r="240" spans="1:27">
      <c r="A240" s="4">
        <v>9</v>
      </c>
      <c r="B240" s="4" t="s">
        <v>320</v>
      </c>
      <c r="C240" s="4">
        <v>1978</v>
      </c>
      <c r="D240" s="4" t="s">
        <v>125</v>
      </c>
      <c r="E240" s="4">
        <v>66.64</v>
      </c>
      <c r="F240" s="7">
        <v>10301</v>
      </c>
      <c r="G240" s="4">
        <v>13</v>
      </c>
      <c r="H240" s="6">
        <v>162.5</v>
      </c>
      <c r="I240" s="4">
        <v>167.5</v>
      </c>
      <c r="J240" s="6">
        <v>180</v>
      </c>
      <c r="K240" s="4" t="e">
        <f t="array" aca="1" ref="K240">MAX(H240:J240*(1-strike(H240:J240)))</f>
        <v>#NAME?</v>
      </c>
      <c r="L240" s="4">
        <v>100</v>
      </c>
      <c r="M240" s="4">
        <v>105</v>
      </c>
      <c r="N240" s="6">
        <v>107.5</v>
      </c>
      <c r="O240" s="4" t="e">
        <f t="array" aca="1" ref="O240">MAX(L240:N240*(1-strike(L240:N240)))</f>
        <v>#NAME?</v>
      </c>
      <c r="P240" s="4">
        <v>172.5</v>
      </c>
      <c r="Q240" s="4">
        <v>185</v>
      </c>
      <c r="R240" s="6">
        <v>200</v>
      </c>
      <c r="S240" s="4" t="e">
        <f t="array" aca="1" ref="S240">MAX(P240:R240*(1-strike(P240:R240)))</f>
        <v>#NAME?</v>
      </c>
      <c r="T240" s="4" t="e">
        <f t="shared" si="3"/>
        <v>#NAME?</v>
      </c>
      <c r="U240" s="4">
        <v>457.5</v>
      </c>
      <c r="V240" s="4">
        <v>471.27</v>
      </c>
      <c r="W240" s="4">
        <v>2</v>
      </c>
      <c r="X240" s="5">
        <v>2015</v>
      </c>
      <c r="Y240" s="5" t="s">
        <v>170</v>
      </c>
      <c r="Z240" s="5" t="s">
        <v>171</v>
      </c>
      <c r="AA240" s="5">
        <v>188</v>
      </c>
    </row>
    <row r="241" spans="1:27">
      <c r="A241" s="4">
        <v>3</v>
      </c>
      <c r="B241" s="4" t="s">
        <v>321</v>
      </c>
      <c r="C241" s="4">
        <v>1992</v>
      </c>
      <c r="D241" s="4" t="s">
        <v>74</v>
      </c>
      <c r="E241" s="4">
        <v>113.68</v>
      </c>
      <c r="F241" s="4">
        <v>0.80769999999999997</v>
      </c>
      <c r="G241" s="4">
        <v>18</v>
      </c>
      <c r="H241" s="4">
        <v>220</v>
      </c>
      <c r="I241" s="4">
        <v>227.5</v>
      </c>
      <c r="J241" s="4">
        <v>232.5</v>
      </c>
      <c r="K241" s="4" t="e">
        <f t="array" aca="1" ref="K241">MAX(H241:J241*(1-strike(H241:J241)))</f>
        <v>#NAME?</v>
      </c>
      <c r="L241" s="4">
        <v>107.5</v>
      </c>
      <c r="M241" s="4">
        <v>110</v>
      </c>
      <c r="N241" s="4">
        <v>112.5</v>
      </c>
      <c r="O241" s="4" t="e">
        <f t="array" aca="1" ref="O241">MAX(L241:N241*(1-strike(L241:N241)))</f>
        <v>#NAME?</v>
      </c>
      <c r="P241" s="4">
        <v>180</v>
      </c>
      <c r="Q241" s="4">
        <v>187.5</v>
      </c>
      <c r="R241" s="4">
        <v>195</v>
      </c>
      <c r="S241" s="4" t="e">
        <f t="array" aca="1" ref="S241">MAX(P241:R241*(1-strike(P241:R241)))</f>
        <v>#NAME?</v>
      </c>
      <c r="T241" s="4" t="e">
        <f t="shared" si="3"/>
        <v>#NAME?</v>
      </c>
      <c r="U241" s="4" t="s">
        <v>322</v>
      </c>
      <c r="V241" s="4">
        <v>436.16</v>
      </c>
      <c r="W241" s="4">
        <v>8</v>
      </c>
      <c r="X241" s="5">
        <v>2015</v>
      </c>
      <c r="Y241" s="5" t="s">
        <v>170</v>
      </c>
      <c r="Z241" s="5" t="s">
        <v>30</v>
      </c>
      <c r="AA241" s="5">
        <v>427</v>
      </c>
    </row>
    <row r="242" spans="1:27">
      <c r="A242" s="4">
        <v>6</v>
      </c>
      <c r="B242" s="4" t="s">
        <v>323</v>
      </c>
      <c r="C242" s="4">
        <v>1986</v>
      </c>
      <c r="D242" s="4" t="s">
        <v>35</v>
      </c>
      <c r="E242" s="4">
        <v>82.56</v>
      </c>
      <c r="F242" s="4">
        <v>0.89959999999999996</v>
      </c>
      <c r="G242" s="4">
        <v>9</v>
      </c>
      <c r="H242" s="4">
        <v>160</v>
      </c>
      <c r="I242" s="4">
        <v>172.5</v>
      </c>
      <c r="J242" s="4">
        <v>177.5</v>
      </c>
      <c r="K242" s="4" t="e">
        <f t="array" aca="1" ref="K242">MAX(H242:J242*(1-strike(H242:J242)))</f>
        <v>#NAME?</v>
      </c>
      <c r="L242" s="4">
        <v>77.5</v>
      </c>
      <c r="M242" s="4">
        <v>85</v>
      </c>
      <c r="N242" s="6">
        <v>90</v>
      </c>
      <c r="O242" s="4" t="e">
        <f t="array" aca="1" ref="O242">MAX(L242:N242*(1-strike(L242:N242)))</f>
        <v>#NAME?</v>
      </c>
      <c r="P242" s="4">
        <v>175</v>
      </c>
      <c r="Q242" s="4">
        <v>185</v>
      </c>
      <c r="R242" s="4">
        <v>190</v>
      </c>
      <c r="S242" s="4" t="e">
        <f t="array" aca="1" ref="S242">MAX(P242:R242*(1-strike(P242:R242)))</f>
        <v>#NAME?</v>
      </c>
      <c r="T242" s="4" t="e">
        <f t="shared" si="3"/>
        <v>#NAME?</v>
      </c>
      <c r="U242" s="4">
        <v>452.5</v>
      </c>
      <c r="V242" s="4">
        <v>407.07</v>
      </c>
      <c r="W242" s="4">
        <v>5</v>
      </c>
      <c r="X242" s="5">
        <v>2015</v>
      </c>
      <c r="Y242" s="5" t="s">
        <v>170</v>
      </c>
      <c r="Z242" s="5" t="s">
        <v>30</v>
      </c>
      <c r="AA242" s="5">
        <v>420</v>
      </c>
    </row>
    <row r="243" spans="1:27">
      <c r="A243" s="4">
        <v>3</v>
      </c>
      <c r="B243" s="4" t="s">
        <v>324</v>
      </c>
      <c r="C243" s="4">
        <v>1976</v>
      </c>
      <c r="D243" s="4" t="s">
        <v>49</v>
      </c>
      <c r="E243" s="4">
        <v>62.77</v>
      </c>
      <c r="F243" s="7">
        <v>10769</v>
      </c>
      <c r="G243" s="4">
        <v>14</v>
      </c>
      <c r="H243" s="4">
        <v>157.5</v>
      </c>
      <c r="I243" s="4">
        <v>165</v>
      </c>
      <c r="J243" s="4">
        <v>167.5</v>
      </c>
      <c r="K243" s="4" t="e">
        <f t="array" aca="1" ref="K243">MAX(H243:J243*(1-strike(H243:J243)))</f>
        <v>#NAME?</v>
      </c>
      <c r="L243" s="4">
        <v>80</v>
      </c>
      <c r="M243" s="6">
        <v>85</v>
      </c>
      <c r="N243" s="4">
        <v>85</v>
      </c>
      <c r="O243" s="4" t="e">
        <f t="array" aca="1" ref="O243">MAX(L243:N243*(1-strike(L243:N243)))</f>
        <v>#NAME?</v>
      </c>
      <c r="P243" s="4">
        <v>180</v>
      </c>
      <c r="Q243" s="6">
        <v>185</v>
      </c>
      <c r="R243" s="6">
        <v>185</v>
      </c>
      <c r="S243" s="4" t="e">
        <f t="array" aca="1" ref="S243">MAX(P243:R243*(1-strike(P243:R243)))</f>
        <v>#NAME?</v>
      </c>
      <c r="T243" s="4" t="e">
        <f t="shared" si="3"/>
        <v>#NAME?</v>
      </c>
      <c r="U243" s="4">
        <v>432.5</v>
      </c>
      <c r="V243" s="4">
        <v>465.76</v>
      </c>
      <c r="W243" s="4">
        <v>8</v>
      </c>
      <c r="X243" s="5">
        <v>2015</v>
      </c>
      <c r="Y243" s="5" t="s">
        <v>170</v>
      </c>
      <c r="Z243" s="5" t="s">
        <v>30</v>
      </c>
      <c r="AA243" s="5">
        <v>390</v>
      </c>
    </row>
    <row r="244" spans="1:27">
      <c r="A244" s="4">
        <v>4</v>
      </c>
      <c r="B244" s="4" t="s">
        <v>324</v>
      </c>
      <c r="C244" s="4">
        <v>1976</v>
      </c>
      <c r="D244" s="4" t="s">
        <v>49</v>
      </c>
      <c r="E244" s="4">
        <v>62.78</v>
      </c>
      <c r="F244" s="7">
        <v>10768</v>
      </c>
      <c r="G244" s="4">
        <v>10</v>
      </c>
      <c r="H244" s="4">
        <v>215</v>
      </c>
      <c r="I244" s="4">
        <v>230</v>
      </c>
      <c r="J244" s="6">
        <v>235</v>
      </c>
      <c r="K244" s="4" t="e">
        <f t="array" aca="1" ref="K244">MAX(H244:J244*(1-strike(H244:J244)))</f>
        <v>#NAME?</v>
      </c>
      <c r="L244" s="4">
        <v>115</v>
      </c>
      <c r="M244" s="4">
        <v>120</v>
      </c>
      <c r="N244" s="6">
        <v>125</v>
      </c>
      <c r="O244" s="4" t="e">
        <f t="array" aca="1" ref="O244">MAX(L244:N244*(1-strike(L244:N244)))</f>
        <v>#NAME?</v>
      </c>
      <c r="P244" s="4">
        <v>207.5</v>
      </c>
      <c r="Q244" s="6">
        <v>212.5</v>
      </c>
      <c r="R244" s="4">
        <v>212.5</v>
      </c>
      <c r="S244" s="4" t="e">
        <f t="array" aca="1" ref="S244">MAX(P244:R244*(1-strike(P244:R244)))</f>
        <v>#NAME?</v>
      </c>
      <c r="T244" s="4" t="e">
        <f t="shared" si="3"/>
        <v>#NAME?</v>
      </c>
      <c r="U244" s="4">
        <v>562.5</v>
      </c>
      <c r="V244" s="4">
        <v>605.70000000000005</v>
      </c>
      <c r="W244" s="4">
        <v>7</v>
      </c>
      <c r="X244" s="5">
        <v>2015</v>
      </c>
      <c r="Y244" s="5" t="s">
        <v>170</v>
      </c>
      <c r="Z244" s="5" t="s">
        <v>171</v>
      </c>
      <c r="AA244" s="5">
        <v>173</v>
      </c>
    </row>
    <row r="245" spans="1:27">
      <c r="A245" s="4">
        <v>10</v>
      </c>
      <c r="B245" s="4" t="s">
        <v>325</v>
      </c>
      <c r="C245" s="4">
        <v>1974</v>
      </c>
      <c r="D245" s="4" t="s">
        <v>77</v>
      </c>
      <c r="E245" s="4">
        <v>56.43</v>
      </c>
      <c r="F245" s="7">
        <v>11696</v>
      </c>
      <c r="G245" s="4">
        <v>1</v>
      </c>
      <c r="H245" s="4">
        <v>157.5</v>
      </c>
      <c r="I245" s="6">
        <v>165</v>
      </c>
      <c r="J245" s="4">
        <v>165</v>
      </c>
      <c r="K245" s="4" t="e">
        <f t="array" aca="1" ref="K245">MAX(H245:J245*(1-strike(H245:J245)))</f>
        <v>#NAME?</v>
      </c>
      <c r="L245" s="4">
        <v>87.5</v>
      </c>
      <c r="M245" s="4">
        <v>92.5</v>
      </c>
      <c r="N245" s="4">
        <v>95</v>
      </c>
      <c r="O245" s="4" t="e">
        <f t="array" aca="1" ref="O245">MAX(L245:N245*(1-strike(L245:N245)))</f>
        <v>#NAME?</v>
      </c>
      <c r="P245" s="4">
        <v>162.5</v>
      </c>
      <c r="Q245" s="4">
        <v>175</v>
      </c>
      <c r="R245" s="4">
        <v>180</v>
      </c>
      <c r="S245" s="4" t="e">
        <f t="array" aca="1" ref="S245">MAX(P245:R245*(1-strike(P245:R245)))</f>
        <v>#NAME?</v>
      </c>
      <c r="T245" s="4" t="e">
        <f t="shared" si="3"/>
        <v>#NAME?</v>
      </c>
      <c r="U245" s="4">
        <v>440</v>
      </c>
      <c r="V245" s="4">
        <v>514.62</v>
      </c>
      <c r="W245" s="4">
        <v>1</v>
      </c>
      <c r="X245" s="5">
        <v>2015</v>
      </c>
      <c r="Y245" s="5" t="s">
        <v>170</v>
      </c>
      <c r="Z245" s="5" t="s">
        <v>171</v>
      </c>
      <c r="AA245" s="5">
        <v>163</v>
      </c>
    </row>
    <row r="246" spans="1:27">
      <c r="A246" s="4">
        <v>1</v>
      </c>
      <c r="B246" s="4" t="s">
        <v>326</v>
      </c>
      <c r="C246" s="4">
        <v>1973</v>
      </c>
      <c r="D246" s="4" t="s">
        <v>62</v>
      </c>
      <c r="E246" s="4">
        <v>61.4</v>
      </c>
      <c r="F246" s="7">
        <v>10952</v>
      </c>
      <c r="G246" s="4">
        <v>3</v>
      </c>
      <c r="H246" s="4">
        <v>130</v>
      </c>
      <c r="I246" s="4">
        <v>140</v>
      </c>
      <c r="J246" s="4">
        <v>142.5</v>
      </c>
      <c r="K246" s="4" t="e">
        <f t="array" aca="1" ref="K246">MAX(H246:J246*(1-strike(H246:J246)))</f>
        <v>#NAME?</v>
      </c>
      <c r="L246" s="4">
        <v>125</v>
      </c>
      <c r="M246" s="4">
        <v>137.5</v>
      </c>
      <c r="N246" s="4">
        <v>140.5</v>
      </c>
      <c r="O246" s="4" t="e">
        <f t="array" aca="1" ref="O246">MAX(L246:N246*(1-strike(L246:N246)))</f>
        <v>#NAME?</v>
      </c>
      <c r="P246" s="4">
        <v>160</v>
      </c>
      <c r="Q246" s="4">
        <v>190</v>
      </c>
      <c r="R246" s="4">
        <v>197.5</v>
      </c>
      <c r="S246" s="4" t="e">
        <f t="array" aca="1" ref="S246">MAX(P246:R246*(1-strike(P246:R246)))</f>
        <v>#NAME?</v>
      </c>
      <c r="T246" s="4" t="e">
        <f t="shared" si="3"/>
        <v>#NAME?</v>
      </c>
      <c r="U246" s="4" t="s">
        <v>327</v>
      </c>
      <c r="V246" s="4">
        <v>526.24</v>
      </c>
      <c r="W246" s="4">
        <v>12</v>
      </c>
      <c r="X246" s="5">
        <v>2015</v>
      </c>
      <c r="Y246" s="5" t="s">
        <v>170</v>
      </c>
      <c r="Z246" s="5" t="s">
        <v>30</v>
      </c>
      <c r="AA246" s="5">
        <v>388</v>
      </c>
    </row>
    <row r="247" spans="1:27" ht="15" customHeight="1">
      <c r="A247" s="4">
        <v>9</v>
      </c>
      <c r="B247" s="4" t="s">
        <v>328</v>
      </c>
      <c r="C247" s="4">
        <v>1990</v>
      </c>
      <c r="D247" s="4" t="s">
        <v>109</v>
      </c>
      <c r="E247" s="4">
        <v>82.45</v>
      </c>
      <c r="F247" s="4">
        <v>0.90029999999999999</v>
      </c>
      <c r="G247" s="4">
        <v>10</v>
      </c>
      <c r="H247" s="4">
        <v>170</v>
      </c>
      <c r="I247" s="4">
        <v>182.5</v>
      </c>
      <c r="J247" s="4">
        <v>190</v>
      </c>
      <c r="K247" s="4" t="e">
        <f t="array" aca="1" ref="K247">MAX(H247:J247*(1-strike(H247:J247)))</f>
        <v>#NAME?</v>
      </c>
      <c r="L247" s="4">
        <v>122.5</v>
      </c>
      <c r="M247" s="6">
        <v>130</v>
      </c>
      <c r="N247" s="4"/>
      <c r="O247" s="4" t="e">
        <f t="array" aca="1" ref="O247">MAX(L247:N247*(1-strike(L247:N247)))</f>
        <v>#NAME?</v>
      </c>
      <c r="P247" s="4">
        <v>165</v>
      </c>
      <c r="Q247" s="4">
        <v>177.5</v>
      </c>
      <c r="R247" s="6">
        <v>187.5</v>
      </c>
      <c r="S247" s="4" t="e">
        <f t="array" aca="1" ref="S247">MAX(P247:R247*(1-strike(P247:R247)))</f>
        <v>#NAME?</v>
      </c>
      <c r="T247" s="4" t="e">
        <f t="shared" si="3"/>
        <v>#NAME?</v>
      </c>
      <c r="U247" s="4">
        <v>490</v>
      </c>
      <c r="V247" s="4">
        <v>441.15</v>
      </c>
      <c r="W247" s="4">
        <v>2</v>
      </c>
      <c r="X247" s="5">
        <v>2015</v>
      </c>
      <c r="Y247" s="5" t="s">
        <v>170</v>
      </c>
      <c r="Z247" s="5" t="s">
        <v>171</v>
      </c>
      <c r="AA247" s="5">
        <v>202</v>
      </c>
    </row>
    <row r="248" spans="1:27">
      <c r="A248" s="4">
        <v>5</v>
      </c>
      <c r="B248" s="4" t="s">
        <v>329</v>
      </c>
      <c r="C248" s="4">
        <v>1986</v>
      </c>
      <c r="D248" s="4" t="s">
        <v>318</v>
      </c>
      <c r="E248" s="4">
        <v>71.61</v>
      </c>
      <c r="F248" s="4">
        <v>0.97960000000000003</v>
      </c>
      <c r="G248" s="4">
        <v>1</v>
      </c>
      <c r="H248" s="4">
        <v>200</v>
      </c>
      <c r="I248" s="4">
        <v>210</v>
      </c>
      <c r="J248" s="4">
        <v>215</v>
      </c>
      <c r="K248" s="4" t="e">
        <f t="array" aca="1" ref="K248">MAX(H248:J248*(1-strike(H248:J248)))</f>
        <v>#NAME?</v>
      </c>
      <c r="L248" s="4">
        <v>155</v>
      </c>
      <c r="M248" s="4">
        <v>160</v>
      </c>
      <c r="N248" s="6">
        <v>162.5</v>
      </c>
      <c r="O248" s="4" t="e">
        <f t="array" aca="1" ref="O248">MAX(L248:N248*(1-strike(L248:N248)))</f>
        <v>#NAME?</v>
      </c>
      <c r="P248" s="4">
        <v>195</v>
      </c>
      <c r="Q248" s="6">
        <v>207.5</v>
      </c>
      <c r="R248" s="4">
        <v>212.5</v>
      </c>
      <c r="S248" s="4" t="e">
        <f t="array" aca="1" ref="S248">MAX(P248:R248*(1-strike(P248:R248)))</f>
        <v>#NAME?</v>
      </c>
      <c r="T248" s="4" t="e">
        <f t="shared" si="3"/>
        <v>#NAME?</v>
      </c>
      <c r="U248" s="4">
        <v>587.5</v>
      </c>
      <c r="V248" s="4">
        <v>575.51</v>
      </c>
      <c r="W248" s="4">
        <v>6</v>
      </c>
      <c r="X248" s="5">
        <v>2015</v>
      </c>
      <c r="Y248" s="5" t="s">
        <v>170</v>
      </c>
      <c r="Z248" s="5" t="s">
        <v>171</v>
      </c>
      <c r="AA248" s="5">
        <v>184</v>
      </c>
    </row>
    <row r="249" spans="1:27">
      <c r="A249" s="4">
        <v>1</v>
      </c>
      <c r="B249" s="4" t="s">
        <v>330</v>
      </c>
      <c r="C249" s="4">
        <v>1988</v>
      </c>
      <c r="D249" s="4" t="s">
        <v>28</v>
      </c>
      <c r="E249" s="4">
        <v>81.14</v>
      </c>
      <c r="F249" s="4">
        <v>0.90790000000000004</v>
      </c>
      <c r="G249" s="4">
        <v>3</v>
      </c>
      <c r="H249" s="4">
        <v>250</v>
      </c>
      <c r="I249" s="6">
        <v>260</v>
      </c>
      <c r="J249" s="4">
        <v>260</v>
      </c>
      <c r="K249" s="4" t="e">
        <f t="array" aca="1" ref="K249">MAX(H249:J249*(1-strike(H249:J249)))</f>
        <v>#NAME?</v>
      </c>
      <c r="L249" s="4">
        <v>155</v>
      </c>
      <c r="M249" s="4">
        <v>165</v>
      </c>
      <c r="N249" s="4">
        <v>170</v>
      </c>
      <c r="O249" s="4" t="e">
        <f t="array" aca="1" ref="O249">MAX(L249:N249*(1-strike(L249:N249)))</f>
        <v>#NAME?</v>
      </c>
      <c r="P249" s="6">
        <v>205</v>
      </c>
      <c r="Q249" s="4">
        <v>205</v>
      </c>
      <c r="R249" s="4">
        <v>212.5</v>
      </c>
      <c r="S249" s="4" t="e">
        <f t="array" aca="1" ref="S249">MAX(P249:R249*(1-strike(P249:R249)))</f>
        <v>#NAME?</v>
      </c>
      <c r="T249" s="4" t="e">
        <f t="shared" si="3"/>
        <v>#NAME?</v>
      </c>
      <c r="U249" s="4">
        <v>642.5</v>
      </c>
      <c r="V249" s="4">
        <v>583.33000000000004</v>
      </c>
      <c r="W249" s="4">
        <v>12</v>
      </c>
      <c r="X249" s="5">
        <v>2015</v>
      </c>
      <c r="Y249" s="5" t="s">
        <v>170</v>
      </c>
      <c r="Z249" s="5" t="s">
        <v>171</v>
      </c>
      <c r="AA249" s="5">
        <v>194</v>
      </c>
    </row>
    <row r="250" spans="1:27">
      <c r="A250" s="4">
        <v>3</v>
      </c>
      <c r="B250" s="4" t="s">
        <v>331</v>
      </c>
      <c r="C250" s="4">
        <v>1989</v>
      </c>
      <c r="D250" s="4" t="s">
        <v>119</v>
      </c>
      <c r="E250" s="4">
        <v>80.11</v>
      </c>
      <c r="F250" s="4">
        <v>0.9143</v>
      </c>
      <c r="G250" s="4">
        <v>5</v>
      </c>
      <c r="H250" s="4">
        <v>235</v>
      </c>
      <c r="I250" s="4">
        <v>247.5</v>
      </c>
      <c r="J250" s="4">
        <v>252.5</v>
      </c>
      <c r="K250" s="4" t="e">
        <f t="array" aca="1" ref="K250">MAX(H250:J250*(1-strike(H250:J250)))</f>
        <v>#NAME?</v>
      </c>
      <c r="L250" s="4">
        <v>127.5</v>
      </c>
      <c r="M250" s="4">
        <v>132.5</v>
      </c>
      <c r="N250" s="4">
        <v>135</v>
      </c>
      <c r="O250" s="4" t="e">
        <f t="array" aca="1" ref="O250">MAX(L250:N250*(1-strike(L250:N250)))</f>
        <v>#NAME?</v>
      </c>
      <c r="P250" s="4">
        <v>212.5</v>
      </c>
      <c r="Q250" s="4">
        <v>217.5</v>
      </c>
      <c r="R250" s="4">
        <v>220</v>
      </c>
      <c r="S250" s="4" t="e">
        <f t="array" aca="1" ref="S250">MAX(P250:R250*(1-strike(P250:R250)))</f>
        <v>#NAME?</v>
      </c>
      <c r="T250" s="4" t="e">
        <f t="shared" si="3"/>
        <v>#NAME?</v>
      </c>
      <c r="U250" s="4">
        <v>607.5</v>
      </c>
      <c r="V250" s="4">
        <v>555.44000000000005</v>
      </c>
      <c r="W250" s="4">
        <v>8</v>
      </c>
      <c r="X250" s="5">
        <v>2015</v>
      </c>
      <c r="Y250" s="5" t="s">
        <v>170</v>
      </c>
      <c r="Z250" s="5" t="s">
        <v>171</v>
      </c>
      <c r="AA250" s="5">
        <v>196</v>
      </c>
    </row>
    <row r="251" spans="1:27">
      <c r="A251" s="4">
        <v>11</v>
      </c>
      <c r="B251" s="4" t="s">
        <v>332</v>
      </c>
      <c r="C251" s="4">
        <v>1976</v>
      </c>
      <c r="D251" s="4" t="s">
        <v>80</v>
      </c>
      <c r="E251" s="4">
        <v>56.76</v>
      </c>
      <c r="F251" s="7">
        <v>11642</v>
      </c>
      <c r="G251" s="4">
        <v>4</v>
      </c>
      <c r="H251" s="4">
        <v>115</v>
      </c>
      <c r="I251" s="4">
        <v>120</v>
      </c>
      <c r="J251" s="4">
        <v>125</v>
      </c>
      <c r="K251" s="4" t="e">
        <f t="array" aca="1" ref="K251">MAX(H251:J251*(1-strike(H251:J251)))</f>
        <v>#NAME?</v>
      </c>
      <c r="L251" s="4">
        <v>65</v>
      </c>
      <c r="M251" s="4">
        <v>67.5</v>
      </c>
      <c r="N251" s="4">
        <v>70</v>
      </c>
      <c r="O251" s="4" t="e">
        <f t="array" aca="1" ref="O251">MAX(L251:N251*(1-strike(L251:N251)))</f>
        <v>#NAME?</v>
      </c>
      <c r="P251" s="4">
        <v>130</v>
      </c>
      <c r="Q251" s="4">
        <v>135</v>
      </c>
      <c r="R251" s="4">
        <v>140</v>
      </c>
      <c r="S251" s="4" t="e">
        <f t="array" aca="1" ref="S251">MAX(P251:R251*(1-strike(P251:R251)))</f>
        <v>#NAME?</v>
      </c>
      <c r="T251" s="4" t="e">
        <f t="shared" si="3"/>
        <v>#NAME?</v>
      </c>
      <c r="U251" s="4">
        <v>335</v>
      </c>
      <c r="V251" s="4">
        <v>390.01</v>
      </c>
      <c r="W251" s="4">
        <v>1</v>
      </c>
      <c r="X251" s="5">
        <v>2015</v>
      </c>
      <c r="Y251" s="5" t="s">
        <v>170</v>
      </c>
      <c r="Z251" s="5" t="s">
        <v>30</v>
      </c>
      <c r="AA251" s="5">
        <v>381</v>
      </c>
    </row>
    <row r="252" spans="1:27">
      <c r="A252" s="4">
        <v>5</v>
      </c>
      <c r="B252" s="4" t="s">
        <v>333</v>
      </c>
      <c r="C252" s="4">
        <v>1978</v>
      </c>
      <c r="D252" s="4" t="s">
        <v>318</v>
      </c>
      <c r="E252" s="4">
        <v>110.55</v>
      </c>
      <c r="F252" s="4">
        <v>0.81220000000000003</v>
      </c>
      <c r="G252" s="4">
        <v>14</v>
      </c>
      <c r="H252" s="4">
        <v>210</v>
      </c>
      <c r="I252" s="4">
        <v>225</v>
      </c>
      <c r="J252" s="4">
        <v>230</v>
      </c>
      <c r="K252" s="4" t="e">
        <f t="array" aca="1" ref="K252">MAX(H252:J252*(1-strike(H252:J252)))</f>
        <v>#NAME?</v>
      </c>
      <c r="L252" s="4">
        <v>185</v>
      </c>
      <c r="M252" s="6">
        <v>192.5</v>
      </c>
      <c r="N252" s="4">
        <v>192.5</v>
      </c>
      <c r="O252" s="4" t="e">
        <f t="array" aca="1" ref="O252">MAX(L252:N252*(1-strike(L252:N252)))</f>
        <v>#NAME?</v>
      </c>
      <c r="P252" s="4">
        <v>175</v>
      </c>
      <c r="Q252" s="4">
        <v>182.5</v>
      </c>
      <c r="R252" s="4">
        <v>187.5</v>
      </c>
      <c r="S252" s="4" t="e">
        <f t="array" aca="1" ref="S252">MAX(P252:R252*(1-strike(P252:R252)))</f>
        <v>#NAME?</v>
      </c>
      <c r="T252" s="4" t="e">
        <f t="shared" si="3"/>
        <v>#NAME?</v>
      </c>
      <c r="U252" s="4">
        <v>610</v>
      </c>
      <c r="V252" s="4">
        <v>495.44</v>
      </c>
      <c r="W252" s="4">
        <v>6</v>
      </c>
      <c r="X252" s="5">
        <v>2015</v>
      </c>
      <c r="Y252" s="5" t="s">
        <v>170</v>
      </c>
      <c r="Z252" s="5" t="s">
        <v>171</v>
      </c>
      <c r="AA252" s="5">
        <v>210</v>
      </c>
    </row>
    <row r="253" spans="1:27">
      <c r="A253" s="4">
        <v>12</v>
      </c>
      <c r="B253" s="4" t="s">
        <v>334</v>
      </c>
      <c r="C253" s="4">
        <v>1977</v>
      </c>
      <c r="D253" s="4" t="s">
        <v>194</v>
      </c>
      <c r="E253" s="4">
        <v>61.93</v>
      </c>
      <c r="F253" s="7">
        <v>10880</v>
      </c>
      <c r="G253" s="4">
        <v>5</v>
      </c>
      <c r="H253" s="4">
        <v>127.5</v>
      </c>
      <c r="I253" s="4"/>
      <c r="J253" s="4"/>
      <c r="K253" s="4" t="e">
        <f t="array" aca="1" ref="K253">MAX(H253:J253*(1-strike(H253:J253)))</f>
        <v>#NAME?</v>
      </c>
      <c r="L253" s="4">
        <v>75</v>
      </c>
      <c r="M253" s="4">
        <v>80</v>
      </c>
      <c r="N253" s="6">
        <v>85</v>
      </c>
      <c r="O253" s="4" t="e">
        <f t="array" aca="1" ref="O253">MAX(L253:N253*(1-strike(L253:N253)))</f>
        <v>#NAME?</v>
      </c>
      <c r="P253" s="4">
        <v>145</v>
      </c>
      <c r="Q253" s="4"/>
      <c r="R253" s="4"/>
      <c r="S253" s="4" t="e">
        <f t="array" aca="1" ref="S253">MAX(P253:R253*(1-strike(P253:R253)))</f>
        <v>#NAME?</v>
      </c>
      <c r="T253" s="4" t="e">
        <f t="shared" si="3"/>
        <v>#NAME?</v>
      </c>
      <c r="U253" s="4">
        <v>352.5</v>
      </c>
      <c r="V253" s="4">
        <v>383.52</v>
      </c>
      <c r="W253" s="4">
        <v>1</v>
      </c>
      <c r="X253" s="5">
        <v>2015</v>
      </c>
      <c r="Y253" s="5" t="s">
        <v>170</v>
      </c>
      <c r="Z253" s="5" t="s">
        <v>30</v>
      </c>
      <c r="AA253" s="5">
        <v>399</v>
      </c>
    </row>
    <row r="254" spans="1:27">
      <c r="A254" s="4">
        <v>2</v>
      </c>
      <c r="B254" s="4" t="s">
        <v>335</v>
      </c>
      <c r="C254" s="4">
        <v>1983</v>
      </c>
      <c r="D254" s="4" t="s">
        <v>336</v>
      </c>
      <c r="E254" s="4">
        <v>46.35</v>
      </c>
      <c r="F254" s="7">
        <v>13584</v>
      </c>
      <c r="G254" s="4">
        <v>5</v>
      </c>
      <c r="H254" s="4">
        <v>177.5</v>
      </c>
      <c r="I254" s="4">
        <v>182.5</v>
      </c>
      <c r="J254" s="6">
        <v>187.5</v>
      </c>
      <c r="K254" s="4" t="e">
        <f t="array" aca="1" ref="K254">MAX(H254:J254*(1-strike(H254:J254)))</f>
        <v>#NAME?</v>
      </c>
      <c r="L254" s="4">
        <v>95</v>
      </c>
      <c r="M254" s="6">
        <v>100</v>
      </c>
      <c r="N254" s="4">
        <v>100</v>
      </c>
      <c r="O254" s="4" t="e">
        <f t="array" aca="1" ref="O254">MAX(L254:N254*(1-strike(L254:N254)))</f>
        <v>#NAME?</v>
      </c>
      <c r="P254" s="4">
        <v>152.5</v>
      </c>
      <c r="Q254" s="4">
        <v>160</v>
      </c>
      <c r="R254" s="6">
        <v>167.5</v>
      </c>
      <c r="S254" s="4" t="e">
        <f t="array" aca="1" ref="S254">MAX(P254:R254*(1-strike(P254:R254)))</f>
        <v>#NAME?</v>
      </c>
      <c r="T254" s="4" t="e">
        <f t="shared" si="3"/>
        <v>#NAME?</v>
      </c>
      <c r="U254" s="4">
        <v>442.5</v>
      </c>
      <c r="V254" s="4">
        <v>601.09</v>
      </c>
      <c r="W254" s="4">
        <v>9</v>
      </c>
      <c r="X254" s="5">
        <v>2015</v>
      </c>
      <c r="Y254" s="5" t="s">
        <v>170</v>
      </c>
      <c r="Z254" s="5" t="s">
        <v>171</v>
      </c>
      <c r="AA254" s="5">
        <v>134</v>
      </c>
    </row>
    <row r="255" spans="1:27">
      <c r="A255" s="4">
        <v>4</v>
      </c>
      <c r="B255" s="4" t="s">
        <v>337</v>
      </c>
      <c r="C255" s="4">
        <v>1979</v>
      </c>
      <c r="D255" s="4" t="s">
        <v>28</v>
      </c>
      <c r="E255" s="4">
        <v>56.99</v>
      </c>
      <c r="F255" s="7">
        <v>11606</v>
      </c>
      <c r="G255" s="4">
        <v>13</v>
      </c>
      <c r="H255" s="4">
        <v>137.5</v>
      </c>
      <c r="I255" s="4">
        <v>145</v>
      </c>
      <c r="J255" s="6">
        <v>150</v>
      </c>
      <c r="K255" s="4" t="e">
        <f t="array" aca="1" ref="K255">MAX(H255:J255*(1-strike(H255:J255)))</f>
        <v>#NAME?</v>
      </c>
      <c r="L255" s="4">
        <v>75</v>
      </c>
      <c r="M255" s="4">
        <v>80</v>
      </c>
      <c r="N255" s="4">
        <v>85</v>
      </c>
      <c r="O255" s="4" t="e">
        <f t="array" aca="1" ref="O255">MAX(L255:N255*(1-strike(L255:N255)))</f>
        <v>#NAME?</v>
      </c>
      <c r="P255" s="4">
        <v>145</v>
      </c>
      <c r="Q255" s="4">
        <v>155</v>
      </c>
      <c r="R255" s="4">
        <v>162.5</v>
      </c>
      <c r="S255" s="4" t="e">
        <f t="array" aca="1" ref="S255">MAX(P255:R255*(1-strike(P255:R255)))</f>
        <v>#NAME?</v>
      </c>
      <c r="T255" s="4" t="e">
        <f t="shared" si="3"/>
        <v>#NAME?</v>
      </c>
      <c r="U255" s="4">
        <v>392.5</v>
      </c>
      <c r="V255" s="4">
        <v>455.54</v>
      </c>
      <c r="W255" s="4">
        <v>7</v>
      </c>
      <c r="X255" s="5">
        <v>2015</v>
      </c>
      <c r="Y255" s="5" t="s">
        <v>170</v>
      </c>
      <c r="Z255" s="5" t="s">
        <v>30</v>
      </c>
      <c r="AA255" s="5">
        <v>374</v>
      </c>
    </row>
    <row r="256" spans="1:27">
      <c r="A256" s="4">
        <v>5</v>
      </c>
      <c r="B256" s="4" t="s">
        <v>338</v>
      </c>
      <c r="C256" s="4">
        <v>1972</v>
      </c>
      <c r="D256" s="4" t="s">
        <v>28</v>
      </c>
      <c r="E256" s="4">
        <v>70.709999999999994</v>
      </c>
      <c r="F256" s="4">
        <v>0.98799999999999999</v>
      </c>
      <c r="G256" s="4">
        <v>3</v>
      </c>
      <c r="H256" s="4">
        <v>155</v>
      </c>
      <c r="I256" s="6">
        <v>160</v>
      </c>
      <c r="J256" s="4">
        <v>160</v>
      </c>
      <c r="K256" s="4" t="e">
        <f t="array" aca="1" ref="K256">MAX(H256:J256*(1-strike(H256:J256)))</f>
        <v>#NAME?</v>
      </c>
      <c r="L256" s="4">
        <v>105</v>
      </c>
      <c r="M256" s="4">
        <v>107.5</v>
      </c>
      <c r="N256" s="6">
        <v>112.5</v>
      </c>
      <c r="O256" s="4" t="e">
        <f t="array" aca="1" ref="O256">MAX(L256:N256*(1-strike(L256:N256)))</f>
        <v>#NAME?</v>
      </c>
      <c r="P256" s="4">
        <v>145</v>
      </c>
      <c r="Q256" s="4">
        <v>152.5</v>
      </c>
      <c r="R256" s="6">
        <v>160</v>
      </c>
      <c r="S256" s="4" t="e">
        <f t="array" aca="1" ref="S256">MAX(P256:R256*(1-strike(P256:R256)))</f>
        <v>#NAME?</v>
      </c>
      <c r="T256" s="4" t="e">
        <f t="shared" si="3"/>
        <v>#NAME?</v>
      </c>
      <c r="U256" s="4">
        <v>420</v>
      </c>
      <c r="V256" s="4">
        <v>414.96</v>
      </c>
      <c r="W256" s="4">
        <v>6</v>
      </c>
      <c r="X256" s="5">
        <v>2015</v>
      </c>
      <c r="Y256" s="5" t="s">
        <v>170</v>
      </c>
      <c r="Z256" s="5" t="s">
        <v>30</v>
      </c>
      <c r="AA256" s="5">
        <v>408</v>
      </c>
    </row>
    <row r="257" spans="1:27">
      <c r="A257" s="4">
        <v>3</v>
      </c>
      <c r="B257" s="4" t="s">
        <v>339</v>
      </c>
      <c r="C257" s="4">
        <v>1989</v>
      </c>
      <c r="D257" s="4" t="s">
        <v>35</v>
      </c>
      <c r="E257" s="4">
        <v>71.3</v>
      </c>
      <c r="F257" s="4">
        <v>0.98240000000000005</v>
      </c>
      <c r="G257" s="4">
        <v>1</v>
      </c>
      <c r="H257" s="4">
        <v>170</v>
      </c>
      <c r="I257" s="4">
        <v>177.5</v>
      </c>
      <c r="J257" s="4">
        <v>180</v>
      </c>
      <c r="K257" s="4" t="e">
        <f t="array" aca="1" ref="K257">MAX(H257:J257*(1-strike(H257:J257)))</f>
        <v>#NAME?</v>
      </c>
      <c r="L257" s="4">
        <v>82.5</v>
      </c>
      <c r="M257" s="4">
        <v>90</v>
      </c>
      <c r="N257" s="4">
        <v>92.5</v>
      </c>
      <c r="O257" s="4" t="e">
        <f t="array" aca="1" ref="O257">MAX(L257:N257*(1-strike(L257:N257)))</f>
        <v>#NAME?</v>
      </c>
      <c r="P257" s="4">
        <v>175</v>
      </c>
      <c r="Q257" s="4">
        <v>190</v>
      </c>
      <c r="R257" s="4">
        <v>192.5</v>
      </c>
      <c r="S257" s="4" t="e">
        <f t="array" aca="1" ref="S257">MAX(P257:R257*(1-strike(P257:R257)))</f>
        <v>#NAME?</v>
      </c>
      <c r="T257" s="4" t="e">
        <f t="shared" si="3"/>
        <v>#NAME?</v>
      </c>
      <c r="U257" s="4">
        <v>465</v>
      </c>
      <c r="V257" s="4">
        <v>456.82</v>
      </c>
      <c r="W257" s="4">
        <v>8</v>
      </c>
      <c r="X257" s="5">
        <v>2015</v>
      </c>
      <c r="Y257" s="5" t="s">
        <v>170</v>
      </c>
      <c r="Z257" s="5" t="s">
        <v>30</v>
      </c>
      <c r="AA257" s="5">
        <v>406</v>
      </c>
    </row>
    <row r="258" spans="1:27">
      <c r="A258" s="4">
        <v>7</v>
      </c>
      <c r="B258" s="4" t="s">
        <v>340</v>
      </c>
      <c r="C258" s="4">
        <v>1975</v>
      </c>
      <c r="D258" s="4" t="s">
        <v>28</v>
      </c>
      <c r="E258" s="4">
        <v>61.99</v>
      </c>
      <c r="F258" s="7">
        <v>10872</v>
      </c>
      <c r="G258" s="4">
        <v>10</v>
      </c>
      <c r="H258" s="4">
        <v>137.5</v>
      </c>
      <c r="I258" s="6">
        <v>142.5</v>
      </c>
      <c r="J258" s="4">
        <v>142.5</v>
      </c>
      <c r="K258" s="4" t="e">
        <f t="array" aca="1" ref="K258">MAX(H258:J258*(1-strike(H258:J258)))</f>
        <v>#NAME?</v>
      </c>
      <c r="L258" s="4">
        <v>90</v>
      </c>
      <c r="M258" s="4">
        <v>95</v>
      </c>
      <c r="N258" s="6">
        <v>97.5</v>
      </c>
      <c r="O258" s="4" t="e">
        <f t="array" aca="1" ref="O258">MAX(L258:N258*(1-strike(L258:N258)))</f>
        <v>#NAME?</v>
      </c>
      <c r="P258" s="4">
        <v>167.5</v>
      </c>
      <c r="Q258" s="4">
        <v>180</v>
      </c>
      <c r="R258" s="6">
        <v>185</v>
      </c>
      <c r="S258" s="4" t="e">
        <f t="array" aca="1" ref="S258">MAX(P258:R258*(1-strike(P258:R258)))</f>
        <v>#NAME?</v>
      </c>
      <c r="T258" s="4" t="e">
        <f t="shared" ref="T258:T321" si="4">IF(AND(K258&lt;&gt;0,O258&lt;&gt;0,S258&lt;&gt;0),K258+O258+S258,0)</f>
        <v>#NAME?</v>
      </c>
      <c r="U258" s="4">
        <v>417.5</v>
      </c>
      <c r="V258" s="4">
        <v>453.91</v>
      </c>
      <c r="W258" s="4">
        <v>4</v>
      </c>
      <c r="X258" s="5">
        <v>2015</v>
      </c>
      <c r="Y258" s="5" t="s">
        <v>170</v>
      </c>
      <c r="Z258" s="5" t="s">
        <v>30</v>
      </c>
      <c r="AA258" s="5">
        <v>394</v>
      </c>
    </row>
    <row r="259" spans="1:27">
      <c r="A259" s="4">
        <v>5</v>
      </c>
      <c r="B259" s="4" t="s">
        <v>341</v>
      </c>
      <c r="C259" s="4">
        <v>1988</v>
      </c>
      <c r="D259" s="4" t="s">
        <v>80</v>
      </c>
      <c r="E259" s="4">
        <v>62.48</v>
      </c>
      <c r="F259" s="7">
        <v>10807</v>
      </c>
      <c r="G259" s="4">
        <v>7</v>
      </c>
      <c r="H259" s="6">
        <v>157.5</v>
      </c>
      <c r="I259" s="4">
        <v>157.5</v>
      </c>
      <c r="J259" s="4">
        <v>162.5</v>
      </c>
      <c r="K259" s="4" t="e">
        <f t="array" aca="1" ref="K259">MAX(H259:J259*(1-strike(H259:J259)))</f>
        <v>#NAME?</v>
      </c>
      <c r="L259" s="4">
        <v>80</v>
      </c>
      <c r="M259" s="6">
        <v>82.5</v>
      </c>
      <c r="N259" s="6">
        <v>82.5</v>
      </c>
      <c r="O259" s="4" t="e">
        <f t="array" aca="1" ref="O259">MAX(L259:N259*(1-strike(L259:N259)))</f>
        <v>#NAME?</v>
      </c>
      <c r="P259" s="4">
        <v>180</v>
      </c>
      <c r="Q259" s="6">
        <v>192.5</v>
      </c>
      <c r="R259" s="6">
        <v>192.5</v>
      </c>
      <c r="S259" s="4" t="e">
        <f t="array" aca="1" ref="S259">MAX(P259:R259*(1-strike(P259:R259)))</f>
        <v>#NAME?</v>
      </c>
      <c r="T259" s="4" t="e">
        <f t="shared" si="4"/>
        <v>#NAME?</v>
      </c>
      <c r="U259" s="4">
        <v>422.5</v>
      </c>
      <c r="V259" s="4">
        <v>456.6</v>
      </c>
      <c r="W259" s="4">
        <v>6</v>
      </c>
      <c r="X259" s="5">
        <v>2015</v>
      </c>
      <c r="Y259" s="5" t="s">
        <v>170</v>
      </c>
      <c r="Z259" s="5" t="s">
        <v>30</v>
      </c>
      <c r="AA259" s="5">
        <v>392</v>
      </c>
    </row>
    <row r="260" spans="1:27">
      <c r="A260" s="4">
        <v>1</v>
      </c>
      <c r="B260" s="4" t="s">
        <v>342</v>
      </c>
      <c r="C260" s="4">
        <v>1978</v>
      </c>
      <c r="D260" s="4" t="s">
        <v>62</v>
      </c>
      <c r="E260" s="4">
        <v>69.02</v>
      </c>
      <c r="F260" s="7">
        <v>10046</v>
      </c>
      <c r="G260" s="4">
        <v>4</v>
      </c>
      <c r="H260" s="6">
        <v>175</v>
      </c>
      <c r="I260" s="4">
        <v>175</v>
      </c>
      <c r="J260" s="6">
        <v>187.5</v>
      </c>
      <c r="K260" s="4" t="e">
        <f t="array" aca="1" ref="K260">MAX(H260:J260*(1-strike(H260:J260)))</f>
        <v>#NAME?</v>
      </c>
      <c r="L260" s="4">
        <v>105</v>
      </c>
      <c r="M260" s="4">
        <v>110</v>
      </c>
      <c r="N260" s="4">
        <v>112.5</v>
      </c>
      <c r="O260" s="4" t="e">
        <f t="array" aca="1" ref="O260">MAX(L260:N260*(1-strike(L260:N260)))</f>
        <v>#NAME?</v>
      </c>
      <c r="P260" s="4">
        <v>222.5</v>
      </c>
      <c r="Q260" s="4">
        <v>235</v>
      </c>
      <c r="R260" s="4">
        <v>240.5</v>
      </c>
      <c r="S260" s="4" t="e">
        <f t="array" aca="1" ref="S260">MAX(P260:R260*(1-strike(P260:R260)))</f>
        <v>#NAME?</v>
      </c>
      <c r="T260" s="4" t="e">
        <f t="shared" si="4"/>
        <v>#NAME?</v>
      </c>
      <c r="U260" s="4">
        <v>528</v>
      </c>
      <c r="V260" s="4">
        <v>530.42999999999995</v>
      </c>
      <c r="W260" s="4">
        <v>12</v>
      </c>
      <c r="X260" s="5">
        <v>2015</v>
      </c>
      <c r="Y260" s="5" t="s">
        <v>170</v>
      </c>
      <c r="Z260" s="5" t="s">
        <v>30</v>
      </c>
      <c r="AA260" s="5">
        <v>404</v>
      </c>
    </row>
    <row r="261" spans="1:27">
      <c r="A261" s="4">
        <v>11</v>
      </c>
      <c r="B261" s="4" t="s">
        <v>343</v>
      </c>
      <c r="C261" s="4">
        <v>1979</v>
      </c>
      <c r="D261" s="4" t="s">
        <v>318</v>
      </c>
      <c r="E261" s="4">
        <v>56.65</v>
      </c>
      <c r="F261" s="7">
        <v>11660</v>
      </c>
      <c r="G261" s="4">
        <v>9</v>
      </c>
      <c r="H261" s="4">
        <v>155</v>
      </c>
      <c r="I261" s="4">
        <v>162.5</v>
      </c>
      <c r="J261" s="4">
        <v>167.5</v>
      </c>
      <c r="K261" s="4" t="e">
        <f t="array" aca="1" ref="K261">MAX(H261:J261*(1-strike(H261:J261)))</f>
        <v>#NAME?</v>
      </c>
      <c r="L261" s="4">
        <v>97.5</v>
      </c>
      <c r="M261" s="6">
        <v>102.5</v>
      </c>
      <c r="N261" s="4">
        <v>102.5</v>
      </c>
      <c r="O261" s="4" t="e">
        <f t="array" aca="1" ref="O261">MAX(L261:N261*(1-strike(L261:N261)))</f>
        <v>#NAME?</v>
      </c>
      <c r="P261" s="4">
        <v>142.5</v>
      </c>
      <c r="Q261" s="4">
        <v>152.5</v>
      </c>
      <c r="R261" s="6">
        <v>157.5</v>
      </c>
      <c r="S261" s="4" t="e">
        <f t="array" aca="1" ref="S261">MAX(P261:R261*(1-strike(P261:R261)))</f>
        <v>#NAME?</v>
      </c>
      <c r="T261" s="4" t="e">
        <f t="shared" si="4"/>
        <v>#NAME?</v>
      </c>
      <c r="U261" s="4">
        <v>422.5</v>
      </c>
      <c r="V261" s="4">
        <v>492.63</v>
      </c>
      <c r="W261" s="4">
        <v>1</v>
      </c>
      <c r="X261" s="5">
        <v>2015</v>
      </c>
      <c r="Y261" s="5" t="s">
        <v>170</v>
      </c>
      <c r="Z261" s="5" t="s">
        <v>171</v>
      </c>
      <c r="AA261" s="5">
        <v>164</v>
      </c>
    </row>
    <row r="262" spans="1:27">
      <c r="A262" s="4">
        <v>4</v>
      </c>
      <c r="B262" s="4" t="s">
        <v>344</v>
      </c>
      <c r="C262" s="4">
        <v>1973</v>
      </c>
      <c r="D262" s="4" t="s">
        <v>163</v>
      </c>
      <c r="E262" s="4">
        <v>81.510000000000005</v>
      </c>
      <c r="F262" s="4">
        <v>0.90569999999999995</v>
      </c>
      <c r="G262" s="4">
        <v>6</v>
      </c>
      <c r="H262" s="4">
        <v>165</v>
      </c>
      <c r="I262" s="6">
        <v>172.5</v>
      </c>
      <c r="J262" s="6">
        <v>172.5</v>
      </c>
      <c r="K262" s="4" t="e">
        <f t="array" aca="1" ref="K262">MAX(H262:J262*(1-strike(H262:J262)))</f>
        <v>#NAME?</v>
      </c>
      <c r="L262" s="4">
        <v>95</v>
      </c>
      <c r="M262" s="4">
        <v>97.5</v>
      </c>
      <c r="N262" s="4">
        <v>100</v>
      </c>
      <c r="O262" s="4" t="e">
        <f t="array" aca="1" ref="O262">MAX(L262:N262*(1-strike(L262:N262)))</f>
        <v>#NAME?</v>
      </c>
      <c r="P262" s="4">
        <v>185</v>
      </c>
      <c r="Q262" s="4">
        <v>197.5</v>
      </c>
      <c r="R262" s="6">
        <v>202.5</v>
      </c>
      <c r="S262" s="4" t="e">
        <f t="array" aca="1" ref="S262">MAX(P262:R262*(1-strike(P262:R262)))</f>
        <v>#NAME?</v>
      </c>
      <c r="T262" s="4" t="e">
        <f t="shared" si="4"/>
        <v>#NAME?</v>
      </c>
      <c r="U262" s="4">
        <v>462.5</v>
      </c>
      <c r="V262" s="4">
        <v>418.89</v>
      </c>
      <c r="W262" s="4">
        <v>7</v>
      </c>
      <c r="X262" s="5">
        <v>2015</v>
      </c>
      <c r="Y262" s="5" t="s">
        <v>170</v>
      </c>
      <c r="Z262" s="5" t="s">
        <v>30</v>
      </c>
      <c r="AA262" s="5">
        <v>418</v>
      </c>
    </row>
    <row r="263" spans="1:27" ht="15" customHeight="1">
      <c r="A263" s="4">
        <v>2</v>
      </c>
      <c r="B263" s="4" t="s">
        <v>345</v>
      </c>
      <c r="C263" s="4">
        <v>1986</v>
      </c>
      <c r="D263" s="4" t="s">
        <v>74</v>
      </c>
      <c r="E263" s="4">
        <v>56.63</v>
      </c>
      <c r="F263" s="7">
        <v>11663</v>
      </c>
      <c r="G263" s="4">
        <v>10</v>
      </c>
      <c r="H263" s="6">
        <v>130</v>
      </c>
      <c r="I263" s="4">
        <v>130</v>
      </c>
      <c r="J263" s="4">
        <v>137.5</v>
      </c>
      <c r="K263" s="4" t="e">
        <f t="array" aca="1" ref="K263">MAX(H263:J263*(1-strike(H263:J263)))</f>
        <v>#NAME?</v>
      </c>
      <c r="L263" s="4">
        <v>90</v>
      </c>
      <c r="M263" s="4">
        <v>97.5</v>
      </c>
      <c r="N263" s="4">
        <v>100</v>
      </c>
      <c r="O263" s="4" t="e">
        <f t="array" aca="1" ref="O263">MAX(L263:N263*(1-strike(L263:N263)))</f>
        <v>#NAME?</v>
      </c>
      <c r="P263" s="4">
        <v>170</v>
      </c>
      <c r="Q263" s="6">
        <v>177.5</v>
      </c>
      <c r="R263" s="6">
        <v>177.5</v>
      </c>
      <c r="S263" s="4" t="e">
        <f t="array" aca="1" ref="S263">MAX(P263:R263*(1-strike(P263:R263)))</f>
        <v>#NAME?</v>
      </c>
      <c r="T263" s="4" t="e">
        <f t="shared" si="4"/>
        <v>#NAME?</v>
      </c>
      <c r="U263" s="4">
        <v>407.5</v>
      </c>
      <c r="V263" s="4">
        <v>475.27</v>
      </c>
      <c r="W263" s="4">
        <v>9</v>
      </c>
      <c r="X263" s="5">
        <v>2015</v>
      </c>
      <c r="Y263" s="5" t="s">
        <v>170</v>
      </c>
      <c r="Z263" s="5" t="s">
        <v>30</v>
      </c>
      <c r="AA263" s="5">
        <v>372</v>
      </c>
    </row>
    <row r="264" spans="1:27">
      <c r="A264" s="4">
        <v>2</v>
      </c>
      <c r="B264" s="4" t="s">
        <v>345</v>
      </c>
      <c r="C264" s="4">
        <v>1986</v>
      </c>
      <c r="D264" s="4" t="s">
        <v>74</v>
      </c>
      <c r="E264" s="4">
        <v>56.15</v>
      </c>
      <c r="F264" s="7">
        <v>11741</v>
      </c>
      <c r="G264" s="4">
        <v>7</v>
      </c>
      <c r="H264" s="4">
        <v>190</v>
      </c>
      <c r="I264" s="4">
        <v>200</v>
      </c>
      <c r="J264" s="4">
        <v>205</v>
      </c>
      <c r="K264" s="4" t="e">
        <f t="array" aca="1" ref="K264">MAX(H264:J264*(1-strike(H264:J264)))</f>
        <v>#NAME?</v>
      </c>
      <c r="L264" s="4">
        <v>120</v>
      </c>
      <c r="M264" s="4">
        <v>125</v>
      </c>
      <c r="N264" s="4">
        <v>130</v>
      </c>
      <c r="O264" s="4" t="e">
        <f t="array" aca="1" ref="O264">MAX(L264:N264*(1-strike(L264:N264)))</f>
        <v>#NAME?</v>
      </c>
      <c r="P264" s="6">
        <v>190</v>
      </c>
      <c r="Q264" s="4">
        <v>190</v>
      </c>
      <c r="R264" s="4">
        <v>195</v>
      </c>
      <c r="S264" s="4" t="e">
        <f t="array" aca="1" ref="S264">MAX(P264:R264*(1-strike(P264:R264)))</f>
        <v>#NAME?</v>
      </c>
      <c r="T264" s="4" t="e">
        <f t="shared" si="4"/>
        <v>#NAME?</v>
      </c>
      <c r="U264" s="4">
        <v>530</v>
      </c>
      <c r="V264" s="4">
        <v>622.27</v>
      </c>
      <c r="W264" s="4">
        <v>9</v>
      </c>
      <c r="X264" s="5">
        <v>2015</v>
      </c>
      <c r="Y264" s="5" t="s">
        <v>170</v>
      </c>
      <c r="Z264" s="5" t="s">
        <v>171</v>
      </c>
      <c r="AA264" s="5">
        <v>155</v>
      </c>
    </row>
    <row r="265" spans="1:27">
      <c r="A265" s="4">
        <v>16</v>
      </c>
      <c r="B265" s="4" t="s">
        <v>346</v>
      </c>
      <c r="C265" s="4">
        <v>1976</v>
      </c>
      <c r="D265" s="4" t="s">
        <v>80</v>
      </c>
      <c r="E265" s="4">
        <v>56.75</v>
      </c>
      <c r="F265" s="7">
        <v>11644</v>
      </c>
      <c r="G265" s="4">
        <v>1</v>
      </c>
      <c r="H265" s="4">
        <v>100</v>
      </c>
      <c r="I265" s="4">
        <v>110</v>
      </c>
      <c r="J265" s="4"/>
      <c r="K265" s="4" t="e">
        <f t="array" aca="1" ref="K265">MAX(H265:J265*(1-strike(H265:J265)))</f>
        <v>#NAME?</v>
      </c>
      <c r="L265" s="4">
        <v>60</v>
      </c>
      <c r="M265" s="6">
        <v>67.5</v>
      </c>
      <c r="N265" s="6">
        <v>67.5</v>
      </c>
      <c r="O265" s="4" t="e">
        <f t="array" aca="1" ref="O265">MAX(L265:N265*(1-strike(L265:N265)))</f>
        <v>#NAME?</v>
      </c>
      <c r="P265" s="4">
        <v>45</v>
      </c>
      <c r="Q265" s="4">
        <v>57.5</v>
      </c>
      <c r="R265" s="4">
        <v>90</v>
      </c>
      <c r="S265" s="4" t="e">
        <f t="array" aca="1" ref="S265">MAX(P265:R265*(1-strike(P265:R265)))</f>
        <v>#NAME?</v>
      </c>
      <c r="T265" s="4" t="e">
        <f t="shared" si="4"/>
        <v>#NAME?</v>
      </c>
      <c r="U265" s="4">
        <v>260</v>
      </c>
      <c r="V265" s="4">
        <v>302.74</v>
      </c>
      <c r="W265" s="4">
        <v>1</v>
      </c>
      <c r="X265" s="5">
        <v>2015</v>
      </c>
      <c r="Y265" s="5" t="s">
        <v>170</v>
      </c>
      <c r="Z265" s="5" t="s">
        <v>30</v>
      </c>
      <c r="AA265" s="5">
        <v>386</v>
      </c>
    </row>
    <row r="266" spans="1:27">
      <c r="A266" s="4">
        <v>2</v>
      </c>
      <c r="B266" s="4" t="s">
        <v>347</v>
      </c>
      <c r="C266" s="4">
        <v>1991</v>
      </c>
      <c r="D266" s="4" t="s">
        <v>83</v>
      </c>
      <c r="E266" s="4">
        <v>79.28</v>
      </c>
      <c r="F266" s="4">
        <v>0.91969999999999996</v>
      </c>
      <c r="G266" s="4">
        <v>3</v>
      </c>
      <c r="H266" s="4">
        <v>177.5</v>
      </c>
      <c r="I266" s="4">
        <v>185</v>
      </c>
      <c r="J266" s="4">
        <v>192.5</v>
      </c>
      <c r="K266" s="4" t="e">
        <f t="array" aca="1" ref="K266">MAX(H266:J266*(1-strike(H266:J266)))</f>
        <v>#NAME?</v>
      </c>
      <c r="L266" s="4">
        <v>85</v>
      </c>
      <c r="M266" s="4">
        <v>90</v>
      </c>
      <c r="N266" s="4">
        <v>92.5</v>
      </c>
      <c r="O266" s="4" t="e">
        <f t="array" aca="1" ref="O266">MAX(L266:N266*(1-strike(L266:N266)))</f>
        <v>#NAME?</v>
      </c>
      <c r="P266" s="4">
        <v>190</v>
      </c>
      <c r="Q266" s="4">
        <v>200</v>
      </c>
      <c r="R266" s="4">
        <v>207.5</v>
      </c>
      <c r="S266" s="4" t="e">
        <f t="array" aca="1" ref="S266">MAX(P266:R266*(1-strike(P266:R266)))</f>
        <v>#NAME?</v>
      </c>
      <c r="T266" s="4" t="e">
        <f t="shared" si="4"/>
        <v>#NAME?</v>
      </c>
      <c r="U266" s="4">
        <v>492.5</v>
      </c>
      <c r="V266" s="4">
        <v>452.95</v>
      </c>
      <c r="W266" s="4">
        <v>9</v>
      </c>
      <c r="X266" s="5">
        <v>2015</v>
      </c>
      <c r="Y266" s="5" t="s">
        <v>170</v>
      </c>
      <c r="Z266" s="5" t="s">
        <v>30</v>
      </c>
      <c r="AA266" s="5">
        <v>416</v>
      </c>
    </row>
    <row r="267" spans="1:27">
      <c r="A267" s="3" t="s">
        <v>37</v>
      </c>
      <c r="B267" s="3" t="s">
        <v>348</v>
      </c>
      <c r="C267" s="3">
        <v>1968</v>
      </c>
      <c r="D267" s="3" t="s">
        <v>349</v>
      </c>
      <c r="E267" s="3">
        <v>92.41</v>
      </c>
      <c r="F267" s="3">
        <v>0.63009999999999999</v>
      </c>
      <c r="G267" s="3">
        <v>13</v>
      </c>
      <c r="H267" s="1">
        <v>350</v>
      </c>
      <c r="I267" s="1">
        <v>350</v>
      </c>
      <c r="J267" s="1">
        <v>350</v>
      </c>
      <c r="K267" s="4" t="e">
        <f t="array" aca="1" ref="K267">MAX(H267:J267*(1-strike(H267:J267)))</f>
        <v>#NAME?</v>
      </c>
      <c r="L267" s="1">
        <v>220</v>
      </c>
      <c r="M267" s="1">
        <v>220</v>
      </c>
      <c r="N267" s="3"/>
      <c r="O267" s="4" t="e">
        <f t="array" aca="1" ref="O267">MAX(L267:N267*(1-strike(L267:N267)))</f>
        <v>#NAME?</v>
      </c>
      <c r="P267" s="3"/>
      <c r="Q267" s="3"/>
      <c r="R267" s="3"/>
      <c r="S267" s="4" t="e">
        <f t="array" aca="1" ref="S267">MAX(P267:R267*(1-strike(P267:R267)))</f>
        <v>#NAME?</v>
      </c>
      <c r="T267" s="4" t="e">
        <f t="shared" si="4"/>
        <v>#NAME?</v>
      </c>
      <c r="U267" s="3" t="s">
        <v>40</v>
      </c>
      <c r="V267" s="3" t="s">
        <v>37</v>
      </c>
      <c r="W267" s="3" t="s">
        <v>37</v>
      </c>
      <c r="X267" s="5">
        <v>2013</v>
      </c>
      <c r="Y267" s="5" t="s">
        <v>29</v>
      </c>
      <c r="Z267" s="5" t="s">
        <v>171</v>
      </c>
      <c r="AA267" s="5">
        <v>880</v>
      </c>
    </row>
    <row r="268" spans="1:27">
      <c r="A268" s="3" t="s">
        <v>37</v>
      </c>
      <c r="B268" s="3" t="s">
        <v>350</v>
      </c>
      <c r="C268" s="3">
        <v>1972</v>
      </c>
      <c r="D268" s="3" t="s">
        <v>349</v>
      </c>
      <c r="E268" s="3">
        <v>99.85</v>
      </c>
      <c r="F268" s="3">
        <v>0.60899999999999999</v>
      </c>
      <c r="G268" s="3">
        <v>14</v>
      </c>
      <c r="H268" s="1">
        <v>100</v>
      </c>
      <c r="I268" s="3"/>
      <c r="J268" s="3"/>
      <c r="K268" s="4" t="e">
        <f t="array" aca="1" ref="K268">MAX(H268:J268*(1-strike(H268:J268)))</f>
        <v>#NAME?</v>
      </c>
      <c r="L268" s="1">
        <v>215</v>
      </c>
      <c r="M268" s="1">
        <v>215</v>
      </c>
      <c r="N268" s="1">
        <v>215</v>
      </c>
      <c r="O268" s="4" t="e">
        <f t="array" aca="1" ref="O268">MAX(L268:N268*(1-strike(L268:N268)))</f>
        <v>#NAME?</v>
      </c>
      <c r="P268" s="3"/>
      <c r="Q268" s="3"/>
      <c r="R268" s="3"/>
      <c r="S268" s="4" t="e">
        <f t="array" aca="1" ref="S268">MAX(P268:R268*(1-strike(P268:R268)))</f>
        <v>#NAME?</v>
      </c>
      <c r="T268" s="4" t="e">
        <f t="shared" si="4"/>
        <v>#NAME?</v>
      </c>
      <c r="U268" s="3" t="s">
        <v>40</v>
      </c>
      <c r="V268" s="3" t="s">
        <v>37</v>
      </c>
      <c r="W268" s="3" t="s">
        <v>37</v>
      </c>
      <c r="X268" s="5">
        <v>2013</v>
      </c>
      <c r="Y268" s="5" t="s">
        <v>29</v>
      </c>
      <c r="Z268" s="5" t="s">
        <v>171</v>
      </c>
      <c r="AA268" s="5">
        <v>893</v>
      </c>
    </row>
    <row r="269" spans="1:27">
      <c r="A269" s="4">
        <v>5</v>
      </c>
      <c r="B269" s="4" t="s">
        <v>351</v>
      </c>
      <c r="C269" s="4">
        <v>1987</v>
      </c>
      <c r="D269" s="4" t="s">
        <v>352</v>
      </c>
      <c r="E269" s="4">
        <v>92.48</v>
      </c>
      <c r="F269" s="4">
        <v>0.62990000000000002</v>
      </c>
      <c r="G269" s="4">
        <v>13</v>
      </c>
      <c r="H269" s="4">
        <v>260</v>
      </c>
      <c r="I269" s="4">
        <v>270</v>
      </c>
      <c r="J269" s="4">
        <v>275</v>
      </c>
      <c r="K269" s="4" t="e">
        <f t="array" aca="1" ref="K269">MAX(H269:J269*(1-strike(H269:J269)))</f>
        <v>#NAME?</v>
      </c>
      <c r="L269" s="4">
        <v>200</v>
      </c>
      <c r="M269" s="4">
        <v>207.5</v>
      </c>
      <c r="N269" s="6">
        <v>210</v>
      </c>
      <c r="O269" s="4" t="e">
        <f t="array" aca="1" ref="O269">MAX(L269:N269*(1-strike(L269:N269)))</f>
        <v>#NAME?</v>
      </c>
      <c r="P269" s="4">
        <v>280</v>
      </c>
      <c r="Q269" s="4">
        <v>300</v>
      </c>
      <c r="R269" s="4"/>
      <c r="S269" s="4" t="e">
        <f t="array" aca="1" ref="S269">MAX(P269:R269*(1-strike(P269:R269)))</f>
        <v>#NAME?</v>
      </c>
      <c r="T269" s="4" t="e">
        <f t="shared" si="4"/>
        <v>#NAME?</v>
      </c>
      <c r="U269" s="4">
        <v>782.5</v>
      </c>
      <c r="V269" s="4">
        <v>492.9</v>
      </c>
      <c r="W269" s="4">
        <v>6</v>
      </c>
      <c r="X269" s="5">
        <v>2015</v>
      </c>
      <c r="Y269" s="5" t="s">
        <v>29</v>
      </c>
      <c r="Z269" s="5" t="s">
        <v>30</v>
      </c>
      <c r="AA269" s="5">
        <v>277</v>
      </c>
    </row>
    <row r="270" spans="1:27">
      <c r="A270" s="3">
        <v>8</v>
      </c>
      <c r="B270" s="3" t="s">
        <v>353</v>
      </c>
      <c r="C270" s="3">
        <v>1989</v>
      </c>
      <c r="D270" s="3" t="s">
        <v>349</v>
      </c>
      <c r="E270" s="3">
        <v>118.95</v>
      </c>
      <c r="F270" s="3">
        <v>0.57609999999999995</v>
      </c>
      <c r="G270" s="3">
        <v>14</v>
      </c>
      <c r="H270" s="3">
        <v>300</v>
      </c>
      <c r="I270" s="3">
        <v>350</v>
      </c>
      <c r="J270" s="1">
        <v>360</v>
      </c>
      <c r="K270" s="4" t="e">
        <f t="array" aca="1" ref="K270">MAX(H270:J270*(1-strike(H270:J270)))</f>
        <v>#NAME?</v>
      </c>
      <c r="L270" s="3">
        <v>200</v>
      </c>
      <c r="M270" s="3">
        <v>220</v>
      </c>
      <c r="N270" s="1">
        <v>240</v>
      </c>
      <c r="O270" s="4" t="e">
        <f t="array" aca="1" ref="O270">MAX(L270:N270*(1-strike(L270:N270)))</f>
        <v>#NAME?</v>
      </c>
      <c r="P270" s="3">
        <v>300</v>
      </c>
      <c r="Q270" s="1">
        <v>330</v>
      </c>
      <c r="R270" s="3">
        <v>335</v>
      </c>
      <c r="S270" s="4" t="e">
        <f t="array" aca="1" ref="S270">MAX(P270:R270*(1-strike(P270:R270)))</f>
        <v>#NAME?</v>
      </c>
      <c r="T270" s="4" t="e">
        <f t="shared" si="4"/>
        <v>#NAME?</v>
      </c>
      <c r="U270" s="3">
        <v>905</v>
      </c>
      <c r="V270" s="3">
        <v>521.37</v>
      </c>
      <c r="W270" s="3">
        <v>3</v>
      </c>
      <c r="X270" s="5">
        <v>2013</v>
      </c>
      <c r="Y270" s="5" t="s">
        <v>29</v>
      </c>
      <c r="Z270" s="5" t="s">
        <v>171</v>
      </c>
      <c r="AA270" s="5">
        <v>902</v>
      </c>
    </row>
    <row r="271" spans="1:27">
      <c r="A271" s="3">
        <v>13</v>
      </c>
      <c r="B271" s="3" t="s">
        <v>354</v>
      </c>
      <c r="C271" s="3">
        <v>1985</v>
      </c>
      <c r="D271" s="3" t="s">
        <v>349</v>
      </c>
      <c r="E271" s="3">
        <v>117.14</v>
      </c>
      <c r="F271" s="3">
        <v>0.57830000000000004</v>
      </c>
      <c r="G271" s="3">
        <v>9</v>
      </c>
      <c r="H271" s="3">
        <v>250</v>
      </c>
      <c r="I271" s="3">
        <v>300</v>
      </c>
      <c r="J271" s="1">
        <v>330</v>
      </c>
      <c r="K271" s="4" t="e">
        <f t="array" aca="1" ref="K271">MAX(H271:J271*(1-strike(H271:J271)))</f>
        <v>#NAME?</v>
      </c>
      <c r="L271" s="3">
        <v>240</v>
      </c>
      <c r="M271" s="1">
        <v>265</v>
      </c>
      <c r="N271" s="1">
        <v>265</v>
      </c>
      <c r="O271" s="4" t="e">
        <f t="array" aca="1" ref="O271">MAX(L271:N271*(1-strike(L271:N271)))</f>
        <v>#NAME?</v>
      </c>
      <c r="P271" s="3">
        <v>280</v>
      </c>
      <c r="Q271" s="3">
        <v>310</v>
      </c>
      <c r="R271" s="1">
        <v>320</v>
      </c>
      <c r="S271" s="4" t="e">
        <f t="array" aca="1" ref="S271">MAX(P271:R271*(1-strike(P271:R271)))</f>
        <v>#NAME?</v>
      </c>
      <c r="T271" s="4" t="e">
        <f t="shared" si="4"/>
        <v>#NAME?</v>
      </c>
      <c r="U271" s="3">
        <v>850</v>
      </c>
      <c r="V271" s="3">
        <v>491.56</v>
      </c>
      <c r="W271" s="3">
        <v>1</v>
      </c>
      <c r="X271" s="5">
        <v>2013</v>
      </c>
      <c r="Y271" s="5" t="s">
        <v>29</v>
      </c>
      <c r="Z271" s="5" t="s">
        <v>171</v>
      </c>
      <c r="AA271" s="5">
        <v>907</v>
      </c>
    </row>
    <row r="272" spans="1:27">
      <c r="A272" s="3">
        <v>12</v>
      </c>
      <c r="B272" s="3" t="s">
        <v>355</v>
      </c>
      <c r="C272" s="3">
        <v>1982</v>
      </c>
      <c r="D272" s="3" t="s">
        <v>77</v>
      </c>
      <c r="E272" s="3">
        <v>101.37</v>
      </c>
      <c r="F272" s="3">
        <v>0.60540000000000005</v>
      </c>
      <c r="G272" s="3">
        <v>19</v>
      </c>
      <c r="H272" s="1">
        <v>310</v>
      </c>
      <c r="I272" s="3">
        <v>310</v>
      </c>
      <c r="J272" s="3">
        <v>325</v>
      </c>
      <c r="K272" s="4" t="e">
        <f t="array" aca="1" ref="K272">MAX(H272:J272*(1-strike(H272:J272)))</f>
        <v>#NAME?</v>
      </c>
      <c r="L272" s="3">
        <v>235</v>
      </c>
      <c r="M272" s="3">
        <v>240</v>
      </c>
      <c r="N272" s="3">
        <v>245</v>
      </c>
      <c r="O272" s="4" t="e">
        <f t="array" aca="1" ref="O272">MAX(L272:N272*(1-strike(L272:N272)))</f>
        <v>#NAME?</v>
      </c>
      <c r="P272" s="3">
        <v>260</v>
      </c>
      <c r="Q272" s="3">
        <v>280</v>
      </c>
      <c r="R272" s="3">
        <v>300</v>
      </c>
      <c r="S272" s="4" t="e">
        <f t="array" aca="1" ref="S272">MAX(P272:R272*(1-strike(P272:R272)))</f>
        <v>#NAME?</v>
      </c>
      <c r="T272" s="4" t="e">
        <f t="shared" si="4"/>
        <v>#NAME?</v>
      </c>
      <c r="U272" s="3">
        <v>870</v>
      </c>
      <c r="V272" s="3">
        <v>526.66</v>
      </c>
      <c r="W272" s="3">
        <v>1</v>
      </c>
      <c r="X272" s="5">
        <v>2012</v>
      </c>
      <c r="Y272" s="5" t="s">
        <v>29</v>
      </c>
      <c r="Z272" s="5" t="s">
        <v>171</v>
      </c>
      <c r="AA272" s="5">
        <v>1289</v>
      </c>
    </row>
    <row r="273" spans="1:27">
      <c r="A273" s="3">
        <v>9</v>
      </c>
      <c r="B273" s="3" t="s">
        <v>355</v>
      </c>
      <c r="C273" s="3">
        <v>1982</v>
      </c>
      <c r="D273" s="3" t="s">
        <v>77</v>
      </c>
      <c r="E273" s="3">
        <v>102.14</v>
      </c>
      <c r="F273" s="3">
        <v>0.60360000000000003</v>
      </c>
      <c r="G273" s="3">
        <v>12</v>
      </c>
      <c r="H273" s="3">
        <v>315</v>
      </c>
      <c r="I273" s="1">
        <v>330</v>
      </c>
      <c r="J273" s="3">
        <v>330</v>
      </c>
      <c r="K273" s="4" t="e">
        <f t="array" aca="1" ref="K273">MAX(H273:J273*(1-strike(H273:J273)))</f>
        <v>#NAME?</v>
      </c>
      <c r="L273" s="3">
        <v>250</v>
      </c>
      <c r="M273" s="3">
        <v>260</v>
      </c>
      <c r="N273" s="1">
        <v>270</v>
      </c>
      <c r="O273" s="4" t="e">
        <f t="array" aca="1" ref="O273">MAX(L273:N273*(1-strike(L273:N273)))</f>
        <v>#NAME?</v>
      </c>
      <c r="P273" s="3">
        <v>270</v>
      </c>
      <c r="Q273" s="1">
        <v>290</v>
      </c>
      <c r="R273" s="3">
        <v>290</v>
      </c>
      <c r="S273" s="4" t="e">
        <f t="array" aca="1" ref="S273">MAX(P273:R273*(1-strike(P273:R273)))</f>
        <v>#NAME?</v>
      </c>
      <c r="T273" s="4" t="e">
        <f t="shared" si="4"/>
        <v>#NAME?</v>
      </c>
      <c r="U273" s="3">
        <v>880</v>
      </c>
      <c r="V273" s="3">
        <v>531.16999999999996</v>
      </c>
      <c r="W273" s="3">
        <v>2</v>
      </c>
      <c r="X273" s="5">
        <v>2013</v>
      </c>
      <c r="Y273" s="5" t="s">
        <v>29</v>
      </c>
      <c r="Z273" s="5" t="s">
        <v>171</v>
      </c>
      <c r="AA273" s="5">
        <v>890</v>
      </c>
    </row>
    <row r="274" spans="1:27" ht="15" customHeight="1">
      <c r="A274" s="4">
        <v>11</v>
      </c>
      <c r="B274" s="4" t="s">
        <v>355</v>
      </c>
      <c r="C274" s="4">
        <v>1982</v>
      </c>
      <c r="D274" s="4" t="s">
        <v>77</v>
      </c>
      <c r="E274" s="4">
        <v>102.02</v>
      </c>
      <c r="F274" s="4">
        <v>0.60389999999999999</v>
      </c>
      <c r="G274" s="4">
        <v>2</v>
      </c>
      <c r="H274" s="6">
        <v>315</v>
      </c>
      <c r="I274" s="6">
        <v>315</v>
      </c>
      <c r="J274" s="4">
        <v>315</v>
      </c>
      <c r="K274" s="4" t="e">
        <f t="array" aca="1" ref="K274">MAX(H274:J274*(1-strike(H274:J274)))</f>
        <v>#NAME?</v>
      </c>
      <c r="L274" s="4">
        <v>255</v>
      </c>
      <c r="M274" s="6">
        <v>262.5</v>
      </c>
      <c r="N274" s="6">
        <v>262.5</v>
      </c>
      <c r="O274" s="4" t="e">
        <f t="array" aca="1" ref="O274">MAX(L274:N274*(1-strike(L274:N274)))</f>
        <v>#NAME?</v>
      </c>
      <c r="P274" s="4">
        <v>270</v>
      </c>
      <c r="Q274" s="4">
        <v>285</v>
      </c>
      <c r="R274" s="6">
        <v>302.5</v>
      </c>
      <c r="S274" s="4" t="e">
        <f t="array" aca="1" ref="S274">MAX(P274:R274*(1-strike(P274:R274)))</f>
        <v>#NAME?</v>
      </c>
      <c r="T274" s="4" t="e">
        <f t="shared" si="4"/>
        <v>#NAME?</v>
      </c>
      <c r="U274" s="4">
        <v>855</v>
      </c>
      <c r="V274" s="4">
        <v>516.33000000000004</v>
      </c>
      <c r="W274" s="4">
        <v>1</v>
      </c>
      <c r="X274" s="5">
        <v>2014</v>
      </c>
      <c r="Y274" s="5" t="s">
        <v>29</v>
      </c>
      <c r="Z274" s="5" t="s">
        <v>171</v>
      </c>
      <c r="AA274" s="5">
        <v>523</v>
      </c>
    </row>
    <row r="275" spans="1:27">
      <c r="A275" s="4">
        <v>12</v>
      </c>
      <c r="B275" s="4" t="s">
        <v>355</v>
      </c>
      <c r="C275" s="4">
        <v>1982</v>
      </c>
      <c r="D275" s="4" t="s">
        <v>77</v>
      </c>
      <c r="E275" s="4">
        <v>102.69</v>
      </c>
      <c r="F275" s="4">
        <v>0.60240000000000005</v>
      </c>
      <c r="G275" s="4">
        <v>21</v>
      </c>
      <c r="H275" s="6">
        <v>325</v>
      </c>
      <c r="I275" s="4">
        <v>325</v>
      </c>
      <c r="J275" s="4">
        <v>340</v>
      </c>
      <c r="K275" s="4" t="e">
        <f t="array" aca="1" ref="K275">MAX(H275:J275*(1-strike(H275:J275)))</f>
        <v>#NAME?</v>
      </c>
      <c r="L275" s="4">
        <v>255</v>
      </c>
      <c r="M275" s="4">
        <v>262.5</v>
      </c>
      <c r="N275" s="4">
        <v>270</v>
      </c>
      <c r="O275" s="4" t="e">
        <f t="array" aca="1" ref="O275">MAX(L275:N275*(1-strike(L275:N275)))</f>
        <v>#NAME?</v>
      </c>
      <c r="P275" s="4">
        <v>262.5</v>
      </c>
      <c r="Q275" s="4">
        <v>282.5</v>
      </c>
      <c r="R275" s="4">
        <v>302.5</v>
      </c>
      <c r="S275" s="4" t="e">
        <f t="array" aca="1" ref="S275">MAX(P275:R275*(1-strike(P275:R275)))</f>
        <v>#NAME?</v>
      </c>
      <c r="T275" s="4" t="e">
        <f t="shared" si="4"/>
        <v>#NAME?</v>
      </c>
      <c r="U275" s="4">
        <v>912.5</v>
      </c>
      <c r="V275" s="4">
        <v>549.69000000000005</v>
      </c>
      <c r="W275" s="4">
        <v>1</v>
      </c>
      <c r="X275" s="5">
        <v>2015</v>
      </c>
      <c r="Y275" s="5" t="s">
        <v>29</v>
      </c>
      <c r="Z275" s="5" t="s">
        <v>171</v>
      </c>
      <c r="AA275" s="5">
        <v>84</v>
      </c>
    </row>
    <row r="276" spans="1:27">
      <c r="A276" s="3">
        <v>11</v>
      </c>
      <c r="B276" s="3" t="s">
        <v>356</v>
      </c>
      <c r="C276" s="3">
        <v>1978</v>
      </c>
      <c r="D276" s="3" t="s">
        <v>357</v>
      </c>
      <c r="E276" s="3">
        <v>84.95</v>
      </c>
      <c r="F276" s="3">
        <v>0.65849999999999997</v>
      </c>
      <c r="G276" s="3">
        <v>0</v>
      </c>
      <c r="H276" s="1">
        <v>140</v>
      </c>
      <c r="I276" s="3">
        <v>140</v>
      </c>
      <c r="J276" s="3">
        <v>160</v>
      </c>
      <c r="K276" s="4" t="e">
        <f t="array" aca="1" ref="K276">MAX(H276:J276*(1-strike(H276:J276)))</f>
        <v>#NAME?</v>
      </c>
      <c r="L276" s="3">
        <v>170</v>
      </c>
      <c r="M276" s="3">
        <v>180</v>
      </c>
      <c r="N276" s="1">
        <v>185</v>
      </c>
      <c r="O276" s="4" t="e">
        <f t="array" aca="1" ref="O276">MAX(L276:N276*(1-strike(L276:N276)))</f>
        <v>#NAME?</v>
      </c>
      <c r="P276" s="3">
        <v>180</v>
      </c>
      <c r="Q276" s="1">
        <v>200</v>
      </c>
      <c r="R276" s="3"/>
      <c r="S276" s="4" t="e">
        <f t="array" aca="1" ref="S276">MAX(P276:R276*(1-strike(P276:R276)))</f>
        <v>#NAME?</v>
      </c>
      <c r="T276" s="4" t="e">
        <f t="shared" si="4"/>
        <v>#NAME?</v>
      </c>
      <c r="U276" s="3">
        <v>520</v>
      </c>
      <c r="V276" s="3">
        <v>342.45</v>
      </c>
      <c r="W276" s="3">
        <v>1</v>
      </c>
      <c r="X276" s="5">
        <v>2013</v>
      </c>
      <c r="Y276" s="5" t="s">
        <v>29</v>
      </c>
      <c r="Z276" s="5" t="s">
        <v>30</v>
      </c>
      <c r="AA276" s="5">
        <v>1066</v>
      </c>
    </row>
    <row r="277" spans="1:27">
      <c r="A277" s="4">
        <v>12</v>
      </c>
      <c r="B277" s="4" t="s">
        <v>356</v>
      </c>
      <c r="C277" s="4">
        <v>1978</v>
      </c>
      <c r="D277" s="4" t="s">
        <v>357</v>
      </c>
      <c r="E277" s="4">
        <v>81.45</v>
      </c>
      <c r="F277" s="4">
        <v>0.67520000000000002</v>
      </c>
      <c r="G277" s="4">
        <v>19</v>
      </c>
      <c r="H277" s="4">
        <v>140</v>
      </c>
      <c r="I277" s="6">
        <v>142.5</v>
      </c>
      <c r="J277" s="6">
        <v>142.5</v>
      </c>
      <c r="K277" s="4" t="e">
        <f t="array" aca="1" ref="K277">MAX(H277:J277*(1-strike(H277:J277)))</f>
        <v>#NAME?</v>
      </c>
      <c r="L277" s="4">
        <v>175</v>
      </c>
      <c r="M277" s="6">
        <v>182.5</v>
      </c>
      <c r="N277" s="6">
        <v>182.5</v>
      </c>
      <c r="O277" s="4" t="e">
        <f t="array" aca="1" ref="O277">MAX(L277:N277*(1-strike(L277:N277)))</f>
        <v>#NAME?</v>
      </c>
      <c r="P277" s="4">
        <v>160</v>
      </c>
      <c r="Q277" s="6">
        <v>162.5</v>
      </c>
      <c r="R277" s="6">
        <v>162.5</v>
      </c>
      <c r="S277" s="4" t="e">
        <f t="array" aca="1" ref="S277">MAX(P277:R277*(1-strike(P277:R277)))</f>
        <v>#NAME?</v>
      </c>
      <c r="T277" s="4" t="e">
        <f t="shared" si="4"/>
        <v>#NAME?</v>
      </c>
      <c r="U277" s="4">
        <v>475</v>
      </c>
      <c r="V277" s="4">
        <v>320.7</v>
      </c>
      <c r="W277" s="4">
        <v>1</v>
      </c>
      <c r="X277" s="5">
        <v>2014</v>
      </c>
      <c r="Y277" s="5" t="s">
        <v>29</v>
      </c>
      <c r="Z277" s="5" t="s">
        <v>30</v>
      </c>
      <c r="AA277" s="5">
        <v>694</v>
      </c>
    </row>
    <row r="278" spans="1:27">
      <c r="A278" s="4">
        <v>1</v>
      </c>
      <c r="B278" s="4" t="s">
        <v>27</v>
      </c>
      <c r="C278" s="4">
        <v>1970</v>
      </c>
      <c r="D278" s="4" t="s">
        <v>28</v>
      </c>
      <c r="E278" s="4">
        <v>65.900000000000006</v>
      </c>
      <c r="F278" s="4">
        <v>0.78620000000000001</v>
      </c>
      <c r="G278" s="4">
        <v>10</v>
      </c>
      <c r="H278" s="4">
        <v>230</v>
      </c>
      <c r="I278" s="4">
        <v>240</v>
      </c>
      <c r="J278" s="6">
        <v>242.5</v>
      </c>
      <c r="K278" s="4" t="e">
        <f t="array" aca="1" ref="K278">MAX(H278:J278*(1-strike(H278:J278)))</f>
        <v>#NAME?</v>
      </c>
      <c r="L278" s="4">
        <v>132.5</v>
      </c>
      <c r="M278" s="4">
        <v>137.5</v>
      </c>
      <c r="N278" s="6">
        <v>140</v>
      </c>
      <c r="O278" s="4" t="e">
        <f t="array" aca="1" ref="O278">MAX(L278:N278*(1-strike(L278:N278)))</f>
        <v>#NAME?</v>
      </c>
      <c r="P278" s="4">
        <v>252.5</v>
      </c>
      <c r="Q278" s="4">
        <v>265</v>
      </c>
      <c r="R278" s="6">
        <v>270</v>
      </c>
      <c r="S278" s="4" t="e">
        <f t="array" aca="1" ref="S278">MAX(P278:R278*(1-strike(P278:R278)))</f>
        <v>#NAME?</v>
      </c>
      <c r="T278" s="4" t="e">
        <f t="shared" si="4"/>
        <v>#NAME?</v>
      </c>
      <c r="U278" s="4">
        <v>642.5</v>
      </c>
      <c r="V278" s="4">
        <v>505.13</v>
      </c>
      <c r="W278" s="4">
        <v>12</v>
      </c>
      <c r="X278" s="5">
        <v>2014</v>
      </c>
      <c r="Y278" s="5" t="s">
        <v>29</v>
      </c>
      <c r="Z278" s="5" t="s">
        <v>30</v>
      </c>
      <c r="AA278" s="5">
        <v>657</v>
      </c>
    </row>
    <row r="279" spans="1:27">
      <c r="A279" s="3">
        <v>9</v>
      </c>
      <c r="B279" s="3" t="s">
        <v>358</v>
      </c>
      <c r="C279" s="3">
        <v>1991</v>
      </c>
      <c r="D279" s="3" t="s">
        <v>359</v>
      </c>
      <c r="E279" s="3">
        <v>82.12</v>
      </c>
      <c r="F279" s="3">
        <v>0.67179999999999995</v>
      </c>
      <c r="G279" s="3">
        <v>1</v>
      </c>
      <c r="H279" s="3">
        <v>230</v>
      </c>
      <c r="I279" s="3">
        <v>250</v>
      </c>
      <c r="J279" s="3">
        <v>265</v>
      </c>
      <c r="K279" s="4" t="e">
        <f t="array" aca="1" ref="K279">MAX(H279:J279*(1-strike(H279:J279)))</f>
        <v>#NAME?</v>
      </c>
      <c r="L279" s="3">
        <v>160</v>
      </c>
      <c r="M279" s="3">
        <v>182.5</v>
      </c>
      <c r="N279" s="3">
        <v>195</v>
      </c>
      <c r="O279" s="4" t="e">
        <f t="array" aca="1" ref="O279">MAX(L279:N279*(1-strike(L279:N279)))</f>
        <v>#NAME?</v>
      </c>
      <c r="P279" s="3">
        <v>230</v>
      </c>
      <c r="Q279" s="1">
        <v>250</v>
      </c>
      <c r="R279" s="3">
        <v>250</v>
      </c>
      <c r="S279" s="4" t="e">
        <f t="array" aca="1" ref="S279">MAX(P279:R279*(1-strike(P279:R279)))</f>
        <v>#NAME?</v>
      </c>
      <c r="T279" s="4" t="e">
        <f t="shared" si="4"/>
        <v>#NAME?</v>
      </c>
      <c r="U279" s="3">
        <v>710</v>
      </c>
      <c r="V279" s="3">
        <v>476.98</v>
      </c>
      <c r="W279" s="3">
        <v>2</v>
      </c>
      <c r="X279" s="5">
        <v>2013</v>
      </c>
      <c r="Y279" s="5" t="s">
        <v>29</v>
      </c>
      <c r="Z279" s="5" t="s">
        <v>171</v>
      </c>
      <c r="AA279" s="5">
        <v>860</v>
      </c>
    </row>
    <row r="280" spans="1:27">
      <c r="A280" s="4" t="s">
        <v>37</v>
      </c>
      <c r="B280" s="4" t="s">
        <v>360</v>
      </c>
      <c r="C280" s="4">
        <v>1993</v>
      </c>
      <c r="D280" s="4" t="s">
        <v>39</v>
      </c>
      <c r="E280" s="4">
        <v>82.48</v>
      </c>
      <c r="F280" s="4">
        <v>0.66990000000000005</v>
      </c>
      <c r="G280" s="4">
        <v>17</v>
      </c>
      <c r="H280" s="4">
        <v>330</v>
      </c>
      <c r="I280" s="6">
        <v>350</v>
      </c>
      <c r="J280" s="6">
        <v>350</v>
      </c>
      <c r="K280" s="4" t="e">
        <f t="array" aca="1" ref="K280">MAX(H280:J280*(1-strike(H280:J280)))</f>
        <v>#NAME?</v>
      </c>
      <c r="L280" s="4">
        <v>230</v>
      </c>
      <c r="M280" s="6">
        <v>240</v>
      </c>
      <c r="N280" s="4">
        <v>240</v>
      </c>
      <c r="O280" s="4" t="e">
        <f t="array" aca="1" ref="O280">MAX(L280:N280*(1-strike(L280:N280)))</f>
        <v>#NAME?</v>
      </c>
      <c r="P280" s="4">
        <v>310</v>
      </c>
      <c r="Q280" s="4">
        <v>330</v>
      </c>
      <c r="R280" s="6">
        <v>337.5</v>
      </c>
      <c r="S280" s="4" t="e">
        <f t="array" aca="1" ref="S280">MAX(P280:R280*(1-strike(P280:R280)))</f>
        <v>#NAME?</v>
      </c>
      <c r="T280" s="4" t="e">
        <f t="shared" si="4"/>
        <v>#NAME?</v>
      </c>
      <c r="U280" s="4" t="s">
        <v>361</v>
      </c>
      <c r="V280" s="4" t="s">
        <v>37</v>
      </c>
      <c r="W280" s="4" t="s">
        <v>37</v>
      </c>
      <c r="X280" s="5">
        <v>2014</v>
      </c>
      <c r="Y280" s="5" t="s">
        <v>29</v>
      </c>
      <c r="Z280" s="5" t="s">
        <v>171</v>
      </c>
      <c r="AA280" s="5">
        <v>491</v>
      </c>
    </row>
    <row r="281" spans="1:27">
      <c r="A281" s="3">
        <v>10</v>
      </c>
      <c r="B281" s="3" t="s">
        <v>362</v>
      </c>
      <c r="C281" s="3">
        <v>1978</v>
      </c>
      <c r="D281" s="3" t="s">
        <v>77</v>
      </c>
      <c r="E281" s="3">
        <v>87.76</v>
      </c>
      <c r="F281" s="3">
        <v>0.64690000000000003</v>
      </c>
      <c r="G281" s="3">
        <v>20</v>
      </c>
      <c r="H281" s="3">
        <v>280</v>
      </c>
      <c r="I281" s="3">
        <v>300</v>
      </c>
      <c r="J281" s="3">
        <v>310</v>
      </c>
      <c r="K281" s="4" t="e">
        <f t="array" aca="1" ref="K281">MAX(H281:J281*(1-strike(H281:J281)))</f>
        <v>#NAME?</v>
      </c>
      <c r="L281" s="3">
        <v>215</v>
      </c>
      <c r="M281" s="3">
        <v>225</v>
      </c>
      <c r="N281" s="1">
        <v>235</v>
      </c>
      <c r="O281" s="4" t="e">
        <f t="array" aca="1" ref="O281">MAX(L281:N281*(1-strike(L281:N281)))</f>
        <v>#NAME?</v>
      </c>
      <c r="P281" s="3">
        <v>270</v>
      </c>
      <c r="Q281" s="3">
        <v>290</v>
      </c>
      <c r="R281" s="1">
        <v>300</v>
      </c>
      <c r="S281" s="4" t="e">
        <f t="array" aca="1" ref="S281">MAX(P281:R281*(1-strike(P281:R281)))</f>
        <v>#NAME?</v>
      </c>
      <c r="T281" s="4" t="e">
        <f t="shared" si="4"/>
        <v>#NAME?</v>
      </c>
      <c r="U281" s="3">
        <v>825</v>
      </c>
      <c r="V281" s="3">
        <v>533.65</v>
      </c>
      <c r="W281" s="3">
        <v>1</v>
      </c>
      <c r="X281" s="5">
        <v>2012</v>
      </c>
      <c r="Y281" s="5" t="s">
        <v>29</v>
      </c>
      <c r="Z281" s="5" t="s">
        <v>171</v>
      </c>
      <c r="AA281" s="5">
        <v>1265</v>
      </c>
    </row>
    <row r="282" spans="1:27">
      <c r="A282" s="3">
        <v>13</v>
      </c>
      <c r="B282" s="3" t="s">
        <v>362</v>
      </c>
      <c r="C282" s="3">
        <v>1978</v>
      </c>
      <c r="D282" s="3" t="s">
        <v>77</v>
      </c>
      <c r="E282" s="3">
        <v>89.6</v>
      </c>
      <c r="F282" s="3">
        <v>0.63980000000000004</v>
      </c>
      <c r="G282" s="3">
        <v>9</v>
      </c>
      <c r="H282" s="3">
        <v>280</v>
      </c>
      <c r="I282" s="3">
        <v>300</v>
      </c>
      <c r="J282" s="3">
        <v>307.5</v>
      </c>
      <c r="K282" s="4" t="e">
        <f t="array" aca="1" ref="K282">MAX(H282:J282*(1-strike(H282:J282)))</f>
        <v>#NAME?</v>
      </c>
      <c r="L282" s="3">
        <v>220</v>
      </c>
      <c r="M282" s="3">
        <v>230</v>
      </c>
      <c r="N282" s="1">
        <v>235</v>
      </c>
      <c r="O282" s="4" t="e">
        <f t="array" aca="1" ref="O282">MAX(L282:N282*(1-strike(L282:N282)))</f>
        <v>#NAME?</v>
      </c>
      <c r="P282" s="3">
        <v>270</v>
      </c>
      <c r="Q282" s="3">
        <v>290</v>
      </c>
      <c r="R282" s="1">
        <v>300</v>
      </c>
      <c r="S282" s="4" t="e">
        <f t="array" aca="1" ref="S282">MAX(P282:R282*(1-strike(P282:R282)))</f>
        <v>#NAME?</v>
      </c>
      <c r="T282" s="4" t="e">
        <f t="shared" si="4"/>
        <v>#NAME?</v>
      </c>
      <c r="U282" s="3">
        <v>827.5</v>
      </c>
      <c r="V282" s="3">
        <v>529.42999999999995</v>
      </c>
      <c r="W282" s="3">
        <v>1</v>
      </c>
      <c r="X282" s="5">
        <v>2013</v>
      </c>
      <c r="Y282" s="5" t="s">
        <v>29</v>
      </c>
      <c r="Z282" s="5" t="s">
        <v>171</v>
      </c>
      <c r="AA282" s="5">
        <v>875</v>
      </c>
    </row>
    <row r="283" spans="1:27">
      <c r="A283" s="4">
        <v>12</v>
      </c>
      <c r="B283" s="4" t="s">
        <v>362</v>
      </c>
      <c r="C283" s="4">
        <v>1978</v>
      </c>
      <c r="D283" s="4" t="s">
        <v>77</v>
      </c>
      <c r="E283" s="4">
        <v>90.4</v>
      </c>
      <c r="F283" s="4">
        <v>0.63700000000000001</v>
      </c>
      <c r="G283" s="4">
        <v>3</v>
      </c>
      <c r="H283" s="4">
        <v>290</v>
      </c>
      <c r="I283" s="6">
        <v>305</v>
      </c>
      <c r="J283" s="4">
        <v>305</v>
      </c>
      <c r="K283" s="4" t="e">
        <f t="array" aca="1" ref="K283">MAX(H283:J283*(1-strike(H283:J283)))</f>
        <v>#NAME?</v>
      </c>
      <c r="L283" s="4">
        <v>220</v>
      </c>
      <c r="M283" s="4">
        <v>230</v>
      </c>
      <c r="N283" s="4">
        <v>240</v>
      </c>
      <c r="O283" s="4" t="e">
        <f t="array" aca="1" ref="O283">MAX(L283:N283*(1-strike(L283:N283)))</f>
        <v>#NAME?</v>
      </c>
      <c r="P283" s="4">
        <v>275</v>
      </c>
      <c r="Q283" s="4">
        <v>295</v>
      </c>
      <c r="R283" s="6">
        <v>305</v>
      </c>
      <c r="S283" s="4" t="e">
        <f t="array" aca="1" ref="S283">MAX(P283:R283*(1-strike(P283:R283)))</f>
        <v>#NAME?</v>
      </c>
      <c r="T283" s="4" t="e">
        <f t="shared" si="4"/>
        <v>#NAME?</v>
      </c>
      <c r="U283" s="4">
        <v>840</v>
      </c>
      <c r="V283" s="4">
        <v>535.08000000000004</v>
      </c>
      <c r="W283" s="4">
        <v>1</v>
      </c>
      <c r="X283" s="5">
        <v>2014</v>
      </c>
      <c r="Y283" s="5" t="s">
        <v>29</v>
      </c>
      <c r="Z283" s="5" t="s">
        <v>171</v>
      </c>
      <c r="AA283" s="5">
        <v>504</v>
      </c>
    </row>
    <row r="284" spans="1:27" ht="15" customHeight="1">
      <c r="A284" s="3" t="s">
        <v>37</v>
      </c>
      <c r="B284" s="3" t="s">
        <v>363</v>
      </c>
      <c r="C284" s="3">
        <v>1989</v>
      </c>
      <c r="D284" s="3" t="s">
        <v>280</v>
      </c>
      <c r="E284" s="3">
        <v>65.89</v>
      </c>
      <c r="F284" s="3">
        <v>0.7863</v>
      </c>
      <c r="G284" s="3">
        <v>9</v>
      </c>
      <c r="H284" s="3">
        <v>270</v>
      </c>
      <c r="I284" s="3">
        <v>295</v>
      </c>
      <c r="J284" s="1">
        <v>305</v>
      </c>
      <c r="K284" s="4" t="e">
        <f t="array" aca="1" ref="K284">MAX(H284:J284*(1-strike(H284:J284)))</f>
        <v>#NAME?</v>
      </c>
      <c r="L284" s="1">
        <v>170</v>
      </c>
      <c r="M284" s="3">
        <v>170</v>
      </c>
      <c r="N284" s="3">
        <v>180</v>
      </c>
      <c r="O284" s="4" t="e">
        <f t="array" aca="1" ref="O284">MAX(L284:N284*(1-strike(L284:N284)))</f>
        <v>#NAME?</v>
      </c>
      <c r="P284" s="1">
        <v>270</v>
      </c>
      <c r="Q284" s="1">
        <v>270</v>
      </c>
      <c r="R284" s="1">
        <v>270</v>
      </c>
      <c r="S284" s="4" t="e">
        <f t="array" aca="1" ref="S284">MAX(P284:R284*(1-strike(P284:R284)))</f>
        <v>#NAME?</v>
      </c>
      <c r="T284" s="4" t="e">
        <f t="shared" si="4"/>
        <v>#NAME?</v>
      </c>
      <c r="U284" s="3" t="s">
        <v>40</v>
      </c>
      <c r="V284" s="3" t="s">
        <v>37</v>
      </c>
      <c r="W284" s="3" t="s">
        <v>37</v>
      </c>
      <c r="X284" s="5">
        <v>2013</v>
      </c>
      <c r="Y284" s="5" t="s">
        <v>29</v>
      </c>
      <c r="Z284" s="5" t="s">
        <v>171</v>
      </c>
      <c r="AA284" s="5">
        <v>834</v>
      </c>
    </row>
    <row r="285" spans="1:27">
      <c r="A285" s="4">
        <v>14</v>
      </c>
      <c r="B285" s="4" t="s">
        <v>364</v>
      </c>
      <c r="C285" s="4">
        <v>1984</v>
      </c>
      <c r="D285" s="4" t="s">
        <v>365</v>
      </c>
      <c r="E285" s="4">
        <v>81.260000000000005</v>
      </c>
      <c r="F285" s="4">
        <v>0.67610000000000003</v>
      </c>
      <c r="G285" s="4">
        <v>10</v>
      </c>
      <c r="H285" s="4">
        <v>190</v>
      </c>
      <c r="I285" s="6">
        <v>192.5</v>
      </c>
      <c r="J285" s="6">
        <v>205</v>
      </c>
      <c r="K285" s="4" t="e">
        <f t="array" aca="1" ref="K285">MAX(H285:J285*(1-strike(H285:J285)))</f>
        <v>#NAME?</v>
      </c>
      <c r="L285" s="4">
        <v>175</v>
      </c>
      <c r="M285" s="4">
        <v>180</v>
      </c>
      <c r="N285" s="6">
        <v>182.5</v>
      </c>
      <c r="O285" s="4" t="e">
        <f t="array" aca="1" ref="O285">MAX(L285:N285*(1-strike(L285:N285)))</f>
        <v>#NAME?</v>
      </c>
      <c r="P285" s="4">
        <v>200</v>
      </c>
      <c r="Q285" s="4">
        <v>220</v>
      </c>
      <c r="R285" s="6">
        <v>230</v>
      </c>
      <c r="S285" s="4" t="e">
        <f t="array" aca="1" ref="S285">MAX(P285:R285*(1-strike(P285:R285)))</f>
        <v>#NAME?</v>
      </c>
      <c r="T285" s="4" t="e">
        <f t="shared" si="4"/>
        <v>#NAME?</v>
      </c>
      <c r="U285" s="4">
        <v>590</v>
      </c>
      <c r="V285" s="4">
        <v>398.9</v>
      </c>
      <c r="W285" s="4">
        <v>1</v>
      </c>
      <c r="X285" s="5">
        <v>2015</v>
      </c>
      <c r="Y285" s="5" t="s">
        <v>29</v>
      </c>
      <c r="Z285" s="5" t="s">
        <v>30</v>
      </c>
      <c r="AA285" s="5">
        <v>269</v>
      </c>
    </row>
    <row r="286" spans="1:27">
      <c r="A286" s="3">
        <v>6</v>
      </c>
      <c r="B286" s="3" t="s">
        <v>366</v>
      </c>
      <c r="C286" s="3">
        <v>1968</v>
      </c>
      <c r="D286" s="3" t="s">
        <v>137</v>
      </c>
      <c r="E286" s="3">
        <v>73.64</v>
      </c>
      <c r="F286" s="3">
        <v>0.7218</v>
      </c>
      <c r="G286" s="3">
        <v>9</v>
      </c>
      <c r="H286" s="1">
        <v>277.5</v>
      </c>
      <c r="I286" s="1">
        <v>277.5</v>
      </c>
      <c r="J286" s="3">
        <v>282.5</v>
      </c>
      <c r="K286" s="4" t="e">
        <f t="array" aca="1" ref="K286">MAX(H286:J286*(1-strike(H286:J286)))</f>
        <v>#NAME?</v>
      </c>
      <c r="L286" s="3">
        <v>185</v>
      </c>
      <c r="M286" s="3">
        <v>190</v>
      </c>
      <c r="N286" s="1">
        <v>192.5</v>
      </c>
      <c r="O286" s="4" t="e">
        <f t="array" aca="1" ref="O286">MAX(L286:N286*(1-strike(L286:N286)))</f>
        <v>#NAME?</v>
      </c>
      <c r="P286" s="1">
        <v>272.5</v>
      </c>
      <c r="Q286" s="3">
        <v>272.5</v>
      </c>
      <c r="R286" s="1">
        <v>282.5</v>
      </c>
      <c r="S286" s="4" t="e">
        <f t="array" aca="1" ref="S286">MAX(P286:R286*(1-strike(P286:R286)))</f>
        <v>#NAME?</v>
      </c>
      <c r="T286" s="4" t="e">
        <f t="shared" si="4"/>
        <v>#NAME?</v>
      </c>
      <c r="U286" s="3">
        <v>745</v>
      </c>
      <c r="V286" s="3">
        <v>537.75</v>
      </c>
      <c r="W286" s="3">
        <v>5</v>
      </c>
      <c r="X286" s="5">
        <v>2012</v>
      </c>
      <c r="Y286" s="5" t="s">
        <v>29</v>
      </c>
      <c r="Z286" s="5" t="s">
        <v>171</v>
      </c>
      <c r="AA286" s="5">
        <v>1222</v>
      </c>
    </row>
    <row r="287" spans="1:27">
      <c r="A287" s="4">
        <v>7</v>
      </c>
      <c r="B287" s="4" t="s">
        <v>366</v>
      </c>
      <c r="C287" s="4">
        <v>1968</v>
      </c>
      <c r="D287" s="4" t="s">
        <v>137</v>
      </c>
      <c r="E287" s="4">
        <v>73.900000000000006</v>
      </c>
      <c r="F287" s="4">
        <v>0.72</v>
      </c>
      <c r="G287" s="4">
        <v>1</v>
      </c>
      <c r="H287" s="4">
        <v>225</v>
      </c>
      <c r="I287" s="6">
        <v>232.5</v>
      </c>
      <c r="J287" s="6">
        <v>237.5</v>
      </c>
      <c r="K287" s="4" t="e">
        <f t="array" aca="1" ref="K287">MAX(H287:J287*(1-strike(H287:J287)))</f>
        <v>#NAME?</v>
      </c>
      <c r="L287" s="4">
        <v>147.5</v>
      </c>
      <c r="M287" s="4">
        <v>152.5</v>
      </c>
      <c r="N287" s="4">
        <v>155</v>
      </c>
      <c r="O287" s="4" t="e">
        <f t="array" aca="1" ref="O287">MAX(L287:N287*(1-strike(L287:N287)))</f>
        <v>#NAME?</v>
      </c>
      <c r="P287" s="4">
        <v>265</v>
      </c>
      <c r="Q287" s="4">
        <v>277.5</v>
      </c>
      <c r="R287" s="6">
        <v>282.5</v>
      </c>
      <c r="S287" s="4" t="e">
        <f t="array" aca="1" ref="S287">MAX(P287:R287*(1-strike(P287:R287)))</f>
        <v>#NAME?</v>
      </c>
      <c r="T287" s="4" t="e">
        <f t="shared" si="4"/>
        <v>#NAME?</v>
      </c>
      <c r="U287" s="4" t="s">
        <v>367</v>
      </c>
      <c r="V287" s="4">
        <v>473.4</v>
      </c>
      <c r="W287" s="4">
        <v>4</v>
      </c>
      <c r="X287" s="5">
        <v>2014</v>
      </c>
      <c r="Y287" s="5" t="s">
        <v>29</v>
      </c>
      <c r="Z287" s="5" t="s">
        <v>30</v>
      </c>
      <c r="AA287" s="5">
        <v>674</v>
      </c>
    </row>
    <row r="288" spans="1:27">
      <c r="A288" s="4">
        <v>6</v>
      </c>
      <c r="B288" s="4" t="s">
        <v>366</v>
      </c>
      <c r="C288" s="4">
        <v>1968</v>
      </c>
      <c r="D288" s="4" t="s">
        <v>137</v>
      </c>
      <c r="E288" s="4">
        <v>73.62</v>
      </c>
      <c r="F288" s="4">
        <v>0.72209999999999996</v>
      </c>
      <c r="G288" s="4">
        <v>15</v>
      </c>
      <c r="H288" s="6">
        <v>280</v>
      </c>
      <c r="I288" s="6">
        <v>287.5</v>
      </c>
      <c r="J288" s="4">
        <v>287.5</v>
      </c>
      <c r="K288" s="4" t="e">
        <f t="array" aca="1" ref="K288">MAX(H288:J288*(1-strike(H288:J288)))</f>
        <v>#NAME?</v>
      </c>
      <c r="L288" s="4">
        <v>192.5</v>
      </c>
      <c r="M288" s="6">
        <v>197.5</v>
      </c>
      <c r="N288" s="4">
        <v>197.5</v>
      </c>
      <c r="O288" s="4" t="e">
        <f t="array" aca="1" ref="O288">MAX(L288:N288*(1-strike(L288:N288)))</f>
        <v>#NAME?</v>
      </c>
      <c r="P288" s="4">
        <v>275</v>
      </c>
      <c r="Q288" s="6">
        <v>285</v>
      </c>
      <c r="R288" s="6">
        <v>290</v>
      </c>
      <c r="S288" s="4" t="e">
        <f t="array" aca="1" ref="S288">MAX(P288:R288*(1-strike(P288:R288)))</f>
        <v>#NAME?</v>
      </c>
      <c r="T288" s="4" t="e">
        <f t="shared" si="4"/>
        <v>#NAME?</v>
      </c>
      <c r="U288" s="4">
        <v>760</v>
      </c>
      <c r="V288" s="4">
        <v>548.79999999999995</v>
      </c>
      <c r="W288" s="4">
        <v>5</v>
      </c>
      <c r="X288" s="5">
        <v>2014</v>
      </c>
      <c r="Y288" s="5" t="s">
        <v>29</v>
      </c>
      <c r="Z288" s="5" t="s">
        <v>171</v>
      </c>
      <c r="AA288" s="5">
        <v>466</v>
      </c>
    </row>
    <row r="289" spans="1:27">
      <c r="A289" s="3" t="s">
        <v>37</v>
      </c>
      <c r="B289" s="3" t="s">
        <v>368</v>
      </c>
      <c r="C289" s="3">
        <v>1983</v>
      </c>
      <c r="D289" s="3" t="s">
        <v>45</v>
      </c>
      <c r="E289" s="3">
        <v>156.52000000000001</v>
      </c>
      <c r="F289" s="3">
        <v>0.55000000000000004</v>
      </c>
      <c r="G289" s="3">
        <v>19</v>
      </c>
      <c r="H289" s="1">
        <v>395</v>
      </c>
      <c r="I289" s="3">
        <v>395</v>
      </c>
      <c r="J289" s="3">
        <v>407.5</v>
      </c>
      <c r="K289" s="4" t="e">
        <f t="array" aca="1" ref="K289">MAX(H289:J289*(1-strike(H289:J289)))</f>
        <v>#NAME?</v>
      </c>
      <c r="L289" s="1">
        <v>310</v>
      </c>
      <c r="M289" s="1">
        <v>310</v>
      </c>
      <c r="N289" s="1">
        <v>315</v>
      </c>
      <c r="O289" s="4" t="e">
        <f t="array" aca="1" ref="O289">MAX(L289:N289*(1-strike(L289:N289)))</f>
        <v>#NAME?</v>
      </c>
      <c r="P289" s="3">
        <v>335</v>
      </c>
      <c r="Q289" s="3">
        <v>347.5</v>
      </c>
      <c r="R289" s="3">
        <v>360</v>
      </c>
      <c r="S289" s="4" t="e">
        <f t="array" aca="1" ref="S289">MAX(P289:R289*(1-strike(P289:R289)))</f>
        <v>#NAME?</v>
      </c>
      <c r="T289" s="4" t="e">
        <f t="shared" si="4"/>
        <v>#NAME?</v>
      </c>
      <c r="U289" s="3" t="s">
        <v>40</v>
      </c>
      <c r="V289" s="3" t="s">
        <v>37</v>
      </c>
      <c r="W289" s="3" t="s">
        <v>37</v>
      </c>
      <c r="X289" s="5">
        <v>2012</v>
      </c>
      <c r="Y289" s="5" t="s">
        <v>29</v>
      </c>
      <c r="Z289" s="5" t="s">
        <v>171</v>
      </c>
      <c r="AA289" s="5">
        <v>1331</v>
      </c>
    </row>
    <row r="290" spans="1:27">
      <c r="A290" s="3">
        <v>5</v>
      </c>
      <c r="B290" s="3" t="s">
        <v>368</v>
      </c>
      <c r="C290" s="3">
        <v>1983</v>
      </c>
      <c r="D290" s="3" t="s">
        <v>45</v>
      </c>
      <c r="E290" s="3">
        <v>159.5</v>
      </c>
      <c r="F290" s="3">
        <v>0.54849999999999999</v>
      </c>
      <c r="G290" s="3">
        <v>14</v>
      </c>
      <c r="H290" s="1">
        <v>405</v>
      </c>
      <c r="I290" s="1">
        <v>405</v>
      </c>
      <c r="J290" s="3">
        <v>405</v>
      </c>
      <c r="K290" s="4" t="e">
        <f t="array" aca="1" ref="K290">MAX(H290:J290*(1-strike(H290:J290)))</f>
        <v>#NAME?</v>
      </c>
      <c r="L290" s="3">
        <v>312.5</v>
      </c>
      <c r="M290" s="3">
        <v>320</v>
      </c>
      <c r="N290" s="3">
        <v>325</v>
      </c>
      <c r="O290" s="4" t="e">
        <f t="array" aca="1" ref="O290">MAX(L290:N290*(1-strike(L290:N290)))</f>
        <v>#NAME?</v>
      </c>
      <c r="P290" s="3">
        <v>340</v>
      </c>
      <c r="Q290" s="3">
        <v>352.5</v>
      </c>
      <c r="R290" s="1">
        <v>362.5</v>
      </c>
      <c r="S290" s="4" t="e">
        <f t="array" aca="1" ref="S290">MAX(P290:R290*(1-strike(P290:R290)))</f>
        <v>#NAME?</v>
      </c>
      <c r="T290" s="4" t="e">
        <f t="shared" si="4"/>
        <v>#NAME?</v>
      </c>
      <c r="U290" s="3">
        <v>1082.5</v>
      </c>
      <c r="V290" s="3">
        <v>593.75</v>
      </c>
      <c r="W290" s="3">
        <v>6</v>
      </c>
      <c r="X290" s="5">
        <v>2013</v>
      </c>
      <c r="Y290" s="5" t="s">
        <v>29</v>
      </c>
      <c r="Z290" s="5" t="s">
        <v>171</v>
      </c>
      <c r="AA290" s="5">
        <v>916</v>
      </c>
    </row>
    <row r="291" spans="1:27">
      <c r="A291" s="4" t="s">
        <v>37</v>
      </c>
      <c r="B291" s="4" t="s">
        <v>368</v>
      </c>
      <c r="C291" s="4">
        <v>1983</v>
      </c>
      <c r="D291" s="4" t="s">
        <v>45</v>
      </c>
      <c r="E291" s="4">
        <v>165.86</v>
      </c>
      <c r="F291" s="4">
        <v>0.54520000000000002</v>
      </c>
      <c r="G291" s="4">
        <v>8</v>
      </c>
      <c r="H291" s="4">
        <v>405</v>
      </c>
      <c r="I291" s="4">
        <v>415</v>
      </c>
      <c r="J291" s="6">
        <v>420</v>
      </c>
      <c r="K291" s="4" t="e">
        <f t="array" aca="1" ref="K291">MAX(H291:J291*(1-strike(H291:J291)))</f>
        <v>#NAME?</v>
      </c>
      <c r="L291" s="6">
        <v>325</v>
      </c>
      <c r="M291" s="6">
        <v>325</v>
      </c>
      <c r="N291" s="6">
        <v>325</v>
      </c>
      <c r="O291" s="4" t="e">
        <f t="array" aca="1" ref="O291">MAX(L291:N291*(1-strike(L291:N291)))</f>
        <v>#NAME?</v>
      </c>
      <c r="P291" s="4">
        <v>340</v>
      </c>
      <c r="Q291" s="4">
        <v>350</v>
      </c>
      <c r="R291" s="6">
        <v>367.5</v>
      </c>
      <c r="S291" s="4" t="e">
        <f t="array" aca="1" ref="S291">MAX(P291:R291*(1-strike(P291:R291)))</f>
        <v>#NAME?</v>
      </c>
      <c r="T291" s="4" t="e">
        <f t="shared" si="4"/>
        <v>#NAME?</v>
      </c>
      <c r="U291" s="4" t="s">
        <v>187</v>
      </c>
      <c r="V291" s="4" t="s">
        <v>37</v>
      </c>
      <c r="W291" s="4" t="s">
        <v>37</v>
      </c>
      <c r="X291" s="5">
        <v>2014</v>
      </c>
      <c r="Y291" s="5" t="s">
        <v>29</v>
      </c>
      <c r="Z291" s="5" t="s">
        <v>171</v>
      </c>
      <c r="AA291" s="5">
        <v>563</v>
      </c>
    </row>
    <row r="292" spans="1:27">
      <c r="A292" s="4">
        <v>4</v>
      </c>
      <c r="B292" s="4" t="s">
        <v>369</v>
      </c>
      <c r="C292" s="4">
        <v>1983</v>
      </c>
      <c r="D292" s="4" t="s">
        <v>45</v>
      </c>
      <c r="E292" s="4">
        <v>168.7</v>
      </c>
      <c r="F292" s="4">
        <v>0.54379999999999995</v>
      </c>
      <c r="G292" s="4">
        <v>6</v>
      </c>
      <c r="H292" s="4">
        <v>410</v>
      </c>
      <c r="I292" s="6">
        <v>420</v>
      </c>
      <c r="J292" s="6">
        <v>420</v>
      </c>
      <c r="K292" s="4" t="e">
        <f t="array" aca="1" ref="K292">MAX(H292:J292*(1-strike(H292:J292)))</f>
        <v>#NAME?</v>
      </c>
      <c r="L292" s="4">
        <v>325</v>
      </c>
      <c r="M292" s="4">
        <v>332.5</v>
      </c>
      <c r="N292" s="4">
        <v>337.5</v>
      </c>
      <c r="O292" s="4" t="e">
        <f t="array" aca="1" ref="O292">MAX(L292:N292*(1-strike(L292:N292)))</f>
        <v>#NAME?</v>
      </c>
      <c r="P292" s="4">
        <v>340</v>
      </c>
      <c r="Q292" s="4">
        <v>352.5</v>
      </c>
      <c r="R292" s="4">
        <v>362.5</v>
      </c>
      <c r="S292" s="4" t="e">
        <f t="array" aca="1" ref="S292">MAX(P292:R292*(1-strike(P292:R292)))</f>
        <v>#NAME?</v>
      </c>
      <c r="T292" s="4" t="e">
        <f t="shared" si="4"/>
        <v>#NAME?</v>
      </c>
      <c r="U292" s="4">
        <v>1110</v>
      </c>
      <c r="V292" s="4">
        <v>603.62</v>
      </c>
      <c r="W292" s="4">
        <v>7</v>
      </c>
      <c r="X292" s="5">
        <v>2015</v>
      </c>
      <c r="Y292" s="5" t="s">
        <v>29</v>
      </c>
      <c r="Z292" s="5" t="s">
        <v>171</v>
      </c>
      <c r="AA292" s="5">
        <v>116</v>
      </c>
    </row>
    <row r="293" spans="1:27">
      <c r="A293" s="3">
        <v>9</v>
      </c>
      <c r="B293" s="3" t="s">
        <v>370</v>
      </c>
      <c r="C293" s="3">
        <v>1974</v>
      </c>
      <c r="D293" s="3" t="s">
        <v>54</v>
      </c>
      <c r="E293" s="3">
        <v>104.3</v>
      </c>
      <c r="F293" s="3">
        <v>0.59899999999999998</v>
      </c>
      <c r="G293" s="3">
        <v>11</v>
      </c>
      <c r="H293" s="3">
        <v>320</v>
      </c>
      <c r="I293" s="3">
        <v>330</v>
      </c>
      <c r="J293" s="1">
        <v>335</v>
      </c>
      <c r="K293" s="4" t="e">
        <f t="array" aca="1" ref="K293">MAX(H293:J293*(1-strike(H293:J293)))</f>
        <v>#NAME?</v>
      </c>
      <c r="L293" s="3">
        <v>237.5</v>
      </c>
      <c r="M293" s="3">
        <v>245</v>
      </c>
      <c r="N293" s="3">
        <v>250</v>
      </c>
      <c r="O293" s="4" t="e">
        <f t="array" aca="1" ref="O293">MAX(L293:N293*(1-strike(L293:N293)))</f>
        <v>#NAME?</v>
      </c>
      <c r="P293" s="3">
        <v>295</v>
      </c>
      <c r="Q293" s="3">
        <v>305</v>
      </c>
      <c r="R293" s="3">
        <v>312.5</v>
      </c>
      <c r="S293" s="4" t="e">
        <f t="array" aca="1" ref="S293">MAX(P293:R293*(1-strike(P293:R293)))</f>
        <v>#NAME?</v>
      </c>
      <c r="T293" s="4" t="e">
        <f t="shared" si="4"/>
        <v>#NAME?</v>
      </c>
      <c r="U293" s="3">
        <v>892.5</v>
      </c>
      <c r="V293" s="3">
        <v>534.6</v>
      </c>
      <c r="W293" s="3">
        <v>2</v>
      </c>
      <c r="X293" s="5">
        <v>2012</v>
      </c>
      <c r="Y293" s="5" t="s">
        <v>29</v>
      </c>
      <c r="Z293" s="5" t="s">
        <v>171</v>
      </c>
      <c r="AA293" s="5">
        <v>1286</v>
      </c>
    </row>
    <row r="294" spans="1:27">
      <c r="A294" s="3">
        <v>11</v>
      </c>
      <c r="B294" s="3" t="s">
        <v>370</v>
      </c>
      <c r="C294" s="3">
        <v>1974</v>
      </c>
      <c r="D294" s="3" t="s">
        <v>54</v>
      </c>
      <c r="E294" s="3">
        <v>104.95</v>
      </c>
      <c r="F294" s="3">
        <v>0.59770000000000001</v>
      </c>
      <c r="G294" s="3">
        <v>19</v>
      </c>
      <c r="H294" s="3">
        <v>235</v>
      </c>
      <c r="I294" s="3">
        <v>245</v>
      </c>
      <c r="J294" s="1">
        <v>252.5</v>
      </c>
      <c r="K294" s="4" t="e">
        <f t="array" aca="1" ref="K294">MAX(H294:J294*(1-strike(H294:J294)))</f>
        <v>#NAME?</v>
      </c>
      <c r="L294" s="3">
        <v>182.5</v>
      </c>
      <c r="M294" s="3">
        <v>190</v>
      </c>
      <c r="N294" s="1">
        <v>192.5</v>
      </c>
      <c r="O294" s="4" t="e">
        <f t="array" aca="1" ref="O294">MAX(L294:N294*(1-strike(L294:N294)))</f>
        <v>#NAME?</v>
      </c>
      <c r="P294" s="3">
        <v>275</v>
      </c>
      <c r="Q294" s="3">
        <v>287.5</v>
      </c>
      <c r="R294" s="1">
        <v>292.5</v>
      </c>
      <c r="S294" s="4" t="e">
        <f t="array" aca="1" ref="S294">MAX(P294:R294*(1-strike(P294:R294)))</f>
        <v>#NAME?</v>
      </c>
      <c r="T294" s="4" t="e">
        <f t="shared" si="4"/>
        <v>#NAME?</v>
      </c>
      <c r="U294" s="3">
        <v>722.5</v>
      </c>
      <c r="V294" s="3">
        <v>431.84</v>
      </c>
      <c r="W294" s="3">
        <v>1</v>
      </c>
      <c r="X294" s="5">
        <v>2013</v>
      </c>
      <c r="Y294" s="5" t="s">
        <v>29</v>
      </c>
      <c r="Z294" s="5" t="s">
        <v>30</v>
      </c>
      <c r="AA294" s="5">
        <v>1081</v>
      </c>
    </row>
    <row r="295" spans="1:27">
      <c r="A295" s="3">
        <v>8</v>
      </c>
      <c r="B295" s="3" t="s">
        <v>370</v>
      </c>
      <c r="C295" s="3">
        <v>1974</v>
      </c>
      <c r="D295" s="3" t="s">
        <v>54</v>
      </c>
      <c r="E295" s="3">
        <v>104.27</v>
      </c>
      <c r="F295" s="3">
        <v>0.59899999999999998</v>
      </c>
      <c r="G295" s="3">
        <v>2</v>
      </c>
      <c r="H295" s="3">
        <v>315</v>
      </c>
      <c r="I295" s="3">
        <v>325</v>
      </c>
      <c r="J295" s="1">
        <v>332.5</v>
      </c>
      <c r="K295" s="4" t="e">
        <f t="array" aca="1" ref="K295">MAX(H295:J295*(1-strike(H295:J295)))</f>
        <v>#NAME?</v>
      </c>
      <c r="L295" s="1">
        <v>242.5</v>
      </c>
      <c r="M295" s="3">
        <v>242.5</v>
      </c>
      <c r="N295" s="3">
        <v>252.5</v>
      </c>
      <c r="O295" s="4" t="e">
        <f t="array" aca="1" ref="O295">MAX(L295:N295*(1-strike(L295:N295)))</f>
        <v>#NAME?</v>
      </c>
      <c r="P295" s="3">
        <v>300</v>
      </c>
      <c r="Q295" s="3">
        <v>312.5</v>
      </c>
      <c r="R295" s="1">
        <v>320</v>
      </c>
      <c r="S295" s="4" t="e">
        <f t="array" aca="1" ref="S295">MAX(P295:R295*(1-strike(P295:R295)))</f>
        <v>#NAME?</v>
      </c>
      <c r="T295" s="4" t="e">
        <f t="shared" si="4"/>
        <v>#NAME?</v>
      </c>
      <c r="U295" s="3">
        <v>890</v>
      </c>
      <c r="V295" s="3">
        <v>533.11</v>
      </c>
      <c r="W295" s="3">
        <v>3</v>
      </c>
      <c r="X295" s="5">
        <v>2013</v>
      </c>
      <c r="Y295" s="5" t="s">
        <v>29</v>
      </c>
      <c r="Z295" s="5" t="s">
        <v>171</v>
      </c>
      <c r="AA295" s="5">
        <v>889</v>
      </c>
    </row>
    <row r="296" spans="1:27">
      <c r="A296" s="3">
        <v>5</v>
      </c>
      <c r="B296" s="3" t="s">
        <v>371</v>
      </c>
      <c r="C296" s="3">
        <v>1988</v>
      </c>
      <c r="D296" s="3" t="s">
        <v>45</v>
      </c>
      <c r="E296" s="3">
        <v>82</v>
      </c>
      <c r="F296" s="3">
        <v>0.6724</v>
      </c>
      <c r="G296" s="3">
        <v>14</v>
      </c>
      <c r="H296" s="3">
        <v>325</v>
      </c>
      <c r="I296" s="3">
        <v>337.5</v>
      </c>
      <c r="J296" s="3">
        <v>342.5</v>
      </c>
      <c r="K296" s="4" t="e">
        <f t="array" aca="1" ref="K296">MAX(H296:J296*(1-strike(H296:J296)))</f>
        <v>#NAME?</v>
      </c>
      <c r="L296" s="3">
        <v>235</v>
      </c>
      <c r="M296" s="3">
        <v>240</v>
      </c>
      <c r="N296" s="3">
        <v>245</v>
      </c>
      <c r="O296" s="4" t="e">
        <f t="array" aca="1" ref="O296">MAX(L296:N296*(1-strike(L296:N296)))</f>
        <v>#NAME?</v>
      </c>
      <c r="P296" s="3">
        <v>300</v>
      </c>
      <c r="Q296" s="3">
        <v>312.5</v>
      </c>
      <c r="R296" s="1">
        <v>317.5</v>
      </c>
      <c r="S296" s="4" t="e">
        <f t="array" aca="1" ref="S296">MAX(P296:R296*(1-strike(P296:R296)))</f>
        <v>#NAME?</v>
      </c>
      <c r="T296" s="4" t="e">
        <f t="shared" si="4"/>
        <v>#NAME?</v>
      </c>
      <c r="U296" s="3">
        <v>900</v>
      </c>
      <c r="V296" s="3">
        <v>605.16</v>
      </c>
      <c r="W296" s="3">
        <v>6</v>
      </c>
      <c r="X296" s="5">
        <v>2012</v>
      </c>
      <c r="Y296" s="5" t="s">
        <v>29</v>
      </c>
      <c r="Z296" s="5" t="s">
        <v>171</v>
      </c>
      <c r="AA296" s="5">
        <v>1238</v>
      </c>
    </row>
    <row r="297" spans="1:27">
      <c r="A297" s="3">
        <v>1</v>
      </c>
      <c r="B297" s="3" t="s">
        <v>371</v>
      </c>
      <c r="C297" s="3">
        <v>1988</v>
      </c>
      <c r="D297" s="3" t="s">
        <v>45</v>
      </c>
      <c r="E297" s="3">
        <v>82.58</v>
      </c>
      <c r="F297" s="3">
        <v>0.66949999999999998</v>
      </c>
      <c r="G297" s="3">
        <v>11</v>
      </c>
      <c r="H297" s="3">
        <v>337.5</v>
      </c>
      <c r="I297" s="3">
        <v>347.5</v>
      </c>
      <c r="J297" s="3">
        <v>352.5</v>
      </c>
      <c r="K297" s="4" t="e">
        <f t="array" aca="1" ref="K297">MAX(H297:J297*(1-strike(H297:J297)))</f>
        <v>#NAME?</v>
      </c>
      <c r="L297" s="3">
        <v>245</v>
      </c>
      <c r="M297" s="1">
        <v>252.5</v>
      </c>
      <c r="N297" s="3">
        <v>252.5</v>
      </c>
      <c r="O297" s="4" t="e">
        <f t="array" aca="1" ref="O297">MAX(L297:N297*(1-strike(L297:N297)))</f>
        <v>#NAME?</v>
      </c>
      <c r="P297" s="3">
        <v>317.5</v>
      </c>
      <c r="Q297" s="3">
        <v>327.5</v>
      </c>
      <c r="R297" s="3">
        <v>337.5</v>
      </c>
      <c r="S297" s="4" t="e">
        <f t="array" aca="1" ref="S297">MAX(P297:R297*(1-strike(P297:R297)))</f>
        <v>#NAME?</v>
      </c>
      <c r="T297" s="4" t="e">
        <f t="shared" si="4"/>
        <v>#NAME?</v>
      </c>
      <c r="U297" s="3" t="s">
        <v>372</v>
      </c>
      <c r="V297" s="3">
        <v>631</v>
      </c>
      <c r="W297" s="3">
        <v>12</v>
      </c>
      <c r="X297" s="5">
        <v>2013</v>
      </c>
      <c r="Y297" s="5" t="s">
        <v>29</v>
      </c>
      <c r="Z297" s="5" t="s">
        <v>171</v>
      </c>
      <c r="AA297" s="5">
        <v>852</v>
      </c>
    </row>
    <row r="298" spans="1:27" ht="15" customHeight="1">
      <c r="A298" s="4">
        <v>5</v>
      </c>
      <c r="B298" s="4" t="s">
        <v>373</v>
      </c>
      <c r="C298" s="4">
        <v>1985</v>
      </c>
      <c r="D298" s="4" t="s">
        <v>62</v>
      </c>
      <c r="E298" s="4">
        <v>139.6</v>
      </c>
      <c r="F298" s="4">
        <v>0.55900000000000005</v>
      </c>
      <c r="G298" s="4">
        <v>4</v>
      </c>
      <c r="H298" s="4">
        <v>292.5</v>
      </c>
      <c r="I298" s="4">
        <v>312.5</v>
      </c>
      <c r="J298" s="6">
        <v>325</v>
      </c>
      <c r="K298" s="4" t="e">
        <f t="array" aca="1" ref="K298">MAX(H298:J298*(1-strike(H298:J298)))</f>
        <v>#NAME?</v>
      </c>
      <c r="L298" s="4">
        <v>240</v>
      </c>
      <c r="M298" s="4">
        <v>252.5</v>
      </c>
      <c r="N298" s="4">
        <v>260.5</v>
      </c>
      <c r="O298" s="4" t="e">
        <f t="array" aca="1" ref="O298">MAX(L298:N298*(1-strike(L298:N298)))</f>
        <v>#NAME?</v>
      </c>
      <c r="P298" s="4">
        <v>272.5</v>
      </c>
      <c r="Q298" s="4">
        <v>287.5</v>
      </c>
      <c r="R298" s="4">
        <v>297.5</v>
      </c>
      <c r="S298" s="4" t="e">
        <f t="array" aca="1" ref="S298">MAX(P298:R298*(1-strike(P298:R298)))</f>
        <v>#NAME?</v>
      </c>
      <c r="T298" s="4" t="e">
        <f t="shared" si="4"/>
        <v>#NAME?</v>
      </c>
      <c r="U298" s="4">
        <v>870.5</v>
      </c>
      <c r="V298" s="4">
        <v>486.61</v>
      </c>
      <c r="W298" s="4">
        <v>6</v>
      </c>
      <c r="X298" s="5">
        <v>2014</v>
      </c>
      <c r="Y298" s="5" t="s">
        <v>29</v>
      </c>
      <c r="Z298" s="5" t="s">
        <v>30</v>
      </c>
      <c r="AA298" s="5">
        <v>739</v>
      </c>
    </row>
    <row r="299" spans="1:27" ht="15" customHeight="1">
      <c r="A299" s="3">
        <v>8</v>
      </c>
      <c r="B299" s="3" t="s">
        <v>374</v>
      </c>
      <c r="C299" s="3">
        <v>1984</v>
      </c>
      <c r="D299" s="3" t="s">
        <v>51</v>
      </c>
      <c r="E299" s="3">
        <v>117.11</v>
      </c>
      <c r="F299" s="3">
        <v>0.57830000000000004</v>
      </c>
      <c r="G299" s="3">
        <v>42</v>
      </c>
      <c r="H299" s="3">
        <v>320</v>
      </c>
      <c r="I299" s="1">
        <v>335</v>
      </c>
      <c r="J299" s="1">
        <v>335</v>
      </c>
      <c r="K299" s="4" t="e">
        <f t="array" aca="1" ref="K299">MAX(H299:J299*(1-strike(H299:J299)))</f>
        <v>#NAME?</v>
      </c>
      <c r="L299" s="3">
        <v>240</v>
      </c>
      <c r="M299" s="3">
        <v>250</v>
      </c>
      <c r="N299" s="3">
        <v>260</v>
      </c>
      <c r="O299" s="4" t="e">
        <f t="array" aca="1" ref="O299">MAX(L299:N299*(1-strike(L299:N299)))</f>
        <v>#NAME?</v>
      </c>
      <c r="P299" s="3">
        <v>300</v>
      </c>
      <c r="Q299" s="3">
        <v>320</v>
      </c>
      <c r="R299" s="3">
        <v>327.5</v>
      </c>
      <c r="S299" s="4" t="e">
        <f t="array" aca="1" ref="S299">MAX(P299:R299*(1-strike(P299:R299)))</f>
        <v>#NAME?</v>
      </c>
      <c r="T299" s="4" t="e">
        <f t="shared" si="4"/>
        <v>#NAME?</v>
      </c>
      <c r="U299" s="3">
        <v>907.5</v>
      </c>
      <c r="V299" s="3">
        <v>524.79</v>
      </c>
      <c r="W299" s="3">
        <v>3</v>
      </c>
      <c r="X299" s="5">
        <v>2012</v>
      </c>
      <c r="Y299" s="5" t="s">
        <v>29</v>
      </c>
      <c r="Z299" s="5" t="s">
        <v>171</v>
      </c>
      <c r="AA299" s="5">
        <v>1306</v>
      </c>
    </row>
    <row r="300" spans="1:27">
      <c r="A300" s="3">
        <v>14</v>
      </c>
      <c r="B300" s="3" t="s">
        <v>374</v>
      </c>
      <c r="C300" s="3">
        <v>1984</v>
      </c>
      <c r="D300" s="3" t="s">
        <v>51</v>
      </c>
      <c r="E300" s="3">
        <v>112.25</v>
      </c>
      <c r="F300" s="3">
        <v>0.58499999999999996</v>
      </c>
      <c r="G300" s="3">
        <v>3</v>
      </c>
      <c r="H300" s="3">
        <v>290</v>
      </c>
      <c r="I300" s="1">
        <v>305</v>
      </c>
      <c r="J300" s="1">
        <v>310</v>
      </c>
      <c r="K300" s="4" t="e">
        <f t="array" aca="1" ref="K300">MAX(H300:J300*(1-strike(H300:J300)))</f>
        <v>#NAME?</v>
      </c>
      <c r="L300" s="3">
        <v>240</v>
      </c>
      <c r="M300" s="3">
        <v>247.5</v>
      </c>
      <c r="N300" s="3">
        <v>252.5</v>
      </c>
      <c r="O300" s="4" t="e">
        <f t="array" aca="1" ref="O300">MAX(L300:N300*(1-strike(L300:N300)))</f>
        <v>#NAME?</v>
      </c>
      <c r="P300" s="3">
        <v>290</v>
      </c>
      <c r="Q300" s="3">
        <v>305</v>
      </c>
      <c r="R300" s="1">
        <v>310</v>
      </c>
      <c r="S300" s="4" t="e">
        <f t="array" aca="1" ref="S300">MAX(P300:R300*(1-strike(P300:R300)))</f>
        <v>#NAME?</v>
      </c>
      <c r="T300" s="4" t="e">
        <f t="shared" si="4"/>
        <v>#NAME?</v>
      </c>
      <c r="U300" s="3">
        <v>847.5</v>
      </c>
      <c r="V300" s="3">
        <v>495.79</v>
      </c>
      <c r="W300" s="3">
        <v>1</v>
      </c>
      <c r="X300" s="5">
        <v>2013</v>
      </c>
      <c r="Y300" s="5" t="s">
        <v>29</v>
      </c>
      <c r="Z300" s="5" t="s">
        <v>171</v>
      </c>
      <c r="AA300" s="5">
        <v>908</v>
      </c>
    </row>
    <row r="301" spans="1:27">
      <c r="A301" s="4">
        <v>3</v>
      </c>
      <c r="B301" s="4" t="s">
        <v>375</v>
      </c>
      <c r="C301" s="4">
        <v>1989</v>
      </c>
      <c r="D301" s="4" t="s">
        <v>119</v>
      </c>
      <c r="E301" s="4">
        <v>73.73</v>
      </c>
      <c r="F301" s="4">
        <v>0.72119999999999995</v>
      </c>
      <c r="G301" s="4">
        <v>4</v>
      </c>
      <c r="H301" s="4">
        <v>315</v>
      </c>
      <c r="I301" s="4">
        <v>325</v>
      </c>
      <c r="J301" s="6">
        <v>332.5</v>
      </c>
      <c r="K301" s="4" t="e">
        <f t="array" aca="1" ref="K301">MAX(H301:J301*(1-strike(H301:J301)))</f>
        <v>#NAME?</v>
      </c>
      <c r="L301" s="4">
        <v>215</v>
      </c>
      <c r="M301" s="4">
        <v>225</v>
      </c>
      <c r="N301" s="4">
        <v>230</v>
      </c>
      <c r="O301" s="4" t="e">
        <f t="array" aca="1" ref="O301">MAX(L301:N301*(1-strike(L301:N301)))</f>
        <v>#NAME?</v>
      </c>
      <c r="P301" s="4">
        <v>270</v>
      </c>
      <c r="Q301" s="4">
        <v>277.5</v>
      </c>
      <c r="R301" s="6">
        <v>290</v>
      </c>
      <c r="S301" s="4" t="e">
        <f t="array" aca="1" ref="S301">MAX(P301:R301*(1-strike(P301:R301)))</f>
        <v>#NAME?</v>
      </c>
      <c r="T301" s="4" t="e">
        <f t="shared" si="4"/>
        <v>#NAME?</v>
      </c>
      <c r="U301" s="4">
        <v>832.5</v>
      </c>
      <c r="V301" s="4">
        <v>600.4</v>
      </c>
      <c r="W301" s="4">
        <v>8</v>
      </c>
      <c r="X301" s="5">
        <v>2015</v>
      </c>
      <c r="Y301" s="5" t="s">
        <v>29</v>
      </c>
      <c r="Z301" s="5" t="s">
        <v>171</v>
      </c>
      <c r="AA301" s="5">
        <v>25</v>
      </c>
    </row>
    <row r="302" spans="1:27">
      <c r="A302" s="3">
        <v>9</v>
      </c>
      <c r="B302" s="3" t="s">
        <v>376</v>
      </c>
      <c r="C302" s="3">
        <v>1983</v>
      </c>
      <c r="D302" s="3" t="s">
        <v>62</v>
      </c>
      <c r="E302" s="3">
        <v>65.599999999999994</v>
      </c>
      <c r="F302" s="3">
        <v>0.78910000000000002</v>
      </c>
      <c r="G302" s="3">
        <v>8</v>
      </c>
      <c r="H302" s="3">
        <v>237.5</v>
      </c>
      <c r="I302" s="3">
        <v>245</v>
      </c>
      <c r="J302" s="1">
        <v>247.5</v>
      </c>
      <c r="K302" s="4" t="e">
        <f t="array" aca="1" ref="K302">MAX(H302:J302*(1-strike(H302:J302)))</f>
        <v>#NAME?</v>
      </c>
      <c r="L302" s="3">
        <v>160</v>
      </c>
      <c r="M302" s="3">
        <v>165</v>
      </c>
      <c r="N302" s="1">
        <v>170</v>
      </c>
      <c r="O302" s="4" t="e">
        <f t="array" aca="1" ref="O302">MAX(L302:N302*(1-strike(L302:N302)))</f>
        <v>#NAME?</v>
      </c>
      <c r="P302" s="3">
        <v>225</v>
      </c>
      <c r="Q302" s="3">
        <v>232.5</v>
      </c>
      <c r="R302" s="3">
        <v>242.5</v>
      </c>
      <c r="S302" s="4" t="e">
        <f t="array" aca="1" ref="S302">MAX(P302:R302*(1-strike(P302:R302)))</f>
        <v>#NAME?</v>
      </c>
      <c r="T302" s="4" t="e">
        <f t="shared" si="4"/>
        <v>#NAME?</v>
      </c>
      <c r="U302" s="3">
        <v>652.5</v>
      </c>
      <c r="V302" s="3">
        <v>514.88</v>
      </c>
      <c r="W302" s="3">
        <v>2</v>
      </c>
      <c r="X302" s="5">
        <v>2012</v>
      </c>
      <c r="Y302" s="5" t="s">
        <v>29</v>
      </c>
      <c r="Z302" s="5" t="s">
        <v>171</v>
      </c>
      <c r="AA302" s="5">
        <v>1211</v>
      </c>
    </row>
    <row r="303" spans="1:27">
      <c r="A303" s="3">
        <v>1</v>
      </c>
      <c r="B303" s="3" t="s">
        <v>377</v>
      </c>
      <c r="C303" s="3">
        <v>1981</v>
      </c>
      <c r="D303" s="3" t="s">
        <v>28</v>
      </c>
      <c r="E303" s="3">
        <v>119.91</v>
      </c>
      <c r="F303" s="3">
        <v>0.57499999999999996</v>
      </c>
      <c r="G303" s="3">
        <v>41</v>
      </c>
      <c r="H303" s="1">
        <v>400</v>
      </c>
      <c r="I303" s="3">
        <v>400</v>
      </c>
      <c r="J303" s="3">
        <v>410</v>
      </c>
      <c r="K303" s="4" t="e">
        <f t="array" aca="1" ref="K303">MAX(H303:J303*(1-strike(H303:J303)))</f>
        <v>#NAME?</v>
      </c>
      <c r="L303" s="3">
        <v>270</v>
      </c>
      <c r="M303" s="3">
        <v>277.5</v>
      </c>
      <c r="N303" s="3">
        <v>282.5</v>
      </c>
      <c r="O303" s="4" t="e">
        <f t="array" aca="1" ref="O303">MAX(L303:N303*(1-strike(L303:N303)))</f>
        <v>#NAME?</v>
      </c>
      <c r="P303" s="3">
        <v>340</v>
      </c>
      <c r="Q303" s="1">
        <v>360</v>
      </c>
      <c r="R303" s="3">
        <v>360</v>
      </c>
      <c r="S303" s="4" t="e">
        <f t="array" aca="1" ref="S303">MAX(P303:R303*(1-strike(P303:R303)))</f>
        <v>#NAME?</v>
      </c>
      <c r="T303" s="4" t="e">
        <f t="shared" si="4"/>
        <v>#NAME?</v>
      </c>
      <c r="U303" s="3">
        <v>1052.5</v>
      </c>
      <c r="V303" s="3">
        <v>605.16999999999996</v>
      </c>
      <c r="W303" s="3">
        <v>12</v>
      </c>
      <c r="X303" s="5">
        <v>2012</v>
      </c>
      <c r="Y303" s="5" t="s">
        <v>29</v>
      </c>
      <c r="Z303" s="5" t="s">
        <v>171</v>
      </c>
      <c r="AA303" s="5">
        <v>1299</v>
      </c>
    </row>
    <row r="304" spans="1:27">
      <c r="A304" s="3">
        <v>5</v>
      </c>
      <c r="B304" s="3" t="s">
        <v>378</v>
      </c>
      <c r="C304" s="3">
        <v>1977</v>
      </c>
      <c r="D304" s="3" t="s">
        <v>125</v>
      </c>
      <c r="E304" s="3">
        <v>92.26</v>
      </c>
      <c r="F304" s="3">
        <v>0.63060000000000005</v>
      </c>
      <c r="G304" s="3">
        <v>23</v>
      </c>
      <c r="H304" s="3">
        <v>315</v>
      </c>
      <c r="I304" s="1">
        <v>322.5</v>
      </c>
      <c r="J304" s="3">
        <v>325</v>
      </c>
      <c r="K304" s="4" t="e">
        <f t="array" aca="1" ref="K304">MAX(H304:J304*(1-strike(H304:J304)))</f>
        <v>#NAME?</v>
      </c>
      <c r="L304" s="3">
        <v>260</v>
      </c>
      <c r="M304" s="3">
        <v>265</v>
      </c>
      <c r="N304" s="1">
        <v>270</v>
      </c>
      <c r="O304" s="4" t="e">
        <f t="array" aca="1" ref="O304">MAX(L304:N304*(1-strike(L304:N304)))</f>
        <v>#NAME?</v>
      </c>
      <c r="P304" s="1">
        <v>285</v>
      </c>
      <c r="Q304" s="3">
        <v>290</v>
      </c>
      <c r="R304" s="3">
        <v>297.5</v>
      </c>
      <c r="S304" s="4" t="e">
        <f t="array" aca="1" ref="S304">MAX(P304:R304*(1-strike(P304:R304)))</f>
        <v>#NAME?</v>
      </c>
      <c r="T304" s="4" t="e">
        <f t="shared" si="4"/>
        <v>#NAME?</v>
      </c>
      <c r="U304" s="3">
        <v>887.5</v>
      </c>
      <c r="V304" s="3">
        <v>559.66999999999996</v>
      </c>
      <c r="W304" s="3">
        <v>6</v>
      </c>
      <c r="X304" s="5">
        <v>2012</v>
      </c>
      <c r="Y304" s="5" t="s">
        <v>29</v>
      </c>
      <c r="Z304" s="5" t="s">
        <v>171</v>
      </c>
      <c r="AA304" s="5">
        <v>1260</v>
      </c>
    </row>
    <row r="305" spans="1:27">
      <c r="A305" s="3">
        <v>9</v>
      </c>
      <c r="B305" s="3" t="s">
        <v>378</v>
      </c>
      <c r="C305" s="3">
        <v>1977</v>
      </c>
      <c r="D305" s="3" t="s">
        <v>125</v>
      </c>
      <c r="E305" s="3">
        <v>92.85</v>
      </c>
      <c r="F305" s="3">
        <v>0.62870000000000004</v>
      </c>
      <c r="G305" s="3">
        <v>15</v>
      </c>
      <c r="H305" s="3">
        <v>317.5</v>
      </c>
      <c r="I305" s="3">
        <v>327.5</v>
      </c>
      <c r="J305" s="1">
        <v>335</v>
      </c>
      <c r="K305" s="4" t="e">
        <f t="array" aca="1" ref="K305">MAX(H305:J305*(1-strike(H305:J305)))</f>
        <v>#NAME?</v>
      </c>
      <c r="L305" s="3">
        <v>260</v>
      </c>
      <c r="M305" s="1">
        <v>267.5</v>
      </c>
      <c r="N305" s="1">
        <v>267.5</v>
      </c>
      <c r="O305" s="4" t="e">
        <f t="array" aca="1" ref="O305">MAX(L305:N305*(1-strike(L305:N305)))</f>
        <v>#NAME?</v>
      </c>
      <c r="P305" s="3">
        <v>290</v>
      </c>
      <c r="Q305" s="3">
        <v>305</v>
      </c>
      <c r="R305" s="1">
        <v>312.5</v>
      </c>
      <c r="S305" s="4" t="e">
        <f t="array" aca="1" ref="S305">MAX(P305:R305*(1-strike(P305:R305)))</f>
        <v>#NAME?</v>
      </c>
      <c r="T305" s="4" t="e">
        <f t="shared" si="4"/>
        <v>#NAME?</v>
      </c>
      <c r="U305" s="3">
        <v>892.5</v>
      </c>
      <c r="V305" s="3">
        <v>561.11</v>
      </c>
      <c r="W305" s="3">
        <v>2</v>
      </c>
      <c r="X305" s="5">
        <v>2013</v>
      </c>
      <c r="Y305" s="5" t="s">
        <v>29</v>
      </c>
      <c r="Z305" s="5" t="s">
        <v>171</v>
      </c>
      <c r="AA305" s="5">
        <v>871</v>
      </c>
    </row>
    <row r="306" spans="1:27">
      <c r="A306" s="4">
        <v>9</v>
      </c>
      <c r="B306" s="4" t="s">
        <v>378</v>
      </c>
      <c r="C306" s="4">
        <v>1977</v>
      </c>
      <c r="D306" s="4" t="s">
        <v>125</v>
      </c>
      <c r="E306" s="4">
        <v>92.58</v>
      </c>
      <c r="F306" s="4">
        <v>0.62949999999999995</v>
      </c>
      <c r="G306" s="4">
        <v>4</v>
      </c>
      <c r="H306" s="4">
        <v>315</v>
      </c>
      <c r="I306" s="4">
        <v>322.5</v>
      </c>
      <c r="J306" s="4">
        <v>327.5</v>
      </c>
      <c r="K306" s="4" t="e">
        <f t="array" aca="1" ref="K306">MAX(H306:J306*(1-strike(H306:J306)))</f>
        <v>#NAME?</v>
      </c>
      <c r="L306" s="4">
        <v>257.5</v>
      </c>
      <c r="M306" s="4">
        <v>262.5</v>
      </c>
      <c r="N306" s="4">
        <v>265</v>
      </c>
      <c r="O306" s="4" t="e">
        <f t="array" aca="1" ref="O306">MAX(L306:N306*(1-strike(L306:N306)))</f>
        <v>#NAME?</v>
      </c>
      <c r="P306" s="4">
        <v>292.5</v>
      </c>
      <c r="Q306" s="4">
        <v>300</v>
      </c>
      <c r="R306" s="4">
        <v>307.5</v>
      </c>
      <c r="S306" s="4" t="e">
        <f t="array" aca="1" ref="S306">MAX(P306:R306*(1-strike(P306:R306)))</f>
        <v>#NAME?</v>
      </c>
      <c r="T306" s="4" t="e">
        <f t="shared" si="4"/>
        <v>#NAME?</v>
      </c>
      <c r="U306" s="4">
        <v>900</v>
      </c>
      <c r="V306" s="4">
        <v>566.54999999999995</v>
      </c>
      <c r="W306" s="4">
        <v>2</v>
      </c>
      <c r="X306" s="5">
        <v>2014</v>
      </c>
      <c r="Y306" s="5" t="s">
        <v>29</v>
      </c>
      <c r="Z306" s="5" t="s">
        <v>171</v>
      </c>
      <c r="AA306" s="5">
        <v>501</v>
      </c>
    </row>
    <row r="307" spans="1:27">
      <c r="A307" s="4" t="s">
        <v>37</v>
      </c>
      <c r="B307" s="4" t="s">
        <v>379</v>
      </c>
      <c r="C307" s="4">
        <v>1981</v>
      </c>
      <c r="D307" s="4" t="s">
        <v>380</v>
      </c>
      <c r="E307" s="4">
        <v>117.48</v>
      </c>
      <c r="F307" s="4">
        <v>0.57779999999999998</v>
      </c>
      <c r="G307" s="4">
        <v>4</v>
      </c>
      <c r="H307" s="4">
        <v>310</v>
      </c>
      <c r="I307" s="6">
        <v>330</v>
      </c>
      <c r="J307" s="4">
        <v>330</v>
      </c>
      <c r="K307" s="4" t="e">
        <f t="array" aca="1" ref="K307">MAX(H307:J307*(1-strike(H307:J307)))</f>
        <v>#NAME?</v>
      </c>
      <c r="L307" s="6">
        <v>300</v>
      </c>
      <c r="M307" s="6">
        <v>300</v>
      </c>
      <c r="N307" s="6">
        <v>300</v>
      </c>
      <c r="O307" s="4" t="e">
        <f t="array" aca="1" ref="O307">MAX(L307:N307*(1-strike(L307:N307)))</f>
        <v>#NAME?</v>
      </c>
      <c r="P307" s="4"/>
      <c r="Q307" s="4"/>
      <c r="R307" s="4"/>
      <c r="S307" s="4" t="e">
        <f t="array" aca="1" ref="S307">MAX(P307:R307*(1-strike(P307:R307)))</f>
        <v>#NAME?</v>
      </c>
      <c r="T307" s="4" t="e">
        <f t="shared" si="4"/>
        <v>#NAME?</v>
      </c>
      <c r="U307" s="4" t="s">
        <v>187</v>
      </c>
      <c r="V307" s="4" t="s">
        <v>37</v>
      </c>
      <c r="W307" s="4" t="s">
        <v>37</v>
      </c>
      <c r="X307" s="5">
        <v>2014</v>
      </c>
      <c r="Y307" s="5" t="s">
        <v>29</v>
      </c>
      <c r="Z307" s="5" t="s">
        <v>171</v>
      </c>
      <c r="AA307" s="5">
        <v>552</v>
      </c>
    </row>
    <row r="308" spans="1:27">
      <c r="A308" s="4">
        <v>10</v>
      </c>
      <c r="B308" s="4" t="s">
        <v>379</v>
      </c>
      <c r="C308" s="4">
        <v>1981</v>
      </c>
      <c r="D308" s="4" t="s">
        <v>380</v>
      </c>
      <c r="E308" s="4">
        <v>119.47</v>
      </c>
      <c r="F308" s="4">
        <v>0.57550000000000001</v>
      </c>
      <c r="G308" s="4">
        <v>1</v>
      </c>
      <c r="H308" s="4">
        <v>300</v>
      </c>
      <c r="I308" s="4"/>
      <c r="J308" s="4"/>
      <c r="K308" s="4" t="e">
        <f t="array" aca="1" ref="K308">MAX(H308:J308*(1-strike(H308:J308)))</f>
        <v>#NAME?</v>
      </c>
      <c r="L308" s="4">
        <v>307.5</v>
      </c>
      <c r="M308" s="6">
        <v>315</v>
      </c>
      <c r="N308" s="4">
        <v>317.5</v>
      </c>
      <c r="O308" s="4" t="e">
        <f t="array" aca="1" ref="O308">MAX(L308:N308*(1-strike(L308:N308)))</f>
        <v>#NAME?</v>
      </c>
      <c r="P308" s="6">
        <v>250</v>
      </c>
      <c r="Q308" s="6">
        <v>250</v>
      </c>
      <c r="R308" s="4">
        <v>250</v>
      </c>
      <c r="S308" s="4" t="e">
        <f t="array" aca="1" ref="S308">MAX(P308:R308*(1-strike(P308:R308)))</f>
        <v>#NAME?</v>
      </c>
      <c r="T308" s="4" t="e">
        <f t="shared" si="4"/>
        <v>#NAME?</v>
      </c>
      <c r="U308" s="4">
        <v>867.5</v>
      </c>
      <c r="V308" s="4">
        <v>499.25</v>
      </c>
      <c r="W308" s="4">
        <v>1</v>
      </c>
      <c r="X308" s="5">
        <v>2015</v>
      </c>
      <c r="Y308" s="5" t="s">
        <v>29</v>
      </c>
      <c r="Z308" s="5" t="s">
        <v>171</v>
      </c>
      <c r="AA308" s="5">
        <v>105</v>
      </c>
    </row>
    <row r="309" spans="1:27">
      <c r="A309" s="4">
        <v>7</v>
      </c>
      <c r="B309" s="4" t="s">
        <v>381</v>
      </c>
      <c r="C309" s="4">
        <v>1991</v>
      </c>
      <c r="D309" s="4" t="s">
        <v>380</v>
      </c>
      <c r="E309" s="4">
        <v>65.59</v>
      </c>
      <c r="F309" s="4">
        <v>0.78920000000000001</v>
      </c>
      <c r="G309" s="4">
        <v>11</v>
      </c>
      <c r="H309" s="4">
        <v>240</v>
      </c>
      <c r="I309" s="6">
        <v>250</v>
      </c>
      <c r="J309" s="4"/>
      <c r="K309" s="4" t="e">
        <f t="array" aca="1" ref="K309">MAX(H309:J309*(1-strike(H309:J309)))</f>
        <v>#NAME?</v>
      </c>
      <c r="L309" s="4">
        <v>195</v>
      </c>
      <c r="M309" s="6">
        <v>202.5</v>
      </c>
      <c r="N309" s="4">
        <v>202.5</v>
      </c>
      <c r="O309" s="4" t="e">
        <f t="array" aca="1" ref="O309">MAX(L309:N309*(1-strike(L309:N309)))</f>
        <v>#NAME?</v>
      </c>
      <c r="P309" s="6">
        <v>210</v>
      </c>
      <c r="Q309" s="4">
        <v>215</v>
      </c>
      <c r="R309" s="6">
        <v>225</v>
      </c>
      <c r="S309" s="4" t="e">
        <f t="array" aca="1" ref="S309">MAX(P309:R309*(1-strike(P309:R309)))</f>
        <v>#NAME?</v>
      </c>
      <c r="T309" s="4" t="e">
        <f t="shared" si="4"/>
        <v>#NAME?</v>
      </c>
      <c r="U309" s="4">
        <v>657.5</v>
      </c>
      <c r="V309" s="4">
        <v>518.9</v>
      </c>
      <c r="W309" s="4">
        <v>4</v>
      </c>
      <c r="X309" s="5">
        <v>2015</v>
      </c>
      <c r="Y309" s="5" t="s">
        <v>29</v>
      </c>
      <c r="Z309" s="5" t="s">
        <v>171</v>
      </c>
      <c r="AA309" s="5">
        <v>18</v>
      </c>
    </row>
    <row r="310" spans="1:27">
      <c r="A310" s="4">
        <v>19</v>
      </c>
      <c r="B310" s="4" t="s">
        <v>382</v>
      </c>
      <c r="C310" s="4">
        <v>1981</v>
      </c>
      <c r="D310" s="4" t="s">
        <v>380</v>
      </c>
      <c r="E310" s="4">
        <v>114.2</v>
      </c>
      <c r="F310" s="4">
        <v>0.58209999999999995</v>
      </c>
      <c r="G310" s="4">
        <v>7</v>
      </c>
      <c r="H310" s="4">
        <v>320</v>
      </c>
      <c r="I310" s="6">
        <v>330</v>
      </c>
      <c r="J310" s="4">
        <v>330</v>
      </c>
      <c r="K310" s="4" t="e">
        <f t="array" aca="1" ref="K310">MAX(H310:J310*(1-strike(H310:J310)))</f>
        <v>#NAME?</v>
      </c>
      <c r="L310" s="4">
        <v>215</v>
      </c>
      <c r="M310" s="6">
        <v>225</v>
      </c>
      <c r="N310" s="6">
        <v>225</v>
      </c>
      <c r="O310" s="4" t="e">
        <f t="array" aca="1" ref="O310">MAX(L310:N310*(1-strike(L310:N310)))</f>
        <v>#NAME?</v>
      </c>
      <c r="P310" s="4">
        <v>250</v>
      </c>
      <c r="Q310" s="4">
        <v>260</v>
      </c>
      <c r="R310" s="6">
        <v>265</v>
      </c>
      <c r="S310" s="4" t="e">
        <f t="array" aca="1" ref="S310">MAX(P310:R310*(1-strike(P310:R310)))</f>
        <v>#NAME?</v>
      </c>
      <c r="T310" s="4" t="e">
        <f t="shared" si="4"/>
        <v>#NAME?</v>
      </c>
      <c r="U310" s="4">
        <v>805</v>
      </c>
      <c r="V310" s="4">
        <v>468.59</v>
      </c>
      <c r="W310" s="4">
        <v>1</v>
      </c>
      <c r="X310" s="5">
        <v>2014</v>
      </c>
      <c r="Y310" s="5" t="s">
        <v>29</v>
      </c>
      <c r="Z310" s="5" t="s">
        <v>171</v>
      </c>
      <c r="AA310" s="5">
        <v>551</v>
      </c>
    </row>
    <row r="311" spans="1:27" ht="15" customHeight="1">
      <c r="A311" s="4" t="s">
        <v>37</v>
      </c>
      <c r="B311" s="4" t="s">
        <v>382</v>
      </c>
      <c r="C311" s="4">
        <v>1981</v>
      </c>
      <c r="D311" s="4" t="s">
        <v>380</v>
      </c>
      <c r="E311" s="4">
        <v>114.54</v>
      </c>
      <c r="F311" s="4">
        <v>0.58169999999999999</v>
      </c>
      <c r="G311" s="4">
        <v>15</v>
      </c>
      <c r="H311" s="6">
        <v>330</v>
      </c>
      <c r="I311" s="6">
        <v>330</v>
      </c>
      <c r="J311" s="6">
        <v>330</v>
      </c>
      <c r="K311" s="4" t="e">
        <f t="array" aca="1" ref="K311">MAX(H311:J311*(1-strike(H311:J311)))</f>
        <v>#NAME?</v>
      </c>
      <c r="L311" s="4">
        <v>215</v>
      </c>
      <c r="M311" s="6">
        <v>225</v>
      </c>
      <c r="N311" s="6">
        <v>230</v>
      </c>
      <c r="O311" s="4" t="e">
        <f t="array" aca="1" ref="O311">MAX(L311:N311*(1-strike(L311:N311)))</f>
        <v>#NAME?</v>
      </c>
      <c r="P311" s="4">
        <v>250</v>
      </c>
      <c r="Q311" s="6">
        <v>270</v>
      </c>
      <c r="R311" s="4"/>
      <c r="S311" s="4" t="e">
        <f t="array" aca="1" ref="S311">MAX(P311:R311*(1-strike(P311:R311)))</f>
        <v>#NAME?</v>
      </c>
      <c r="T311" s="4" t="e">
        <f t="shared" si="4"/>
        <v>#NAME?</v>
      </c>
      <c r="U311" s="4" t="s">
        <v>187</v>
      </c>
      <c r="V311" s="4" t="s">
        <v>37</v>
      </c>
      <c r="W311" s="4" t="s">
        <v>37</v>
      </c>
      <c r="X311" s="5">
        <v>2015</v>
      </c>
      <c r="Y311" s="5" t="s">
        <v>29</v>
      </c>
      <c r="Z311" s="5" t="s">
        <v>171</v>
      </c>
      <c r="AA311" s="5">
        <v>107</v>
      </c>
    </row>
    <row r="312" spans="1:27">
      <c r="A312" s="3">
        <v>12</v>
      </c>
      <c r="B312" s="3" t="s">
        <v>383</v>
      </c>
      <c r="C312" s="3">
        <v>1989</v>
      </c>
      <c r="D312" s="3" t="s">
        <v>54</v>
      </c>
      <c r="E312" s="3">
        <v>73.5</v>
      </c>
      <c r="F312" s="3">
        <v>0.7228</v>
      </c>
      <c r="G312" s="3">
        <v>3</v>
      </c>
      <c r="H312" s="3">
        <v>275</v>
      </c>
      <c r="I312" s="1">
        <v>285</v>
      </c>
      <c r="J312" s="1">
        <v>285</v>
      </c>
      <c r="K312" s="4" t="e">
        <f t="array" aca="1" ref="K312">MAX(H312:J312*(1-strike(H312:J312)))</f>
        <v>#NAME?</v>
      </c>
      <c r="L312" s="3">
        <v>157.5</v>
      </c>
      <c r="M312" s="3">
        <v>162.5</v>
      </c>
      <c r="N312" s="1">
        <v>165</v>
      </c>
      <c r="O312" s="4" t="e">
        <f t="array" aca="1" ref="O312">MAX(L312:N312*(1-strike(L312:N312)))</f>
        <v>#NAME?</v>
      </c>
      <c r="P312" s="3">
        <v>272.5</v>
      </c>
      <c r="Q312" s="1">
        <v>285</v>
      </c>
      <c r="R312" s="1">
        <v>285</v>
      </c>
      <c r="S312" s="4" t="e">
        <f t="array" aca="1" ref="S312">MAX(P312:R312*(1-strike(P312:R312)))</f>
        <v>#NAME?</v>
      </c>
      <c r="T312" s="4" t="e">
        <f t="shared" si="4"/>
        <v>#NAME?</v>
      </c>
      <c r="U312" s="3">
        <v>710</v>
      </c>
      <c r="V312" s="3">
        <v>513.19000000000005</v>
      </c>
      <c r="W312" s="3">
        <v>1</v>
      </c>
      <c r="X312" s="5">
        <v>2013</v>
      </c>
      <c r="Y312" s="5" t="s">
        <v>29</v>
      </c>
      <c r="Z312" s="5" t="s">
        <v>171</v>
      </c>
      <c r="AA312" s="5">
        <v>847</v>
      </c>
    </row>
    <row r="313" spans="1:27">
      <c r="A313" s="4">
        <v>8</v>
      </c>
      <c r="B313" s="4" t="s">
        <v>383</v>
      </c>
      <c r="C313" s="4">
        <v>1989</v>
      </c>
      <c r="D313" s="4" t="s">
        <v>54</v>
      </c>
      <c r="E313" s="4">
        <v>73.44</v>
      </c>
      <c r="F313" s="4">
        <v>0.72350000000000003</v>
      </c>
      <c r="G313" s="4">
        <v>14</v>
      </c>
      <c r="H313" s="4">
        <v>290</v>
      </c>
      <c r="I313" s="6">
        <v>297.5</v>
      </c>
      <c r="J313" s="6">
        <v>302.5</v>
      </c>
      <c r="K313" s="4" t="e">
        <f t="array" aca="1" ref="K313">MAX(H313:J313*(1-strike(H313:J313)))</f>
        <v>#NAME?</v>
      </c>
      <c r="L313" s="4">
        <v>155</v>
      </c>
      <c r="M313" s="4">
        <v>160</v>
      </c>
      <c r="N313" s="6">
        <v>165</v>
      </c>
      <c r="O313" s="4" t="e">
        <f t="array" aca="1" ref="O313">MAX(L313:N313*(1-strike(L313:N313)))</f>
        <v>#NAME?</v>
      </c>
      <c r="P313" s="4">
        <v>280</v>
      </c>
      <c r="Q313" s="4">
        <v>292.5</v>
      </c>
      <c r="R313" s="6">
        <v>300</v>
      </c>
      <c r="S313" s="4" t="e">
        <f t="array" aca="1" ref="S313">MAX(P313:R313*(1-strike(P313:R313)))</f>
        <v>#NAME?</v>
      </c>
      <c r="T313" s="4" t="e">
        <f t="shared" si="4"/>
        <v>#NAME?</v>
      </c>
      <c r="U313" s="4">
        <v>742.5</v>
      </c>
      <c r="V313" s="4">
        <v>537.20000000000005</v>
      </c>
      <c r="W313" s="4">
        <v>3</v>
      </c>
      <c r="X313" s="5">
        <v>2014</v>
      </c>
      <c r="Y313" s="5" t="s">
        <v>29</v>
      </c>
      <c r="Z313" s="5" t="s">
        <v>171</v>
      </c>
      <c r="AA313" s="5">
        <v>468</v>
      </c>
    </row>
    <row r="314" spans="1:27">
      <c r="A314" s="4">
        <v>10</v>
      </c>
      <c r="B314" s="4" t="s">
        <v>383</v>
      </c>
      <c r="C314" s="4">
        <v>1989</v>
      </c>
      <c r="D314" s="4" t="s">
        <v>54</v>
      </c>
      <c r="E314" s="4">
        <v>73.39</v>
      </c>
      <c r="F314" s="4">
        <v>0.72360000000000002</v>
      </c>
      <c r="G314" s="4">
        <v>14</v>
      </c>
      <c r="H314" s="4">
        <v>290</v>
      </c>
      <c r="I314" s="6">
        <v>297.5</v>
      </c>
      <c r="J314" s="6">
        <v>297.5</v>
      </c>
      <c r="K314" s="4" t="e">
        <f t="array" aca="1" ref="K314">MAX(H314:J314*(1-strike(H314:J314)))</f>
        <v>#NAME?</v>
      </c>
      <c r="L314" s="4">
        <v>162.5</v>
      </c>
      <c r="M314" s="4">
        <v>167.5</v>
      </c>
      <c r="N314" s="4">
        <v>170</v>
      </c>
      <c r="O314" s="4" t="e">
        <f t="array" aca="1" ref="O314">MAX(L314:N314*(1-strike(L314:N314)))</f>
        <v>#NAME?</v>
      </c>
      <c r="P314" s="4">
        <v>277.5</v>
      </c>
      <c r="Q314" s="6">
        <v>287.5</v>
      </c>
      <c r="R314" s="6">
        <v>295</v>
      </c>
      <c r="S314" s="4" t="e">
        <f t="array" aca="1" ref="S314">MAX(P314:R314*(1-strike(P314:R314)))</f>
        <v>#NAME?</v>
      </c>
      <c r="T314" s="4" t="e">
        <f t="shared" si="4"/>
        <v>#NAME?</v>
      </c>
      <c r="U314" s="4">
        <v>737.5</v>
      </c>
      <c r="V314" s="4">
        <v>533.65</v>
      </c>
      <c r="W314" s="4">
        <v>1</v>
      </c>
      <c r="X314" s="5">
        <v>2015</v>
      </c>
      <c r="Y314" s="5" t="s">
        <v>29</v>
      </c>
      <c r="Z314" s="5" t="s">
        <v>171</v>
      </c>
      <c r="AA314" s="5">
        <v>32</v>
      </c>
    </row>
    <row r="315" spans="1:27">
      <c r="A315" s="3" t="s">
        <v>37</v>
      </c>
      <c r="B315" s="3" t="s">
        <v>384</v>
      </c>
      <c r="C315" s="3">
        <v>1984</v>
      </c>
      <c r="D315" s="3" t="s">
        <v>137</v>
      </c>
      <c r="E315" s="3">
        <v>104.1</v>
      </c>
      <c r="F315" s="3">
        <v>0.59940000000000004</v>
      </c>
      <c r="G315" s="3">
        <v>4</v>
      </c>
      <c r="H315" s="1">
        <v>360</v>
      </c>
      <c r="I315" s="3">
        <v>360</v>
      </c>
      <c r="J315" s="1">
        <v>372.5</v>
      </c>
      <c r="K315" s="4" t="e">
        <f t="array" aca="1" ref="K315">MAX(H315:J315*(1-strike(H315:J315)))</f>
        <v>#NAME?</v>
      </c>
      <c r="L315" s="1">
        <v>235</v>
      </c>
      <c r="M315" s="1">
        <v>235</v>
      </c>
      <c r="N315" s="1">
        <v>235</v>
      </c>
      <c r="O315" s="4" t="e">
        <f t="array" aca="1" ref="O315">MAX(L315:N315*(1-strike(L315:N315)))</f>
        <v>#NAME?</v>
      </c>
      <c r="P315" s="3"/>
      <c r="Q315" s="3"/>
      <c r="R315" s="3"/>
      <c r="S315" s="4" t="e">
        <f t="array" aca="1" ref="S315">MAX(P315:R315*(1-strike(P315:R315)))</f>
        <v>#NAME?</v>
      </c>
      <c r="T315" s="4" t="e">
        <f t="shared" si="4"/>
        <v>#NAME?</v>
      </c>
      <c r="U315" s="3" t="s">
        <v>40</v>
      </c>
      <c r="V315" s="3" t="s">
        <v>37</v>
      </c>
      <c r="W315" s="3" t="s">
        <v>37</v>
      </c>
      <c r="X315" s="5">
        <v>2012</v>
      </c>
      <c r="Y315" s="5" t="s">
        <v>29</v>
      </c>
      <c r="Z315" s="5" t="s">
        <v>171</v>
      </c>
      <c r="AA315" s="5">
        <v>1295</v>
      </c>
    </row>
    <row r="316" spans="1:27">
      <c r="A316" s="3">
        <v>5</v>
      </c>
      <c r="B316" s="3" t="s">
        <v>384</v>
      </c>
      <c r="C316" s="3">
        <v>1984</v>
      </c>
      <c r="D316" s="3" t="s">
        <v>137</v>
      </c>
      <c r="E316" s="3">
        <v>104.5</v>
      </c>
      <c r="F316" s="3">
        <v>0.59860000000000002</v>
      </c>
      <c r="G316" s="3">
        <v>17</v>
      </c>
      <c r="H316" s="3">
        <v>282.5</v>
      </c>
      <c r="I316" s="1">
        <v>292.5</v>
      </c>
      <c r="J316" s="1">
        <v>295</v>
      </c>
      <c r="K316" s="4" t="e">
        <f t="array" aca="1" ref="K316">MAX(H316:J316*(1-strike(H316:J316)))</f>
        <v>#NAME?</v>
      </c>
      <c r="L316" s="3">
        <v>192.5</v>
      </c>
      <c r="M316" s="1">
        <v>200</v>
      </c>
      <c r="N316" s="1">
        <v>200</v>
      </c>
      <c r="O316" s="4" t="e">
        <f t="array" aca="1" ref="O316">MAX(L316:N316*(1-strike(L316:N316)))</f>
        <v>#NAME?</v>
      </c>
      <c r="P316" s="3">
        <v>305</v>
      </c>
      <c r="Q316" s="1">
        <v>320</v>
      </c>
      <c r="R316" s="1">
        <v>320</v>
      </c>
      <c r="S316" s="4" t="e">
        <f t="array" aca="1" ref="S316">MAX(P316:R316*(1-strike(P316:R316)))</f>
        <v>#NAME?</v>
      </c>
      <c r="T316" s="4" t="e">
        <f t="shared" si="4"/>
        <v>#NAME?</v>
      </c>
      <c r="U316" s="3">
        <v>780</v>
      </c>
      <c r="V316" s="3">
        <v>466.91</v>
      </c>
      <c r="W316" s="3">
        <v>6</v>
      </c>
      <c r="X316" s="5">
        <v>2013</v>
      </c>
      <c r="Y316" s="5" t="s">
        <v>29</v>
      </c>
      <c r="Z316" s="5" t="s">
        <v>30</v>
      </c>
      <c r="AA316" s="5">
        <v>1075</v>
      </c>
    </row>
    <row r="317" spans="1:27">
      <c r="A317" s="4">
        <v>4</v>
      </c>
      <c r="B317" s="4" t="s">
        <v>384</v>
      </c>
      <c r="C317" s="4">
        <v>1984</v>
      </c>
      <c r="D317" s="4" t="s">
        <v>137</v>
      </c>
      <c r="E317" s="4">
        <v>104.45</v>
      </c>
      <c r="F317" s="4">
        <v>0.59870000000000001</v>
      </c>
      <c r="G317" s="4">
        <v>13</v>
      </c>
      <c r="H317" s="6">
        <v>285</v>
      </c>
      <c r="I317" s="4">
        <v>290</v>
      </c>
      <c r="J317" s="4">
        <v>300</v>
      </c>
      <c r="K317" s="4" t="e">
        <f t="array" aca="1" ref="K317">MAX(H317:J317*(1-strike(H317:J317)))</f>
        <v>#NAME?</v>
      </c>
      <c r="L317" s="4">
        <v>195</v>
      </c>
      <c r="M317" s="4">
        <v>205</v>
      </c>
      <c r="N317" s="6">
        <v>207.5</v>
      </c>
      <c r="O317" s="4" t="e">
        <f t="array" aca="1" ref="O317">MAX(L317:N317*(1-strike(L317:N317)))</f>
        <v>#NAME?</v>
      </c>
      <c r="P317" s="4">
        <v>315</v>
      </c>
      <c r="Q317" s="4">
        <v>332.5</v>
      </c>
      <c r="R317" s="6">
        <v>347.5</v>
      </c>
      <c r="S317" s="4" t="e">
        <f t="array" aca="1" ref="S317">MAX(P317:R317*(1-strike(P317:R317)))</f>
        <v>#NAME?</v>
      </c>
      <c r="T317" s="4" t="e">
        <f t="shared" si="4"/>
        <v>#NAME?</v>
      </c>
      <c r="U317" s="4">
        <v>837.5</v>
      </c>
      <c r="V317" s="4">
        <v>501.41</v>
      </c>
      <c r="W317" s="4">
        <v>7</v>
      </c>
      <c r="X317" s="5">
        <v>2014</v>
      </c>
      <c r="Y317" s="5" t="s">
        <v>29</v>
      </c>
      <c r="Z317" s="5" t="s">
        <v>30</v>
      </c>
      <c r="AA317" s="5">
        <v>713</v>
      </c>
    </row>
    <row r="318" spans="1:27">
      <c r="A318" s="4">
        <v>5</v>
      </c>
      <c r="B318" s="4" t="s">
        <v>384</v>
      </c>
      <c r="C318" s="4">
        <v>1984</v>
      </c>
      <c r="D318" s="4" t="s">
        <v>137</v>
      </c>
      <c r="E318" s="4">
        <v>104.48</v>
      </c>
      <c r="F318" s="4">
        <v>0.59860000000000002</v>
      </c>
      <c r="G318" s="4">
        <v>12</v>
      </c>
      <c r="H318" s="4">
        <v>365</v>
      </c>
      <c r="I318" s="6">
        <v>380</v>
      </c>
      <c r="J318" s="6">
        <v>382.5</v>
      </c>
      <c r="K318" s="4" t="e">
        <f t="array" aca="1" ref="K318">MAX(H318:J318*(1-strike(H318:J318)))</f>
        <v>#NAME?</v>
      </c>
      <c r="L318" s="4">
        <v>255</v>
      </c>
      <c r="M318" s="4">
        <v>260</v>
      </c>
      <c r="N318" s="4">
        <v>262.5</v>
      </c>
      <c r="O318" s="4" t="e">
        <f t="array" aca="1" ref="O318">MAX(L318:N318*(1-strike(L318:N318)))</f>
        <v>#NAME?</v>
      </c>
      <c r="P318" s="4">
        <v>330</v>
      </c>
      <c r="Q318" s="4">
        <v>347.5</v>
      </c>
      <c r="R318" s="4">
        <v>360</v>
      </c>
      <c r="S318" s="4" t="e">
        <f t="array" aca="1" ref="S318">MAX(P318:R318*(1-strike(P318:R318)))</f>
        <v>#NAME?</v>
      </c>
      <c r="T318" s="4" t="e">
        <f t="shared" si="4"/>
        <v>#NAME?</v>
      </c>
      <c r="U318" s="4">
        <v>987.5</v>
      </c>
      <c r="V318" s="4">
        <v>591.12</v>
      </c>
      <c r="W318" s="4">
        <v>6</v>
      </c>
      <c r="X318" s="5">
        <v>2014</v>
      </c>
      <c r="Y318" s="5" t="s">
        <v>29</v>
      </c>
      <c r="Z318" s="5" t="s">
        <v>171</v>
      </c>
      <c r="AA318" s="5">
        <v>517</v>
      </c>
    </row>
    <row r="319" spans="1:27">
      <c r="A319" s="4">
        <v>1</v>
      </c>
      <c r="B319" s="4" t="s">
        <v>384</v>
      </c>
      <c r="C319" s="4">
        <v>1984</v>
      </c>
      <c r="D319" s="4" t="s">
        <v>137</v>
      </c>
      <c r="E319" s="4">
        <v>104.49</v>
      </c>
      <c r="F319" s="4">
        <v>0.59860000000000002</v>
      </c>
      <c r="G319" s="4">
        <v>11</v>
      </c>
      <c r="H319" s="4">
        <v>280</v>
      </c>
      <c r="I319" s="6">
        <v>290</v>
      </c>
      <c r="J319" s="4">
        <v>290</v>
      </c>
      <c r="K319" s="4" t="e">
        <f t="array" aca="1" ref="K319">MAX(H319:J319*(1-strike(H319:J319)))</f>
        <v>#NAME?</v>
      </c>
      <c r="L319" s="4">
        <v>192.5</v>
      </c>
      <c r="M319" s="4">
        <v>202.5</v>
      </c>
      <c r="N319" s="4">
        <v>207.5</v>
      </c>
      <c r="O319" s="4" t="e">
        <f t="array" aca="1" ref="O319">MAX(L319:N319*(1-strike(L319:N319)))</f>
        <v>#NAME?</v>
      </c>
      <c r="P319" s="4">
        <v>315</v>
      </c>
      <c r="Q319" s="4">
        <v>330</v>
      </c>
      <c r="R319" s="6">
        <v>343</v>
      </c>
      <c r="S319" s="4" t="e">
        <f t="array" aca="1" ref="S319">MAX(P319:R319*(1-strike(P319:R319)))</f>
        <v>#NAME?</v>
      </c>
      <c r="T319" s="4" t="e">
        <f t="shared" si="4"/>
        <v>#NAME?</v>
      </c>
      <c r="U319" s="4">
        <v>827.5</v>
      </c>
      <c r="V319" s="4">
        <v>495.34</v>
      </c>
      <c r="W319" s="4">
        <v>12</v>
      </c>
      <c r="X319" s="5">
        <v>2015</v>
      </c>
      <c r="Y319" s="5" t="s">
        <v>29</v>
      </c>
      <c r="Z319" s="5" t="s">
        <v>30</v>
      </c>
      <c r="AA319" s="5">
        <v>293</v>
      </c>
    </row>
    <row r="320" spans="1:27" ht="15" customHeight="1">
      <c r="A320" s="4">
        <v>3</v>
      </c>
      <c r="B320" s="4" t="s">
        <v>384</v>
      </c>
      <c r="C320" s="4">
        <v>1984</v>
      </c>
      <c r="D320" s="4" t="s">
        <v>137</v>
      </c>
      <c r="E320" s="4">
        <v>104.7</v>
      </c>
      <c r="F320" s="4">
        <v>0.59819999999999995</v>
      </c>
      <c r="G320" s="4">
        <v>24</v>
      </c>
      <c r="H320" s="4">
        <v>365</v>
      </c>
      <c r="I320" s="4">
        <v>377.5</v>
      </c>
      <c r="J320" s="4">
        <v>385</v>
      </c>
      <c r="K320" s="4" t="e">
        <f t="array" aca="1" ref="K320">MAX(H320:J320*(1-strike(H320:J320)))</f>
        <v>#NAME?</v>
      </c>
      <c r="L320" s="4">
        <v>255</v>
      </c>
      <c r="M320" s="4">
        <v>262.5</v>
      </c>
      <c r="N320" s="4">
        <v>267.5</v>
      </c>
      <c r="O320" s="4" t="e">
        <f t="array" aca="1" ref="O320">MAX(L320:N320*(1-strike(L320:N320)))</f>
        <v>#NAME?</v>
      </c>
      <c r="P320" s="4">
        <v>340</v>
      </c>
      <c r="Q320" s="4">
        <v>352.5</v>
      </c>
      <c r="R320" s="4">
        <v>360</v>
      </c>
      <c r="S320" s="4" t="e">
        <f t="array" aca="1" ref="S320">MAX(P320:R320*(1-strike(P320:R320)))</f>
        <v>#NAME?</v>
      </c>
      <c r="T320" s="4" t="e">
        <f t="shared" si="4"/>
        <v>#NAME?</v>
      </c>
      <c r="U320" s="4">
        <v>1012.5</v>
      </c>
      <c r="V320" s="4">
        <v>605.67999999999995</v>
      </c>
      <c r="W320" s="4">
        <v>8</v>
      </c>
      <c r="X320" s="5">
        <v>2015</v>
      </c>
      <c r="Y320" s="5" t="s">
        <v>29</v>
      </c>
      <c r="Z320" s="5" t="s">
        <v>171</v>
      </c>
      <c r="AA320" s="5">
        <v>75</v>
      </c>
    </row>
    <row r="321" spans="1:27">
      <c r="A321" s="4">
        <v>1</v>
      </c>
      <c r="B321" s="4" t="s">
        <v>385</v>
      </c>
      <c r="C321" s="4">
        <v>1990</v>
      </c>
      <c r="D321" s="4" t="s">
        <v>28</v>
      </c>
      <c r="E321" s="4">
        <v>103.56</v>
      </c>
      <c r="F321" s="4">
        <v>0.60050000000000003</v>
      </c>
      <c r="G321" s="4">
        <v>7</v>
      </c>
      <c r="H321" s="4">
        <v>300</v>
      </c>
      <c r="I321" s="4">
        <v>310</v>
      </c>
      <c r="J321" s="4">
        <v>315</v>
      </c>
      <c r="K321" s="4" t="e">
        <f t="array" aca="1" ref="K321">MAX(H321:J321*(1-strike(H321:J321)))</f>
        <v>#NAME?</v>
      </c>
      <c r="L321" s="4">
        <v>200</v>
      </c>
      <c r="M321" s="4">
        <v>210</v>
      </c>
      <c r="N321" s="4">
        <v>215</v>
      </c>
      <c r="O321" s="4" t="e">
        <f t="array" aca="1" ref="O321">MAX(L321:N321*(1-strike(L321:N321)))</f>
        <v>#NAME?</v>
      </c>
      <c r="P321" s="4">
        <v>330</v>
      </c>
      <c r="Q321" s="4">
        <v>337.5</v>
      </c>
      <c r="R321" s="6">
        <v>350</v>
      </c>
      <c r="S321" s="4" t="e">
        <f t="array" aca="1" ref="S321">MAX(P321:R321*(1-strike(P321:R321)))</f>
        <v>#NAME?</v>
      </c>
      <c r="T321" s="4" t="e">
        <f t="shared" si="4"/>
        <v>#NAME?</v>
      </c>
      <c r="U321" s="4" t="s">
        <v>386</v>
      </c>
      <c r="V321" s="4">
        <v>520.91999999999996</v>
      </c>
      <c r="W321" s="4">
        <v>12</v>
      </c>
      <c r="X321" s="5">
        <v>2014</v>
      </c>
      <c r="Y321" s="5" t="s">
        <v>29</v>
      </c>
      <c r="Z321" s="5" t="s">
        <v>30</v>
      </c>
      <c r="AA321" s="5">
        <v>710</v>
      </c>
    </row>
    <row r="322" spans="1:27">
      <c r="A322" s="4">
        <v>2</v>
      </c>
      <c r="B322" s="4" t="s">
        <v>385</v>
      </c>
      <c r="C322" s="4">
        <v>1990</v>
      </c>
      <c r="D322" s="4" t="s">
        <v>28</v>
      </c>
      <c r="E322" s="4">
        <v>102.78</v>
      </c>
      <c r="F322" s="4">
        <v>0.60209999999999997</v>
      </c>
      <c r="G322" s="4">
        <v>5</v>
      </c>
      <c r="H322" s="6">
        <v>405</v>
      </c>
      <c r="I322" s="6">
        <v>405</v>
      </c>
      <c r="J322" s="4">
        <v>405</v>
      </c>
      <c r="K322" s="4" t="e">
        <f t="array" aca="1" ref="K322">MAX(H322:J322*(1-strike(H322:J322)))</f>
        <v>#NAME?</v>
      </c>
      <c r="L322" s="4">
        <v>265</v>
      </c>
      <c r="M322" s="4">
        <v>272.5</v>
      </c>
      <c r="N322" s="4">
        <v>280</v>
      </c>
      <c r="O322" s="4" t="e">
        <f t="array" aca="1" ref="O322">MAX(L322:N322*(1-strike(L322:N322)))</f>
        <v>#NAME?</v>
      </c>
      <c r="P322" s="4">
        <v>347.5</v>
      </c>
      <c r="Q322" s="4">
        <v>357.5</v>
      </c>
      <c r="R322" s="6">
        <v>365</v>
      </c>
      <c r="S322" s="4" t="e">
        <f t="array" aca="1" ref="S322">MAX(P322:R322*(1-strike(P322:R322)))</f>
        <v>#NAME?</v>
      </c>
      <c r="T322" s="4" t="e">
        <f t="shared" ref="T322:T385" si="5">IF(AND(K322&lt;&gt;0,O322&lt;&gt;0,S322&lt;&gt;0),K322+O322+S322,0)</f>
        <v>#NAME?</v>
      </c>
      <c r="U322" s="4">
        <v>1042.5</v>
      </c>
      <c r="V322" s="4">
        <v>627.69000000000005</v>
      </c>
      <c r="W322" s="4">
        <v>9</v>
      </c>
      <c r="X322" s="5">
        <v>2014</v>
      </c>
      <c r="Y322" s="5" t="s">
        <v>29</v>
      </c>
      <c r="Z322" s="5" t="s">
        <v>171</v>
      </c>
      <c r="AA322" s="5">
        <v>514</v>
      </c>
    </row>
    <row r="323" spans="1:27">
      <c r="A323" s="4">
        <v>4</v>
      </c>
      <c r="B323" s="4" t="s">
        <v>387</v>
      </c>
      <c r="C323" s="4">
        <v>1992</v>
      </c>
      <c r="D323" s="4" t="s">
        <v>62</v>
      </c>
      <c r="E323" s="4">
        <v>91.88</v>
      </c>
      <c r="F323" s="4">
        <v>0.63180000000000003</v>
      </c>
      <c r="G323" s="4">
        <v>6</v>
      </c>
      <c r="H323" s="4">
        <v>350</v>
      </c>
      <c r="I323" s="4">
        <v>365</v>
      </c>
      <c r="J323" s="4">
        <v>372.5</v>
      </c>
      <c r="K323" s="4" t="e">
        <f t="array" aca="1" ref="K323">MAX(H323:J323*(1-strike(H323:J323)))</f>
        <v>#NAME?</v>
      </c>
      <c r="L323" s="4">
        <v>210</v>
      </c>
      <c r="M323" s="6">
        <v>220</v>
      </c>
      <c r="N323" s="6">
        <v>220</v>
      </c>
      <c r="O323" s="4" t="e">
        <f t="array" aca="1" ref="O323">MAX(L323:N323*(1-strike(L323:N323)))</f>
        <v>#NAME?</v>
      </c>
      <c r="P323" s="6">
        <v>360</v>
      </c>
      <c r="Q323" s="4">
        <v>360</v>
      </c>
      <c r="R323" s="4">
        <v>370</v>
      </c>
      <c r="S323" s="4" t="e">
        <f t="array" aca="1" ref="S323">MAX(P323:R323*(1-strike(P323:R323)))</f>
        <v>#NAME?</v>
      </c>
      <c r="T323" s="4" t="e">
        <f t="shared" si="5"/>
        <v>#NAME?</v>
      </c>
      <c r="U323" s="4">
        <v>952.5</v>
      </c>
      <c r="V323" s="4">
        <v>601.79</v>
      </c>
      <c r="W323" s="4">
        <v>7</v>
      </c>
      <c r="X323" s="5">
        <v>2014</v>
      </c>
      <c r="Y323" s="5" t="s">
        <v>29</v>
      </c>
      <c r="Z323" s="5" t="s">
        <v>171</v>
      </c>
      <c r="AA323" s="5">
        <v>496</v>
      </c>
    </row>
    <row r="324" spans="1:27">
      <c r="A324" s="3">
        <v>3</v>
      </c>
      <c r="B324" s="3" t="s">
        <v>36</v>
      </c>
      <c r="C324" s="3">
        <v>1967</v>
      </c>
      <c r="D324" s="3" t="s">
        <v>35</v>
      </c>
      <c r="E324" s="3">
        <v>74</v>
      </c>
      <c r="F324" s="3">
        <v>0.71930000000000005</v>
      </c>
      <c r="G324" s="3">
        <v>23</v>
      </c>
      <c r="H324" s="3">
        <v>210</v>
      </c>
      <c r="I324" s="3">
        <v>220</v>
      </c>
      <c r="J324" s="3">
        <v>230</v>
      </c>
      <c r="K324" s="4" t="e">
        <f t="array" aca="1" ref="K324">MAX(H324:J324*(1-strike(H324:J324)))</f>
        <v>#NAME?</v>
      </c>
      <c r="L324" s="3">
        <v>160</v>
      </c>
      <c r="M324" s="3">
        <v>167.5</v>
      </c>
      <c r="N324" s="3">
        <v>172.5</v>
      </c>
      <c r="O324" s="4" t="e">
        <f t="array" aca="1" ref="O324">MAX(L324:N324*(1-strike(L324:N324)))</f>
        <v>#NAME?</v>
      </c>
      <c r="P324" s="3">
        <v>250</v>
      </c>
      <c r="Q324" s="3">
        <v>260</v>
      </c>
      <c r="R324" s="3">
        <v>267.5</v>
      </c>
      <c r="S324" s="4" t="e">
        <f t="array" aca="1" ref="S324">MAX(P324:R324*(1-strike(P324:R324)))</f>
        <v>#NAME?</v>
      </c>
      <c r="T324" s="4" t="e">
        <f t="shared" si="5"/>
        <v>#NAME?</v>
      </c>
      <c r="U324" s="3">
        <v>670</v>
      </c>
      <c r="V324" s="3">
        <v>481.93</v>
      </c>
      <c r="W324" s="3">
        <v>8</v>
      </c>
      <c r="X324" s="5">
        <v>2013</v>
      </c>
      <c r="Y324" s="5" t="s">
        <v>29</v>
      </c>
      <c r="Z324" s="5" t="s">
        <v>30</v>
      </c>
      <c r="AA324" s="5">
        <v>1033</v>
      </c>
    </row>
    <row r="325" spans="1:27">
      <c r="A325" s="4">
        <v>5</v>
      </c>
      <c r="B325" s="4" t="s">
        <v>36</v>
      </c>
      <c r="C325" s="4">
        <v>1967</v>
      </c>
      <c r="D325" s="4" t="s">
        <v>35</v>
      </c>
      <c r="E325" s="4">
        <v>73.5</v>
      </c>
      <c r="F325" s="4">
        <v>0.7228</v>
      </c>
      <c r="G325" s="4">
        <v>8</v>
      </c>
      <c r="H325" s="4">
        <v>215</v>
      </c>
      <c r="I325" s="4">
        <v>230</v>
      </c>
      <c r="J325" s="4">
        <v>235</v>
      </c>
      <c r="K325" s="4" t="e">
        <f t="array" aca="1" ref="K325">MAX(H325:J325*(1-strike(H325:J325)))</f>
        <v>#NAME?</v>
      </c>
      <c r="L325" s="4">
        <v>167.5</v>
      </c>
      <c r="M325" s="6">
        <v>175</v>
      </c>
      <c r="N325" s="4">
        <v>175</v>
      </c>
      <c r="O325" s="4" t="e">
        <f t="array" aca="1" ref="O325">MAX(L325:N325*(1-strike(L325:N325)))</f>
        <v>#NAME?</v>
      </c>
      <c r="P325" s="4">
        <v>250</v>
      </c>
      <c r="Q325" s="4">
        <v>260</v>
      </c>
      <c r="R325" s="4">
        <v>265</v>
      </c>
      <c r="S325" s="4" t="e">
        <f t="array" aca="1" ref="S325">MAX(P325:R325*(1-strike(P325:R325)))</f>
        <v>#NAME?</v>
      </c>
      <c r="T325" s="4" t="e">
        <f t="shared" si="5"/>
        <v>#NAME?</v>
      </c>
      <c r="U325" s="4">
        <v>675</v>
      </c>
      <c r="V325" s="4">
        <v>487.89</v>
      </c>
      <c r="W325" s="4">
        <v>6</v>
      </c>
      <c r="X325" s="5">
        <v>2014</v>
      </c>
      <c r="Y325" s="5" t="s">
        <v>29</v>
      </c>
      <c r="Z325" s="5" t="s">
        <v>30</v>
      </c>
      <c r="AA325" s="5">
        <v>672</v>
      </c>
    </row>
    <row r="326" spans="1:27">
      <c r="A326" s="4" t="s">
        <v>37</v>
      </c>
      <c r="B326" s="4" t="s">
        <v>36</v>
      </c>
      <c r="C326" s="4">
        <v>1967</v>
      </c>
      <c r="D326" s="4" t="s">
        <v>35</v>
      </c>
      <c r="E326" s="4">
        <v>73.08</v>
      </c>
      <c r="F326" s="4">
        <v>0.7258</v>
      </c>
      <c r="G326" s="4">
        <v>10</v>
      </c>
      <c r="H326" s="4"/>
      <c r="I326" s="4"/>
      <c r="J326" s="4"/>
      <c r="K326" s="4" t="e">
        <f t="array" aca="1" ref="K326">MAX(H326:J326*(1-strike(H326:J326)))</f>
        <v>#NAME?</v>
      </c>
      <c r="L326" s="4"/>
      <c r="M326" s="4"/>
      <c r="N326" s="4"/>
      <c r="O326" s="4" t="e">
        <f t="array" aca="1" ref="O326">MAX(L326:N326*(1-strike(L326:N326)))</f>
        <v>#NAME?</v>
      </c>
      <c r="P326" s="4"/>
      <c r="Q326" s="4"/>
      <c r="R326" s="4"/>
      <c r="S326" s="4" t="e">
        <f t="array" aca="1" ref="S326">MAX(P326:R326*(1-strike(P326:R326)))</f>
        <v>#NAME?</v>
      </c>
      <c r="T326" s="4" t="e">
        <f t="shared" si="5"/>
        <v>#NAME?</v>
      </c>
      <c r="U326" s="4" t="s">
        <v>187</v>
      </c>
      <c r="V326" s="4" t="s">
        <v>37</v>
      </c>
      <c r="W326" s="4" t="s">
        <v>37</v>
      </c>
      <c r="X326" s="5">
        <v>2015</v>
      </c>
      <c r="Y326" s="5" t="s">
        <v>29</v>
      </c>
      <c r="Z326" s="5" t="s">
        <v>30</v>
      </c>
      <c r="AA326" s="5">
        <v>254</v>
      </c>
    </row>
    <row r="327" spans="1:27">
      <c r="A327" s="4">
        <v>10</v>
      </c>
      <c r="B327" s="4" t="s">
        <v>388</v>
      </c>
      <c r="C327" s="4">
        <v>1989</v>
      </c>
      <c r="D327" s="4" t="s">
        <v>62</v>
      </c>
      <c r="E327" s="4">
        <v>72.849999999999994</v>
      </c>
      <c r="F327" s="4">
        <v>0.72740000000000005</v>
      </c>
      <c r="G327" s="4">
        <v>10</v>
      </c>
      <c r="H327" s="4">
        <v>197.5</v>
      </c>
      <c r="I327" s="4">
        <v>210</v>
      </c>
      <c r="J327" s="4">
        <v>217.5</v>
      </c>
      <c r="K327" s="4" t="e">
        <f t="array" aca="1" ref="K327">MAX(H327:J327*(1-strike(H327:J327)))</f>
        <v>#NAME?</v>
      </c>
      <c r="L327" s="4">
        <v>150</v>
      </c>
      <c r="M327" s="4">
        <v>160</v>
      </c>
      <c r="N327" s="6">
        <v>165</v>
      </c>
      <c r="O327" s="4" t="e">
        <f t="array" aca="1" ref="O327">MAX(L327:N327*(1-strike(L327:N327)))</f>
        <v>#NAME?</v>
      </c>
      <c r="P327" s="4">
        <v>232.5</v>
      </c>
      <c r="Q327" s="4">
        <v>245</v>
      </c>
      <c r="R327" s="6">
        <v>250</v>
      </c>
      <c r="S327" s="4" t="e">
        <f t="array" aca="1" ref="S327">MAX(P327:R327*(1-strike(P327:R327)))</f>
        <v>#NAME?</v>
      </c>
      <c r="T327" s="4" t="e">
        <f t="shared" si="5"/>
        <v>#NAME?</v>
      </c>
      <c r="U327" s="4">
        <v>622.5</v>
      </c>
      <c r="V327" s="4">
        <v>452.84</v>
      </c>
      <c r="W327" s="4">
        <v>1</v>
      </c>
      <c r="X327" s="5">
        <v>2014</v>
      </c>
      <c r="Y327" s="5" t="s">
        <v>29</v>
      </c>
      <c r="Z327" s="5" t="s">
        <v>30</v>
      </c>
      <c r="AA327" s="5">
        <v>677</v>
      </c>
    </row>
    <row r="328" spans="1:27">
      <c r="A328" s="3">
        <v>3</v>
      </c>
      <c r="B328" s="3" t="s">
        <v>389</v>
      </c>
      <c r="C328" s="3">
        <v>1978</v>
      </c>
      <c r="D328" s="3" t="s">
        <v>390</v>
      </c>
      <c r="E328" s="3">
        <v>119.05</v>
      </c>
      <c r="F328" s="3">
        <v>0.57599999999999996</v>
      </c>
      <c r="G328" s="3">
        <v>6</v>
      </c>
      <c r="H328" s="3">
        <v>410</v>
      </c>
      <c r="I328" s="3">
        <v>425</v>
      </c>
      <c r="J328" s="1">
        <v>435</v>
      </c>
      <c r="K328" s="4" t="e">
        <f t="array" aca="1" ref="K328">MAX(H328:J328*(1-strike(H328:J328)))</f>
        <v>#NAME?</v>
      </c>
      <c r="L328" s="3">
        <v>300</v>
      </c>
      <c r="M328" s="1">
        <v>307.5</v>
      </c>
      <c r="N328" s="1">
        <v>307.5</v>
      </c>
      <c r="O328" s="4" t="e">
        <f t="array" aca="1" ref="O328">MAX(L328:N328*(1-strike(L328:N328)))</f>
        <v>#NAME?</v>
      </c>
      <c r="P328" s="3">
        <v>300</v>
      </c>
      <c r="Q328" s="1">
        <v>310</v>
      </c>
      <c r="R328" s="1">
        <v>310</v>
      </c>
      <c r="S328" s="4" t="e">
        <f t="array" aca="1" ref="S328">MAX(P328:R328*(1-strike(P328:R328)))</f>
        <v>#NAME?</v>
      </c>
      <c r="T328" s="4" t="e">
        <f t="shared" si="5"/>
        <v>#NAME?</v>
      </c>
      <c r="U328" s="3">
        <v>1025</v>
      </c>
      <c r="V328" s="3">
        <v>590.4</v>
      </c>
      <c r="W328" s="3">
        <v>8</v>
      </c>
      <c r="X328" s="5">
        <v>2013</v>
      </c>
      <c r="Y328" s="5" t="s">
        <v>29</v>
      </c>
      <c r="Z328" s="5" t="s">
        <v>171</v>
      </c>
      <c r="AA328" s="5">
        <v>897</v>
      </c>
    </row>
    <row r="329" spans="1:27">
      <c r="A329" s="4">
        <v>2</v>
      </c>
      <c r="B329" s="4" t="s">
        <v>389</v>
      </c>
      <c r="C329" s="4">
        <v>1978</v>
      </c>
      <c r="D329" s="4" t="s">
        <v>390</v>
      </c>
      <c r="E329" s="4">
        <v>119.83</v>
      </c>
      <c r="F329" s="4">
        <v>0.57509999999999994</v>
      </c>
      <c r="G329" s="4">
        <v>8</v>
      </c>
      <c r="H329" s="4">
        <v>420</v>
      </c>
      <c r="I329" s="4"/>
      <c r="J329" s="4"/>
      <c r="K329" s="4" t="e">
        <f t="array" aca="1" ref="K329">MAX(H329:J329*(1-strike(H329:J329)))</f>
        <v>#NAME?</v>
      </c>
      <c r="L329" s="6">
        <v>330</v>
      </c>
      <c r="M329" s="4">
        <v>330</v>
      </c>
      <c r="N329" s="4"/>
      <c r="O329" s="4" t="e">
        <f t="array" aca="1" ref="O329">MAX(L329:N329*(1-strike(L329:N329)))</f>
        <v>#NAME?</v>
      </c>
      <c r="P329" s="4">
        <v>307.5</v>
      </c>
      <c r="Q329" s="4">
        <v>327.5</v>
      </c>
      <c r="R329" s="6">
        <v>335</v>
      </c>
      <c r="S329" s="4" t="e">
        <f t="array" aca="1" ref="S329">MAX(P329:R329*(1-strike(P329:R329)))</f>
        <v>#NAME?</v>
      </c>
      <c r="T329" s="4" t="e">
        <f t="shared" si="5"/>
        <v>#NAME?</v>
      </c>
      <c r="U329" s="4" t="s">
        <v>391</v>
      </c>
      <c r="V329" s="4">
        <v>619.66999999999996</v>
      </c>
      <c r="W329" s="4">
        <v>9</v>
      </c>
      <c r="X329" s="5">
        <v>2015</v>
      </c>
      <c r="Y329" s="5" t="s">
        <v>29</v>
      </c>
      <c r="Z329" s="5" t="s">
        <v>171</v>
      </c>
      <c r="AA329" s="5">
        <v>97</v>
      </c>
    </row>
    <row r="330" spans="1:27">
      <c r="A330" s="3">
        <v>2</v>
      </c>
      <c r="B330" s="3" t="s">
        <v>392</v>
      </c>
      <c r="C330" s="3">
        <v>1990</v>
      </c>
      <c r="D330" s="3" t="s">
        <v>119</v>
      </c>
      <c r="E330" s="3">
        <v>92.52</v>
      </c>
      <c r="F330" s="3">
        <v>0.62970000000000004</v>
      </c>
      <c r="G330" s="3">
        <v>14</v>
      </c>
      <c r="H330" s="1">
        <v>362.5</v>
      </c>
      <c r="I330" s="1">
        <v>362.5</v>
      </c>
      <c r="J330" s="3">
        <v>362.5</v>
      </c>
      <c r="K330" s="4" t="e">
        <f t="array" aca="1" ref="K330">MAX(H330:J330*(1-strike(H330:J330)))</f>
        <v>#NAME?</v>
      </c>
      <c r="L330" s="3">
        <v>247.5</v>
      </c>
      <c r="M330" s="3">
        <v>255</v>
      </c>
      <c r="N330" s="3">
        <v>260</v>
      </c>
      <c r="O330" s="4" t="e">
        <f t="array" aca="1" ref="O330">MAX(L330:N330*(1-strike(L330:N330)))</f>
        <v>#NAME?</v>
      </c>
      <c r="P330" s="3">
        <v>315</v>
      </c>
      <c r="Q330" s="3">
        <v>322.5</v>
      </c>
      <c r="R330" s="1">
        <v>332.5</v>
      </c>
      <c r="S330" s="4" t="e">
        <f t="array" aca="1" ref="S330">MAX(P330:R330*(1-strike(P330:R330)))</f>
        <v>#NAME?</v>
      </c>
      <c r="T330" s="4" t="e">
        <f t="shared" si="5"/>
        <v>#NAME?</v>
      </c>
      <c r="U330" s="3">
        <v>945</v>
      </c>
      <c r="V330" s="3">
        <v>595.1</v>
      </c>
      <c r="W330" s="3">
        <v>9</v>
      </c>
      <c r="X330" s="5">
        <v>2012</v>
      </c>
      <c r="Y330" s="5" t="s">
        <v>29</v>
      </c>
      <c r="Z330" s="5" t="s">
        <v>171</v>
      </c>
      <c r="AA330" s="5">
        <v>1257</v>
      </c>
    </row>
    <row r="331" spans="1:27">
      <c r="A331" s="3">
        <v>2</v>
      </c>
      <c r="B331" s="3" t="s">
        <v>392</v>
      </c>
      <c r="C331" s="3">
        <v>1990</v>
      </c>
      <c r="D331" s="3" t="s">
        <v>119</v>
      </c>
      <c r="E331" s="3">
        <v>92.4</v>
      </c>
      <c r="F331" s="3">
        <v>0.63009999999999999</v>
      </c>
      <c r="G331" s="3">
        <v>11</v>
      </c>
      <c r="H331" s="3">
        <v>350</v>
      </c>
      <c r="I331" s="1">
        <v>362.5</v>
      </c>
      <c r="J331" s="3">
        <v>365</v>
      </c>
      <c r="K331" s="4" t="e">
        <f t="array" aca="1" ref="K331">MAX(H331:J331*(1-strike(H331:J331)))</f>
        <v>#NAME?</v>
      </c>
      <c r="L331" s="3">
        <v>260</v>
      </c>
      <c r="M331" s="3">
        <v>270</v>
      </c>
      <c r="N331" s="3">
        <v>277.5</v>
      </c>
      <c r="O331" s="4" t="e">
        <f t="array" aca="1" ref="O331">MAX(L331:N331*(1-strike(L331:N331)))</f>
        <v>#NAME?</v>
      </c>
      <c r="P331" s="3">
        <v>307.5</v>
      </c>
      <c r="Q331" s="3">
        <v>325</v>
      </c>
      <c r="R331" s="3">
        <v>337.5</v>
      </c>
      <c r="S331" s="4" t="e">
        <f t="array" aca="1" ref="S331">MAX(P331:R331*(1-strike(P331:R331)))</f>
        <v>#NAME?</v>
      </c>
      <c r="T331" s="4" t="e">
        <f t="shared" si="5"/>
        <v>#NAME?</v>
      </c>
      <c r="U331" s="3" t="s">
        <v>393</v>
      </c>
      <c r="V331" s="3">
        <v>617.5</v>
      </c>
      <c r="W331" s="3">
        <v>9</v>
      </c>
      <c r="X331" s="5">
        <v>2013</v>
      </c>
      <c r="Y331" s="5" t="s">
        <v>29</v>
      </c>
      <c r="Z331" s="5" t="s">
        <v>171</v>
      </c>
      <c r="AA331" s="5">
        <v>864</v>
      </c>
    </row>
    <row r="332" spans="1:27">
      <c r="A332" s="4">
        <v>3</v>
      </c>
      <c r="B332" s="4" t="s">
        <v>392</v>
      </c>
      <c r="C332" s="4">
        <v>1990</v>
      </c>
      <c r="D332" s="4" t="s">
        <v>119</v>
      </c>
      <c r="E332" s="4">
        <v>92.6</v>
      </c>
      <c r="F332" s="4">
        <v>0.62949999999999995</v>
      </c>
      <c r="G332" s="4">
        <v>20</v>
      </c>
      <c r="H332" s="4">
        <v>355</v>
      </c>
      <c r="I332" s="4">
        <v>367.5</v>
      </c>
      <c r="J332" s="4">
        <v>377.5</v>
      </c>
      <c r="K332" s="4" t="e">
        <f t="array" aca="1" ref="K332">MAX(H332:J332*(1-strike(H332:J332)))</f>
        <v>#NAME?</v>
      </c>
      <c r="L332" s="6">
        <v>265</v>
      </c>
      <c r="M332" s="4">
        <v>265</v>
      </c>
      <c r="N332" s="4">
        <v>275</v>
      </c>
      <c r="O332" s="4" t="e">
        <f t="array" aca="1" ref="O332">MAX(L332:N332*(1-strike(L332:N332)))</f>
        <v>#NAME?</v>
      </c>
      <c r="P332" s="4">
        <v>322.5</v>
      </c>
      <c r="Q332" s="4">
        <v>337.5</v>
      </c>
      <c r="R332" s="6">
        <v>350</v>
      </c>
      <c r="S332" s="4" t="e">
        <f t="array" aca="1" ref="S332">MAX(P332:R332*(1-strike(P332:R332)))</f>
        <v>#NAME?</v>
      </c>
      <c r="T332" s="4" t="e">
        <f t="shared" si="5"/>
        <v>#NAME?</v>
      </c>
      <c r="U332" s="4">
        <v>990</v>
      </c>
      <c r="V332" s="4">
        <v>623.20000000000005</v>
      </c>
      <c r="W332" s="4">
        <v>8</v>
      </c>
      <c r="X332" s="5">
        <v>2014</v>
      </c>
      <c r="Y332" s="5" t="s">
        <v>29</v>
      </c>
      <c r="Z332" s="5" t="s">
        <v>171</v>
      </c>
      <c r="AA332" s="5">
        <v>495</v>
      </c>
    </row>
    <row r="333" spans="1:27">
      <c r="A333" s="4">
        <v>1</v>
      </c>
      <c r="B333" s="4" t="s">
        <v>392</v>
      </c>
      <c r="C333" s="4">
        <v>1990</v>
      </c>
      <c r="D333" s="4" t="s">
        <v>119</v>
      </c>
      <c r="E333" s="4">
        <v>92.15</v>
      </c>
      <c r="F333" s="4">
        <v>0.63100000000000001</v>
      </c>
      <c r="G333" s="4">
        <v>15</v>
      </c>
      <c r="H333" s="6">
        <v>375</v>
      </c>
      <c r="I333" s="4">
        <v>375</v>
      </c>
      <c r="J333" s="4">
        <v>387.5</v>
      </c>
      <c r="K333" s="4" t="e">
        <f t="array" aca="1" ref="K333">MAX(H333:J333*(1-strike(H333:J333)))</f>
        <v>#NAME?</v>
      </c>
      <c r="L333" s="6">
        <v>280</v>
      </c>
      <c r="M333" s="4">
        <v>280</v>
      </c>
      <c r="N333" s="4">
        <v>285</v>
      </c>
      <c r="O333" s="4" t="e">
        <f t="array" aca="1" ref="O333">MAX(L333:N333*(1-strike(L333:N333)))</f>
        <v>#NAME?</v>
      </c>
      <c r="P333" s="4">
        <v>330</v>
      </c>
      <c r="Q333" s="4">
        <v>345</v>
      </c>
      <c r="R333" s="4">
        <v>350</v>
      </c>
      <c r="S333" s="4" t="e">
        <f t="array" aca="1" ref="S333">MAX(P333:R333*(1-strike(P333:R333)))</f>
        <v>#NAME?</v>
      </c>
      <c r="T333" s="4" t="e">
        <f t="shared" si="5"/>
        <v>#NAME?</v>
      </c>
      <c r="U333" s="4" t="s">
        <v>394</v>
      </c>
      <c r="V333" s="4">
        <v>645.20000000000005</v>
      </c>
      <c r="W333" s="4">
        <v>12</v>
      </c>
      <c r="X333" s="5">
        <v>2015</v>
      </c>
      <c r="Y333" s="5" t="s">
        <v>29</v>
      </c>
      <c r="Z333" s="5" t="s">
        <v>171</v>
      </c>
      <c r="AA333" s="5">
        <v>55</v>
      </c>
    </row>
    <row r="334" spans="1:27">
      <c r="A334" s="4">
        <v>8</v>
      </c>
      <c r="B334" s="4" t="s">
        <v>395</v>
      </c>
      <c r="C334" s="4">
        <v>1990</v>
      </c>
      <c r="D334" s="4" t="s">
        <v>45</v>
      </c>
      <c r="E334" s="4">
        <v>92.75</v>
      </c>
      <c r="F334" s="4">
        <v>0.629</v>
      </c>
      <c r="G334" s="4">
        <v>6</v>
      </c>
      <c r="H334" s="4">
        <v>232.5</v>
      </c>
      <c r="I334" s="4">
        <v>242.5</v>
      </c>
      <c r="J334" s="4">
        <v>250</v>
      </c>
      <c r="K334" s="4" t="e">
        <f t="array" aca="1" ref="K334">MAX(H334:J334*(1-strike(H334:J334)))</f>
        <v>#NAME?</v>
      </c>
      <c r="L334" s="4">
        <v>182.5</v>
      </c>
      <c r="M334" s="4">
        <v>187.5</v>
      </c>
      <c r="N334" s="4">
        <v>190</v>
      </c>
      <c r="O334" s="4" t="e">
        <f t="array" aca="1" ref="O334">MAX(L334:N334*(1-strike(L334:N334)))</f>
        <v>#NAME?</v>
      </c>
      <c r="P334" s="4">
        <v>290</v>
      </c>
      <c r="Q334" s="4">
        <v>302.5</v>
      </c>
      <c r="R334" s="4">
        <v>307.5</v>
      </c>
      <c r="S334" s="4" t="e">
        <f t="array" aca="1" ref="S334">MAX(P334:R334*(1-strike(P334:R334)))</f>
        <v>#NAME?</v>
      </c>
      <c r="T334" s="4" t="e">
        <f t="shared" si="5"/>
        <v>#NAME?</v>
      </c>
      <c r="U334" s="4">
        <v>747.5</v>
      </c>
      <c r="V334" s="4">
        <v>470.18</v>
      </c>
      <c r="W334" s="4">
        <v>3</v>
      </c>
      <c r="X334" s="5">
        <v>2014</v>
      </c>
      <c r="Y334" s="5" t="s">
        <v>29</v>
      </c>
      <c r="Z334" s="5" t="s">
        <v>30</v>
      </c>
      <c r="AA334" s="5">
        <v>704</v>
      </c>
    </row>
    <row r="335" spans="1:27" ht="15" customHeight="1">
      <c r="A335" s="4">
        <v>7</v>
      </c>
      <c r="B335" s="4" t="s">
        <v>396</v>
      </c>
      <c r="C335" s="4">
        <v>1990</v>
      </c>
      <c r="D335" s="4" t="s">
        <v>194</v>
      </c>
      <c r="E335" s="4">
        <v>130</v>
      </c>
      <c r="F335" s="4">
        <v>0.56559999999999999</v>
      </c>
      <c r="G335" s="4">
        <v>2</v>
      </c>
      <c r="H335" s="6">
        <v>270</v>
      </c>
      <c r="I335" s="4">
        <v>270</v>
      </c>
      <c r="J335" s="4">
        <v>287.5</v>
      </c>
      <c r="K335" s="4" t="e">
        <f t="array" aca="1" ref="K335">MAX(H335:J335*(1-strike(H335:J335)))</f>
        <v>#NAME?</v>
      </c>
      <c r="L335" s="4">
        <v>185</v>
      </c>
      <c r="M335" s="4">
        <v>192.5</v>
      </c>
      <c r="N335" s="4">
        <v>200</v>
      </c>
      <c r="O335" s="4" t="e">
        <f t="array" aca="1" ref="O335">MAX(L335:N335*(1-strike(L335:N335)))</f>
        <v>#NAME?</v>
      </c>
      <c r="P335" s="4">
        <v>240</v>
      </c>
      <c r="Q335" s="4">
        <v>255</v>
      </c>
      <c r="R335" s="4">
        <v>265</v>
      </c>
      <c r="S335" s="4" t="e">
        <f t="array" aca="1" ref="S335">MAX(P335:R335*(1-strike(P335:R335)))</f>
        <v>#NAME?</v>
      </c>
      <c r="T335" s="4" t="e">
        <f t="shared" si="5"/>
        <v>#NAME?</v>
      </c>
      <c r="U335" s="4">
        <v>752.5</v>
      </c>
      <c r="V335" s="4">
        <v>425.61</v>
      </c>
      <c r="W335" s="4">
        <v>4</v>
      </c>
      <c r="X335" s="5">
        <v>2014</v>
      </c>
      <c r="Y335" s="5" t="s">
        <v>29</v>
      </c>
      <c r="Z335" s="5" t="s">
        <v>30</v>
      </c>
      <c r="AA335" s="5">
        <v>741</v>
      </c>
    </row>
    <row r="336" spans="1:27">
      <c r="A336" s="4">
        <v>9</v>
      </c>
      <c r="B336" s="4" t="s">
        <v>397</v>
      </c>
      <c r="C336" s="4">
        <v>1989</v>
      </c>
      <c r="D336" s="4" t="s">
        <v>194</v>
      </c>
      <c r="E336" s="4">
        <v>64.319999999999993</v>
      </c>
      <c r="F336" s="4">
        <v>0.80230000000000001</v>
      </c>
      <c r="G336" s="4">
        <v>9</v>
      </c>
      <c r="H336" s="4">
        <v>165</v>
      </c>
      <c r="I336" s="4">
        <v>172.5</v>
      </c>
      <c r="J336" s="6">
        <v>175</v>
      </c>
      <c r="K336" s="4" t="e">
        <f t="array" aca="1" ref="K336">MAX(H336:J336*(1-strike(H336:J336)))</f>
        <v>#NAME?</v>
      </c>
      <c r="L336" s="4">
        <v>130</v>
      </c>
      <c r="M336" s="4">
        <v>137.5</v>
      </c>
      <c r="N336" s="4">
        <v>140</v>
      </c>
      <c r="O336" s="4" t="e">
        <f t="array" aca="1" ref="O336">MAX(L336:N336*(1-strike(L336:N336)))</f>
        <v>#NAME?</v>
      </c>
      <c r="P336" s="4">
        <v>187.5</v>
      </c>
      <c r="Q336" s="4">
        <v>202.5</v>
      </c>
      <c r="R336" s="6">
        <v>205</v>
      </c>
      <c r="S336" s="4" t="e">
        <f t="array" aca="1" ref="S336">MAX(P336:R336*(1-strike(P336:R336)))</f>
        <v>#NAME?</v>
      </c>
      <c r="T336" s="4" t="e">
        <f t="shared" si="5"/>
        <v>#NAME?</v>
      </c>
      <c r="U336" s="4">
        <v>515</v>
      </c>
      <c r="V336" s="4">
        <v>413.19</v>
      </c>
      <c r="W336" s="4">
        <v>2</v>
      </c>
      <c r="X336" s="5">
        <v>2015</v>
      </c>
      <c r="Y336" s="5" t="s">
        <v>29</v>
      </c>
      <c r="Z336" s="5" t="s">
        <v>30</v>
      </c>
      <c r="AA336" s="5">
        <v>235</v>
      </c>
    </row>
    <row r="337" spans="1:27">
      <c r="A337" s="3">
        <v>5</v>
      </c>
      <c r="B337" s="3" t="s">
        <v>41</v>
      </c>
      <c r="C337" s="3">
        <v>1976</v>
      </c>
      <c r="D337" s="3" t="s">
        <v>42</v>
      </c>
      <c r="E337" s="3">
        <v>118.45</v>
      </c>
      <c r="F337" s="3">
        <v>0.57669999999999999</v>
      </c>
      <c r="G337" s="3">
        <v>16</v>
      </c>
      <c r="H337" s="3">
        <v>330</v>
      </c>
      <c r="I337" s="1">
        <v>355</v>
      </c>
      <c r="J337" s="3">
        <v>356</v>
      </c>
      <c r="K337" s="4" t="e">
        <f t="array" aca="1" ref="K337">MAX(H337:J337*(1-strike(H337:J337)))</f>
        <v>#NAME?</v>
      </c>
      <c r="L337" s="3">
        <v>190</v>
      </c>
      <c r="M337" s="1">
        <v>207.5</v>
      </c>
      <c r="N337" s="1">
        <v>207.5</v>
      </c>
      <c r="O337" s="4" t="e">
        <f t="array" aca="1" ref="O337">MAX(L337:N337*(1-strike(L337:N337)))</f>
        <v>#NAME?</v>
      </c>
      <c r="P337" s="3">
        <v>320</v>
      </c>
      <c r="Q337" s="1">
        <v>340</v>
      </c>
      <c r="R337" s="1">
        <v>352.5</v>
      </c>
      <c r="S337" s="4" t="e">
        <f t="array" aca="1" ref="S337">MAX(P337:R337*(1-strike(P337:R337)))</f>
        <v>#NAME?</v>
      </c>
      <c r="T337" s="4" t="e">
        <f t="shared" si="5"/>
        <v>#NAME?</v>
      </c>
      <c r="U337" s="3">
        <v>866</v>
      </c>
      <c r="V337" s="3">
        <v>499.42</v>
      </c>
      <c r="W337" s="3">
        <v>6</v>
      </c>
      <c r="X337" s="5">
        <v>2013</v>
      </c>
      <c r="Y337" s="5" t="s">
        <v>29</v>
      </c>
      <c r="Z337" s="5" t="s">
        <v>30</v>
      </c>
      <c r="AA337" s="5">
        <v>1095</v>
      </c>
    </row>
    <row r="338" spans="1:27">
      <c r="A338" s="4">
        <v>1</v>
      </c>
      <c r="B338" s="4" t="s">
        <v>41</v>
      </c>
      <c r="C338" s="4">
        <v>1976</v>
      </c>
      <c r="D338" s="4" t="s">
        <v>42</v>
      </c>
      <c r="E338" s="4">
        <v>119.7</v>
      </c>
      <c r="F338" s="4">
        <v>0.57530000000000003</v>
      </c>
      <c r="G338" s="4">
        <v>3</v>
      </c>
      <c r="H338" s="4">
        <v>350</v>
      </c>
      <c r="I338" s="4">
        <v>370</v>
      </c>
      <c r="J338" s="4">
        <v>375</v>
      </c>
      <c r="K338" s="4" t="e">
        <f t="array" aca="1" ref="K338">MAX(H338:J338*(1-strike(H338:J338)))</f>
        <v>#NAME?</v>
      </c>
      <c r="L338" s="4">
        <v>200</v>
      </c>
      <c r="M338" s="4">
        <v>210</v>
      </c>
      <c r="N338" s="6">
        <v>212.5</v>
      </c>
      <c r="O338" s="4" t="e">
        <f t="array" aca="1" ref="O338">MAX(L338:N338*(1-strike(L338:N338)))</f>
        <v>#NAME?</v>
      </c>
      <c r="P338" s="4">
        <v>332.5</v>
      </c>
      <c r="Q338" s="4">
        <v>350</v>
      </c>
      <c r="R338" s="4">
        <v>360</v>
      </c>
      <c r="S338" s="4" t="e">
        <f t="array" aca="1" ref="S338">MAX(P338:R338*(1-strike(P338:R338)))</f>
        <v>#NAME?</v>
      </c>
      <c r="T338" s="4" t="e">
        <f t="shared" si="5"/>
        <v>#NAME?</v>
      </c>
      <c r="U338" s="4" t="s">
        <v>398</v>
      </c>
      <c r="V338" s="4">
        <v>543.66</v>
      </c>
      <c r="W338" s="4">
        <v>12</v>
      </c>
      <c r="X338" s="5">
        <v>2014</v>
      </c>
      <c r="Y338" s="5" t="s">
        <v>29</v>
      </c>
      <c r="Z338" s="5" t="s">
        <v>30</v>
      </c>
      <c r="AA338" s="5">
        <v>724</v>
      </c>
    </row>
    <row r="339" spans="1:27">
      <c r="A339" s="4">
        <v>1</v>
      </c>
      <c r="B339" s="4" t="s">
        <v>41</v>
      </c>
      <c r="C339" s="4">
        <v>1976</v>
      </c>
      <c r="D339" s="4" t="s">
        <v>42</v>
      </c>
      <c r="E339" s="4">
        <v>119.48</v>
      </c>
      <c r="F339" s="4">
        <v>0.57550000000000001</v>
      </c>
      <c r="G339" s="4">
        <v>15</v>
      </c>
      <c r="H339" s="4">
        <v>350</v>
      </c>
      <c r="I339" s="6">
        <v>370</v>
      </c>
      <c r="J339" s="6">
        <v>370</v>
      </c>
      <c r="K339" s="4" t="e">
        <f t="array" aca="1" ref="K339">MAX(H339:J339*(1-strike(H339:J339)))</f>
        <v>#NAME?</v>
      </c>
      <c r="L339" s="4">
        <v>200</v>
      </c>
      <c r="M339" s="4">
        <v>210</v>
      </c>
      <c r="N339" s="4">
        <v>212.5</v>
      </c>
      <c r="O339" s="4" t="e">
        <f t="array" aca="1" ref="O339">MAX(L339:N339*(1-strike(L339:N339)))</f>
        <v>#NAME?</v>
      </c>
      <c r="P339" s="4">
        <v>332.5</v>
      </c>
      <c r="Q339" s="4">
        <v>345</v>
      </c>
      <c r="R339" s="4">
        <v>365</v>
      </c>
      <c r="S339" s="4" t="e">
        <f t="array" aca="1" ref="S339">MAX(P339:R339*(1-strike(P339:R339)))</f>
        <v>#NAME?</v>
      </c>
      <c r="T339" s="4" t="e">
        <f t="shared" si="5"/>
        <v>#NAME?</v>
      </c>
      <c r="U339" s="4">
        <v>927.5</v>
      </c>
      <c r="V339" s="4">
        <v>533.78</v>
      </c>
      <c r="W339" s="4">
        <v>12</v>
      </c>
      <c r="X339" s="5">
        <v>2015</v>
      </c>
      <c r="Y339" s="5" t="s">
        <v>29</v>
      </c>
      <c r="Z339" s="5" t="s">
        <v>30</v>
      </c>
      <c r="AA339" s="5">
        <v>307</v>
      </c>
    </row>
    <row r="340" spans="1:27">
      <c r="A340" s="4">
        <v>8</v>
      </c>
      <c r="B340" s="4" t="s">
        <v>399</v>
      </c>
      <c r="C340" s="4">
        <v>1987</v>
      </c>
      <c r="D340" s="4" t="s">
        <v>42</v>
      </c>
      <c r="E340" s="4">
        <v>136.19999999999999</v>
      </c>
      <c r="F340" s="4">
        <v>0.56120000000000003</v>
      </c>
      <c r="G340" s="4">
        <v>6</v>
      </c>
      <c r="H340" s="4">
        <v>240</v>
      </c>
      <c r="I340" s="6">
        <v>260</v>
      </c>
      <c r="J340" s="6">
        <v>270</v>
      </c>
      <c r="K340" s="4" t="e">
        <f t="array" aca="1" ref="K340">MAX(H340:J340*(1-strike(H340:J340)))</f>
        <v>#NAME?</v>
      </c>
      <c r="L340" s="4">
        <v>240</v>
      </c>
      <c r="M340" s="6">
        <v>260</v>
      </c>
      <c r="N340" s="6">
        <v>260</v>
      </c>
      <c r="O340" s="4" t="e">
        <f t="array" aca="1" ref="O340">MAX(L340:N340*(1-strike(L340:N340)))</f>
        <v>#NAME?</v>
      </c>
      <c r="P340" s="4">
        <v>210</v>
      </c>
      <c r="Q340" s="4">
        <v>230</v>
      </c>
      <c r="R340" s="6">
        <v>250</v>
      </c>
      <c r="S340" s="4" t="e">
        <f t="array" aca="1" ref="S340">MAX(P340:R340*(1-strike(P340:R340)))</f>
        <v>#NAME?</v>
      </c>
      <c r="T340" s="4" t="e">
        <f t="shared" si="5"/>
        <v>#NAME?</v>
      </c>
      <c r="U340" s="4">
        <v>710</v>
      </c>
      <c r="V340" s="4">
        <v>398.45</v>
      </c>
      <c r="W340" s="4">
        <v>3</v>
      </c>
      <c r="X340" s="5">
        <v>2014</v>
      </c>
      <c r="Y340" s="5" t="s">
        <v>29</v>
      </c>
      <c r="Z340" s="5" t="s">
        <v>30</v>
      </c>
      <c r="AA340" s="5">
        <v>742</v>
      </c>
    </row>
    <row r="341" spans="1:27">
      <c r="A341" s="4">
        <v>11</v>
      </c>
      <c r="B341" s="4" t="s">
        <v>399</v>
      </c>
      <c r="C341" s="4">
        <v>1987</v>
      </c>
      <c r="D341" s="4" t="s">
        <v>42</v>
      </c>
      <c r="E341" s="4">
        <v>143.72</v>
      </c>
      <c r="F341" s="4">
        <v>0.55669999999999997</v>
      </c>
      <c r="G341" s="4">
        <v>19</v>
      </c>
      <c r="H341" s="4">
        <v>270</v>
      </c>
      <c r="I341" s="4">
        <v>290</v>
      </c>
      <c r="J341" s="4">
        <v>310</v>
      </c>
      <c r="K341" s="4" t="e">
        <f t="array" aca="1" ref="K341">MAX(H341:J341*(1-strike(H341:J341)))</f>
        <v>#NAME?</v>
      </c>
      <c r="L341" s="4">
        <v>250</v>
      </c>
      <c r="M341" s="4">
        <v>262.5</v>
      </c>
      <c r="N341" s="4">
        <v>270.5</v>
      </c>
      <c r="O341" s="4" t="e">
        <f t="array" aca="1" ref="O341">MAX(L341:N341*(1-strike(L341:N341)))</f>
        <v>#NAME?</v>
      </c>
      <c r="P341" s="4">
        <v>260</v>
      </c>
      <c r="Q341" s="4">
        <v>280</v>
      </c>
      <c r="R341" s="4">
        <v>295</v>
      </c>
      <c r="S341" s="4" t="e">
        <f t="array" aca="1" ref="S341">MAX(P341:R341*(1-strike(P341:R341)))</f>
        <v>#NAME?</v>
      </c>
      <c r="T341" s="4" t="e">
        <f t="shared" si="5"/>
        <v>#NAME?</v>
      </c>
      <c r="U341" s="4">
        <v>875.5</v>
      </c>
      <c r="V341" s="4">
        <v>487.39</v>
      </c>
      <c r="W341" s="4">
        <v>1</v>
      </c>
      <c r="X341" s="5">
        <v>2015</v>
      </c>
      <c r="Y341" s="5" t="s">
        <v>29</v>
      </c>
      <c r="Z341" s="5" t="s">
        <v>30</v>
      </c>
      <c r="AA341" s="5">
        <v>333</v>
      </c>
    </row>
    <row r="342" spans="1:27">
      <c r="A342" s="3">
        <v>13</v>
      </c>
      <c r="B342" s="3" t="s">
        <v>400</v>
      </c>
      <c r="C342" s="3">
        <v>1986</v>
      </c>
      <c r="D342" s="3" t="s">
        <v>113</v>
      </c>
      <c r="E342" s="3">
        <v>103.2</v>
      </c>
      <c r="F342" s="3">
        <v>0.60129999999999995</v>
      </c>
      <c r="G342" s="3">
        <v>9</v>
      </c>
      <c r="H342" s="3">
        <v>235</v>
      </c>
      <c r="I342" s="3">
        <v>252.5</v>
      </c>
      <c r="J342" s="1">
        <v>260</v>
      </c>
      <c r="K342" s="4" t="e">
        <f t="array" aca="1" ref="K342">MAX(H342:J342*(1-strike(H342:J342)))</f>
        <v>#NAME?</v>
      </c>
      <c r="L342" s="3">
        <v>185</v>
      </c>
      <c r="M342" s="3">
        <v>197.5</v>
      </c>
      <c r="N342" s="1">
        <v>202.5</v>
      </c>
      <c r="O342" s="4" t="e">
        <f t="array" aca="1" ref="O342">MAX(L342:N342*(1-strike(L342:N342)))</f>
        <v>#NAME?</v>
      </c>
      <c r="P342" s="3">
        <v>250</v>
      </c>
      <c r="Q342" s="1">
        <v>287.5</v>
      </c>
      <c r="R342" s="1">
        <v>287.5</v>
      </c>
      <c r="S342" s="4" t="e">
        <f t="array" aca="1" ref="S342">MAX(P342:R342*(1-strike(P342:R342)))</f>
        <v>#NAME?</v>
      </c>
      <c r="T342" s="4" t="e">
        <f t="shared" si="5"/>
        <v>#NAME?</v>
      </c>
      <c r="U342" s="3">
        <v>700</v>
      </c>
      <c r="V342" s="3">
        <v>420.91</v>
      </c>
      <c r="W342" s="3">
        <v>1</v>
      </c>
      <c r="X342" s="5">
        <v>2013</v>
      </c>
      <c r="Y342" s="5" t="s">
        <v>29</v>
      </c>
      <c r="Z342" s="5" t="s">
        <v>30</v>
      </c>
      <c r="AA342" s="5">
        <v>1083</v>
      </c>
    </row>
    <row r="343" spans="1:27">
      <c r="A343" s="3">
        <v>2</v>
      </c>
      <c r="B343" s="3" t="s">
        <v>401</v>
      </c>
      <c r="C343" s="3">
        <v>1974</v>
      </c>
      <c r="D343" s="3" t="s">
        <v>51</v>
      </c>
      <c r="E343" s="3">
        <v>119.96</v>
      </c>
      <c r="F343" s="3">
        <v>0.57499999999999996</v>
      </c>
      <c r="G343" s="3">
        <v>1</v>
      </c>
      <c r="H343" s="3">
        <v>370</v>
      </c>
      <c r="I343" s="3">
        <v>390</v>
      </c>
      <c r="J343" s="3">
        <v>400</v>
      </c>
      <c r="K343" s="4" t="e">
        <f t="array" aca="1" ref="K343">MAX(H343:J343*(1-strike(H343:J343)))</f>
        <v>#NAME?</v>
      </c>
      <c r="L343" s="3">
        <v>265</v>
      </c>
      <c r="M343" s="3">
        <v>272.5</v>
      </c>
      <c r="N343" s="3">
        <v>277.5</v>
      </c>
      <c r="O343" s="4" t="e">
        <f t="array" aca="1" ref="O343">MAX(L343:N343*(1-strike(L343:N343)))</f>
        <v>#NAME?</v>
      </c>
      <c r="P343" s="3">
        <v>320</v>
      </c>
      <c r="Q343" s="3">
        <v>337.5</v>
      </c>
      <c r="R343" s="3">
        <v>350</v>
      </c>
      <c r="S343" s="4" t="e">
        <f t="array" aca="1" ref="S343">MAX(P343:R343*(1-strike(P343:R343)))</f>
        <v>#NAME?</v>
      </c>
      <c r="T343" s="4" t="e">
        <f t="shared" si="5"/>
        <v>#NAME?</v>
      </c>
      <c r="U343" s="3">
        <v>1027.5</v>
      </c>
      <c r="V343" s="3">
        <v>590.80999999999995</v>
      </c>
      <c r="W343" s="3">
        <v>9</v>
      </c>
      <c r="X343" s="5">
        <v>2013</v>
      </c>
      <c r="Y343" s="5" t="s">
        <v>29</v>
      </c>
      <c r="Z343" s="5" t="s">
        <v>171</v>
      </c>
      <c r="AA343" s="5">
        <v>896</v>
      </c>
    </row>
    <row r="344" spans="1:27">
      <c r="A344" s="4">
        <v>4</v>
      </c>
      <c r="B344" s="4" t="s">
        <v>401</v>
      </c>
      <c r="C344" s="4">
        <v>1974</v>
      </c>
      <c r="D344" s="4" t="s">
        <v>51</v>
      </c>
      <c r="E344" s="4">
        <v>119.52</v>
      </c>
      <c r="F344" s="4">
        <v>0.57550000000000001</v>
      </c>
      <c r="G344" s="4">
        <v>20</v>
      </c>
      <c r="H344" s="6">
        <v>375</v>
      </c>
      <c r="I344" s="4">
        <v>375</v>
      </c>
      <c r="J344" s="4">
        <v>395</v>
      </c>
      <c r="K344" s="4" t="e">
        <f t="array" aca="1" ref="K344">MAX(H344:J344*(1-strike(H344:J344)))</f>
        <v>#NAME?</v>
      </c>
      <c r="L344" s="4">
        <v>285</v>
      </c>
      <c r="M344" s="4">
        <v>292.5</v>
      </c>
      <c r="N344" s="4">
        <v>297.5</v>
      </c>
      <c r="O344" s="4" t="e">
        <f t="array" aca="1" ref="O344">MAX(L344:N344*(1-strike(L344:N344)))</f>
        <v>#NAME?</v>
      </c>
      <c r="P344" s="4">
        <v>315</v>
      </c>
      <c r="Q344" s="4">
        <v>335</v>
      </c>
      <c r="R344" s="4">
        <v>352.5</v>
      </c>
      <c r="S344" s="4" t="e">
        <f t="array" aca="1" ref="S344">MAX(P344:R344*(1-strike(P344:R344)))</f>
        <v>#NAME?</v>
      </c>
      <c r="T344" s="4" t="e">
        <f t="shared" si="5"/>
        <v>#NAME?</v>
      </c>
      <c r="U344" s="4" t="s">
        <v>402</v>
      </c>
      <c r="V344" s="4">
        <v>601.4</v>
      </c>
      <c r="W344" s="4">
        <v>7</v>
      </c>
      <c r="X344" s="5">
        <v>2014</v>
      </c>
      <c r="Y344" s="5" t="s">
        <v>29</v>
      </c>
      <c r="Z344" s="5" t="s">
        <v>171</v>
      </c>
      <c r="AA344" s="5">
        <v>536</v>
      </c>
    </row>
    <row r="345" spans="1:27">
      <c r="A345" s="3">
        <v>12</v>
      </c>
      <c r="B345" s="3" t="s">
        <v>403</v>
      </c>
      <c r="C345" s="3">
        <v>1983</v>
      </c>
      <c r="D345" s="3" t="s">
        <v>51</v>
      </c>
      <c r="E345" s="3">
        <v>73.25</v>
      </c>
      <c r="F345" s="3">
        <v>0.72460000000000002</v>
      </c>
      <c r="G345" s="3">
        <v>10</v>
      </c>
      <c r="H345" s="3">
        <v>170</v>
      </c>
      <c r="I345" s="3">
        <v>185</v>
      </c>
      <c r="J345" s="1">
        <v>195</v>
      </c>
      <c r="K345" s="4" t="e">
        <f t="array" aca="1" ref="K345">MAX(H345:J345*(1-strike(H345:J345)))</f>
        <v>#NAME?</v>
      </c>
      <c r="L345" s="3">
        <v>135</v>
      </c>
      <c r="M345" s="3">
        <v>145</v>
      </c>
      <c r="N345" s="1">
        <v>150</v>
      </c>
      <c r="O345" s="4" t="e">
        <f t="array" aca="1" ref="O345">MAX(L345:N345*(1-strike(L345:N345)))</f>
        <v>#NAME?</v>
      </c>
      <c r="P345" s="3">
        <v>200</v>
      </c>
      <c r="Q345" s="1">
        <v>220</v>
      </c>
      <c r="R345" s="1">
        <v>220</v>
      </c>
      <c r="S345" s="4" t="e">
        <f t="array" aca="1" ref="S345">MAX(P345:R345*(1-strike(P345:R345)))</f>
        <v>#NAME?</v>
      </c>
      <c r="T345" s="4" t="e">
        <f t="shared" si="5"/>
        <v>#NAME?</v>
      </c>
      <c r="U345" s="3">
        <v>530</v>
      </c>
      <c r="V345" s="3">
        <v>384.01</v>
      </c>
      <c r="W345" s="3">
        <v>1</v>
      </c>
      <c r="X345" s="5">
        <v>2013</v>
      </c>
      <c r="Y345" s="5" t="s">
        <v>29</v>
      </c>
      <c r="Z345" s="5" t="s">
        <v>30</v>
      </c>
      <c r="AA345" s="5">
        <v>1042</v>
      </c>
    </row>
    <row r="346" spans="1:27">
      <c r="A346" s="4">
        <v>3</v>
      </c>
      <c r="B346" s="4" t="s">
        <v>404</v>
      </c>
      <c r="C346" s="4">
        <v>1986</v>
      </c>
      <c r="D346" s="4" t="s">
        <v>113</v>
      </c>
      <c r="E346" s="4">
        <v>149.81</v>
      </c>
      <c r="F346" s="4">
        <v>0.5534</v>
      </c>
      <c r="G346" s="4">
        <v>9</v>
      </c>
      <c r="H346" s="6">
        <v>365</v>
      </c>
      <c r="I346" s="4">
        <v>375</v>
      </c>
      <c r="J346" s="4">
        <v>387.5</v>
      </c>
      <c r="K346" s="4" t="e">
        <f t="array" aca="1" ref="K346">MAX(H346:J346*(1-strike(H346:J346)))</f>
        <v>#NAME?</v>
      </c>
      <c r="L346" s="4">
        <v>240</v>
      </c>
      <c r="M346" s="4">
        <v>250</v>
      </c>
      <c r="N346" s="6">
        <v>255</v>
      </c>
      <c r="O346" s="4" t="e">
        <f t="array" aca="1" ref="O346">MAX(L346:N346*(1-strike(L346:N346)))</f>
        <v>#NAME?</v>
      </c>
      <c r="P346" s="4">
        <v>320</v>
      </c>
      <c r="Q346" s="4">
        <v>332.5</v>
      </c>
      <c r="R346" s="6">
        <v>340</v>
      </c>
      <c r="S346" s="4" t="e">
        <f t="array" aca="1" ref="S346">MAX(P346:R346*(1-strike(P346:R346)))</f>
        <v>#NAME?</v>
      </c>
      <c r="T346" s="4" t="e">
        <f t="shared" si="5"/>
        <v>#NAME?</v>
      </c>
      <c r="U346" s="4">
        <v>970</v>
      </c>
      <c r="V346" s="4">
        <v>536.79999999999995</v>
      </c>
      <c r="W346" s="4">
        <v>8</v>
      </c>
      <c r="X346" s="5">
        <v>2015</v>
      </c>
      <c r="Y346" s="5" t="s">
        <v>29</v>
      </c>
      <c r="Z346" s="5" t="s">
        <v>30</v>
      </c>
      <c r="AA346" s="5">
        <v>325</v>
      </c>
    </row>
    <row r="347" spans="1:27">
      <c r="A347" s="3">
        <v>11</v>
      </c>
      <c r="B347" s="3" t="s">
        <v>405</v>
      </c>
      <c r="C347" s="3">
        <v>1989</v>
      </c>
      <c r="D347" s="3" t="s">
        <v>406</v>
      </c>
      <c r="E347" s="3">
        <v>117.2</v>
      </c>
      <c r="F347" s="3">
        <v>0.57820000000000005</v>
      </c>
      <c r="G347" s="3">
        <v>18</v>
      </c>
      <c r="H347" s="3">
        <v>300</v>
      </c>
      <c r="I347" s="1">
        <v>320</v>
      </c>
      <c r="J347" s="1">
        <v>320</v>
      </c>
      <c r="K347" s="4" t="e">
        <f t="array" aca="1" ref="K347">MAX(H347:J347*(1-strike(H347:J347)))</f>
        <v>#NAME?</v>
      </c>
      <c r="L347" s="3">
        <v>200</v>
      </c>
      <c r="M347" s="3">
        <v>210</v>
      </c>
      <c r="N347" s="1">
        <v>220</v>
      </c>
      <c r="O347" s="4" t="e">
        <f t="array" aca="1" ref="O347">MAX(L347:N347*(1-strike(L347:N347)))</f>
        <v>#NAME?</v>
      </c>
      <c r="P347" s="3">
        <v>240</v>
      </c>
      <c r="Q347" s="1">
        <v>250</v>
      </c>
      <c r="R347" s="3">
        <v>250</v>
      </c>
      <c r="S347" s="4" t="e">
        <f t="array" aca="1" ref="S347">MAX(P347:R347*(1-strike(P347:R347)))</f>
        <v>#NAME?</v>
      </c>
      <c r="T347" s="4" t="e">
        <f t="shared" si="5"/>
        <v>#NAME?</v>
      </c>
      <c r="U347" s="3">
        <v>760</v>
      </c>
      <c r="V347" s="3">
        <v>439.43</v>
      </c>
      <c r="W347" s="3">
        <v>1</v>
      </c>
      <c r="X347" s="5">
        <v>2013</v>
      </c>
      <c r="Y347" s="5" t="s">
        <v>29</v>
      </c>
      <c r="Z347" s="5" t="s">
        <v>30</v>
      </c>
      <c r="AA347" s="5">
        <v>1101</v>
      </c>
    </row>
    <row r="348" spans="1:27">
      <c r="A348" s="4">
        <v>9</v>
      </c>
      <c r="B348" s="4" t="s">
        <v>407</v>
      </c>
      <c r="C348" s="4">
        <v>1976</v>
      </c>
      <c r="D348" s="4" t="s">
        <v>274</v>
      </c>
      <c r="E348" s="4">
        <v>82.69</v>
      </c>
      <c r="F348" s="4">
        <v>0.66900000000000004</v>
      </c>
      <c r="G348" s="4">
        <v>9</v>
      </c>
      <c r="H348" s="6">
        <v>277.5</v>
      </c>
      <c r="I348" s="4">
        <v>290</v>
      </c>
      <c r="J348" s="4">
        <v>300</v>
      </c>
      <c r="K348" s="4" t="e">
        <f t="array" aca="1" ref="K348">MAX(H348:J348*(1-strike(H348:J348)))</f>
        <v>#NAME?</v>
      </c>
      <c r="L348" s="4">
        <v>170</v>
      </c>
      <c r="M348" s="4">
        <v>177.5</v>
      </c>
      <c r="N348" s="4">
        <v>182.5</v>
      </c>
      <c r="O348" s="4" t="e">
        <f t="array" aca="1" ref="O348">MAX(L348:N348*(1-strike(L348:N348)))</f>
        <v>#NAME?</v>
      </c>
      <c r="P348" s="4">
        <v>270</v>
      </c>
      <c r="Q348" s="4">
        <v>285</v>
      </c>
      <c r="R348" s="6">
        <v>292.5</v>
      </c>
      <c r="S348" s="4" t="e">
        <f t="array" aca="1" ref="S348">MAX(P348:R348*(1-strike(P348:R348)))</f>
        <v>#NAME?</v>
      </c>
      <c r="T348" s="4" t="e">
        <f t="shared" si="5"/>
        <v>#NAME?</v>
      </c>
      <c r="U348" s="4">
        <v>767.5</v>
      </c>
      <c r="V348" s="4">
        <v>513.46</v>
      </c>
      <c r="W348" s="4">
        <v>2</v>
      </c>
      <c r="X348" s="5">
        <v>2015</v>
      </c>
      <c r="Y348" s="5" t="s">
        <v>29</v>
      </c>
      <c r="Z348" s="5" t="s">
        <v>171</v>
      </c>
      <c r="AA348" s="5">
        <v>49</v>
      </c>
    </row>
    <row r="349" spans="1:27">
      <c r="A349" s="3">
        <v>1</v>
      </c>
      <c r="B349" s="3" t="s">
        <v>408</v>
      </c>
      <c r="C349" s="3">
        <v>1975</v>
      </c>
      <c r="D349" s="3" t="s">
        <v>119</v>
      </c>
      <c r="E349" s="3">
        <v>92.92</v>
      </c>
      <c r="F349" s="3">
        <v>0.62839999999999996</v>
      </c>
      <c r="G349" s="3">
        <v>16</v>
      </c>
      <c r="H349" s="3">
        <v>365</v>
      </c>
      <c r="I349" s="1">
        <v>375</v>
      </c>
      <c r="J349" s="3">
        <v>377.5</v>
      </c>
      <c r="K349" s="4" t="e">
        <f t="array" aca="1" ref="K349">MAX(H349:J349*(1-strike(H349:J349)))</f>
        <v>#NAME?</v>
      </c>
      <c r="L349" s="1">
        <v>245</v>
      </c>
      <c r="M349" s="3">
        <v>245</v>
      </c>
      <c r="N349" s="1">
        <v>247.5</v>
      </c>
      <c r="O349" s="4" t="e">
        <f t="array" aca="1" ref="O349">MAX(L349:N349*(1-strike(L349:N349)))</f>
        <v>#NAME?</v>
      </c>
      <c r="P349" s="3">
        <v>317.5</v>
      </c>
      <c r="Q349" s="3">
        <v>327.5</v>
      </c>
      <c r="R349" s="3">
        <v>337.5</v>
      </c>
      <c r="S349" s="4" t="e">
        <f t="array" aca="1" ref="S349">MAX(P349:R349*(1-strike(P349:R349)))</f>
        <v>#NAME?</v>
      </c>
      <c r="T349" s="4" t="e">
        <f t="shared" si="5"/>
        <v>#NAME?</v>
      </c>
      <c r="U349" s="3">
        <v>960</v>
      </c>
      <c r="V349" s="3">
        <v>603.29999999999995</v>
      </c>
      <c r="W349" s="3">
        <v>12</v>
      </c>
      <c r="X349" s="5">
        <v>2012</v>
      </c>
      <c r="Y349" s="5" t="s">
        <v>29</v>
      </c>
      <c r="Z349" s="5" t="s">
        <v>171</v>
      </c>
      <c r="AA349" s="5">
        <v>1256</v>
      </c>
    </row>
    <row r="350" spans="1:27">
      <c r="A350" s="3">
        <v>1</v>
      </c>
      <c r="B350" s="3" t="s">
        <v>408</v>
      </c>
      <c r="C350" s="3">
        <v>1975</v>
      </c>
      <c r="D350" s="3" t="s">
        <v>119</v>
      </c>
      <c r="E350" s="3">
        <v>92.65</v>
      </c>
      <c r="F350" s="3">
        <v>0.62929999999999997</v>
      </c>
      <c r="G350" s="3">
        <v>18</v>
      </c>
      <c r="H350" s="3">
        <v>350</v>
      </c>
      <c r="I350" s="3">
        <v>362.5</v>
      </c>
      <c r="J350" s="3">
        <v>372.5</v>
      </c>
      <c r="K350" s="4" t="e">
        <f t="array" aca="1" ref="K350">MAX(H350:J350*(1-strike(H350:J350)))</f>
        <v>#NAME?</v>
      </c>
      <c r="L350" s="3">
        <v>250</v>
      </c>
      <c r="M350" s="1">
        <v>260</v>
      </c>
      <c r="N350" s="3">
        <v>260</v>
      </c>
      <c r="O350" s="4" t="e">
        <f t="array" aca="1" ref="O350">MAX(L350:N350*(1-strike(L350:N350)))</f>
        <v>#NAME?</v>
      </c>
      <c r="P350" s="3">
        <v>327.5</v>
      </c>
      <c r="Q350" s="3">
        <v>340</v>
      </c>
      <c r="R350" s="3">
        <v>350</v>
      </c>
      <c r="S350" s="4" t="e">
        <f t="array" aca="1" ref="S350">MAX(P350:R350*(1-strike(P350:R350)))</f>
        <v>#NAME?</v>
      </c>
      <c r="T350" s="4" t="e">
        <f t="shared" si="5"/>
        <v>#NAME?</v>
      </c>
      <c r="U350" s="3" t="s">
        <v>409</v>
      </c>
      <c r="V350" s="3">
        <v>618.29</v>
      </c>
      <c r="W350" s="3">
        <v>12</v>
      </c>
      <c r="X350" s="5">
        <v>2013</v>
      </c>
      <c r="Y350" s="5" t="s">
        <v>29</v>
      </c>
      <c r="Z350" s="5" t="s">
        <v>171</v>
      </c>
      <c r="AA350" s="5">
        <v>863</v>
      </c>
    </row>
    <row r="351" spans="1:27">
      <c r="A351" s="4">
        <v>2</v>
      </c>
      <c r="B351" s="4" t="s">
        <v>408</v>
      </c>
      <c r="C351" s="4">
        <v>1975</v>
      </c>
      <c r="D351" s="4" t="s">
        <v>119</v>
      </c>
      <c r="E351" s="4">
        <v>93</v>
      </c>
      <c r="F351" s="4">
        <v>0.62819999999999998</v>
      </c>
      <c r="G351" s="4">
        <v>2</v>
      </c>
      <c r="H351" s="4">
        <v>270</v>
      </c>
      <c r="I351" s="4">
        <v>287.5</v>
      </c>
      <c r="J351" s="4">
        <v>300</v>
      </c>
      <c r="K351" s="4" t="e">
        <f t="array" aca="1" ref="K351">MAX(H351:J351*(1-strike(H351:J351)))</f>
        <v>#NAME?</v>
      </c>
      <c r="L351" s="4">
        <v>190</v>
      </c>
      <c r="M351" s="4">
        <v>205</v>
      </c>
      <c r="N351" s="6">
        <v>215</v>
      </c>
      <c r="O351" s="4" t="e">
        <f t="array" aca="1" ref="O351">MAX(L351:N351*(1-strike(L351:N351)))</f>
        <v>#NAME?</v>
      </c>
      <c r="P351" s="6">
        <v>320</v>
      </c>
      <c r="Q351" s="4">
        <v>330</v>
      </c>
      <c r="R351" s="4">
        <v>342.5</v>
      </c>
      <c r="S351" s="4" t="e">
        <f t="array" aca="1" ref="S351">MAX(P351:R351*(1-strike(P351:R351)))</f>
        <v>#NAME?</v>
      </c>
      <c r="T351" s="4" t="e">
        <f t="shared" si="5"/>
        <v>#NAME?</v>
      </c>
      <c r="U351" s="4" t="s">
        <v>410</v>
      </c>
      <c r="V351" s="4">
        <v>532.4</v>
      </c>
      <c r="W351" s="4">
        <v>9</v>
      </c>
      <c r="X351" s="5">
        <v>2014</v>
      </c>
      <c r="Y351" s="5" t="s">
        <v>29</v>
      </c>
      <c r="Z351" s="5" t="s">
        <v>30</v>
      </c>
      <c r="AA351" s="5">
        <v>698</v>
      </c>
    </row>
    <row r="352" spans="1:27" ht="15" customHeight="1">
      <c r="A352" s="4">
        <v>2</v>
      </c>
      <c r="B352" s="4" t="s">
        <v>408</v>
      </c>
      <c r="C352" s="4">
        <v>1975</v>
      </c>
      <c r="D352" s="4" t="s">
        <v>119</v>
      </c>
      <c r="E352" s="4">
        <v>92.42</v>
      </c>
      <c r="F352" s="4">
        <v>0.63009999999999999</v>
      </c>
      <c r="G352" s="4">
        <v>11</v>
      </c>
      <c r="H352" s="4">
        <v>365</v>
      </c>
      <c r="I352" s="4">
        <v>375</v>
      </c>
      <c r="J352" s="4">
        <v>380</v>
      </c>
      <c r="K352" s="4" t="e">
        <f t="array" aca="1" ref="K352">MAX(H352:J352*(1-strike(H352:J352)))</f>
        <v>#NAME?</v>
      </c>
      <c r="L352" s="6">
        <v>255</v>
      </c>
      <c r="M352" s="4">
        <v>257.5</v>
      </c>
      <c r="N352" s="6">
        <v>265</v>
      </c>
      <c r="O352" s="4" t="e">
        <f t="array" aca="1" ref="O352">MAX(L352:N352*(1-strike(L352:N352)))</f>
        <v>#NAME?</v>
      </c>
      <c r="P352" s="4">
        <v>345</v>
      </c>
      <c r="Q352" s="4">
        <v>355</v>
      </c>
      <c r="R352" s="6">
        <v>365</v>
      </c>
      <c r="S352" s="4" t="e">
        <f t="array" aca="1" ref="S352">MAX(P352:R352*(1-strike(P352:R352)))</f>
        <v>#NAME?</v>
      </c>
      <c r="T352" s="4" t="e">
        <f t="shared" si="5"/>
        <v>#NAME?</v>
      </c>
      <c r="U352" s="4" t="s">
        <v>411</v>
      </c>
      <c r="V352" s="4">
        <v>625.37</v>
      </c>
      <c r="W352" s="4">
        <v>9</v>
      </c>
      <c r="X352" s="5">
        <v>2014</v>
      </c>
      <c r="Y352" s="5" t="s">
        <v>29</v>
      </c>
      <c r="Z352" s="5" t="s">
        <v>171</v>
      </c>
      <c r="AA352" s="5">
        <v>494</v>
      </c>
    </row>
    <row r="353" spans="1:27">
      <c r="A353" s="4">
        <v>3</v>
      </c>
      <c r="B353" s="4" t="s">
        <v>408</v>
      </c>
      <c r="C353" s="4">
        <v>1975</v>
      </c>
      <c r="D353" s="4" t="s">
        <v>119</v>
      </c>
      <c r="E353" s="4">
        <v>92.59</v>
      </c>
      <c r="F353" s="4">
        <v>0.62949999999999995</v>
      </c>
      <c r="G353" s="4">
        <v>10</v>
      </c>
      <c r="H353" s="4">
        <v>370</v>
      </c>
      <c r="I353" s="6">
        <v>382.5</v>
      </c>
      <c r="J353" s="6">
        <v>382.5</v>
      </c>
      <c r="K353" s="4" t="e">
        <f t="array" aca="1" ref="K353">MAX(H353:J353*(1-strike(H353:J353)))</f>
        <v>#NAME?</v>
      </c>
      <c r="L353" s="4">
        <v>250</v>
      </c>
      <c r="M353" s="4">
        <v>260</v>
      </c>
      <c r="N353" s="6">
        <v>267.5</v>
      </c>
      <c r="O353" s="4" t="e">
        <f t="array" aca="1" ref="O353">MAX(L353:N353*(1-strike(L353:N353)))</f>
        <v>#NAME?</v>
      </c>
      <c r="P353" s="4">
        <v>310</v>
      </c>
      <c r="Q353" s="4">
        <v>325</v>
      </c>
      <c r="R353" s="4">
        <v>342.5</v>
      </c>
      <c r="S353" s="4" t="e">
        <f t="array" aca="1" ref="S353">MAX(P353:R353*(1-strike(P353:R353)))</f>
        <v>#NAME?</v>
      </c>
      <c r="T353" s="4" t="e">
        <f t="shared" si="5"/>
        <v>#NAME?</v>
      </c>
      <c r="U353" s="4" t="s">
        <v>412</v>
      </c>
      <c r="V353" s="4">
        <v>612.19000000000005</v>
      </c>
      <c r="W353" s="4">
        <v>8</v>
      </c>
      <c r="X353" s="5">
        <v>2015</v>
      </c>
      <c r="Y353" s="5" t="s">
        <v>29</v>
      </c>
      <c r="Z353" s="5" t="s">
        <v>171</v>
      </c>
      <c r="AA353" s="5">
        <v>57</v>
      </c>
    </row>
    <row r="354" spans="1:27">
      <c r="A354" s="3" t="s">
        <v>37</v>
      </c>
      <c r="B354" s="3" t="s">
        <v>413</v>
      </c>
      <c r="C354" s="3">
        <v>1988</v>
      </c>
      <c r="D354" s="3" t="s">
        <v>113</v>
      </c>
      <c r="E354" s="3">
        <v>90.9</v>
      </c>
      <c r="F354" s="3">
        <v>0.63519999999999999</v>
      </c>
      <c r="G354" s="3">
        <v>11</v>
      </c>
      <c r="H354" s="3">
        <v>240</v>
      </c>
      <c r="I354" s="1">
        <v>252.5</v>
      </c>
      <c r="J354" s="3">
        <v>252.5</v>
      </c>
      <c r="K354" s="4" t="e">
        <f t="array" aca="1" ref="K354">MAX(H354:J354*(1-strike(H354:J354)))</f>
        <v>#NAME?</v>
      </c>
      <c r="L354" s="3">
        <v>125</v>
      </c>
      <c r="M354" s="3">
        <v>130</v>
      </c>
      <c r="N354" s="1">
        <v>135</v>
      </c>
      <c r="O354" s="4" t="e">
        <f t="array" aca="1" ref="O354">MAX(L354:N354*(1-strike(L354:N354)))</f>
        <v>#NAME?</v>
      </c>
      <c r="P354" s="1">
        <v>275</v>
      </c>
      <c r="Q354" s="3"/>
      <c r="R354" s="3"/>
      <c r="S354" s="4" t="e">
        <f t="array" aca="1" ref="S354">MAX(P354:R354*(1-strike(P354:R354)))</f>
        <v>#NAME?</v>
      </c>
      <c r="T354" s="4" t="e">
        <f t="shared" si="5"/>
        <v>#NAME?</v>
      </c>
      <c r="U354" s="3" t="s">
        <v>40</v>
      </c>
      <c r="V354" s="3" t="s">
        <v>37</v>
      </c>
      <c r="W354" s="3" t="s">
        <v>37</v>
      </c>
      <c r="X354" s="5">
        <v>2013</v>
      </c>
      <c r="Y354" s="5" t="s">
        <v>29</v>
      </c>
      <c r="Z354" s="5" t="s">
        <v>30</v>
      </c>
      <c r="AA354" s="5">
        <v>1068</v>
      </c>
    </row>
    <row r="355" spans="1:27">
      <c r="A355" s="3">
        <v>8</v>
      </c>
      <c r="B355" s="3" t="s">
        <v>414</v>
      </c>
      <c r="C355" s="3">
        <v>1987</v>
      </c>
      <c r="D355" s="3" t="s">
        <v>336</v>
      </c>
      <c r="E355" s="3">
        <v>92.8</v>
      </c>
      <c r="F355" s="3">
        <v>0.62880000000000003</v>
      </c>
      <c r="G355" s="3">
        <v>8</v>
      </c>
      <c r="H355" s="3">
        <v>310</v>
      </c>
      <c r="I355" s="1">
        <v>320</v>
      </c>
      <c r="J355" s="3">
        <v>320</v>
      </c>
      <c r="K355" s="4" t="e">
        <f t="array" aca="1" ref="K355">MAX(H355:J355*(1-strike(H355:J355)))</f>
        <v>#NAME?</v>
      </c>
      <c r="L355" s="3">
        <v>165</v>
      </c>
      <c r="M355" s="3">
        <v>172.5</v>
      </c>
      <c r="N355" s="3">
        <v>180</v>
      </c>
      <c r="O355" s="4" t="e">
        <f t="array" aca="1" ref="O355">MAX(L355:N355*(1-strike(L355:N355)))</f>
        <v>#NAME?</v>
      </c>
      <c r="P355" s="3">
        <v>312.5</v>
      </c>
      <c r="Q355" s="3">
        <v>325</v>
      </c>
      <c r="R355" s="3">
        <v>337.5</v>
      </c>
      <c r="S355" s="4" t="e">
        <f t="array" aca="1" ref="S355">MAX(P355:R355*(1-strike(P355:R355)))</f>
        <v>#NAME?</v>
      </c>
      <c r="T355" s="4" t="e">
        <f t="shared" si="5"/>
        <v>#NAME?</v>
      </c>
      <c r="U355" s="3">
        <v>837.5</v>
      </c>
      <c r="V355" s="3">
        <v>526.62</v>
      </c>
      <c r="W355" s="3">
        <v>3</v>
      </c>
      <c r="X355" s="5">
        <v>2012</v>
      </c>
      <c r="Y355" s="5" t="s">
        <v>29</v>
      </c>
      <c r="Z355" s="5" t="s">
        <v>171</v>
      </c>
      <c r="AA355" s="5">
        <v>1263</v>
      </c>
    </row>
    <row r="356" spans="1:27">
      <c r="A356" s="4">
        <v>3</v>
      </c>
      <c r="B356" s="4" t="s">
        <v>415</v>
      </c>
      <c r="C356" s="4">
        <v>1985</v>
      </c>
      <c r="D356" s="4" t="s">
        <v>119</v>
      </c>
      <c r="E356" s="4">
        <v>111.8</v>
      </c>
      <c r="F356" s="4">
        <v>0.58560000000000001</v>
      </c>
      <c r="G356" s="4">
        <v>16</v>
      </c>
      <c r="H356" s="6">
        <v>385</v>
      </c>
      <c r="I356" s="4">
        <v>385</v>
      </c>
      <c r="J356" s="6">
        <v>395</v>
      </c>
      <c r="K356" s="4" t="e">
        <f t="array" aca="1" ref="K356">MAX(H356:J356*(1-strike(H356:J356)))</f>
        <v>#NAME?</v>
      </c>
      <c r="L356" s="4">
        <v>280</v>
      </c>
      <c r="M356" s="4">
        <v>290</v>
      </c>
      <c r="N356" s="4">
        <v>300</v>
      </c>
      <c r="O356" s="4" t="e">
        <f t="array" aca="1" ref="O356">MAX(L356:N356*(1-strike(L356:N356)))</f>
        <v>#NAME?</v>
      </c>
      <c r="P356" s="4">
        <v>350</v>
      </c>
      <c r="Q356" s="4">
        <v>365</v>
      </c>
      <c r="R356" s="6">
        <v>377.5</v>
      </c>
      <c r="S356" s="4" t="e">
        <f t="array" aca="1" ref="S356">MAX(P356:R356*(1-strike(P356:R356)))</f>
        <v>#NAME?</v>
      </c>
      <c r="T356" s="4" t="e">
        <f t="shared" si="5"/>
        <v>#NAME?</v>
      </c>
      <c r="U356" s="4">
        <v>1050</v>
      </c>
      <c r="V356" s="4">
        <v>614.88</v>
      </c>
      <c r="W356" s="4">
        <v>8</v>
      </c>
      <c r="X356" s="5">
        <v>2014</v>
      </c>
      <c r="Y356" s="5" t="s">
        <v>29</v>
      </c>
      <c r="Z356" s="5" t="s">
        <v>171</v>
      </c>
      <c r="AA356" s="5">
        <v>535</v>
      </c>
    </row>
    <row r="357" spans="1:27">
      <c r="A357" s="4">
        <v>1</v>
      </c>
      <c r="B357" s="4" t="s">
        <v>415</v>
      </c>
      <c r="C357" s="4">
        <v>1985</v>
      </c>
      <c r="D357" s="4" t="s">
        <v>119</v>
      </c>
      <c r="E357" s="4">
        <v>116.58</v>
      </c>
      <c r="F357" s="4">
        <v>0.57899999999999996</v>
      </c>
      <c r="G357" s="4">
        <v>13</v>
      </c>
      <c r="H357" s="4">
        <v>390</v>
      </c>
      <c r="I357" s="4">
        <v>407.5</v>
      </c>
      <c r="J357" s="4">
        <v>415</v>
      </c>
      <c r="K357" s="4" t="e">
        <f t="array" aca="1" ref="K357">MAX(H357:J357*(1-strike(H357:J357)))</f>
        <v>#NAME?</v>
      </c>
      <c r="L357" s="4">
        <v>300</v>
      </c>
      <c r="M357" s="4">
        <v>312.5</v>
      </c>
      <c r="N357" s="4">
        <v>317.5</v>
      </c>
      <c r="O357" s="4" t="e">
        <f t="array" aca="1" ref="O357">MAX(L357:N357*(1-strike(L357:N357)))</f>
        <v>#NAME?</v>
      </c>
      <c r="P357" s="4">
        <v>342.5</v>
      </c>
      <c r="Q357" s="4">
        <v>350</v>
      </c>
      <c r="R357" s="4">
        <v>362.5</v>
      </c>
      <c r="S357" s="4" t="e">
        <f t="array" aca="1" ref="S357">MAX(P357:R357*(1-strike(P357:R357)))</f>
        <v>#NAME?</v>
      </c>
      <c r="T357" s="4" t="e">
        <f t="shared" si="5"/>
        <v>#NAME?</v>
      </c>
      <c r="U357" s="4" t="s">
        <v>416</v>
      </c>
      <c r="V357" s="4">
        <v>634</v>
      </c>
      <c r="W357" s="4">
        <v>12</v>
      </c>
      <c r="X357" s="5">
        <v>2015</v>
      </c>
      <c r="Y357" s="5" t="s">
        <v>29</v>
      </c>
      <c r="Z357" s="5" t="s">
        <v>171</v>
      </c>
      <c r="AA357" s="5">
        <v>96</v>
      </c>
    </row>
    <row r="358" spans="1:27">
      <c r="A358" s="3">
        <v>14</v>
      </c>
      <c r="B358" s="3" t="s">
        <v>417</v>
      </c>
      <c r="C358" s="3">
        <v>1979</v>
      </c>
      <c r="D358" s="3" t="s">
        <v>418</v>
      </c>
      <c r="E358" s="3">
        <v>125.94</v>
      </c>
      <c r="F358" s="3">
        <v>0.56899999999999995</v>
      </c>
      <c r="G358" s="3">
        <v>13</v>
      </c>
      <c r="H358" s="3">
        <v>310</v>
      </c>
      <c r="I358" s="3">
        <v>325</v>
      </c>
      <c r="J358" s="3">
        <v>335</v>
      </c>
      <c r="K358" s="4" t="e">
        <f t="array" aca="1" ref="K358">MAX(H358:J358*(1-strike(H358:J358)))</f>
        <v>#NAME?</v>
      </c>
      <c r="L358" s="3">
        <v>220</v>
      </c>
      <c r="M358" s="1">
        <v>230</v>
      </c>
      <c r="N358" s="1">
        <v>230</v>
      </c>
      <c r="O358" s="4" t="e">
        <f t="array" aca="1" ref="O358">MAX(L358:N358*(1-strike(L358:N358)))</f>
        <v>#NAME?</v>
      </c>
      <c r="P358" s="1">
        <v>310</v>
      </c>
      <c r="Q358" s="3">
        <v>310</v>
      </c>
      <c r="R358" s="1">
        <v>330</v>
      </c>
      <c r="S358" s="4" t="e">
        <f t="array" aca="1" ref="S358">MAX(P358:R358*(1-strike(P358:R358)))</f>
        <v>#NAME?</v>
      </c>
      <c r="T358" s="4" t="e">
        <f t="shared" si="5"/>
        <v>#NAME?</v>
      </c>
      <c r="U358" s="3">
        <v>865</v>
      </c>
      <c r="V358" s="3">
        <v>492.15</v>
      </c>
      <c r="W358" s="3">
        <v>1</v>
      </c>
      <c r="X358" s="5">
        <v>2012</v>
      </c>
      <c r="Y358" s="5" t="s">
        <v>29</v>
      </c>
      <c r="Z358" s="5" t="s">
        <v>171</v>
      </c>
      <c r="AA358" s="5">
        <v>1329</v>
      </c>
    </row>
    <row r="359" spans="1:27">
      <c r="A359" s="4">
        <v>12</v>
      </c>
      <c r="B359" s="4" t="s">
        <v>417</v>
      </c>
      <c r="C359" s="4">
        <v>1979</v>
      </c>
      <c r="D359" s="4" t="s">
        <v>418</v>
      </c>
      <c r="E359" s="4">
        <v>103.64</v>
      </c>
      <c r="F359" s="4">
        <v>0.60040000000000004</v>
      </c>
      <c r="G359" s="4">
        <v>15</v>
      </c>
      <c r="H359" s="4">
        <v>300</v>
      </c>
      <c r="I359" s="6">
        <v>325</v>
      </c>
      <c r="J359" s="6">
        <v>330</v>
      </c>
      <c r="K359" s="4" t="e">
        <f t="array" aca="1" ref="K359">MAX(H359:J359*(1-strike(H359:J359)))</f>
        <v>#NAME?</v>
      </c>
      <c r="L359" s="4">
        <v>180</v>
      </c>
      <c r="M359" s="4">
        <v>190</v>
      </c>
      <c r="N359" s="6">
        <v>210</v>
      </c>
      <c r="O359" s="4" t="e">
        <f t="array" aca="1" ref="O359">MAX(L359:N359*(1-strike(L359:N359)))</f>
        <v>#NAME?</v>
      </c>
      <c r="P359" s="4">
        <v>300</v>
      </c>
      <c r="Q359" s="6">
        <v>317.5</v>
      </c>
      <c r="R359" s="4">
        <v>317.5</v>
      </c>
      <c r="S359" s="4" t="e">
        <f t="array" aca="1" ref="S359">MAX(P359:R359*(1-strike(P359:R359)))</f>
        <v>#NAME?</v>
      </c>
      <c r="T359" s="4" t="e">
        <f t="shared" si="5"/>
        <v>#NAME?</v>
      </c>
      <c r="U359" s="4">
        <v>807.5</v>
      </c>
      <c r="V359" s="4">
        <v>484.82</v>
      </c>
      <c r="W359" s="4">
        <v>1</v>
      </c>
      <c r="X359" s="5">
        <v>2014</v>
      </c>
      <c r="Y359" s="5" t="s">
        <v>29</v>
      </c>
      <c r="Z359" s="5" t="s">
        <v>171</v>
      </c>
      <c r="AA359" s="5">
        <v>524</v>
      </c>
    </row>
    <row r="360" spans="1:27">
      <c r="A360" s="4">
        <v>17</v>
      </c>
      <c r="B360" s="4" t="s">
        <v>417</v>
      </c>
      <c r="C360" s="4">
        <v>1979</v>
      </c>
      <c r="D360" s="4" t="s">
        <v>418</v>
      </c>
      <c r="E360" s="4">
        <v>104.27</v>
      </c>
      <c r="F360" s="4">
        <v>0.59899999999999998</v>
      </c>
      <c r="G360" s="4">
        <v>18</v>
      </c>
      <c r="H360" s="4">
        <v>310</v>
      </c>
      <c r="I360" s="6">
        <v>330</v>
      </c>
      <c r="J360" s="6">
        <v>330</v>
      </c>
      <c r="K360" s="4" t="e">
        <f t="array" aca="1" ref="K360">MAX(H360:J360*(1-strike(H360:J360)))</f>
        <v>#NAME?</v>
      </c>
      <c r="L360" s="4">
        <v>180</v>
      </c>
      <c r="M360" s="6">
        <v>200</v>
      </c>
      <c r="N360" s="6">
        <v>200</v>
      </c>
      <c r="O360" s="4" t="e">
        <f t="array" aca="1" ref="O360">MAX(L360:N360*(1-strike(L360:N360)))</f>
        <v>#NAME?</v>
      </c>
      <c r="P360" s="4">
        <v>310</v>
      </c>
      <c r="Q360" s="6">
        <v>312.5</v>
      </c>
      <c r="R360" s="6">
        <v>330</v>
      </c>
      <c r="S360" s="4" t="e">
        <f t="array" aca="1" ref="S360">MAX(P360:R360*(1-strike(P360:R360)))</f>
        <v>#NAME?</v>
      </c>
      <c r="T360" s="4" t="e">
        <f t="shared" si="5"/>
        <v>#NAME?</v>
      </c>
      <c r="U360" s="4">
        <v>800</v>
      </c>
      <c r="V360" s="4">
        <v>479.2</v>
      </c>
      <c r="W360" s="4">
        <v>1</v>
      </c>
      <c r="X360" s="5">
        <v>2015</v>
      </c>
      <c r="Y360" s="5" t="s">
        <v>29</v>
      </c>
      <c r="Z360" s="5" t="s">
        <v>171</v>
      </c>
      <c r="AA360" s="5">
        <v>89</v>
      </c>
    </row>
    <row r="361" spans="1:27">
      <c r="A361" s="3">
        <v>8</v>
      </c>
      <c r="B361" s="3" t="s">
        <v>419</v>
      </c>
      <c r="C361" s="3">
        <v>1982</v>
      </c>
      <c r="D361" s="3" t="s">
        <v>336</v>
      </c>
      <c r="E361" s="3">
        <v>58.92</v>
      </c>
      <c r="F361" s="3">
        <v>0.86719999999999997</v>
      </c>
      <c r="G361" s="3">
        <v>11</v>
      </c>
      <c r="H361" s="3">
        <v>220</v>
      </c>
      <c r="I361" s="3">
        <v>227.5</v>
      </c>
      <c r="J361" s="3">
        <v>232.5</v>
      </c>
      <c r="K361" s="4" t="e">
        <f t="array" aca="1" ref="K361">MAX(H361:J361*(1-strike(H361:J361)))</f>
        <v>#NAME?</v>
      </c>
      <c r="L361" s="3">
        <v>150</v>
      </c>
      <c r="M361" s="3">
        <v>155</v>
      </c>
      <c r="N361" s="1">
        <v>160</v>
      </c>
      <c r="O361" s="4" t="e">
        <f t="array" aca="1" ref="O361">MAX(L361:N361*(1-strike(L361:N361)))</f>
        <v>#NAME?</v>
      </c>
      <c r="P361" s="3">
        <v>205</v>
      </c>
      <c r="Q361" s="3">
        <v>212.5</v>
      </c>
      <c r="R361" s="1">
        <v>220</v>
      </c>
      <c r="S361" s="4" t="e">
        <f t="array" aca="1" ref="S361">MAX(P361:R361*(1-strike(P361:R361)))</f>
        <v>#NAME?</v>
      </c>
      <c r="T361" s="4" t="e">
        <f t="shared" si="5"/>
        <v>#NAME?</v>
      </c>
      <c r="U361" s="3">
        <v>600</v>
      </c>
      <c r="V361" s="3">
        <v>520.34</v>
      </c>
      <c r="W361" s="3">
        <v>3</v>
      </c>
      <c r="X361" s="5">
        <v>2012</v>
      </c>
      <c r="Y361" s="5" t="s">
        <v>29</v>
      </c>
      <c r="Z361" s="5" t="s">
        <v>171</v>
      </c>
      <c r="AA361" s="5">
        <v>1199</v>
      </c>
    </row>
    <row r="362" spans="1:27">
      <c r="A362" s="3">
        <v>3</v>
      </c>
      <c r="B362" s="3" t="s">
        <v>419</v>
      </c>
      <c r="C362" s="3">
        <v>1982</v>
      </c>
      <c r="D362" s="3" t="s">
        <v>336</v>
      </c>
      <c r="E362" s="3">
        <v>58.89</v>
      </c>
      <c r="F362" s="3">
        <v>0.86770000000000003</v>
      </c>
      <c r="G362" s="3">
        <v>8</v>
      </c>
      <c r="H362" s="3">
        <v>232.5</v>
      </c>
      <c r="I362" s="3">
        <v>237.5</v>
      </c>
      <c r="J362" s="1">
        <v>240</v>
      </c>
      <c r="K362" s="4" t="e">
        <f t="array" aca="1" ref="K362">MAX(H362:J362*(1-strike(H362:J362)))</f>
        <v>#NAME?</v>
      </c>
      <c r="L362" s="1">
        <v>155</v>
      </c>
      <c r="M362" s="3">
        <v>160</v>
      </c>
      <c r="N362" s="1">
        <v>170</v>
      </c>
      <c r="O362" s="4" t="e">
        <f t="array" aca="1" ref="O362">MAX(L362:N362*(1-strike(L362:N362)))</f>
        <v>#NAME?</v>
      </c>
      <c r="P362" s="3">
        <v>207.5</v>
      </c>
      <c r="Q362" s="3">
        <v>212.5</v>
      </c>
      <c r="R362" s="3">
        <v>217.5</v>
      </c>
      <c r="S362" s="4" t="e">
        <f t="array" aca="1" ref="S362">MAX(P362:R362*(1-strike(P362:R362)))</f>
        <v>#NAME?</v>
      </c>
      <c r="T362" s="4" t="e">
        <f t="shared" si="5"/>
        <v>#NAME?</v>
      </c>
      <c r="U362" s="3">
        <v>615</v>
      </c>
      <c r="V362" s="3">
        <v>533.64</v>
      </c>
      <c r="W362" s="3">
        <v>8</v>
      </c>
      <c r="X362" s="5">
        <v>2013</v>
      </c>
      <c r="Y362" s="5" t="s">
        <v>29</v>
      </c>
      <c r="Z362" s="5" t="s">
        <v>171</v>
      </c>
      <c r="AA362" s="5">
        <v>819</v>
      </c>
    </row>
    <row r="363" spans="1:27">
      <c r="A363" s="4">
        <v>6</v>
      </c>
      <c r="B363" s="4" t="s">
        <v>419</v>
      </c>
      <c r="C363" s="4">
        <v>1982</v>
      </c>
      <c r="D363" s="4" t="s">
        <v>336</v>
      </c>
      <c r="E363" s="4">
        <v>58.68</v>
      </c>
      <c r="F363" s="4">
        <v>0.87029999999999996</v>
      </c>
      <c r="G363" s="4">
        <v>10</v>
      </c>
      <c r="H363" s="4">
        <v>240</v>
      </c>
      <c r="I363" s="6">
        <v>247.5</v>
      </c>
      <c r="J363" s="6">
        <v>247.5</v>
      </c>
      <c r="K363" s="4" t="e">
        <f t="array" aca="1" ref="K363">MAX(H363:J363*(1-strike(H363:J363)))</f>
        <v>#NAME?</v>
      </c>
      <c r="L363" s="6">
        <v>160</v>
      </c>
      <c r="M363" s="4">
        <v>162.5</v>
      </c>
      <c r="N363" s="6">
        <v>167.5</v>
      </c>
      <c r="O363" s="4" t="e">
        <f t="array" aca="1" ref="O363">MAX(L363:N363*(1-strike(L363:N363)))</f>
        <v>#NAME?</v>
      </c>
      <c r="P363" s="4">
        <v>212.5</v>
      </c>
      <c r="Q363" s="4">
        <v>220</v>
      </c>
      <c r="R363" s="4">
        <v>225</v>
      </c>
      <c r="S363" s="4" t="e">
        <f t="array" aca="1" ref="S363">MAX(P363:R363*(1-strike(P363:R363)))</f>
        <v>#NAME?</v>
      </c>
      <c r="T363" s="4" t="e">
        <f t="shared" si="5"/>
        <v>#NAME?</v>
      </c>
      <c r="U363" s="4">
        <v>627.5</v>
      </c>
      <c r="V363" s="4">
        <v>546.11</v>
      </c>
      <c r="W363" s="4">
        <v>5</v>
      </c>
      <c r="X363" s="5">
        <v>2014</v>
      </c>
      <c r="Y363" s="5" t="s">
        <v>29</v>
      </c>
      <c r="Z363" s="5" t="s">
        <v>171</v>
      </c>
      <c r="AA363" s="5">
        <v>445</v>
      </c>
    </row>
    <row r="364" spans="1:27">
      <c r="A364" s="4">
        <v>7</v>
      </c>
      <c r="B364" s="4" t="s">
        <v>419</v>
      </c>
      <c r="C364" s="4">
        <v>1982</v>
      </c>
      <c r="D364" s="4" t="s">
        <v>336</v>
      </c>
      <c r="E364" s="4">
        <v>58.79</v>
      </c>
      <c r="F364" s="4">
        <v>0.86909999999999998</v>
      </c>
      <c r="G364" s="4">
        <v>3</v>
      </c>
      <c r="H364" s="6">
        <v>230</v>
      </c>
      <c r="I364" s="4">
        <v>230</v>
      </c>
      <c r="J364" s="6">
        <v>232.5</v>
      </c>
      <c r="K364" s="4" t="e">
        <f t="array" aca="1" ref="K364">MAX(H364:J364*(1-strike(H364:J364)))</f>
        <v>#NAME?</v>
      </c>
      <c r="L364" s="6">
        <v>155</v>
      </c>
      <c r="M364" s="6">
        <v>160</v>
      </c>
      <c r="N364" s="4">
        <v>160</v>
      </c>
      <c r="O364" s="4" t="e">
        <f t="array" aca="1" ref="O364">MAX(L364:N364*(1-strike(L364:N364)))</f>
        <v>#NAME?</v>
      </c>
      <c r="P364" s="4">
        <v>212.5</v>
      </c>
      <c r="Q364" s="4">
        <v>220</v>
      </c>
      <c r="R364" s="6">
        <v>227.5</v>
      </c>
      <c r="S364" s="4" t="e">
        <f t="array" aca="1" ref="S364">MAX(P364:R364*(1-strike(P364:R364)))</f>
        <v>#NAME?</v>
      </c>
      <c r="T364" s="4" t="e">
        <f t="shared" si="5"/>
        <v>#NAME?</v>
      </c>
      <c r="U364" s="4">
        <v>610</v>
      </c>
      <c r="V364" s="4">
        <v>530.15</v>
      </c>
      <c r="W364" s="4">
        <v>4</v>
      </c>
      <c r="X364" s="5">
        <v>2015</v>
      </c>
      <c r="Y364" s="5" t="s">
        <v>29</v>
      </c>
      <c r="Z364" s="5" t="s">
        <v>171</v>
      </c>
      <c r="AA364" s="5">
        <v>8</v>
      </c>
    </row>
    <row r="365" spans="1:27">
      <c r="A365" s="3">
        <v>4</v>
      </c>
      <c r="B365" s="3" t="s">
        <v>420</v>
      </c>
      <c r="C365" s="3">
        <v>1988</v>
      </c>
      <c r="D365" s="3" t="s">
        <v>62</v>
      </c>
      <c r="E365" s="3">
        <v>163.5</v>
      </c>
      <c r="F365" s="3">
        <v>0.5464</v>
      </c>
      <c r="G365" s="3">
        <v>4</v>
      </c>
      <c r="H365" s="3">
        <v>390</v>
      </c>
      <c r="I365" s="3">
        <v>407.5</v>
      </c>
      <c r="J365" s="1">
        <v>417.5</v>
      </c>
      <c r="K365" s="4" t="e">
        <f t="array" aca="1" ref="K365">MAX(H365:J365*(1-strike(H365:J365)))</f>
        <v>#NAME?</v>
      </c>
      <c r="L365" s="3">
        <v>315</v>
      </c>
      <c r="M365" s="3">
        <v>327.5</v>
      </c>
      <c r="N365" s="3">
        <v>332.5</v>
      </c>
      <c r="O365" s="4" t="e">
        <f t="array" aca="1" ref="O365">MAX(L365:N365*(1-strike(L365:N365)))</f>
        <v>#NAME?</v>
      </c>
      <c r="P365" s="3">
        <v>322.5</v>
      </c>
      <c r="Q365" s="3">
        <v>342.5</v>
      </c>
      <c r="R365" s="3">
        <v>352.5</v>
      </c>
      <c r="S365" s="4" t="e">
        <f t="array" aca="1" ref="S365">MAX(P365:R365*(1-strike(P365:R365)))</f>
        <v>#NAME?</v>
      </c>
      <c r="T365" s="4" t="e">
        <f t="shared" si="5"/>
        <v>#NAME?</v>
      </c>
      <c r="U365" s="3">
        <v>1092.5</v>
      </c>
      <c r="V365" s="3">
        <v>596.94000000000005</v>
      </c>
      <c r="W365" s="3">
        <v>7</v>
      </c>
      <c r="X365" s="5">
        <v>2013</v>
      </c>
      <c r="Y365" s="5" t="s">
        <v>29</v>
      </c>
      <c r="Z365" s="5" t="s">
        <v>171</v>
      </c>
      <c r="AA365" s="5">
        <v>915</v>
      </c>
    </row>
    <row r="366" spans="1:27">
      <c r="A366" s="4" t="s">
        <v>37</v>
      </c>
      <c r="B366" s="4" t="s">
        <v>420</v>
      </c>
      <c r="C366" s="4">
        <v>1988</v>
      </c>
      <c r="D366" s="4" t="s">
        <v>62</v>
      </c>
      <c r="E366" s="4">
        <v>167.58</v>
      </c>
      <c r="F366" s="4">
        <v>0.5444</v>
      </c>
      <c r="G366" s="4">
        <v>1</v>
      </c>
      <c r="H366" s="4">
        <v>405</v>
      </c>
      <c r="I366" s="4">
        <v>422.5</v>
      </c>
      <c r="J366" s="4">
        <v>435</v>
      </c>
      <c r="K366" s="4" t="e">
        <f t="array" aca="1" ref="K366">MAX(H366:J366*(1-strike(H366:J366)))</f>
        <v>#NAME?</v>
      </c>
      <c r="L366" s="6">
        <v>322.5</v>
      </c>
      <c r="M366" s="6">
        <v>322.5</v>
      </c>
      <c r="N366" s="6">
        <v>322.5</v>
      </c>
      <c r="O366" s="4" t="e">
        <f t="array" aca="1" ref="O366">MAX(L366:N366*(1-strike(L366:N366)))</f>
        <v>#NAME?</v>
      </c>
      <c r="P366" s="4">
        <v>330</v>
      </c>
      <c r="Q366" s="4">
        <v>350</v>
      </c>
      <c r="R366" s="6">
        <v>365</v>
      </c>
      <c r="S366" s="4" t="e">
        <f t="array" aca="1" ref="S366">MAX(P366:R366*(1-strike(P366:R366)))</f>
        <v>#NAME?</v>
      </c>
      <c r="T366" s="4" t="e">
        <f t="shared" si="5"/>
        <v>#NAME?</v>
      </c>
      <c r="U366" s="4" t="s">
        <v>187</v>
      </c>
      <c r="V366" s="4" t="s">
        <v>37</v>
      </c>
      <c r="W366" s="4" t="s">
        <v>37</v>
      </c>
      <c r="X366" s="5">
        <v>2014</v>
      </c>
      <c r="Y366" s="5" t="s">
        <v>29</v>
      </c>
      <c r="Z366" s="5" t="s">
        <v>171</v>
      </c>
      <c r="AA366" s="5">
        <v>564</v>
      </c>
    </row>
    <row r="367" spans="1:27">
      <c r="A367" s="4">
        <v>3</v>
      </c>
      <c r="B367" s="4" t="s">
        <v>420</v>
      </c>
      <c r="C367" s="4">
        <v>1988</v>
      </c>
      <c r="D367" s="4" t="s">
        <v>62</v>
      </c>
      <c r="E367" s="4">
        <v>170.52</v>
      </c>
      <c r="F367" s="4">
        <v>0.54290000000000005</v>
      </c>
      <c r="G367" s="4">
        <v>9</v>
      </c>
      <c r="H367" s="4">
        <v>425</v>
      </c>
      <c r="I367" s="4">
        <v>447.5</v>
      </c>
      <c r="J367" s="6">
        <v>452.5</v>
      </c>
      <c r="K367" s="4" t="e">
        <f t="array" aca="1" ref="K367">MAX(H367:J367*(1-strike(H367:J367)))</f>
        <v>#NAME?</v>
      </c>
      <c r="L367" s="4">
        <v>327.5</v>
      </c>
      <c r="M367" s="6">
        <v>337.5</v>
      </c>
      <c r="N367" s="4">
        <v>337.5</v>
      </c>
      <c r="O367" s="4" t="e">
        <f t="array" aca="1" ref="O367">MAX(L367:N367*(1-strike(L367:N367)))</f>
        <v>#NAME?</v>
      </c>
      <c r="P367" s="4">
        <v>340</v>
      </c>
      <c r="Q367" s="6">
        <v>362.5</v>
      </c>
      <c r="R367" s="4">
        <v>362.5</v>
      </c>
      <c r="S367" s="4" t="e">
        <f t="array" aca="1" ref="S367">MAX(P367:R367*(1-strike(P367:R367)))</f>
        <v>#NAME?</v>
      </c>
      <c r="T367" s="4" t="e">
        <f t="shared" si="5"/>
        <v>#NAME?</v>
      </c>
      <c r="U367" s="4">
        <v>1147.5</v>
      </c>
      <c r="V367" s="4">
        <v>622.98</v>
      </c>
      <c r="W367" s="4">
        <v>8</v>
      </c>
      <c r="X367" s="5">
        <v>2015</v>
      </c>
      <c r="Y367" s="5" t="s">
        <v>29</v>
      </c>
      <c r="Z367" s="5" t="s">
        <v>171</v>
      </c>
      <c r="AA367" s="5">
        <v>115</v>
      </c>
    </row>
    <row r="368" spans="1:27">
      <c r="A368" s="4">
        <v>3</v>
      </c>
      <c r="B368" s="4" t="s">
        <v>421</v>
      </c>
      <c r="C368" s="4">
        <v>1991</v>
      </c>
      <c r="D368" s="4" t="s">
        <v>113</v>
      </c>
      <c r="E368" s="4">
        <v>64.87</v>
      </c>
      <c r="F368" s="4">
        <v>0.79649999999999999</v>
      </c>
      <c r="G368" s="4">
        <v>13</v>
      </c>
      <c r="H368" s="4">
        <v>225</v>
      </c>
      <c r="I368" s="4">
        <v>235</v>
      </c>
      <c r="J368" s="4">
        <v>240.5</v>
      </c>
      <c r="K368" s="4" t="e">
        <f t="array" aca="1" ref="K368">MAX(H368:J368*(1-strike(H368:J368)))</f>
        <v>#NAME?</v>
      </c>
      <c r="L368" s="4">
        <v>142.5</v>
      </c>
      <c r="M368" s="4">
        <v>150</v>
      </c>
      <c r="N368" s="6">
        <v>155</v>
      </c>
      <c r="O368" s="4" t="e">
        <f t="array" aca="1" ref="O368">MAX(L368:N368*(1-strike(L368:N368)))</f>
        <v>#NAME?</v>
      </c>
      <c r="P368" s="4">
        <v>237.5</v>
      </c>
      <c r="Q368" s="4">
        <v>245</v>
      </c>
      <c r="R368" s="6">
        <v>250</v>
      </c>
      <c r="S368" s="4" t="e">
        <f t="array" aca="1" ref="S368">MAX(P368:R368*(1-strike(P368:R368)))</f>
        <v>#NAME?</v>
      </c>
      <c r="T368" s="4" t="e">
        <f t="shared" si="5"/>
        <v>#NAME?</v>
      </c>
      <c r="U368" s="4">
        <v>635.5</v>
      </c>
      <c r="V368" s="4">
        <v>506.18</v>
      </c>
      <c r="W368" s="4">
        <v>8</v>
      </c>
      <c r="X368" s="5">
        <v>2015</v>
      </c>
      <c r="Y368" s="5" t="s">
        <v>29</v>
      </c>
      <c r="Z368" s="5" t="s">
        <v>30</v>
      </c>
      <c r="AA368" s="5">
        <v>229</v>
      </c>
    </row>
    <row r="369" spans="1:27">
      <c r="A369" s="3">
        <v>4</v>
      </c>
      <c r="B369" s="3" t="s">
        <v>422</v>
      </c>
      <c r="C369" s="3">
        <v>1986</v>
      </c>
      <c r="D369" s="3" t="s">
        <v>282</v>
      </c>
      <c r="E369" s="3">
        <v>83</v>
      </c>
      <c r="F369" s="3">
        <v>0.66749999999999998</v>
      </c>
      <c r="G369" s="3">
        <v>17</v>
      </c>
      <c r="H369" s="3">
        <v>325</v>
      </c>
      <c r="I369" s="1">
        <v>345</v>
      </c>
      <c r="J369" s="3">
        <v>350</v>
      </c>
      <c r="K369" s="4" t="e">
        <f t="array" aca="1" ref="K369">MAX(H369:J369*(1-strike(H369:J369)))</f>
        <v>#NAME?</v>
      </c>
      <c r="L369" s="3">
        <v>215</v>
      </c>
      <c r="M369" s="3">
        <v>225</v>
      </c>
      <c r="N369" s="3">
        <v>230</v>
      </c>
      <c r="O369" s="4" t="e">
        <f t="array" aca="1" ref="O369">MAX(L369:N369*(1-strike(L369:N369)))</f>
        <v>#NAME?</v>
      </c>
      <c r="P369" s="3">
        <v>295</v>
      </c>
      <c r="Q369" s="3">
        <v>310</v>
      </c>
      <c r="R369" s="3">
        <v>322.5</v>
      </c>
      <c r="S369" s="4" t="e">
        <f t="array" aca="1" ref="S369">MAX(P369:R369*(1-strike(P369:R369)))</f>
        <v>#NAME?</v>
      </c>
      <c r="T369" s="4" t="e">
        <f t="shared" si="5"/>
        <v>#NAME?</v>
      </c>
      <c r="U369" s="3">
        <v>902.5</v>
      </c>
      <c r="V369" s="3">
        <v>602.41</v>
      </c>
      <c r="W369" s="3">
        <v>7</v>
      </c>
      <c r="X369" s="5">
        <v>2012</v>
      </c>
      <c r="Y369" s="5" t="s">
        <v>29</v>
      </c>
      <c r="Z369" s="5" t="s">
        <v>171</v>
      </c>
      <c r="AA369" s="5">
        <v>1237</v>
      </c>
    </row>
    <row r="370" spans="1:27">
      <c r="A370" s="3">
        <v>4</v>
      </c>
      <c r="B370" s="3" t="s">
        <v>422</v>
      </c>
      <c r="C370" s="3">
        <v>1986</v>
      </c>
      <c r="D370" s="3" t="s">
        <v>282</v>
      </c>
      <c r="E370" s="3">
        <v>82.9</v>
      </c>
      <c r="F370" s="3">
        <v>0.66800000000000004</v>
      </c>
      <c r="G370" s="3">
        <v>9</v>
      </c>
      <c r="H370" s="3">
        <v>340</v>
      </c>
      <c r="I370" s="3">
        <v>360</v>
      </c>
      <c r="J370" s="1">
        <v>370.5</v>
      </c>
      <c r="K370" s="4" t="e">
        <f t="array" aca="1" ref="K370">MAX(H370:J370*(1-strike(H370:J370)))</f>
        <v>#NAME?</v>
      </c>
      <c r="L370" s="3">
        <v>227.5</v>
      </c>
      <c r="M370" s="1">
        <v>237.5</v>
      </c>
      <c r="N370" s="1">
        <v>237.5</v>
      </c>
      <c r="O370" s="4" t="e">
        <f t="array" aca="1" ref="O370">MAX(L370:N370*(1-strike(L370:N370)))</f>
        <v>#NAME?</v>
      </c>
      <c r="P370" s="3">
        <v>307.5</v>
      </c>
      <c r="Q370" s="1">
        <v>325</v>
      </c>
      <c r="R370" s="1">
        <v>325</v>
      </c>
      <c r="S370" s="4" t="e">
        <f t="array" aca="1" ref="S370">MAX(P370:R370*(1-strike(P370:R370)))</f>
        <v>#NAME?</v>
      </c>
      <c r="T370" s="4" t="e">
        <f t="shared" si="5"/>
        <v>#NAME?</v>
      </c>
      <c r="U370" s="3">
        <v>895</v>
      </c>
      <c r="V370" s="3">
        <v>597.86</v>
      </c>
      <c r="W370" s="3">
        <v>7</v>
      </c>
      <c r="X370" s="5">
        <v>2013</v>
      </c>
      <c r="Y370" s="5" t="s">
        <v>29</v>
      </c>
      <c r="Z370" s="5" t="s">
        <v>171</v>
      </c>
      <c r="AA370" s="5">
        <v>855</v>
      </c>
    </row>
    <row r="371" spans="1:27">
      <c r="A371" s="4">
        <v>1</v>
      </c>
      <c r="B371" s="4" t="s">
        <v>422</v>
      </c>
      <c r="C371" s="4">
        <v>1986</v>
      </c>
      <c r="D371" s="4" t="s">
        <v>282</v>
      </c>
      <c r="E371" s="4">
        <v>82.4</v>
      </c>
      <c r="F371" s="4">
        <v>0.6704</v>
      </c>
      <c r="G371" s="4">
        <v>16</v>
      </c>
      <c r="H371" s="4">
        <v>260</v>
      </c>
      <c r="I371" s="4">
        <v>272.5</v>
      </c>
      <c r="J371" s="6">
        <v>282.5</v>
      </c>
      <c r="K371" s="4" t="e">
        <f t="array" aca="1" ref="K371">MAX(H371:J371*(1-strike(H371:J371)))</f>
        <v>#NAME?</v>
      </c>
      <c r="L371" s="4">
        <v>165</v>
      </c>
      <c r="M371" s="4">
        <v>175</v>
      </c>
      <c r="N371" s="4">
        <v>182.5</v>
      </c>
      <c r="O371" s="4" t="e">
        <f t="array" aca="1" ref="O371">MAX(L371:N371*(1-strike(L371:N371)))</f>
        <v>#NAME?</v>
      </c>
      <c r="P371" s="4">
        <v>300</v>
      </c>
      <c r="Q371" s="4">
        <v>315</v>
      </c>
      <c r="R371" s="6">
        <v>325</v>
      </c>
      <c r="S371" s="4" t="e">
        <f t="array" aca="1" ref="S371">MAX(P371:R371*(1-strike(P371:R371)))</f>
        <v>#NAME?</v>
      </c>
      <c r="T371" s="4" t="e">
        <f t="shared" si="5"/>
        <v>#NAME?</v>
      </c>
      <c r="U371" s="4" t="s">
        <v>423</v>
      </c>
      <c r="V371" s="4">
        <v>516.21</v>
      </c>
      <c r="W371" s="4">
        <v>12</v>
      </c>
      <c r="X371" s="5">
        <v>2014</v>
      </c>
      <c r="Y371" s="5" t="s">
        <v>29</v>
      </c>
      <c r="Z371" s="5" t="s">
        <v>30</v>
      </c>
      <c r="AA371" s="5">
        <v>683</v>
      </c>
    </row>
    <row r="372" spans="1:27" ht="15" customHeight="1">
      <c r="A372" s="4">
        <v>1</v>
      </c>
      <c r="B372" s="4" t="s">
        <v>422</v>
      </c>
      <c r="C372" s="4">
        <v>1986</v>
      </c>
      <c r="D372" s="4" t="s">
        <v>282</v>
      </c>
      <c r="E372" s="4">
        <v>82.54</v>
      </c>
      <c r="F372" s="4">
        <v>0.66990000000000005</v>
      </c>
      <c r="G372" s="4">
        <v>3</v>
      </c>
      <c r="H372" s="4">
        <v>350</v>
      </c>
      <c r="I372" s="4">
        <v>370</v>
      </c>
      <c r="J372" s="4">
        <v>377.5</v>
      </c>
      <c r="K372" s="4" t="e">
        <f t="array" aca="1" ref="K372">MAX(H372:J372*(1-strike(H372:J372)))</f>
        <v>#NAME?</v>
      </c>
      <c r="L372" s="4">
        <v>230</v>
      </c>
      <c r="M372" s="4">
        <v>240</v>
      </c>
      <c r="N372" s="4">
        <v>247.5</v>
      </c>
      <c r="O372" s="4" t="e">
        <f t="array" aca="1" ref="O372">MAX(L372:N372*(1-strike(L372:N372)))</f>
        <v>#NAME?</v>
      </c>
      <c r="P372" s="4">
        <v>305</v>
      </c>
      <c r="Q372" s="4">
        <v>320</v>
      </c>
      <c r="R372" s="4">
        <v>330</v>
      </c>
      <c r="S372" s="4" t="e">
        <f t="array" aca="1" ref="S372">MAX(P372:R372*(1-strike(P372:R372)))</f>
        <v>#NAME?</v>
      </c>
      <c r="T372" s="4" t="e">
        <f t="shared" si="5"/>
        <v>#NAME?</v>
      </c>
      <c r="U372" s="4" t="s">
        <v>424</v>
      </c>
      <c r="V372" s="4">
        <v>639.75</v>
      </c>
      <c r="W372" s="4">
        <v>12</v>
      </c>
      <c r="X372" s="5">
        <v>2014</v>
      </c>
      <c r="Y372" s="5" t="s">
        <v>29</v>
      </c>
      <c r="Z372" s="5" t="s">
        <v>171</v>
      </c>
      <c r="AA372" s="5">
        <v>476</v>
      </c>
    </row>
    <row r="373" spans="1:27">
      <c r="A373" s="4" t="s">
        <v>37</v>
      </c>
      <c r="B373" s="4" t="s">
        <v>422</v>
      </c>
      <c r="C373" s="4">
        <v>1986</v>
      </c>
      <c r="D373" s="4" t="s">
        <v>282</v>
      </c>
      <c r="E373" s="4">
        <v>81.93</v>
      </c>
      <c r="F373" s="4">
        <v>0.67269999999999996</v>
      </c>
      <c r="G373" s="4">
        <v>20</v>
      </c>
      <c r="H373" s="4">
        <v>260</v>
      </c>
      <c r="I373" s="4">
        <v>280</v>
      </c>
      <c r="J373" s="4">
        <v>290</v>
      </c>
      <c r="K373" s="4" t="e">
        <f t="array" aca="1" ref="K373">MAX(H373:J373*(1-strike(H373:J373)))</f>
        <v>#NAME?</v>
      </c>
      <c r="L373" s="4">
        <v>172.5</v>
      </c>
      <c r="M373" s="4">
        <v>182.5</v>
      </c>
      <c r="N373" s="6">
        <v>187.5</v>
      </c>
      <c r="O373" s="4" t="e">
        <f t="array" aca="1" ref="O373">MAX(L373:N373*(1-strike(L373:N373)))</f>
        <v>#NAME?</v>
      </c>
      <c r="P373" s="4">
        <v>300</v>
      </c>
      <c r="Q373" s="4">
        <v>315</v>
      </c>
      <c r="R373" s="6">
        <v>322.5</v>
      </c>
      <c r="S373" s="4" t="e">
        <f t="array" aca="1" ref="S373">MAX(P373:R373*(1-strike(P373:R373)))</f>
        <v>#NAME?</v>
      </c>
      <c r="T373" s="4" t="e">
        <f t="shared" si="5"/>
        <v>#NAME?</v>
      </c>
      <c r="U373" s="4" t="s">
        <v>361</v>
      </c>
      <c r="V373" s="4" t="s">
        <v>37</v>
      </c>
      <c r="W373" s="4" t="s">
        <v>37</v>
      </c>
      <c r="X373" s="5">
        <v>2015</v>
      </c>
      <c r="Y373" s="5" t="s">
        <v>29</v>
      </c>
      <c r="Z373" s="5" t="s">
        <v>30</v>
      </c>
      <c r="AA373" s="5">
        <v>271</v>
      </c>
    </row>
    <row r="374" spans="1:27">
      <c r="A374" s="4">
        <v>13</v>
      </c>
      <c r="B374" s="4" t="s">
        <v>425</v>
      </c>
      <c r="C374" s="4">
        <v>1992</v>
      </c>
      <c r="D374" s="4" t="s">
        <v>51</v>
      </c>
      <c r="E374" s="4">
        <v>72.349999999999994</v>
      </c>
      <c r="F374" s="4">
        <v>0.73109999999999997</v>
      </c>
      <c r="G374" s="4">
        <v>9</v>
      </c>
      <c r="H374" s="4">
        <v>250</v>
      </c>
      <c r="I374" s="6">
        <v>265</v>
      </c>
      <c r="J374" s="6">
        <v>265</v>
      </c>
      <c r="K374" s="4" t="e">
        <f t="array" aca="1" ref="K374">MAX(H374:J374*(1-strike(H374:J374)))</f>
        <v>#NAME?</v>
      </c>
      <c r="L374" s="4">
        <v>190</v>
      </c>
      <c r="M374" s="4">
        <v>197.5</v>
      </c>
      <c r="N374" s="4">
        <v>205</v>
      </c>
      <c r="O374" s="4" t="e">
        <f t="array" aca="1" ref="O374">MAX(L374:N374*(1-strike(L374:N374)))</f>
        <v>#NAME?</v>
      </c>
      <c r="P374" s="6">
        <v>250</v>
      </c>
      <c r="Q374" s="6">
        <v>250</v>
      </c>
      <c r="R374" s="4">
        <v>250</v>
      </c>
      <c r="S374" s="4" t="e">
        <f t="array" aca="1" ref="S374">MAX(P374:R374*(1-strike(P374:R374)))</f>
        <v>#NAME?</v>
      </c>
      <c r="T374" s="4" t="e">
        <f t="shared" si="5"/>
        <v>#NAME?</v>
      </c>
      <c r="U374" s="4">
        <v>705</v>
      </c>
      <c r="V374" s="4">
        <v>515.42999999999995</v>
      </c>
      <c r="W374" s="4">
        <v>1</v>
      </c>
      <c r="X374" s="5">
        <v>2015</v>
      </c>
      <c r="Y374" s="5" t="s">
        <v>29</v>
      </c>
      <c r="Z374" s="5" t="s">
        <v>171</v>
      </c>
      <c r="AA374" s="5">
        <v>35</v>
      </c>
    </row>
    <row r="375" spans="1:27">
      <c r="A375" s="3">
        <v>2</v>
      </c>
      <c r="B375" s="3" t="s">
        <v>426</v>
      </c>
      <c r="C375" s="3">
        <v>1977</v>
      </c>
      <c r="D375" s="3" t="s">
        <v>119</v>
      </c>
      <c r="E375" s="3">
        <v>65.599999999999994</v>
      </c>
      <c r="F375" s="3">
        <v>0.78910000000000002</v>
      </c>
      <c r="G375" s="3">
        <v>12</v>
      </c>
      <c r="H375" s="3">
        <v>215</v>
      </c>
      <c r="I375" s="3">
        <v>227.5</v>
      </c>
      <c r="J375" s="3">
        <v>232.5</v>
      </c>
      <c r="K375" s="4" t="e">
        <f t="array" aca="1" ref="K375">MAX(H375:J375*(1-strike(H375:J375)))</f>
        <v>#NAME?</v>
      </c>
      <c r="L375" s="3">
        <v>135</v>
      </c>
      <c r="M375" s="3">
        <v>142.5</v>
      </c>
      <c r="N375" s="3">
        <v>145</v>
      </c>
      <c r="O375" s="4" t="e">
        <f t="array" aca="1" ref="O375">MAX(L375:N375*(1-strike(L375:N375)))</f>
        <v>#NAME?</v>
      </c>
      <c r="P375" s="3">
        <v>227.5</v>
      </c>
      <c r="Q375" s="3">
        <v>242.5</v>
      </c>
      <c r="R375" s="1">
        <v>257.5</v>
      </c>
      <c r="S375" s="4" t="e">
        <f t="array" aca="1" ref="S375">MAX(P375:R375*(1-strike(P375:R375)))</f>
        <v>#NAME?</v>
      </c>
      <c r="T375" s="4" t="e">
        <f t="shared" si="5"/>
        <v>#NAME?</v>
      </c>
      <c r="U375" s="3">
        <v>620</v>
      </c>
      <c r="V375" s="3">
        <v>489.24</v>
      </c>
      <c r="W375" s="3">
        <v>9</v>
      </c>
      <c r="X375" s="5">
        <v>2013</v>
      </c>
      <c r="Y375" s="5" t="s">
        <v>29</v>
      </c>
      <c r="Z375" s="5" t="s">
        <v>30</v>
      </c>
      <c r="AA375" s="5">
        <v>1024</v>
      </c>
    </row>
    <row r="376" spans="1:27">
      <c r="A376" s="4">
        <v>16</v>
      </c>
      <c r="B376" s="4" t="s">
        <v>427</v>
      </c>
      <c r="C376" s="4">
        <v>1980</v>
      </c>
      <c r="D376" s="4" t="s">
        <v>252</v>
      </c>
      <c r="E376" s="4">
        <v>86.53</v>
      </c>
      <c r="F376" s="4">
        <v>0.65180000000000005</v>
      </c>
      <c r="G376" s="4">
        <v>17</v>
      </c>
      <c r="H376" s="4">
        <v>100</v>
      </c>
      <c r="I376" s="4">
        <v>120</v>
      </c>
      <c r="J376" s="6">
        <v>140</v>
      </c>
      <c r="K376" s="4" t="e">
        <f t="array" aca="1" ref="K376">MAX(H376:J376*(1-strike(H376:J376)))</f>
        <v>#NAME?</v>
      </c>
      <c r="L376" s="4">
        <v>100</v>
      </c>
      <c r="M376" s="4">
        <v>110</v>
      </c>
      <c r="N376" s="4">
        <v>115</v>
      </c>
      <c r="O376" s="4" t="e">
        <f t="array" aca="1" ref="O376">MAX(L376:N376*(1-strike(L376:N376)))</f>
        <v>#NAME?</v>
      </c>
      <c r="P376" s="4">
        <v>120</v>
      </c>
      <c r="Q376" s="4">
        <v>140</v>
      </c>
      <c r="R376" s="4">
        <v>160</v>
      </c>
      <c r="S376" s="4" t="e">
        <f t="array" aca="1" ref="S376">MAX(P376:R376*(1-strike(P376:R376)))</f>
        <v>#NAME?</v>
      </c>
      <c r="T376" s="4" t="e">
        <f t="shared" si="5"/>
        <v>#NAME?</v>
      </c>
      <c r="U376" s="4">
        <v>395</v>
      </c>
      <c r="V376" s="4">
        <v>257.45999999999998</v>
      </c>
      <c r="W376" s="4">
        <v>1</v>
      </c>
      <c r="X376" s="5">
        <v>2015</v>
      </c>
      <c r="Y376" s="5" t="s">
        <v>29</v>
      </c>
      <c r="Z376" s="5" t="s">
        <v>171</v>
      </c>
      <c r="AA376" s="5">
        <v>70</v>
      </c>
    </row>
    <row r="377" spans="1:27">
      <c r="A377" s="3">
        <v>3</v>
      </c>
      <c r="B377" s="3" t="s">
        <v>428</v>
      </c>
      <c r="C377" s="3">
        <v>1990</v>
      </c>
      <c r="D377" s="3" t="s">
        <v>45</v>
      </c>
      <c r="E377" s="3">
        <v>163.47</v>
      </c>
      <c r="F377" s="3">
        <v>0.5464</v>
      </c>
      <c r="G377" s="3">
        <v>2</v>
      </c>
      <c r="H377" s="3">
        <v>422.5</v>
      </c>
      <c r="I377" s="3">
        <v>437.5</v>
      </c>
      <c r="J377" s="3">
        <v>445</v>
      </c>
      <c r="K377" s="4" t="e">
        <f t="array" aca="1" ref="K377">MAX(H377:J377*(1-strike(H377:J377)))</f>
        <v>#NAME?</v>
      </c>
      <c r="L377" s="3">
        <v>317.5</v>
      </c>
      <c r="M377" s="3">
        <v>325</v>
      </c>
      <c r="N377" s="3">
        <v>330</v>
      </c>
      <c r="O377" s="4" t="e">
        <f t="array" aca="1" ref="O377">MAX(L377:N377*(1-strike(L377:N377)))</f>
        <v>#NAME?</v>
      </c>
      <c r="P377" s="3">
        <v>345</v>
      </c>
      <c r="Q377" s="3">
        <v>357.5</v>
      </c>
      <c r="R377" s="1">
        <v>375</v>
      </c>
      <c r="S377" s="4" t="e">
        <f t="array" aca="1" ref="S377">MAX(P377:R377*(1-strike(P377:R377)))</f>
        <v>#NAME?</v>
      </c>
      <c r="T377" s="4" t="e">
        <f t="shared" si="5"/>
        <v>#NAME?</v>
      </c>
      <c r="U377" s="3">
        <v>1132.5</v>
      </c>
      <c r="V377" s="3">
        <v>618.83000000000004</v>
      </c>
      <c r="W377" s="3">
        <v>8</v>
      </c>
      <c r="X377" s="5">
        <v>2012</v>
      </c>
      <c r="Y377" s="5" t="s">
        <v>29</v>
      </c>
      <c r="Z377" s="5" t="s">
        <v>171</v>
      </c>
      <c r="AA377" s="5">
        <v>1318</v>
      </c>
    </row>
    <row r="378" spans="1:27" ht="30">
      <c r="A378" s="3">
        <v>2</v>
      </c>
      <c r="B378" s="3" t="s">
        <v>428</v>
      </c>
      <c r="C378" s="3">
        <v>1990</v>
      </c>
      <c r="D378" s="3" t="s">
        <v>45</v>
      </c>
      <c r="E378" s="3">
        <v>164</v>
      </c>
      <c r="F378" s="3">
        <v>0.54620000000000002</v>
      </c>
      <c r="G378" s="3">
        <v>13</v>
      </c>
      <c r="H378" s="3">
        <v>450</v>
      </c>
      <c r="I378" s="3">
        <v>467.5</v>
      </c>
      <c r="J378" s="3">
        <v>475</v>
      </c>
      <c r="K378" s="4" t="e">
        <f t="array" aca="1" ref="K378">MAX(H378:J378*(1-strike(H378:J378)))</f>
        <v>#NAME?</v>
      </c>
      <c r="L378" s="3">
        <v>317.5</v>
      </c>
      <c r="M378" s="3">
        <v>325</v>
      </c>
      <c r="N378" s="3">
        <v>330</v>
      </c>
      <c r="O378" s="4" t="e">
        <f t="array" aca="1" ref="O378">MAX(L378:N378*(1-strike(L378:N378)))</f>
        <v>#NAME?</v>
      </c>
      <c r="P378" s="3">
        <v>350</v>
      </c>
      <c r="Q378" s="3">
        <v>362.5</v>
      </c>
      <c r="R378" s="3">
        <v>370</v>
      </c>
      <c r="S378" s="4" t="e">
        <f t="array" aca="1" ref="S378">MAX(P378:R378*(1-strike(P378:R378)))</f>
        <v>#NAME?</v>
      </c>
      <c r="T378" s="4" t="e">
        <f t="shared" si="5"/>
        <v>#NAME?</v>
      </c>
      <c r="U378" s="3" t="s">
        <v>429</v>
      </c>
      <c r="V378" s="3">
        <v>641.78</v>
      </c>
      <c r="W378" s="3">
        <v>9</v>
      </c>
      <c r="X378" s="5">
        <v>2013</v>
      </c>
      <c r="Y378" s="5" t="s">
        <v>29</v>
      </c>
      <c r="Z378" s="5" t="s">
        <v>171</v>
      </c>
      <c r="AA378" s="5">
        <v>913</v>
      </c>
    </row>
    <row r="379" spans="1:27">
      <c r="A379" s="4">
        <v>1</v>
      </c>
      <c r="B379" s="4" t="s">
        <v>428</v>
      </c>
      <c r="C379" s="4">
        <v>1990</v>
      </c>
      <c r="D379" s="4" t="s">
        <v>45</v>
      </c>
      <c r="E379" s="4">
        <v>168.02</v>
      </c>
      <c r="F379" s="4">
        <v>0.54420000000000002</v>
      </c>
      <c r="G379" s="4">
        <v>10</v>
      </c>
      <c r="H379" s="4">
        <v>465</v>
      </c>
      <c r="I379" s="4">
        <v>482.5</v>
      </c>
      <c r="J379" s="4">
        <v>490</v>
      </c>
      <c r="K379" s="4" t="e">
        <f t="array" aca="1" ref="K379">MAX(H379:J379*(1-strike(H379:J379)))</f>
        <v>#NAME?</v>
      </c>
      <c r="L379" s="4">
        <v>330</v>
      </c>
      <c r="M379" s="4">
        <v>340</v>
      </c>
      <c r="N379" s="4">
        <v>350</v>
      </c>
      <c r="O379" s="4" t="e">
        <f t="array" aca="1" ref="O379">MAX(L379:N379*(1-strike(L379:N379)))</f>
        <v>#NAME?</v>
      </c>
      <c r="P379" s="4">
        <v>360</v>
      </c>
      <c r="Q379" s="4">
        <v>375</v>
      </c>
      <c r="R379" s="4">
        <v>390</v>
      </c>
      <c r="S379" s="4" t="e">
        <f t="array" aca="1" ref="S379">MAX(P379:R379*(1-strike(P379:R379)))</f>
        <v>#NAME?</v>
      </c>
      <c r="T379" s="4" t="e">
        <f t="shared" si="5"/>
        <v>#NAME?</v>
      </c>
      <c r="U379" s="4" t="s">
        <v>430</v>
      </c>
      <c r="V379" s="4">
        <v>669.37</v>
      </c>
      <c r="W379" s="4">
        <v>12</v>
      </c>
      <c r="X379" s="5">
        <v>2014</v>
      </c>
      <c r="Y379" s="5" t="s">
        <v>29</v>
      </c>
      <c r="Z379" s="5" t="s">
        <v>171</v>
      </c>
      <c r="AA379" s="5">
        <v>554</v>
      </c>
    </row>
    <row r="380" spans="1:27">
      <c r="A380" s="3" t="s">
        <v>37</v>
      </c>
      <c r="B380" s="3" t="s">
        <v>431</v>
      </c>
      <c r="C380" s="3">
        <v>1984</v>
      </c>
      <c r="D380" s="3" t="s">
        <v>51</v>
      </c>
      <c r="E380" s="3">
        <v>118.92</v>
      </c>
      <c r="F380" s="3">
        <v>0.57620000000000005</v>
      </c>
      <c r="G380" s="3">
        <v>34</v>
      </c>
      <c r="H380" s="3">
        <v>365</v>
      </c>
      <c r="I380" s="1">
        <v>377.5</v>
      </c>
      <c r="J380" s="1">
        <v>377.5</v>
      </c>
      <c r="K380" s="4" t="e">
        <f t="array" aca="1" ref="K380">MAX(H380:J380*(1-strike(H380:J380)))</f>
        <v>#NAME?</v>
      </c>
      <c r="L380" s="1">
        <v>277.5</v>
      </c>
      <c r="M380" s="1">
        <v>277.5</v>
      </c>
      <c r="N380" s="1">
        <v>277.5</v>
      </c>
      <c r="O380" s="4" t="e">
        <f t="array" aca="1" ref="O380">MAX(L380:N380*(1-strike(L380:N380)))</f>
        <v>#NAME?</v>
      </c>
      <c r="P380" s="3">
        <v>320</v>
      </c>
      <c r="Q380" s="3">
        <v>340</v>
      </c>
      <c r="R380" s="3">
        <v>345</v>
      </c>
      <c r="S380" s="4" t="e">
        <f t="array" aca="1" ref="S380">MAX(P380:R380*(1-strike(P380:R380)))</f>
        <v>#NAME?</v>
      </c>
      <c r="T380" s="4" t="e">
        <f t="shared" si="5"/>
        <v>#NAME?</v>
      </c>
      <c r="U380" s="3" t="s">
        <v>40</v>
      </c>
      <c r="V380" s="3" t="s">
        <v>37</v>
      </c>
      <c r="W380" s="3" t="s">
        <v>37</v>
      </c>
      <c r="X380" s="5">
        <v>2012</v>
      </c>
      <c r="Y380" s="5" t="s">
        <v>29</v>
      </c>
      <c r="Z380" s="5" t="s">
        <v>171</v>
      </c>
      <c r="AA380" s="5">
        <v>1314</v>
      </c>
    </row>
    <row r="381" spans="1:27">
      <c r="A381" s="3">
        <v>4</v>
      </c>
      <c r="B381" s="3" t="s">
        <v>431</v>
      </c>
      <c r="C381" s="3">
        <v>1984</v>
      </c>
      <c r="D381" s="3" t="s">
        <v>51</v>
      </c>
      <c r="E381" s="3">
        <v>119.2</v>
      </c>
      <c r="F381" s="3">
        <v>0.57579999999999998</v>
      </c>
      <c r="G381" s="3">
        <v>2</v>
      </c>
      <c r="H381" s="3">
        <v>290</v>
      </c>
      <c r="I381" s="1">
        <v>310</v>
      </c>
      <c r="J381" s="3">
        <v>310</v>
      </c>
      <c r="K381" s="4" t="e">
        <f t="array" aca="1" ref="K381">MAX(H381:J381*(1-strike(H381:J381)))</f>
        <v>#NAME?</v>
      </c>
      <c r="L381" s="3">
        <v>205</v>
      </c>
      <c r="M381" s="3">
        <v>220</v>
      </c>
      <c r="N381" s="1">
        <v>227.5</v>
      </c>
      <c r="O381" s="4" t="e">
        <f t="array" aca="1" ref="O381">MAX(L381:N381*(1-strike(L381:N381)))</f>
        <v>#NAME?</v>
      </c>
      <c r="P381" s="3">
        <v>310</v>
      </c>
      <c r="Q381" s="3">
        <v>340</v>
      </c>
      <c r="R381" s="1">
        <v>357.5</v>
      </c>
      <c r="S381" s="4" t="e">
        <f t="array" aca="1" ref="S381">MAX(P381:R381*(1-strike(P381:R381)))</f>
        <v>#NAME?</v>
      </c>
      <c r="T381" s="4" t="e">
        <f t="shared" si="5"/>
        <v>#NAME?</v>
      </c>
      <c r="U381" s="3">
        <v>870</v>
      </c>
      <c r="V381" s="3">
        <v>500.95</v>
      </c>
      <c r="W381" s="3">
        <v>7</v>
      </c>
      <c r="X381" s="5">
        <v>2013</v>
      </c>
      <c r="Y381" s="5" t="s">
        <v>29</v>
      </c>
      <c r="Z381" s="5" t="s">
        <v>30</v>
      </c>
      <c r="AA381" s="5">
        <v>1094</v>
      </c>
    </row>
    <row r="382" spans="1:27">
      <c r="A382" s="4">
        <v>4</v>
      </c>
      <c r="B382" s="4" t="s">
        <v>431</v>
      </c>
      <c r="C382" s="4">
        <v>1984</v>
      </c>
      <c r="D382" s="4" t="s">
        <v>51</v>
      </c>
      <c r="E382" s="4">
        <v>118.65</v>
      </c>
      <c r="F382" s="4">
        <v>0.57650000000000001</v>
      </c>
      <c r="G382" s="4">
        <v>7</v>
      </c>
      <c r="H382" s="4">
        <v>300</v>
      </c>
      <c r="I382" s="4">
        <v>315</v>
      </c>
      <c r="J382" s="4">
        <v>322.5</v>
      </c>
      <c r="K382" s="4" t="e">
        <f t="array" aca="1" ref="K382">MAX(H382:J382*(1-strike(H382:J382)))</f>
        <v>#NAME?</v>
      </c>
      <c r="L382" s="4">
        <v>205</v>
      </c>
      <c r="M382" s="4">
        <v>215</v>
      </c>
      <c r="N382" s="4">
        <v>220</v>
      </c>
      <c r="O382" s="4" t="e">
        <f t="array" aca="1" ref="O382">MAX(L382:N382*(1-strike(L382:N382)))</f>
        <v>#NAME?</v>
      </c>
      <c r="P382" s="4">
        <v>310</v>
      </c>
      <c r="Q382" s="4">
        <v>322.5</v>
      </c>
      <c r="R382" s="6">
        <v>347.5</v>
      </c>
      <c r="S382" s="4" t="e">
        <f t="array" aca="1" ref="S382">MAX(P382:R382*(1-strike(P382:R382)))</f>
        <v>#NAME?</v>
      </c>
      <c r="T382" s="4" t="e">
        <f t="shared" si="5"/>
        <v>#NAME?</v>
      </c>
      <c r="U382" s="4">
        <v>865</v>
      </c>
      <c r="V382" s="4">
        <v>498.63</v>
      </c>
      <c r="W382" s="4">
        <v>7</v>
      </c>
      <c r="X382" s="5">
        <v>2014</v>
      </c>
      <c r="Y382" s="5" t="s">
        <v>29</v>
      </c>
      <c r="Z382" s="5" t="s">
        <v>30</v>
      </c>
      <c r="AA382" s="5">
        <v>727</v>
      </c>
    </row>
    <row r="383" spans="1:27">
      <c r="A383" s="4">
        <v>3</v>
      </c>
      <c r="B383" s="4" t="s">
        <v>431</v>
      </c>
      <c r="C383" s="4">
        <v>1984</v>
      </c>
      <c r="D383" s="4" t="s">
        <v>51</v>
      </c>
      <c r="E383" s="4">
        <v>118.51</v>
      </c>
      <c r="F383" s="4">
        <v>0.5766</v>
      </c>
      <c r="G383" s="4">
        <v>9</v>
      </c>
      <c r="H383" s="4">
        <v>300</v>
      </c>
      <c r="I383" s="4">
        <v>320</v>
      </c>
      <c r="J383" s="4">
        <v>327.5</v>
      </c>
      <c r="K383" s="4" t="e">
        <f t="array" aca="1" ref="K383">MAX(H383:J383*(1-strike(H383:J383)))</f>
        <v>#NAME?</v>
      </c>
      <c r="L383" s="4">
        <v>210</v>
      </c>
      <c r="M383" s="4">
        <v>222.5</v>
      </c>
      <c r="N383" s="4">
        <v>230</v>
      </c>
      <c r="O383" s="4" t="e">
        <f t="array" aca="1" ref="O383">MAX(L383:N383*(1-strike(L383:N383)))</f>
        <v>#NAME?</v>
      </c>
      <c r="P383" s="4">
        <v>320</v>
      </c>
      <c r="Q383" s="4">
        <v>335</v>
      </c>
      <c r="R383" s="4">
        <v>342.5</v>
      </c>
      <c r="S383" s="4" t="e">
        <f t="array" aca="1" ref="S383">MAX(P383:R383*(1-strike(P383:R383)))</f>
        <v>#NAME?</v>
      </c>
      <c r="T383" s="4" t="e">
        <f t="shared" si="5"/>
        <v>#NAME?</v>
      </c>
      <c r="U383" s="4">
        <v>900</v>
      </c>
      <c r="V383" s="4">
        <v>518.94000000000005</v>
      </c>
      <c r="W383" s="4">
        <v>8</v>
      </c>
      <c r="X383" s="5">
        <v>2015</v>
      </c>
      <c r="Y383" s="5" t="s">
        <v>29</v>
      </c>
      <c r="Z383" s="5" t="s">
        <v>30</v>
      </c>
      <c r="AA383" s="5">
        <v>309</v>
      </c>
    </row>
    <row r="384" spans="1:27">
      <c r="A384" s="4">
        <v>5</v>
      </c>
      <c r="B384" s="4" t="s">
        <v>431</v>
      </c>
      <c r="C384" s="4">
        <v>1984</v>
      </c>
      <c r="D384" s="4" t="s">
        <v>51</v>
      </c>
      <c r="E384" s="4">
        <v>118.93</v>
      </c>
      <c r="F384" s="4">
        <v>0.57609999999999995</v>
      </c>
      <c r="G384" s="4">
        <v>2</v>
      </c>
      <c r="H384" s="4">
        <v>350</v>
      </c>
      <c r="I384" s="4">
        <v>370</v>
      </c>
      <c r="J384" s="4">
        <v>390</v>
      </c>
      <c r="K384" s="4" t="e">
        <f t="array" aca="1" ref="K384">MAX(H384:J384*(1-strike(H384:J384)))</f>
        <v>#NAME?</v>
      </c>
      <c r="L384" s="4">
        <v>265</v>
      </c>
      <c r="M384" s="4">
        <v>285</v>
      </c>
      <c r="N384" s="4">
        <v>292.5</v>
      </c>
      <c r="O384" s="4" t="e">
        <f t="array" aca="1" ref="O384">MAX(L384:N384*(1-strike(L384:N384)))</f>
        <v>#NAME?</v>
      </c>
      <c r="P384" s="4">
        <v>330</v>
      </c>
      <c r="Q384" s="4">
        <v>350</v>
      </c>
      <c r="R384" s="6">
        <v>362.5</v>
      </c>
      <c r="S384" s="4" t="e">
        <f t="array" aca="1" ref="S384">MAX(P384:R384*(1-strike(P384:R384)))</f>
        <v>#NAME?</v>
      </c>
      <c r="T384" s="4" t="e">
        <f t="shared" si="5"/>
        <v>#NAME?</v>
      </c>
      <c r="U384" s="4">
        <v>1032.5</v>
      </c>
      <c r="V384" s="4">
        <v>594.82000000000005</v>
      </c>
      <c r="W384" s="4">
        <v>6</v>
      </c>
      <c r="X384" s="5">
        <v>2015</v>
      </c>
      <c r="Y384" s="5" t="s">
        <v>29</v>
      </c>
      <c r="Z384" s="5" t="s">
        <v>171</v>
      </c>
      <c r="AA384" s="5">
        <v>100</v>
      </c>
    </row>
    <row r="385" spans="1:27">
      <c r="A385" s="3">
        <v>1</v>
      </c>
      <c r="B385" s="3" t="s">
        <v>46</v>
      </c>
      <c r="C385" s="3">
        <v>1972</v>
      </c>
      <c r="D385" s="3" t="s">
        <v>47</v>
      </c>
      <c r="E385" s="3">
        <v>104.39</v>
      </c>
      <c r="F385" s="3">
        <v>0.5988</v>
      </c>
      <c r="G385" s="3">
        <v>8</v>
      </c>
      <c r="H385" s="3">
        <v>380</v>
      </c>
      <c r="I385" s="1">
        <v>400</v>
      </c>
      <c r="J385" s="3">
        <v>400</v>
      </c>
      <c r="K385" s="4" t="e">
        <f t="array" aca="1" ref="K385">MAX(H385:J385*(1-strike(H385:J385)))</f>
        <v>#NAME?</v>
      </c>
      <c r="L385" s="3">
        <v>255</v>
      </c>
      <c r="M385" s="3">
        <v>260</v>
      </c>
      <c r="N385" s="1">
        <v>262.5</v>
      </c>
      <c r="O385" s="4" t="e">
        <f t="array" aca="1" ref="O385">MAX(L385:N385*(1-strike(L385:N385)))</f>
        <v>#NAME?</v>
      </c>
      <c r="P385" s="3">
        <v>340</v>
      </c>
      <c r="Q385" s="3">
        <v>355</v>
      </c>
      <c r="R385" s="3">
        <v>387.5</v>
      </c>
      <c r="S385" s="4" t="e">
        <f t="array" aca="1" ref="S385">MAX(P385:R385*(1-strike(P385:R385)))</f>
        <v>#NAME?</v>
      </c>
      <c r="T385" s="4" t="e">
        <f t="shared" si="5"/>
        <v>#NAME?</v>
      </c>
      <c r="U385" s="3" t="s">
        <v>432</v>
      </c>
      <c r="V385" s="3">
        <v>627.26</v>
      </c>
      <c r="W385" s="3">
        <v>12</v>
      </c>
      <c r="X385" s="5">
        <v>2012</v>
      </c>
      <c r="Y385" s="5" t="s">
        <v>29</v>
      </c>
      <c r="Z385" s="5" t="s">
        <v>171</v>
      </c>
      <c r="AA385" s="5">
        <v>1278</v>
      </c>
    </row>
    <row r="386" spans="1:27">
      <c r="A386" s="3">
        <v>3</v>
      </c>
      <c r="B386" s="3" t="s">
        <v>46</v>
      </c>
      <c r="C386" s="3">
        <v>1972</v>
      </c>
      <c r="D386" s="3" t="s">
        <v>47</v>
      </c>
      <c r="E386" s="3">
        <v>102.95</v>
      </c>
      <c r="F386" s="3">
        <v>0.6018</v>
      </c>
      <c r="G386" s="3">
        <v>4</v>
      </c>
      <c r="H386" s="3">
        <v>385</v>
      </c>
      <c r="I386" s="3">
        <v>400</v>
      </c>
      <c r="J386" s="1">
        <v>407.5</v>
      </c>
      <c r="K386" s="4" t="e">
        <f t="array" aca="1" ref="K386">MAX(H386:J386*(1-strike(H386:J386)))</f>
        <v>#NAME?</v>
      </c>
      <c r="L386" s="3">
        <v>255</v>
      </c>
      <c r="M386" s="3">
        <v>260</v>
      </c>
      <c r="N386" s="3">
        <v>265</v>
      </c>
      <c r="O386" s="4" t="e">
        <f t="array" aca="1" ref="O386">MAX(L386:N386*(1-strike(L386:N386)))</f>
        <v>#NAME?</v>
      </c>
      <c r="P386" s="3">
        <v>340</v>
      </c>
      <c r="Q386" s="3">
        <v>365</v>
      </c>
      <c r="R386" s="1">
        <v>388</v>
      </c>
      <c r="S386" s="4" t="e">
        <f t="array" aca="1" ref="S386">MAX(P386:R386*(1-strike(P386:R386)))</f>
        <v>#NAME?</v>
      </c>
      <c r="T386" s="4" t="e">
        <f t="shared" ref="T386:T449" si="6">IF(AND(K386&lt;&gt;0,O386&lt;&gt;0,S386&lt;&gt;0),K386+O386+S386,0)</f>
        <v>#NAME?</v>
      </c>
      <c r="U386" s="3">
        <v>1030</v>
      </c>
      <c r="V386" s="3">
        <v>619.85</v>
      </c>
      <c r="W386" s="3">
        <v>8</v>
      </c>
      <c r="X386" s="5">
        <v>2013</v>
      </c>
      <c r="Y386" s="5" t="s">
        <v>29</v>
      </c>
      <c r="Z386" s="5" t="s">
        <v>171</v>
      </c>
      <c r="AA386" s="5">
        <v>884</v>
      </c>
    </row>
    <row r="387" spans="1:27">
      <c r="A387" s="3">
        <v>7</v>
      </c>
      <c r="B387" s="3" t="s">
        <v>48</v>
      </c>
      <c r="C387" s="3">
        <v>1983</v>
      </c>
      <c r="D387" s="3" t="s">
        <v>49</v>
      </c>
      <c r="E387" s="3">
        <v>91.59</v>
      </c>
      <c r="F387" s="3">
        <v>0.63280000000000003</v>
      </c>
      <c r="G387" s="3">
        <v>6</v>
      </c>
      <c r="H387" s="3">
        <v>305</v>
      </c>
      <c r="I387" s="3">
        <v>325</v>
      </c>
      <c r="J387" s="3">
        <v>335</v>
      </c>
      <c r="K387" s="4" t="e">
        <f t="array" aca="1" ref="K387">MAX(H387:J387*(1-strike(H387:J387)))</f>
        <v>#NAME?</v>
      </c>
      <c r="L387" s="3">
        <v>207.5</v>
      </c>
      <c r="M387" s="1">
        <v>220</v>
      </c>
      <c r="N387" s="1">
        <v>220</v>
      </c>
      <c r="O387" s="4" t="e">
        <f t="array" aca="1" ref="O387">MAX(L387:N387*(1-strike(L387:N387)))</f>
        <v>#NAME?</v>
      </c>
      <c r="P387" s="3">
        <v>300</v>
      </c>
      <c r="Q387" s="3">
        <v>320</v>
      </c>
      <c r="R387" s="1">
        <v>337.5</v>
      </c>
      <c r="S387" s="4" t="e">
        <f t="array" aca="1" ref="S387">MAX(P387:R387*(1-strike(P387:R387)))</f>
        <v>#NAME?</v>
      </c>
      <c r="T387" s="4" t="e">
        <f t="shared" si="6"/>
        <v>#NAME?</v>
      </c>
      <c r="U387" s="3">
        <v>862.5</v>
      </c>
      <c r="V387" s="3">
        <v>545.80999999999995</v>
      </c>
      <c r="W387" s="3">
        <v>4</v>
      </c>
      <c r="X387" s="5">
        <v>2012</v>
      </c>
      <c r="Y387" s="5" t="s">
        <v>29</v>
      </c>
      <c r="Z387" s="5" t="s">
        <v>171</v>
      </c>
      <c r="AA387" s="5">
        <v>1262</v>
      </c>
    </row>
    <row r="388" spans="1:27">
      <c r="A388" s="3">
        <v>3</v>
      </c>
      <c r="B388" s="3" t="s">
        <v>48</v>
      </c>
      <c r="C388" s="3">
        <v>1983</v>
      </c>
      <c r="D388" s="3" t="s">
        <v>49</v>
      </c>
      <c r="E388" s="3">
        <v>92.5</v>
      </c>
      <c r="F388" s="3">
        <v>0.62980000000000003</v>
      </c>
      <c r="G388" s="3">
        <v>14</v>
      </c>
      <c r="H388" s="3">
        <v>245</v>
      </c>
      <c r="I388" s="3">
        <v>260</v>
      </c>
      <c r="J388" s="3">
        <v>267.5</v>
      </c>
      <c r="K388" s="4" t="e">
        <f t="array" aca="1" ref="K388">MAX(H388:J388*(1-strike(H388:J388)))</f>
        <v>#NAME?</v>
      </c>
      <c r="L388" s="3">
        <v>165</v>
      </c>
      <c r="M388" s="1">
        <v>175</v>
      </c>
      <c r="N388" s="3">
        <v>175</v>
      </c>
      <c r="O388" s="4" t="e">
        <f t="array" aca="1" ref="O388">MAX(L388:N388*(1-strike(L388:N388)))</f>
        <v>#NAME?</v>
      </c>
      <c r="P388" s="3">
        <v>275</v>
      </c>
      <c r="Q388" s="3">
        <v>290</v>
      </c>
      <c r="R388" s="3">
        <v>307.5</v>
      </c>
      <c r="S388" s="4" t="e">
        <f t="array" aca="1" ref="S388">MAX(P388:R388*(1-strike(P388:R388)))</f>
        <v>#NAME?</v>
      </c>
      <c r="T388" s="4" t="e">
        <f t="shared" si="6"/>
        <v>#NAME?</v>
      </c>
      <c r="U388" s="3">
        <v>750</v>
      </c>
      <c r="V388" s="3">
        <v>472.35</v>
      </c>
      <c r="W388" s="3">
        <v>8</v>
      </c>
      <c r="X388" s="5">
        <v>2013</v>
      </c>
      <c r="Y388" s="5" t="s">
        <v>29</v>
      </c>
      <c r="Z388" s="5" t="s">
        <v>30</v>
      </c>
      <c r="AA388" s="5">
        <v>1058</v>
      </c>
    </row>
    <row r="389" spans="1:27">
      <c r="A389" s="3">
        <v>4</v>
      </c>
      <c r="B389" s="3" t="s">
        <v>48</v>
      </c>
      <c r="C389" s="3">
        <v>1983</v>
      </c>
      <c r="D389" s="3" t="s">
        <v>49</v>
      </c>
      <c r="E389" s="3">
        <v>92.55</v>
      </c>
      <c r="F389" s="3">
        <v>0.62960000000000005</v>
      </c>
      <c r="G389" s="3">
        <v>7</v>
      </c>
      <c r="H389" s="3">
        <v>325</v>
      </c>
      <c r="I389" s="3">
        <v>345</v>
      </c>
      <c r="J389" s="3">
        <v>355</v>
      </c>
      <c r="K389" s="4" t="e">
        <f t="array" aca="1" ref="K389">MAX(H389:J389*(1-strike(H389:J389)))</f>
        <v>#NAME?</v>
      </c>
      <c r="L389" s="3">
        <v>222.5</v>
      </c>
      <c r="M389" s="3">
        <v>235</v>
      </c>
      <c r="N389" s="1">
        <v>242.5</v>
      </c>
      <c r="O389" s="4" t="e">
        <f t="array" aca="1" ref="O389">MAX(L389:N389*(1-strike(L389:N389)))</f>
        <v>#NAME?</v>
      </c>
      <c r="P389" s="3">
        <v>310</v>
      </c>
      <c r="Q389" s="3">
        <v>327.5</v>
      </c>
      <c r="R389" s="1">
        <v>340</v>
      </c>
      <c r="S389" s="4" t="e">
        <f t="array" aca="1" ref="S389">MAX(P389:R389*(1-strike(P389:R389)))</f>
        <v>#NAME?</v>
      </c>
      <c r="T389" s="4" t="e">
        <f t="shared" si="6"/>
        <v>#NAME?</v>
      </c>
      <c r="U389" s="3">
        <v>917.5</v>
      </c>
      <c r="V389" s="3">
        <v>577.66</v>
      </c>
      <c r="W389" s="3">
        <v>7</v>
      </c>
      <c r="X389" s="5">
        <v>2013</v>
      </c>
      <c r="Y389" s="5" t="s">
        <v>29</v>
      </c>
      <c r="Z389" s="5" t="s">
        <v>171</v>
      </c>
      <c r="AA389" s="5">
        <v>866</v>
      </c>
    </row>
    <row r="390" spans="1:27">
      <c r="A390" s="4">
        <v>7</v>
      </c>
      <c r="B390" s="4" t="s">
        <v>48</v>
      </c>
      <c r="C390" s="4">
        <v>1983</v>
      </c>
      <c r="D390" s="4" t="s">
        <v>49</v>
      </c>
      <c r="E390" s="4">
        <v>92.2</v>
      </c>
      <c r="F390" s="4">
        <v>0.63080000000000003</v>
      </c>
      <c r="G390" s="4">
        <v>1</v>
      </c>
      <c r="H390" s="4">
        <v>255</v>
      </c>
      <c r="I390" s="4">
        <v>270</v>
      </c>
      <c r="J390" s="4">
        <v>280</v>
      </c>
      <c r="K390" s="4" t="e">
        <f t="array" aca="1" ref="K390">MAX(H390:J390*(1-strike(H390:J390)))</f>
        <v>#NAME?</v>
      </c>
      <c r="L390" s="4">
        <v>170</v>
      </c>
      <c r="M390" s="4">
        <v>177.5</v>
      </c>
      <c r="N390" s="6">
        <v>180</v>
      </c>
      <c r="O390" s="4" t="e">
        <f t="array" aca="1" ref="O390">MAX(L390:N390*(1-strike(L390:N390)))</f>
        <v>#NAME?</v>
      </c>
      <c r="P390" s="4">
        <v>285</v>
      </c>
      <c r="Q390" s="4">
        <v>307.5</v>
      </c>
      <c r="R390" s="6">
        <v>330</v>
      </c>
      <c r="S390" s="4" t="e">
        <f t="array" aca="1" ref="S390">MAX(P390:R390*(1-strike(P390:R390)))</f>
        <v>#NAME?</v>
      </c>
      <c r="T390" s="4" t="e">
        <f t="shared" si="6"/>
        <v>#NAME?</v>
      </c>
      <c r="U390" s="4">
        <v>765</v>
      </c>
      <c r="V390" s="4">
        <v>482.56</v>
      </c>
      <c r="W390" s="4">
        <v>4</v>
      </c>
      <c r="X390" s="5">
        <v>2014</v>
      </c>
      <c r="Y390" s="5" t="s">
        <v>29</v>
      </c>
      <c r="Z390" s="5" t="s">
        <v>30</v>
      </c>
      <c r="AA390" s="5">
        <v>703</v>
      </c>
    </row>
    <row r="391" spans="1:27">
      <c r="A391" s="4">
        <v>5</v>
      </c>
      <c r="B391" s="4" t="s">
        <v>48</v>
      </c>
      <c r="C391" s="4">
        <v>1983</v>
      </c>
      <c r="D391" s="4" t="s">
        <v>49</v>
      </c>
      <c r="E391" s="4">
        <v>91.94</v>
      </c>
      <c r="F391" s="4">
        <v>0.63180000000000003</v>
      </c>
      <c r="G391" s="4">
        <v>19</v>
      </c>
      <c r="H391" s="4">
        <v>345</v>
      </c>
      <c r="I391" s="4">
        <v>360</v>
      </c>
      <c r="J391" s="6">
        <v>370</v>
      </c>
      <c r="K391" s="4" t="e">
        <f t="array" aca="1" ref="K391">MAX(H391:J391*(1-strike(H391:J391)))</f>
        <v>#NAME?</v>
      </c>
      <c r="L391" s="4">
        <v>227.5</v>
      </c>
      <c r="M391" s="4">
        <v>242.5</v>
      </c>
      <c r="N391" s="6">
        <v>247.5</v>
      </c>
      <c r="O391" s="4" t="e">
        <f t="array" aca="1" ref="O391">MAX(L391:N391*(1-strike(L391:N391)))</f>
        <v>#NAME?</v>
      </c>
      <c r="P391" s="4">
        <v>325</v>
      </c>
      <c r="Q391" s="6">
        <v>345</v>
      </c>
      <c r="R391" s="4">
        <v>350</v>
      </c>
      <c r="S391" s="4" t="e">
        <f t="array" aca="1" ref="S391">MAX(P391:R391*(1-strike(P391:R391)))</f>
        <v>#NAME?</v>
      </c>
      <c r="T391" s="4" t="e">
        <f t="shared" si="6"/>
        <v>#NAME?</v>
      </c>
      <c r="U391" s="4">
        <v>952.5</v>
      </c>
      <c r="V391" s="4">
        <v>601.79</v>
      </c>
      <c r="W391" s="4">
        <v>6</v>
      </c>
      <c r="X391" s="5">
        <v>2014</v>
      </c>
      <c r="Y391" s="5" t="s">
        <v>29</v>
      </c>
      <c r="Z391" s="5" t="s">
        <v>171</v>
      </c>
      <c r="AA391" s="5">
        <v>497</v>
      </c>
    </row>
    <row r="392" spans="1:27" ht="15" customHeight="1">
      <c r="A392" s="4" t="s">
        <v>37</v>
      </c>
      <c r="B392" s="4" t="s">
        <v>48</v>
      </c>
      <c r="C392" s="4">
        <v>1983</v>
      </c>
      <c r="D392" s="4" t="s">
        <v>49</v>
      </c>
      <c r="E392" s="4">
        <v>92.01</v>
      </c>
      <c r="F392" s="4">
        <v>0.63139999999999996</v>
      </c>
      <c r="G392" s="4">
        <v>15</v>
      </c>
      <c r="H392" s="4">
        <v>270</v>
      </c>
      <c r="I392" s="4">
        <v>280</v>
      </c>
      <c r="J392" s="4">
        <v>285</v>
      </c>
      <c r="K392" s="4" t="e">
        <f t="array" aca="1" ref="K392">MAX(H392:J392*(1-strike(H392:J392)))</f>
        <v>#NAME?</v>
      </c>
      <c r="L392" s="4">
        <v>172.5</v>
      </c>
      <c r="M392" s="6">
        <v>180</v>
      </c>
      <c r="N392" s="4">
        <v>180</v>
      </c>
      <c r="O392" s="4" t="e">
        <f t="array" aca="1" ref="O392">MAX(L392:N392*(1-strike(L392:N392)))</f>
        <v>#NAME?</v>
      </c>
      <c r="P392" s="4">
        <v>307.5</v>
      </c>
      <c r="Q392" s="4">
        <v>322.5</v>
      </c>
      <c r="R392" s="6">
        <v>340</v>
      </c>
      <c r="S392" s="4" t="e">
        <f t="array" aca="1" ref="S392">MAX(P392:R392*(1-strike(P392:R392)))</f>
        <v>#NAME?</v>
      </c>
      <c r="T392" s="4" t="e">
        <f t="shared" si="6"/>
        <v>#NAME?</v>
      </c>
      <c r="U392" s="4" t="s">
        <v>361</v>
      </c>
      <c r="V392" s="4" t="s">
        <v>37</v>
      </c>
      <c r="W392" s="4" t="s">
        <v>37</v>
      </c>
      <c r="X392" s="5">
        <v>2015</v>
      </c>
      <c r="Y392" s="5" t="s">
        <v>29</v>
      </c>
      <c r="Z392" s="5" t="s">
        <v>30</v>
      </c>
      <c r="AA392" s="5">
        <v>291</v>
      </c>
    </row>
    <row r="393" spans="1:27">
      <c r="A393" s="4">
        <v>4</v>
      </c>
      <c r="B393" s="4" t="s">
        <v>48</v>
      </c>
      <c r="C393" s="4">
        <v>1983</v>
      </c>
      <c r="D393" s="4" t="s">
        <v>49</v>
      </c>
      <c r="E393" s="4">
        <v>92.15</v>
      </c>
      <c r="F393" s="4">
        <v>0.63100000000000001</v>
      </c>
      <c r="G393" s="4">
        <v>11</v>
      </c>
      <c r="H393" s="4">
        <v>337.5</v>
      </c>
      <c r="I393" s="6">
        <v>355</v>
      </c>
      <c r="J393" s="6">
        <v>355</v>
      </c>
      <c r="K393" s="4" t="e">
        <f t="array" aca="1" ref="K393">MAX(H393:J393*(1-strike(H393:J393)))</f>
        <v>#NAME?</v>
      </c>
      <c r="L393" s="4">
        <v>220</v>
      </c>
      <c r="M393" s="4">
        <v>237.5</v>
      </c>
      <c r="N393" s="4">
        <v>250</v>
      </c>
      <c r="O393" s="4" t="e">
        <f t="array" aca="1" ref="O393">MAX(L393:N393*(1-strike(L393:N393)))</f>
        <v>#NAME?</v>
      </c>
      <c r="P393" s="4">
        <v>325</v>
      </c>
      <c r="Q393" s="4">
        <v>340</v>
      </c>
      <c r="R393" s="4">
        <v>352.5</v>
      </c>
      <c r="S393" s="4" t="e">
        <f t="array" aca="1" ref="S393">MAX(P393:R393*(1-strike(P393:R393)))</f>
        <v>#NAME?</v>
      </c>
      <c r="T393" s="4" t="e">
        <f t="shared" si="6"/>
        <v>#NAME?</v>
      </c>
      <c r="U393" s="4">
        <v>940</v>
      </c>
      <c r="V393" s="4">
        <v>593.14</v>
      </c>
      <c r="W393" s="4">
        <v>7</v>
      </c>
      <c r="X393" s="5">
        <v>2015</v>
      </c>
      <c r="Y393" s="5" t="s">
        <v>29</v>
      </c>
      <c r="Z393" s="5" t="s">
        <v>171</v>
      </c>
      <c r="AA393" s="5">
        <v>58</v>
      </c>
    </row>
    <row r="394" spans="1:27">
      <c r="A394" s="3">
        <v>13</v>
      </c>
      <c r="B394" s="3" t="s">
        <v>433</v>
      </c>
      <c r="C394" s="3">
        <v>1959</v>
      </c>
      <c r="D394" s="3" t="s">
        <v>390</v>
      </c>
      <c r="E394" s="3">
        <v>118.95</v>
      </c>
      <c r="F394" s="3">
        <v>0.57609999999999995</v>
      </c>
      <c r="G394" s="3">
        <v>23</v>
      </c>
      <c r="H394" s="3">
        <v>320</v>
      </c>
      <c r="I394" s="3">
        <v>335</v>
      </c>
      <c r="J394" s="3">
        <v>350</v>
      </c>
      <c r="K394" s="4" t="e">
        <f t="array" aca="1" ref="K394">MAX(H394:J394*(1-strike(H394:J394)))</f>
        <v>#NAME?</v>
      </c>
      <c r="L394" s="3">
        <v>200</v>
      </c>
      <c r="M394" s="1">
        <v>220</v>
      </c>
      <c r="N394" s="3">
        <v>220</v>
      </c>
      <c r="O394" s="4" t="e">
        <f t="array" aca="1" ref="O394">MAX(L394:N394*(1-strike(L394:N394)))</f>
        <v>#NAME?</v>
      </c>
      <c r="P394" s="3">
        <v>280</v>
      </c>
      <c r="Q394" s="3">
        <v>295</v>
      </c>
      <c r="R394" s="1">
        <v>302.5</v>
      </c>
      <c r="S394" s="4" t="e">
        <f t="array" aca="1" ref="S394">MAX(P394:R394*(1-strike(P394:R394)))</f>
        <v>#NAME?</v>
      </c>
      <c r="T394" s="4" t="e">
        <f t="shared" si="6"/>
        <v>#NAME?</v>
      </c>
      <c r="U394" s="3">
        <v>865</v>
      </c>
      <c r="V394" s="3">
        <v>498.36</v>
      </c>
      <c r="W394" s="3">
        <v>1</v>
      </c>
      <c r="X394" s="5">
        <v>2012</v>
      </c>
      <c r="Y394" s="5" t="s">
        <v>29</v>
      </c>
      <c r="Z394" s="5" t="s">
        <v>171</v>
      </c>
      <c r="AA394" s="5">
        <v>1311</v>
      </c>
    </row>
    <row r="395" spans="1:27">
      <c r="A395" s="3">
        <v>10</v>
      </c>
      <c r="B395" s="3" t="s">
        <v>434</v>
      </c>
      <c r="C395" s="3">
        <v>1989</v>
      </c>
      <c r="D395" s="3" t="s">
        <v>62</v>
      </c>
      <c r="E395" s="3">
        <v>92.5</v>
      </c>
      <c r="F395" s="3">
        <v>0.62980000000000003</v>
      </c>
      <c r="G395" s="3">
        <v>3</v>
      </c>
      <c r="H395" s="3">
        <v>320</v>
      </c>
      <c r="I395" s="3">
        <v>330</v>
      </c>
      <c r="J395" s="1">
        <v>340</v>
      </c>
      <c r="K395" s="4" t="e">
        <f t="array" aca="1" ref="K395">MAX(H395:J395*(1-strike(H395:J395)))</f>
        <v>#NAME?</v>
      </c>
      <c r="L395" s="3">
        <v>260</v>
      </c>
      <c r="M395" s="3">
        <v>270</v>
      </c>
      <c r="N395" s="3">
        <v>280</v>
      </c>
      <c r="O395" s="4" t="e">
        <f t="array" aca="1" ref="O395">MAX(L395:N395*(1-strike(L395:N395)))</f>
        <v>#NAME?</v>
      </c>
      <c r="P395" s="3">
        <v>265</v>
      </c>
      <c r="Q395" s="1">
        <v>280</v>
      </c>
      <c r="R395" s="3">
        <v>280</v>
      </c>
      <c r="S395" s="4" t="e">
        <f t="array" aca="1" ref="S395">MAX(P395:R395*(1-strike(P395:R395)))</f>
        <v>#NAME?</v>
      </c>
      <c r="T395" s="4" t="e">
        <f t="shared" si="6"/>
        <v>#NAME?</v>
      </c>
      <c r="U395" s="3">
        <v>890</v>
      </c>
      <c r="V395" s="3">
        <v>560.52</v>
      </c>
      <c r="W395" s="3">
        <v>1</v>
      </c>
      <c r="X395" s="5">
        <v>2013</v>
      </c>
      <c r="Y395" s="5" t="s">
        <v>29</v>
      </c>
      <c r="Z395" s="5" t="s">
        <v>171</v>
      </c>
      <c r="AA395" s="5">
        <v>872</v>
      </c>
    </row>
    <row r="396" spans="1:27">
      <c r="A396" s="4">
        <v>5</v>
      </c>
      <c r="B396" s="4" t="s">
        <v>434</v>
      </c>
      <c r="C396" s="4">
        <v>1989</v>
      </c>
      <c r="D396" s="4" t="s">
        <v>62</v>
      </c>
      <c r="E396" s="4">
        <v>102.45</v>
      </c>
      <c r="F396" s="4">
        <v>0.60289999999999999</v>
      </c>
      <c r="G396" s="4">
        <v>2</v>
      </c>
      <c r="H396" s="4">
        <v>345</v>
      </c>
      <c r="I396" s="4">
        <v>360</v>
      </c>
      <c r="J396" s="4">
        <v>372.5</v>
      </c>
      <c r="K396" s="4" t="e">
        <f t="array" aca="1" ref="K396">MAX(H396:J396*(1-strike(H396:J396)))</f>
        <v>#NAME?</v>
      </c>
      <c r="L396" s="6">
        <v>285</v>
      </c>
      <c r="M396" s="4">
        <v>290</v>
      </c>
      <c r="N396" s="4">
        <v>305</v>
      </c>
      <c r="O396" s="4" t="e">
        <f t="array" aca="1" ref="O396">MAX(L396:N396*(1-strike(L396:N396)))</f>
        <v>#NAME?</v>
      </c>
      <c r="P396" s="6">
        <v>265</v>
      </c>
      <c r="Q396" s="4">
        <v>270</v>
      </c>
      <c r="R396" s="4">
        <v>282.5</v>
      </c>
      <c r="S396" s="4" t="e">
        <f t="array" aca="1" ref="S396">MAX(P396:R396*(1-strike(P396:R396)))</f>
        <v>#NAME?</v>
      </c>
      <c r="T396" s="4" t="e">
        <f t="shared" si="6"/>
        <v>#NAME?</v>
      </c>
      <c r="U396" s="4">
        <v>960</v>
      </c>
      <c r="V396" s="4">
        <v>578.78</v>
      </c>
      <c r="W396" s="4">
        <v>6</v>
      </c>
      <c r="X396" s="5">
        <v>2015</v>
      </c>
      <c r="Y396" s="5" t="s">
        <v>29</v>
      </c>
      <c r="Z396" s="5" t="s">
        <v>171</v>
      </c>
      <c r="AA396" s="5">
        <v>77</v>
      </c>
    </row>
    <row r="397" spans="1:27">
      <c r="A397" s="3">
        <v>7</v>
      </c>
      <c r="B397" s="3" t="s">
        <v>435</v>
      </c>
      <c r="C397" s="3">
        <v>1969</v>
      </c>
      <c r="D397" s="3" t="s">
        <v>51</v>
      </c>
      <c r="E397" s="3">
        <v>58.51</v>
      </c>
      <c r="F397" s="3">
        <v>0.873</v>
      </c>
      <c r="G397" s="3">
        <v>5</v>
      </c>
      <c r="H397" s="3">
        <v>240</v>
      </c>
      <c r="I397" s="1">
        <v>250</v>
      </c>
      <c r="J397" s="1">
        <v>252.5</v>
      </c>
      <c r="K397" s="4" t="e">
        <f t="array" aca="1" ref="K397">MAX(H397:J397*(1-strike(H397:J397)))</f>
        <v>#NAME?</v>
      </c>
      <c r="L397" s="3">
        <v>127.5</v>
      </c>
      <c r="M397" s="3">
        <v>137.5</v>
      </c>
      <c r="N397" s="3">
        <v>140</v>
      </c>
      <c r="O397" s="4" t="e">
        <f t="array" aca="1" ref="O397">MAX(L397:N397*(1-strike(L397:N397)))</f>
        <v>#NAME?</v>
      </c>
      <c r="P397" s="1">
        <v>225</v>
      </c>
      <c r="Q397" s="3">
        <v>225</v>
      </c>
      <c r="R397" s="3">
        <v>232.5</v>
      </c>
      <c r="S397" s="4" t="e">
        <f t="array" aca="1" ref="S397">MAX(P397:R397*(1-strike(P397:R397)))</f>
        <v>#NAME?</v>
      </c>
      <c r="T397" s="4" t="e">
        <f t="shared" si="6"/>
        <v>#NAME?</v>
      </c>
      <c r="U397" s="3">
        <v>612.5</v>
      </c>
      <c r="V397" s="3">
        <v>534.67999999999995</v>
      </c>
      <c r="W397" s="3">
        <v>4</v>
      </c>
      <c r="X397" s="5">
        <v>2012</v>
      </c>
      <c r="Y397" s="5" t="s">
        <v>29</v>
      </c>
      <c r="Z397" s="5" t="s">
        <v>171</v>
      </c>
      <c r="AA397" s="5">
        <v>1198</v>
      </c>
    </row>
    <row r="398" spans="1:27">
      <c r="A398" s="4">
        <v>6</v>
      </c>
      <c r="B398" s="4" t="s">
        <v>50</v>
      </c>
      <c r="C398" s="4">
        <v>1975</v>
      </c>
      <c r="D398" s="4" t="s">
        <v>51</v>
      </c>
      <c r="E398" s="4">
        <v>73.150000000000006</v>
      </c>
      <c r="F398" s="4">
        <v>0.72519999999999996</v>
      </c>
      <c r="G398" s="4">
        <v>3</v>
      </c>
      <c r="H398" s="4">
        <v>200</v>
      </c>
      <c r="I398" s="4">
        <v>210</v>
      </c>
      <c r="J398" s="4"/>
      <c r="K398" s="4" t="e">
        <f t="array" aca="1" ref="K398">MAX(H398:J398*(1-strike(H398:J398)))</f>
        <v>#NAME?</v>
      </c>
      <c r="L398" s="4">
        <v>155</v>
      </c>
      <c r="M398" s="4">
        <v>162.5</v>
      </c>
      <c r="N398" s="6">
        <v>167.5</v>
      </c>
      <c r="O398" s="4" t="e">
        <f t="array" aca="1" ref="O398">MAX(L398:N398*(1-strike(L398:N398)))</f>
        <v>#NAME?</v>
      </c>
      <c r="P398" s="4">
        <v>265</v>
      </c>
      <c r="Q398" s="4">
        <v>277.5</v>
      </c>
      <c r="R398" s="4">
        <v>285</v>
      </c>
      <c r="S398" s="4" t="e">
        <f t="array" aca="1" ref="S398">MAX(P398:R398*(1-strike(P398:R398)))</f>
        <v>#NAME?</v>
      </c>
      <c r="T398" s="4" t="e">
        <f t="shared" si="6"/>
        <v>#NAME?</v>
      </c>
      <c r="U398" s="4">
        <v>657.5</v>
      </c>
      <c r="V398" s="4">
        <v>476.85</v>
      </c>
      <c r="W398" s="4">
        <v>5</v>
      </c>
      <c r="X398" s="5">
        <v>2014</v>
      </c>
      <c r="Y398" s="5" t="s">
        <v>29</v>
      </c>
      <c r="Z398" s="5" t="s">
        <v>30</v>
      </c>
      <c r="AA398" s="5">
        <v>673</v>
      </c>
    </row>
    <row r="399" spans="1:27">
      <c r="A399" s="4">
        <v>8</v>
      </c>
      <c r="B399" s="4" t="s">
        <v>436</v>
      </c>
      <c r="C399" s="4">
        <v>1987</v>
      </c>
      <c r="D399" s="4" t="s">
        <v>194</v>
      </c>
      <c r="E399" s="4">
        <v>81.45</v>
      </c>
      <c r="F399" s="4">
        <v>0.67520000000000002</v>
      </c>
      <c r="G399" s="4">
        <v>18</v>
      </c>
      <c r="H399" s="4">
        <v>215</v>
      </c>
      <c r="I399" s="4">
        <v>230</v>
      </c>
      <c r="J399" s="4">
        <v>240</v>
      </c>
      <c r="K399" s="4" t="e">
        <f t="array" aca="1" ref="K399">MAX(H399:J399*(1-strike(H399:J399)))</f>
        <v>#NAME?</v>
      </c>
      <c r="L399" s="4">
        <v>155</v>
      </c>
      <c r="M399" s="4">
        <v>162.5</v>
      </c>
      <c r="N399" s="4">
        <v>165</v>
      </c>
      <c r="O399" s="4" t="e">
        <f t="array" aca="1" ref="O399">MAX(L399:N399*(1-strike(L399:N399)))</f>
        <v>#NAME?</v>
      </c>
      <c r="P399" s="4">
        <v>240</v>
      </c>
      <c r="Q399" s="4">
        <v>250</v>
      </c>
      <c r="R399" s="4"/>
      <c r="S399" s="4" t="e">
        <f t="array" aca="1" ref="S399">MAX(P399:R399*(1-strike(P399:R399)))</f>
        <v>#NAME?</v>
      </c>
      <c r="T399" s="4" t="e">
        <f t="shared" si="6"/>
        <v>#NAME?</v>
      </c>
      <c r="U399" s="4">
        <v>655</v>
      </c>
      <c r="V399" s="4">
        <v>442.22</v>
      </c>
      <c r="W399" s="4">
        <v>3</v>
      </c>
      <c r="X399" s="5">
        <v>2014</v>
      </c>
      <c r="Y399" s="5" t="s">
        <v>29</v>
      </c>
      <c r="Z399" s="5" t="s">
        <v>30</v>
      </c>
      <c r="AA399" s="5">
        <v>690</v>
      </c>
    </row>
    <row r="400" spans="1:27">
      <c r="A400" s="3">
        <v>11</v>
      </c>
      <c r="B400" s="3" t="s">
        <v>437</v>
      </c>
      <c r="C400" s="3">
        <v>1987</v>
      </c>
      <c r="D400" s="3" t="s">
        <v>282</v>
      </c>
      <c r="E400" s="3">
        <v>73.75</v>
      </c>
      <c r="F400" s="3">
        <v>0.72099999999999997</v>
      </c>
      <c r="G400" s="3">
        <v>11</v>
      </c>
      <c r="H400" s="3">
        <v>275</v>
      </c>
      <c r="I400" s="3">
        <v>285</v>
      </c>
      <c r="J400" s="1">
        <v>295</v>
      </c>
      <c r="K400" s="4" t="e">
        <f t="array" aca="1" ref="K400">MAX(H400:J400*(1-strike(H400:J400)))</f>
        <v>#NAME?</v>
      </c>
      <c r="L400" s="1">
        <v>160</v>
      </c>
      <c r="M400" s="3">
        <v>160</v>
      </c>
      <c r="N400" s="3">
        <v>170</v>
      </c>
      <c r="O400" s="4" t="e">
        <f t="array" aca="1" ref="O400">MAX(L400:N400*(1-strike(L400:N400)))</f>
        <v>#NAME?</v>
      </c>
      <c r="P400" s="1">
        <v>265</v>
      </c>
      <c r="Q400" s="3">
        <v>270</v>
      </c>
      <c r="R400" s="1">
        <v>280</v>
      </c>
      <c r="S400" s="4" t="e">
        <f t="array" aca="1" ref="S400">MAX(P400:R400*(1-strike(P400:R400)))</f>
        <v>#NAME?</v>
      </c>
      <c r="T400" s="4" t="e">
        <f t="shared" si="6"/>
        <v>#NAME?</v>
      </c>
      <c r="U400" s="3">
        <v>725</v>
      </c>
      <c r="V400" s="3">
        <v>522.73</v>
      </c>
      <c r="W400" s="3">
        <v>1</v>
      </c>
      <c r="X400" s="5">
        <v>2013</v>
      </c>
      <c r="Y400" s="5" t="s">
        <v>29</v>
      </c>
      <c r="Z400" s="5" t="s">
        <v>171</v>
      </c>
      <c r="AA400" s="5">
        <v>846</v>
      </c>
    </row>
    <row r="401" spans="1:27">
      <c r="A401" s="4">
        <v>9</v>
      </c>
      <c r="B401" s="4" t="s">
        <v>437</v>
      </c>
      <c r="C401" s="4">
        <v>1987</v>
      </c>
      <c r="D401" s="4" t="s">
        <v>282</v>
      </c>
      <c r="E401" s="4">
        <v>73.150000000000006</v>
      </c>
      <c r="F401" s="4">
        <v>0.72519999999999996</v>
      </c>
      <c r="G401" s="4">
        <v>7</v>
      </c>
      <c r="H401" s="4">
        <v>210</v>
      </c>
      <c r="I401" s="4">
        <v>220</v>
      </c>
      <c r="J401" s="4">
        <v>225</v>
      </c>
      <c r="K401" s="4" t="e">
        <f t="array" aca="1" ref="K401">MAX(H401:J401*(1-strike(H401:J401)))</f>
        <v>#NAME?</v>
      </c>
      <c r="L401" s="4">
        <v>135</v>
      </c>
      <c r="M401" s="4">
        <v>140</v>
      </c>
      <c r="N401" s="6">
        <v>145</v>
      </c>
      <c r="O401" s="4" t="e">
        <f t="array" aca="1" ref="O401">MAX(L401:N401*(1-strike(L401:N401)))</f>
        <v>#NAME?</v>
      </c>
      <c r="P401" s="4">
        <v>240</v>
      </c>
      <c r="Q401" s="4">
        <v>250</v>
      </c>
      <c r="R401" s="4">
        <v>260</v>
      </c>
      <c r="S401" s="4" t="e">
        <f t="array" aca="1" ref="S401">MAX(P401:R401*(1-strike(P401:R401)))</f>
        <v>#NAME?</v>
      </c>
      <c r="T401" s="4" t="e">
        <f t="shared" si="6"/>
        <v>#NAME?</v>
      </c>
      <c r="U401" s="4">
        <v>625</v>
      </c>
      <c r="V401" s="4">
        <v>453.28</v>
      </c>
      <c r="W401" s="4">
        <v>2</v>
      </c>
      <c r="X401" s="5">
        <v>2014</v>
      </c>
      <c r="Y401" s="5" t="s">
        <v>29</v>
      </c>
      <c r="Z401" s="5" t="s">
        <v>30</v>
      </c>
      <c r="AA401" s="5">
        <v>676</v>
      </c>
    </row>
    <row r="402" spans="1:27">
      <c r="A402" s="4">
        <v>9</v>
      </c>
      <c r="B402" s="4" t="s">
        <v>437</v>
      </c>
      <c r="C402" s="4">
        <v>1987</v>
      </c>
      <c r="D402" s="4" t="s">
        <v>282</v>
      </c>
      <c r="E402" s="4">
        <v>73.760000000000005</v>
      </c>
      <c r="F402" s="4">
        <v>0.72070000000000001</v>
      </c>
      <c r="G402" s="4">
        <v>2</v>
      </c>
      <c r="H402" s="4">
        <v>275</v>
      </c>
      <c r="I402" s="4">
        <v>290</v>
      </c>
      <c r="J402" s="6">
        <v>300</v>
      </c>
      <c r="K402" s="4" t="e">
        <f t="array" aca="1" ref="K402">MAX(H402:J402*(1-strike(H402:J402)))</f>
        <v>#NAME?</v>
      </c>
      <c r="L402" s="4">
        <v>165</v>
      </c>
      <c r="M402" s="4">
        <v>175</v>
      </c>
      <c r="N402" s="4">
        <v>185</v>
      </c>
      <c r="O402" s="4" t="e">
        <f t="array" aca="1" ref="O402">MAX(L402:N402*(1-strike(L402:N402)))</f>
        <v>#NAME?</v>
      </c>
      <c r="P402" s="4">
        <v>265</v>
      </c>
      <c r="Q402" s="6">
        <v>275</v>
      </c>
      <c r="R402" s="6">
        <v>275</v>
      </c>
      <c r="S402" s="4" t="e">
        <f t="array" aca="1" ref="S402">MAX(P402:R402*(1-strike(P402:R402)))</f>
        <v>#NAME?</v>
      </c>
      <c r="T402" s="4" t="e">
        <f t="shared" si="6"/>
        <v>#NAME?</v>
      </c>
      <c r="U402" s="4">
        <v>740</v>
      </c>
      <c r="V402" s="4">
        <v>533.32000000000005</v>
      </c>
      <c r="W402" s="4">
        <v>2</v>
      </c>
      <c r="X402" s="5">
        <v>2014</v>
      </c>
      <c r="Y402" s="5" t="s">
        <v>29</v>
      </c>
      <c r="Z402" s="5" t="s">
        <v>171</v>
      </c>
      <c r="AA402" s="5">
        <v>469</v>
      </c>
    </row>
    <row r="403" spans="1:27">
      <c r="A403" s="4">
        <v>6</v>
      </c>
      <c r="B403" s="4" t="s">
        <v>438</v>
      </c>
      <c r="C403" s="4">
        <v>1991</v>
      </c>
      <c r="D403" s="4" t="s">
        <v>125</v>
      </c>
      <c r="E403" s="4">
        <v>81.47</v>
      </c>
      <c r="F403" s="4">
        <v>0.67500000000000004</v>
      </c>
      <c r="G403" s="4">
        <v>13</v>
      </c>
      <c r="H403" s="6">
        <v>325</v>
      </c>
      <c r="I403" s="6">
        <v>332.5</v>
      </c>
      <c r="J403" s="4">
        <v>337.5</v>
      </c>
      <c r="K403" s="4" t="e">
        <f t="array" aca="1" ref="K403">MAX(H403:J403*(1-strike(H403:J403)))</f>
        <v>#NAME?</v>
      </c>
      <c r="L403" s="6">
        <v>210</v>
      </c>
      <c r="M403" s="4">
        <v>210</v>
      </c>
      <c r="N403" s="6">
        <v>220</v>
      </c>
      <c r="O403" s="4" t="e">
        <f t="array" aca="1" ref="O403">MAX(L403:N403*(1-strike(L403:N403)))</f>
        <v>#NAME?</v>
      </c>
      <c r="P403" s="4">
        <v>245</v>
      </c>
      <c r="Q403" s="4">
        <v>262.5</v>
      </c>
      <c r="R403" s="6">
        <v>272.5</v>
      </c>
      <c r="S403" s="4" t="e">
        <f t="array" aca="1" ref="S403">MAX(P403:R403*(1-strike(P403:R403)))</f>
        <v>#NAME?</v>
      </c>
      <c r="T403" s="4" t="e">
        <f t="shared" si="6"/>
        <v>#NAME?</v>
      </c>
      <c r="U403" s="4">
        <v>810</v>
      </c>
      <c r="V403" s="4">
        <v>546.75</v>
      </c>
      <c r="W403" s="4">
        <v>5</v>
      </c>
      <c r="X403" s="5">
        <v>2015</v>
      </c>
      <c r="Y403" s="5" t="s">
        <v>29</v>
      </c>
      <c r="Z403" s="5" t="s">
        <v>171</v>
      </c>
      <c r="AA403" s="5">
        <v>46</v>
      </c>
    </row>
    <row r="404" spans="1:27">
      <c r="A404" s="4">
        <v>8</v>
      </c>
      <c r="B404" s="4" t="s">
        <v>439</v>
      </c>
      <c r="C404" s="4">
        <v>1982</v>
      </c>
      <c r="D404" s="4" t="s">
        <v>100</v>
      </c>
      <c r="E404" s="4">
        <v>92.07</v>
      </c>
      <c r="F404" s="4">
        <v>0.63119999999999998</v>
      </c>
      <c r="G404" s="4">
        <v>8</v>
      </c>
      <c r="H404" s="4">
        <v>255</v>
      </c>
      <c r="I404" s="4">
        <v>262.5</v>
      </c>
      <c r="J404" s="4">
        <v>270</v>
      </c>
      <c r="K404" s="4" t="e">
        <f t="array" aca="1" ref="K404">MAX(H404:J404*(1-strike(H404:J404)))</f>
        <v>#NAME?</v>
      </c>
      <c r="L404" s="4">
        <v>162.5</v>
      </c>
      <c r="M404" s="4">
        <v>170</v>
      </c>
      <c r="N404" s="4">
        <v>172.5</v>
      </c>
      <c r="O404" s="4" t="e">
        <f t="array" aca="1" ref="O404">MAX(L404:N404*(1-strike(L404:N404)))</f>
        <v>#NAME?</v>
      </c>
      <c r="P404" s="4">
        <v>285</v>
      </c>
      <c r="Q404" s="4">
        <v>295</v>
      </c>
      <c r="R404" s="4">
        <v>300</v>
      </c>
      <c r="S404" s="4" t="e">
        <f t="array" aca="1" ref="S404">MAX(P404:R404*(1-strike(P404:R404)))</f>
        <v>#NAME?</v>
      </c>
      <c r="T404" s="4" t="e">
        <f t="shared" si="6"/>
        <v>#NAME?</v>
      </c>
      <c r="U404" s="4">
        <v>742.5</v>
      </c>
      <c r="V404" s="4">
        <v>468.67</v>
      </c>
      <c r="W404" s="4">
        <v>3</v>
      </c>
      <c r="X404" s="5">
        <v>2015</v>
      </c>
      <c r="Y404" s="5" t="s">
        <v>29</v>
      </c>
      <c r="Z404" s="5" t="s">
        <v>30</v>
      </c>
      <c r="AA404" s="5">
        <v>280</v>
      </c>
    </row>
    <row r="405" spans="1:27">
      <c r="A405" s="3">
        <v>3</v>
      </c>
      <c r="B405" s="3" t="s">
        <v>440</v>
      </c>
      <c r="C405" s="3">
        <v>1986</v>
      </c>
      <c r="D405" s="3" t="s">
        <v>28</v>
      </c>
      <c r="E405" s="3">
        <v>64.55</v>
      </c>
      <c r="F405" s="3">
        <v>0.79979999999999996</v>
      </c>
      <c r="G405" s="3">
        <v>22</v>
      </c>
      <c r="H405" s="1">
        <v>300</v>
      </c>
      <c r="I405" s="3">
        <v>300</v>
      </c>
      <c r="J405" s="1">
        <v>315</v>
      </c>
      <c r="K405" s="4" t="e">
        <f t="array" aca="1" ref="K405">MAX(H405:J405*(1-strike(H405:J405)))</f>
        <v>#NAME?</v>
      </c>
      <c r="L405" s="3">
        <v>175</v>
      </c>
      <c r="M405" s="3">
        <v>182.5</v>
      </c>
      <c r="N405" s="1">
        <v>190</v>
      </c>
      <c r="O405" s="4" t="e">
        <f t="array" aca="1" ref="O405">MAX(L405:N405*(1-strike(L405:N405)))</f>
        <v>#NAME?</v>
      </c>
      <c r="P405" s="1">
        <v>260</v>
      </c>
      <c r="Q405" s="3">
        <v>260</v>
      </c>
      <c r="R405" s="3">
        <v>272.5</v>
      </c>
      <c r="S405" s="4" t="e">
        <f t="array" aca="1" ref="S405">MAX(P405:R405*(1-strike(P405:R405)))</f>
        <v>#NAME?</v>
      </c>
      <c r="T405" s="4" t="e">
        <f t="shared" si="6"/>
        <v>#NAME?</v>
      </c>
      <c r="U405" s="3">
        <v>755</v>
      </c>
      <c r="V405" s="3">
        <v>603.88</v>
      </c>
      <c r="W405" s="3">
        <v>8</v>
      </c>
      <c r="X405" s="5">
        <v>2012</v>
      </c>
      <c r="Y405" s="5" t="s">
        <v>29</v>
      </c>
      <c r="Z405" s="5" t="s">
        <v>171</v>
      </c>
      <c r="AA405" s="5">
        <v>1205</v>
      </c>
    </row>
    <row r="406" spans="1:27">
      <c r="A406" s="3">
        <v>1</v>
      </c>
      <c r="B406" s="3" t="s">
        <v>440</v>
      </c>
      <c r="C406" s="3">
        <v>1986</v>
      </c>
      <c r="D406" s="3" t="s">
        <v>28</v>
      </c>
      <c r="E406" s="3">
        <v>65.239999999999995</v>
      </c>
      <c r="F406" s="3">
        <v>0.79279999999999995</v>
      </c>
      <c r="G406" s="3">
        <v>15</v>
      </c>
      <c r="H406" s="3">
        <v>310</v>
      </c>
      <c r="I406" s="3">
        <v>326</v>
      </c>
      <c r="J406" s="1">
        <v>330</v>
      </c>
      <c r="K406" s="4" t="e">
        <f t="array" aca="1" ref="K406">MAX(H406:J406*(1-strike(H406:J406)))</f>
        <v>#NAME?</v>
      </c>
      <c r="L406" s="3">
        <v>185</v>
      </c>
      <c r="M406" s="1">
        <v>192.5</v>
      </c>
      <c r="N406" s="1">
        <v>192.5</v>
      </c>
      <c r="O406" s="4" t="e">
        <f t="array" aca="1" ref="O406">MAX(L406:N406*(1-strike(L406:N406)))</f>
        <v>#NAME?</v>
      </c>
      <c r="P406" s="3">
        <v>262.5</v>
      </c>
      <c r="Q406" s="3">
        <v>270</v>
      </c>
      <c r="R406" s="3">
        <v>287.5</v>
      </c>
      <c r="S406" s="4" t="e">
        <f t="array" aca="1" ref="S406">MAX(P406:R406*(1-strike(P406:R406)))</f>
        <v>#NAME?</v>
      </c>
      <c r="T406" s="4" t="e">
        <f t="shared" si="6"/>
        <v>#NAME?</v>
      </c>
      <c r="U406" s="3">
        <v>798.5</v>
      </c>
      <c r="V406" s="3">
        <v>633.04999999999995</v>
      </c>
      <c r="W406" s="3">
        <v>12</v>
      </c>
      <c r="X406" s="5">
        <v>2013</v>
      </c>
      <c r="Y406" s="5" t="s">
        <v>29</v>
      </c>
      <c r="Z406" s="5" t="s">
        <v>171</v>
      </c>
      <c r="AA406" s="5">
        <v>825</v>
      </c>
    </row>
    <row r="407" spans="1:27">
      <c r="A407" s="4">
        <v>1</v>
      </c>
      <c r="B407" s="4" t="s">
        <v>440</v>
      </c>
      <c r="C407" s="4">
        <v>1986</v>
      </c>
      <c r="D407" s="4" t="s">
        <v>28</v>
      </c>
      <c r="E407" s="4">
        <v>65.58</v>
      </c>
      <c r="F407" s="4">
        <v>0.78910000000000002</v>
      </c>
      <c r="G407" s="4">
        <v>20</v>
      </c>
      <c r="H407" s="4">
        <v>290</v>
      </c>
      <c r="I407" s="4">
        <v>305</v>
      </c>
      <c r="J407" s="4">
        <v>312.5</v>
      </c>
      <c r="K407" s="4" t="e">
        <f t="array" aca="1" ref="K407">MAX(H407:J407*(1-strike(H407:J407)))</f>
        <v>#NAME?</v>
      </c>
      <c r="L407" s="6">
        <v>180</v>
      </c>
      <c r="M407" s="4">
        <v>180</v>
      </c>
      <c r="N407" s="4">
        <v>190</v>
      </c>
      <c r="O407" s="4" t="e">
        <f t="array" aca="1" ref="O407">MAX(L407:N407*(1-strike(L407:N407)))</f>
        <v>#NAME?</v>
      </c>
      <c r="P407" s="4">
        <v>260</v>
      </c>
      <c r="Q407" s="4">
        <v>270</v>
      </c>
      <c r="R407" s="4">
        <v>280</v>
      </c>
      <c r="S407" s="4" t="e">
        <f t="array" aca="1" ref="S407">MAX(P407:R407*(1-strike(P407:R407)))</f>
        <v>#NAME?</v>
      </c>
      <c r="T407" s="4" t="e">
        <f t="shared" si="6"/>
        <v>#NAME?</v>
      </c>
      <c r="U407" s="4">
        <v>782.5</v>
      </c>
      <c r="V407" s="4">
        <v>617.47</v>
      </c>
      <c r="W407" s="4">
        <v>12</v>
      </c>
      <c r="X407" s="5">
        <v>2014</v>
      </c>
      <c r="Y407" s="5" t="s">
        <v>29</v>
      </c>
      <c r="Z407" s="5" t="s">
        <v>171</v>
      </c>
      <c r="AA407" s="5">
        <v>452</v>
      </c>
    </row>
    <row r="408" spans="1:27">
      <c r="A408" s="4">
        <v>1</v>
      </c>
      <c r="B408" s="4" t="s">
        <v>440</v>
      </c>
      <c r="C408" s="4">
        <v>1986</v>
      </c>
      <c r="D408" s="4" t="s">
        <v>28</v>
      </c>
      <c r="E408" s="4">
        <v>65.239999999999995</v>
      </c>
      <c r="F408" s="4">
        <v>0.79279999999999995</v>
      </c>
      <c r="G408" s="4">
        <v>18</v>
      </c>
      <c r="H408" s="4">
        <v>300</v>
      </c>
      <c r="I408" s="4">
        <v>315</v>
      </c>
      <c r="J408" s="4">
        <v>325</v>
      </c>
      <c r="K408" s="4" t="e">
        <f t="array" aca="1" ref="K408">MAX(H408:J408*(1-strike(H408:J408)))</f>
        <v>#NAME?</v>
      </c>
      <c r="L408" s="4">
        <v>185</v>
      </c>
      <c r="M408" s="4">
        <v>195</v>
      </c>
      <c r="N408" s="4">
        <v>200</v>
      </c>
      <c r="O408" s="4" t="e">
        <f t="array" aca="1" ref="O408">MAX(L408:N408*(1-strike(L408:N408)))</f>
        <v>#NAME?</v>
      </c>
      <c r="P408" s="6">
        <v>270</v>
      </c>
      <c r="Q408" s="4">
        <v>270</v>
      </c>
      <c r="R408" s="6">
        <v>272.5</v>
      </c>
      <c r="S408" s="4" t="e">
        <f t="array" aca="1" ref="S408">MAX(P408:R408*(1-strike(P408:R408)))</f>
        <v>#NAME?</v>
      </c>
      <c r="T408" s="4" t="e">
        <f t="shared" si="6"/>
        <v>#NAME?</v>
      </c>
      <c r="U408" s="4">
        <v>795</v>
      </c>
      <c r="V408" s="4">
        <v>630.28</v>
      </c>
      <c r="W408" s="4">
        <v>12</v>
      </c>
      <c r="X408" s="5">
        <v>2015</v>
      </c>
      <c r="Y408" s="5" t="s">
        <v>29</v>
      </c>
      <c r="Z408" s="5" t="s">
        <v>171</v>
      </c>
      <c r="AA408" s="5">
        <v>12</v>
      </c>
    </row>
    <row r="409" spans="1:27">
      <c r="A409" s="4">
        <v>22</v>
      </c>
      <c r="B409" s="4" t="s">
        <v>441</v>
      </c>
      <c r="C409" s="4">
        <v>1991</v>
      </c>
      <c r="D409" s="4" t="s">
        <v>113</v>
      </c>
      <c r="E409" s="4">
        <v>130.12</v>
      </c>
      <c r="F409" s="4">
        <v>0.5655</v>
      </c>
      <c r="G409" s="4">
        <v>18</v>
      </c>
      <c r="H409" s="4">
        <v>235</v>
      </c>
      <c r="I409" s="4">
        <v>245</v>
      </c>
      <c r="J409" s="4">
        <v>260</v>
      </c>
      <c r="K409" s="4" t="e">
        <f t="array" aca="1" ref="K409">MAX(H409:J409*(1-strike(H409:J409)))</f>
        <v>#NAME?</v>
      </c>
      <c r="L409" s="4">
        <v>160</v>
      </c>
      <c r="M409" s="4">
        <v>170</v>
      </c>
      <c r="N409" s="6">
        <v>180</v>
      </c>
      <c r="O409" s="4" t="e">
        <f t="array" aca="1" ref="O409">MAX(L409:N409*(1-strike(L409:N409)))</f>
        <v>#NAME?</v>
      </c>
      <c r="P409" s="4">
        <v>260</v>
      </c>
      <c r="Q409" s="4">
        <v>270</v>
      </c>
      <c r="R409" s="4">
        <v>275</v>
      </c>
      <c r="S409" s="4" t="e">
        <f t="array" aca="1" ref="S409">MAX(P409:R409*(1-strike(P409:R409)))</f>
        <v>#NAME?</v>
      </c>
      <c r="T409" s="4" t="e">
        <f t="shared" si="6"/>
        <v>#NAME?</v>
      </c>
      <c r="U409" s="4">
        <v>705</v>
      </c>
      <c r="V409" s="4">
        <v>398.68</v>
      </c>
      <c r="W409" s="4">
        <v>1</v>
      </c>
      <c r="X409" s="5">
        <v>2015</v>
      </c>
      <c r="Y409" s="5" t="s">
        <v>29</v>
      </c>
      <c r="Z409" s="5" t="s">
        <v>30</v>
      </c>
      <c r="AA409" s="5">
        <v>344</v>
      </c>
    </row>
    <row r="410" spans="1:27">
      <c r="A410" s="4">
        <v>8</v>
      </c>
      <c r="B410" s="4" t="s">
        <v>442</v>
      </c>
      <c r="C410" s="4">
        <v>1990</v>
      </c>
      <c r="D410" s="4" t="s">
        <v>163</v>
      </c>
      <c r="E410" s="4">
        <v>65.87</v>
      </c>
      <c r="F410" s="4">
        <v>0.78649999999999998</v>
      </c>
      <c r="G410" s="4">
        <v>12</v>
      </c>
      <c r="H410" s="4">
        <v>167.5</v>
      </c>
      <c r="I410" s="4">
        <v>170</v>
      </c>
      <c r="J410" s="4">
        <v>175</v>
      </c>
      <c r="K410" s="4" t="e">
        <f t="array" aca="1" ref="K410">MAX(H410:J410*(1-strike(H410:J410)))</f>
        <v>#NAME?</v>
      </c>
      <c r="L410" s="4">
        <v>115</v>
      </c>
      <c r="M410" s="4">
        <v>122.5</v>
      </c>
      <c r="N410" s="6">
        <v>125</v>
      </c>
      <c r="O410" s="4" t="e">
        <f t="array" aca="1" ref="O410">MAX(L410:N410*(1-strike(L410:N410)))</f>
        <v>#NAME?</v>
      </c>
      <c r="P410" s="4">
        <v>205</v>
      </c>
      <c r="Q410" s="4">
        <v>215</v>
      </c>
      <c r="R410" s="4">
        <v>220</v>
      </c>
      <c r="S410" s="4" t="e">
        <f t="array" aca="1" ref="S410">MAX(P410:R410*(1-strike(P410:R410)))</f>
        <v>#NAME?</v>
      </c>
      <c r="T410" s="4" t="e">
        <f t="shared" si="6"/>
        <v>#NAME?</v>
      </c>
      <c r="U410" s="4">
        <v>517.5</v>
      </c>
      <c r="V410" s="4">
        <v>407.01</v>
      </c>
      <c r="W410" s="4">
        <v>3</v>
      </c>
      <c r="X410" s="5">
        <v>2015</v>
      </c>
      <c r="Y410" s="5" t="s">
        <v>29</v>
      </c>
      <c r="Z410" s="5" t="s">
        <v>30</v>
      </c>
      <c r="AA410" s="5">
        <v>234</v>
      </c>
    </row>
    <row r="411" spans="1:27">
      <c r="A411" s="3">
        <v>7</v>
      </c>
      <c r="B411" s="3" t="s">
        <v>443</v>
      </c>
      <c r="C411" s="3">
        <v>1981</v>
      </c>
      <c r="D411" s="3" t="s">
        <v>119</v>
      </c>
      <c r="E411" s="3">
        <v>103.55</v>
      </c>
      <c r="F411" s="3">
        <v>0.60050000000000003</v>
      </c>
      <c r="G411" s="3">
        <v>18</v>
      </c>
      <c r="H411" s="3">
        <v>265</v>
      </c>
      <c r="I411" s="3">
        <v>275</v>
      </c>
      <c r="J411" s="3">
        <v>280</v>
      </c>
      <c r="K411" s="4" t="e">
        <f t="array" aca="1" ref="K411">MAX(H411:J411*(1-strike(H411:J411)))</f>
        <v>#NAME?</v>
      </c>
      <c r="L411" s="3">
        <v>165</v>
      </c>
      <c r="M411" s="3">
        <v>172.5</v>
      </c>
      <c r="N411" s="3">
        <v>177.5</v>
      </c>
      <c r="O411" s="4" t="e">
        <f t="array" aca="1" ref="O411">MAX(L411:N411*(1-strike(L411:N411)))</f>
        <v>#NAME?</v>
      </c>
      <c r="P411" s="3">
        <v>290</v>
      </c>
      <c r="Q411" s="3">
        <v>305</v>
      </c>
      <c r="R411" s="1">
        <v>317.5</v>
      </c>
      <c r="S411" s="4" t="e">
        <f t="array" aca="1" ref="S411">MAX(P411:R411*(1-strike(P411:R411)))</f>
        <v>#NAME?</v>
      </c>
      <c r="T411" s="4" t="e">
        <f t="shared" si="6"/>
        <v>#NAME?</v>
      </c>
      <c r="U411" s="3">
        <v>762.5</v>
      </c>
      <c r="V411" s="3">
        <v>457.88</v>
      </c>
      <c r="W411" s="3">
        <v>4</v>
      </c>
      <c r="X411" s="5">
        <v>2013</v>
      </c>
      <c r="Y411" s="5" t="s">
        <v>29</v>
      </c>
      <c r="Z411" s="5" t="s">
        <v>30</v>
      </c>
      <c r="AA411" s="5">
        <v>1077</v>
      </c>
    </row>
    <row r="412" spans="1:27">
      <c r="A412" s="4" t="s">
        <v>37</v>
      </c>
      <c r="B412" s="4" t="s">
        <v>444</v>
      </c>
      <c r="C412" s="4">
        <v>1984</v>
      </c>
      <c r="D412" s="4" t="s">
        <v>445</v>
      </c>
      <c r="E412" s="4">
        <v>119.26</v>
      </c>
      <c r="F412" s="4">
        <v>0.57579999999999998</v>
      </c>
      <c r="G412" s="4">
        <v>6</v>
      </c>
      <c r="H412" s="4">
        <v>280</v>
      </c>
      <c r="I412" s="6">
        <v>300</v>
      </c>
      <c r="J412" s="4"/>
      <c r="K412" s="4" t="e">
        <f t="array" aca="1" ref="K412">MAX(H412:J412*(1-strike(H412:J412)))</f>
        <v>#NAME?</v>
      </c>
      <c r="L412" s="6">
        <v>210</v>
      </c>
      <c r="M412" s="6">
        <v>220</v>
      </c>
      <c r="N412" s="6">
        <v>220</v>
      </c>
      <c r="O412" s="4" t="e">
        <f t="array" aca="1" ref="O412">MAX(L412:N412*(1-strike(L412:N412)))</f>
        <v>#NAME?</v>
      </c>
      <c r="P412" s="6">
        <v>270</v>
      </c>
      <c r="Q412" s="4"/>
      <c r="R412" s="4"/>
      <c r="S412" s="4" t="e">
        <f t="array" aca="1" ref="S412">MAX(P412:R412*(1-strike(P412:R412)))</f>
        <v>#NAME?</v>
      </c>
      <c r="T412" s="4" t="e">
        <f t="shared" si="6"/>
        <v>#NAME?</v>
      </c>
      <c r="U412" s="4" t="s">
        <v>361</v>
      </c>
      <c r="V412" s="4" t="s">
        <v>37</v>
      </c>
      <c r="W412" s="4" t="s">
        <v>37</v>
      </c>
      <c r="X412" s="5">
        <v>2015</v>
      </c>
      <c r="Y412" s="5" t="s">
        <v>29</v>
      </c>
      <c r="Z412" s="5" t="s">
        <v>30</v>
      </c>
      <c r="AA412" s="5">
        <v>321</v>
      </c>
    </row>
    <row r="413" spans="1:27" ht="15" customHeight="1">
      <c r="A413" s="3">
        <v>12</v>
      </c>
      <c r="B413" s="3" t="s">
        <v>446</v>
      </c>
      <c r="C413" s="3">
        <v>1977</v>
      </c>
      <c r="D413" s="3" t="s">
        <v>72</v>
      </c>
      <c r="E413" s="3">
        <v>119.6</v>
      </c>
      <c r="F413" s="3">
        <v>0.57540000000000002</v>
      </c>
      <c r="G413" s="3">
        <v>7</v>
      </c>
      <c r="H413" s="3">
        <v>250</v>
      </c>
      <c r="I413" s="3">
        <v>265</v>
      </c>
      <c r="J413" s="1">
        <v>275</v>
      </c>
      <c r="K413" s="4" t="e">
        <f t="array" aca="1" ref="K413">MAX(H413:J413*(1-strike(H413:J413)))</f>
        <v>#NAME?</v>
      </c>
      <c r="L413" s="3">
        <v>210</v>
      </c>
      <c r="M413" s="3">
        <v>220</v>
      </c>
      <c r="N413" s="1">
        <v>227.5</v>
      </c>
      <c r="O413" s="4" t="e">
        <f t="array" aca="1" ref="O413">MAX(L413:N413*(1-strike(L413:N413)))</f>
        <v>#NAME?</v>
      </c>
      <c r="P413" s="3">
        <v>260</v>
      </c>
      <c r="Q413" s="3">
        <v>272.5</v>
      </c>
      <c r="R413" s="1">
        <v>287.5</v>
      </c>
      <c r="S413" s="4" t="e">
        <f t="array" aca="1" ref="S413">MAX(P413:R413*(1-strike(P413:R413)))</f>
        <v>#NAME?</v>
      </c>
      <c r="T413" s="4" t="e">
        <f t="shared" si="6"/>
        <v>#NAME?</v>
      </c>
      <c r="U413" s="3">
        <v>757.5</v>
      </c>
      <c r="V413" s="3">
        <v>435.87</v>
      </c>
      <c r="W413" s="3">
        <v>1</v>
      </c>
      <c r="X413" s="5">
        <v>2013</v>
      </c>
      <c r="Y413" s="5" t="s">
        <v>29</v>
      </c>
      <c r="Z413" s="5" t="s">
        <v>30</v>
      </c>
      <c r="AA413" s="5">
        <v>1102</v>
      </c>
    </row>
    <row r="414" spans="1:27">
      <c r="A414" s="4">
        <v>7</v>
      </c>
      <c r="B414" s="4" t="s">
        <v>446</v>
      </c>
      <c r="C414" s="4">
        <v>1977</v>
      </c>
      <c r="D414" s="4" t="s">
        <v>72</v>
      </c>
      <c r="E414" s="4">
        <v>119.1</v>
      </c>
      <c r="F414" s="4">
        <v>0.57589999999999997</v>
      </c>
      <c r="G414" s="4">
        <v>9</v>
      </c>
      <c r="H414" s="4">
        <v>255</v>
      </c>
      <c r="I414" s="4">
        <v>265</v>
      </c>
      <c r="J414" s="4">
        <v>275</v>
      </c>
      <c r="K414" s="4" t="e">
        <f t="array" aca="1" ref="K414">MAX(H414:J414*(1-strike(H414:J414)))</f>
        <v>#NAME?</v>
      </c>
      <c r="L414" s="6">
        <v>215</v>
      </c>
      <c r="M414" s="4">
        <v>215</v>
      </c>
      <c r="N414" s="4">
        <v>222.5</v>
      </c>
      <c r="O414" s="4" t="e">
        <f t="array" aca="1" ref="O414">MAX(L414:N414*(1-strike(L414:N414)))</f>
        <v>#NAME?</v>
      </c>
      <c r="P414" s="4">
        <v>260</v>
      </c>
      <c r="Q414" s="4">
        <v>270</v>
      </c>
      <c r="R414" s="4">
        <v>285</v>
      </c>
      <c r="S414" s="4" t="e">
        <f t="array" aca="1" ref="S414">MAX(P414:R414*(1-strike(P414:R414)))</f>
        <v>#NAME?</v>
      </c>
      <c r="T414" s="4" t="e">
        <f t="shared" si="6"/>
        <v>#NAME?</v>
      </c>
      <c r="U414" s="4">
        <v>782.5</v>
      </c>
      <c r="V414" s="4">
        <v>450.64</v>
      </c>
      <c r="W414" s="4">
        <v>4</v>
      </c>
      <c r="X414" s="5">
        <v>2014</v>
      </c>
      <c r="Y414" s="5" t="s">
        <v>29</v>
      </c>
      <c r="Z414" s="5" t="s">
        <v>30</v>
      </c>
      <c r="AA414" s="5">
        <v>730</v>
      </c>
    </row>
    <row r="415" spans="1:27">
      <c r="A415" s="4">
        <v>11</v>
      </c>
      <c r="B415" s="4" t="s">
        <v>446</v>
      </c>
      <c r="C415" s="4">
        <v>1977</v>
      </c>
      <c r="D415" s="4" t="s">
        <v>72</v>
      </c>
      <c r="E415" s="4">
        <v>117.87</v>
      </c>
      <c r="F415" s="4">
        <v>0.57740000000000002</v>
      </c>
      <c r="G415" s="4">
        <v>11</v>
      </c>
      <c r="H415" s="4">
        <v>265</v>
      </c>
      <c r="I415" s="4">
        <v>275</v>
      </c>
      <c r="J415" s="4">
        <v>285</v>
      </c>
      <c r="K415" s="4" t="e">
        <f t="array" aca="1" ref="K415">MAX(H415:J415*(1-strike(H415:J415)))</f>
        <v>#NAME?</v>
      </c>
      <c r="L415" s="4">
        <v>217.5</v>
      </c>
      <c r="M415" s="4">
        <v>222.5</v>
      </c>
      <c r="N415" s="6">
        <v>230</v>
      </c>
      <c r="O415" s="4" t="e">
        <f t="array" aca="1" ref="O415">MAX(L415:N415*(1-strike(L415:N415)))</f>
        <v>#NAME?</v>
      </c>
      <c r="P415" s="4">
        <v>265</v>
      </c>
      <c r="Q415" s="4">
        <v>275</v>
      </c>
      <c r="R415" s="4">
        <v>280</v>
      </c>
      <c r="S415" s="4" t="e">
        <f t="array" aca="1" ref="S415">MAX(P415:R415*(1-strike(P415:R415)))</f>
        <v>#NAME?</v>
      </c>
      <c r="T415" s="4" t="e">
        <f t="shared" si="6"/>
        <v>#NAME?</v>
      </c>
      <c r="U415" s="4">
        <v>787.5</v>
      </c>
      <c r="V415" s="4">
        <v>454.7</v>
      </c>
      <c r="W415" s="4">
        <v>1</v>
      </c>
      <c r="X415" s="5">
        <v>2015</v>
      </c>
      <c r="Y415" s="5" t="s">
        <v>29</v>
      </c>
      <c r="Z415" s="5" t="s">
        <v>30</v>
      </c>
      <c r="AA415" s="5">
        <v>317</v>
      </c>
    </row>
    <row r="416" spans="1:27">
      <c r="A416" s="3">
        <v>2</v>
      </c>
      <c r="B416" s="3" t="s">
        <v>447</v>
      </c>
      <c r="C416" s="3">
        <v>1988</v>
      </c>
      <c r="D416" s="3" t="s">
        <v>62</v>
      </c>
      <c r="E416" s="3">
        <v>73.72</v>
      </c>
      <c r="F416" s="3">
        <v>0.72130000000000005</v>
      </c>
      <c r="G416" s="3">
        <v>8</v>
      </c>
      <c r="H416" s="3">
        <v>287.5</v>
      </c>
      <c r="I416" s="3">
        <v>300</v>
      </c>
      <c r="J416" s="3">
        <v>310</v>
      </c>
      <c r="K416" s="4" t="e">
        <f t="array" aca="1" ref="K416">MAX(H416:J416*(1-strike(H416:J416)))</f>
        <v>#NAME?</v>
      </c>
      <c r="L416" s="3">
        <v>200</v>
      </c>
      <c r="M416" s="3">
        <v>215</v>
      </c>
      <c r="N416" s="3">
        <v>222.5</v>
      </c>
      <c r="O416" s="4" t="e">
        <f t="array" aca="1" ref="O416">MAX(L416:N416*(1-strike(L416:N416)))</f>
        <v>#NAME?</v>
      </c>
      <c r="P416" s="1">
        <v>265</v>
      </c>
      <c r="Q416" s="3">
        <v>285</v>
      </c>
      <c r="R416" s="3">
        <v>295</v>
      </c>
      <c r="S416" s="4" t="e">
        <f t="array" aca="1" ref="S416">MAX(P416:R416*(1-strike(P416:R416)))</f>
        <v>#NAME?</v>
      </c>
      <c r="T416" s="4" t="e">
        <f t="shared" si="6"/>
        <v>#NAME?</v>
      </c>
      <c r="U416" s="3">
        <v>827.5</v>
      </c>
      <c r="V416" s="3">
        <v>596.84</v>
      </c>
      <c r="W416" s="3">
        <v>9</v>
      </c>
      <c r="X416" s="5">
        <v>2012</v>
      </c>
      <c r="Y416" s="5" t="s">
        <v>29</v>
      </c>
      <c r="Z416" s="5" t="s">
        <v>171</v>
      </c>
      <c r="AA416" s="5">
        <v>1218</v>
      </c>
    </row>
    <row r="417" spans="1:27">
      <c r="A417" s="4">
        <v>4</v>
      </c>
      <c r="B417" s="4" t="s">
        <v>447</v>
      </c>
      <c r="C417" s="4">
        <v>1988</v>
      </c>
      <c r="D417" s="4" t="s">
        <v>62</v>
      </c>
      <c r="E417" s="4">
        <v>82.32</v>
      </c>
      <c r="F417" s="4">
        <v>0.67090000000000005</v>
      </c>
      <c r="G417" s="4">
        <v>11</v>
      </c>
      <c r="H417" s="6">
        <v>320</v>
      </c>
      <c r="I417" s="4">
        <v>320</v>
      </c>
      <c r="J417" s="6">
        <v>337.5</v>
      </c>
      <c r="K417" s="4" t="e">
        <f t="array" aca="1" ref="K417">MAX(H417:J417*(1-strike(H417:J417)))</f>
        <v>#NAME?</v>
      </c>
      <c r="L417" s="6">
        <v>255</v>
      </c>
      <c r="M417" s="6">
        <v>255</v>
      </c>
      <c r="N417" s="4">
        <v>255</v>
      </c>
      <c r="O417" s="4" t="e">
        <f t="array" aca="1" ref="O417">MAX(L417:N417*(1-strike(L417:N417)))</f>
        <v>#NAME?</v>
      </c>
      <c r="P417" s="6">
        <v>285</v>
      </c>
      <c r="Q417" s="4">
        <v>285</v>
      </c>
      <c r="R417" s="6">
        <v>295</v>
      </c>
      <c r="S417" s="4" t="e">
        <f t="array" aca="1" ref="S417">MAX(P417:R417*(1-strike(P417:R417)))</f>
        <v>#NAME?</v>
      </c>
      <c r="T417" s="4" t="e">
        <f t="shared" si="6"/>
        <v>#NAME?</v>
      </c>
      <c r="U417" s="4">
        <v>860</v>
      </c>
      <c r="V417" s="4">
        <v>576.97</v>
      </c>
      <c r="W417" s="4">
        <v>7</v>
      </c>
      <c r="X417" s="5">
        <v>2014</v>
      </c>
      <c r="Y417" s="5" t="s">
        <v>29</v>
      </c>
      <c r="Z417" s="5" t="s">
        <v>171</v>
      </c>
      <c r="AA417" s="5">
        <v>479</v>
      </c>
    </row>
    <row r="418" spans="1:27">
      <c r="A418" s="3">
        <v>10</v>
      </c>
      <c r="B418" s="3" t="s">
        <v>448</v>
      </c>
      <c r="C418" s="3">
        <v>1989</v>
      </c>
      <c r="D418" s="3" t="s">
        <v>62</v>
      </c>
      <c r="E418" s="3">
        <v>82.91</v>
      </c>
      <c r="F418" s="3">
        <v>0.66800000000000004</v>
      </c>
      <c r="G418" s="3">
        <v>12</v>
      </c>
      <c r="H418" s="3">
        <v>317.5</v>
      </c>
      <c r="I418" s="3">
        <v>330</v>
      </c>
      <c r="J418" s="3">
        <v>340</v>
      </c>
      <c r="K418" s="4" t="e">
        <f t="array" aca="1" ref="K418">MAX(H418:J418*(1-strike(H418:J418)))</f>
        <v>#NAME?</v>
      </c>
      <c r="L418" s="3">
        <v>190</v>
      </c>
      <c r="M418" s="1">
        <v>200</v>
      </c>
      <c r="N418" s="1">
        <v>200</v>
      </c>
      <c r="O418" s="4" t="e">
        <f t="array" aca="1" ref="O418">MAX(L418:N418*(1-strike(L418:N418)))</f>
        <v>#NAME?</v>
      </c>
      <c r="P418" s="3">
        <v>307.5</v>
      </c>
      <c r="Q418" s="3">
        <v>320</v>
      </c>
      <c r="R418" s="1">
        <v>327.5</v>
      </c>
      <c r="S418" s="4" t="e">
        <f t="array" aca="1" ref="S418">MAX(P418:R418*(1-strike(P418:R418)))</f>
        <v>#NAME?</v>
      </c>
      <c r="T418" s="4" t="e">
        <f t="shared" si="6"/>
        <v>#NAME?</v>
      </c>
      <c r="U418" s="3">
        <v>850</v>
      </c>
      <c r="V418" s="3">
        <v>567.75</v>
      </c>
      <c r="W418" s="3">
        <v>1</v>
      </c>
      <c r="X418" s="5">
        <v>2012</v>
      </c>
      <c r="Y418" s="5" t="s">
        <v>29</v>
      </c>
      <c r="Z418" s="5" t="s">
        <v>171</v>
      </c>
      <c r="AA418" s="5">
        <v>1243</v>
      </c>
    </row>
    <row r="419" spans="1:27">
      <c r="A419" s="4">
        <v>4</v>
      </c>
      <c r="B419" s="4" t="s">
        <v>449</v>
      </c>
      <c r="C419" s="4">
        <v>1989</v>
      </c>
      <c r="D419" s="4" t="s">
        <v>62</v>
      </c>
      <c r="E419" s="4">
        <v>82.56</v>
      </c>
      <c r="F419" s="4">
        <v>0.66959999999999997</v>
      </c>
      <c r="G419" s="4">
        <v>5</v>
      </c>
      <c r="H419" s="4">
        <v>337.5</v>
      </c>
      <c r="I419" s="4">
        <v>350</v>
      </c>
      <c r="J419" s="4">
        <v>355</v>
      </c>
      <c r="K419" s="4" t="e">
        <f t="array" aca="1" ref="K419">MAX(H419:J419*(1-strike(H419:J419)))</f>
        <v>#NAME?</v>
      </c>
      <c r="L419" s="4">
        <v>202.5</v>
      </c>
      <c r="M419" s="4">
        <v>215</v>
      </c>
      <c r="N419" s="4">
        <v>220</v>
      </c>
      <c r="O419" s="4" t="e">
        <f t="array" aca="1" ref="O419">MAX(L419:N419*(1-strike(L419:N419)))</f>
        <v>#NAME?</v>
      </c>
      <c r="P419" s="4">
        <v>307.5</v>
      </c>
      <c r="Q419" s="4">
        <v>317.5</v>
      </c>
      <c r="R419" s="4">
        <v>322.5</v>
      </c>
      <c r="S419" s="4" t="e">
        <f t="array" aca="1" ref="S419">MAX(P419:R419*(1-strike(P419:R419)))</f>
        <v>#NAME?</v>
      </c>
      <c r="T419" s="4" t="e">
        <f t="shared" si="6"/>
        <v>#NAME?</v>
      </c>
      <c r="U419" s="4">
        <v>897.5</v>
      </c>
      <c r="V419" s="4">
        <v>600.97</v>
      </c>
      <c r="W419" s="4">
        <v>7</v>
      </c>
      <c r="X419" s="5">
        <v>2015</v>
      </c>
      <c r="Y419" s="5" t="s">
        <v>29</v>
      </c>
      <c r="Z419" s="5" t="s">
        <v>171</v>
      </c>
      <c r="AA419" s="5">
        <v>44</v>
      </c>
    </row>
    <row r="420" spans="1:27">
      <c r="A420" s="3">
        <v>3</v>
      </c>
      <c r="B420" s="3" t="s">
        <v>450</v>
      </c>
      <c r="C420" s="3">
        <v>1987</v>
      </c>
      <c r="D420" s="3" t="s">
        <v>119</v>
      </c>
      <c r="E420" s="3">
        <v>104.42</v>
      </c>
      <c r="F420" s="3">
        <v>0.5988</v>
      </c>
      <c r="G420" s="3">
        <v>12</v>
      </c>
      <c r="H420" s="3">
        <v>390</v>
      </c>
      <c r="I420" s="3">
        <v>402.5</v>
      </c>
      <c r="J420" s="3">
        <v>410</v>
      </c>
      <c r="K420" s="4" t="e">
        <f t="array" aca="1" ref="K420">MAX(H420:J420*(1-strike(H420:J420)))</f>
        <v>#NAME?</v>
      </c>
      <c r="L420" s="3">
        <v>300</v>
      </c>
      <c r="M420" s="3">
        <v>310</v>
      </c>
      <c r="N420" s="3">
        <v>315</v>
      </c>
      <c r="O420" s="4" t="e">
        <f t="array" aca="1" ref="O420">MAX(L420:N420*(1-strike(L420:N420)))</f>
        <v>#NAME?</v>
      </c>
      <c r="P420" s="3">
        <v>310</v>
      </c>
      <c r="Q420" s="1">
        <v>320</v>
      </c>
      <c r="R420" s="1">
        <v>320</v>
      </c>
      <c r="S420" s="4" t="e">
        <f t="array" aca="1" ref="S420">MAX(P420:R420*(1-strike(P420:R420)))</f>
        <v>#NAME?</v>
      </c>
      <c r="T420" s="4" t="e">
        <f t="shared" si="6"/>
        <v>#NAME?</v>
      </c>
      <c r="U420" s="3" t="s">
        <v>451</v>
      </c>
      <c r="V420" s="3">
        <v>619.71</v>
      </c>
      <c r="W420" s="3">
        <v>8</v>
      </c>
      <c r="X420" s="5">
        <v>2012</v>
      </c>
      <c r="Y420" s="5" t="s">
        <v>29</v>
      </c>
      <c r="Z420" s="5" t="s">
        <v>171</v>
      </c>
      <c r="AA420" s="5">
        <v>1280</v>
      </c>
    </row>
    <row r="421" spans="1:27">
      <c r="A421" s="3">
        <v>1</v>
      </c>
      <c r="B421" s="3" t="s">
        <v>450</v>
      </c>
      <c r="C421" s="3">
        <v>1987</v>
      </c>
      <c r="D421" s="3" t="s">
        <v>119</v>
      </c>
      <c r="E421" s="3">
        <v>104.92</v>
      </c>
      <c r="F421" s="3">
        <v>0.59770000000000001</v>
      </c>
      <c r="G421" s="3">
        <v>5</v>
      </c>
      <c r="H421" s="3">
        <v>385</v>
      </c>
      <c r="I421" s="3">
        <v>395</v>
      </c>
      <c r="J421" s="3">
        <v>402.5</v>
      </c>
      <c r="K421" s="4" t="e">
        <f t="array" aca="1" ref="K421">MAX(H421:J421*(1-strike(H421:J421)))</f>
        <v>#NAME?</v>
      </c>
      <c r="L421" s="3">
        <v>310</v>
      </c>
      <c r="M421" s="3">
        <v>323</v>
      </c>
      <c r="N421" s="1">
        <v>327.5</v>
      </c>
      <c r="O421" s="4" t="e">
        <f t="array" aca="1" ref="O421">MAX(L421:N421*(1-strike(L421:N421)))</f>
        <v>#NAME?</v>
      </c>
      <c r="P421" s="3">
        <v>310</v>
      </c>
      <c r="Q421" s="3">
        <v>320</v>
      </c>
      <c r="R421" s="3">
        <v>325</v>
      </c>
      <c r="S421" s="4" t="e">
        <f t="array" aca="1" ref="S421">MAX(P421:R421*(1-strike(P421:R421)))</f>
        <v>#NAME?</v>
      </c>
      <c r="T421" s="4" t="e">
        <f t="shared" si="6"/>
        <v>#NAME?</v>
      </c>
      <c r="U421" s="3" t="s">
        <v>452</v>
      </c>
      <c r="V421" s="3">
        <v>627.88</v>
      </c>
      <c r="W421" s="3">
        <v>12</v>
      </c>
      <c r="X421" s="5">
        <v>2013</v>
      </c>
      <c r="Y421" s="5" t="s">
        <v>29</v>
      </c>
      <c r="Z421" s="5" t="s">
        <v>171</v>
      </c>
      <c r="AA421" s="5">
        <v>882</v>
      </c>
    </row>
    <row r="422" spans="1:27">
      <c r="A422" s="4">
        <v>1</v>
      </c>
      <c r="B422" s="4" t="s">
        <v>450</v>
      </c>
      <c r="C422" s="4">
        <v>1987</v>
      </c>
      <c r="D422" s="4" t="s">
        <v>119</v>
      </c>
      <c r="E422" s="4">
        <v>104.16</v>
      </c>
      <c r="F422" s="4">
        <v>0.59919999999999995</v>
      </c>
      <c r="G422" s="4">
        <v>18</v>
      </c>
      <c r="H422" s="4">
        <v>392.5</v>
      </c>
      <c r="I422" s="4">
        <v>400</v>
      </c>
      <c r="J422" s="4">
        <v>410</v>
      </c>
      <c r="K422" s="4" t="e">
        <f t="array" aca="1" ref="K422">MAX(H422:J422*(1-strike(H422:J422)))</f>
        <v>#NAME?</v>
      </c>
      <c r="L422" s="4">
        <v>310</v>
      </c>
      <c r="M422" s="6">
        <v>320</v>
      </c>
      <c r="N422" s="4">
        <v>320</v>
      </c>
      <c r="O422" s="4" t="e">
        <f t="array" aca="1" ref="O422">MAX(L422:N422*(1-strike(L422:N422)))</f>
        <v>#NAME?</v>
      </c>
      <c r="P422" s="4">
        <v>312.5</v>
      </c>
      <c r="Q422" s="4">
        <v>320</v>
      </c>
      <c r="R422" s="6">
        <v>325</v>
      </c>
      <c r="S422" s="4" t="e">
        <f t="array" aca="1" ref="S422">MAX(P422:R422*(1-strike(P422:R422)))</f>
        <v>#NAME?</v>
      </c>
      <c r="T422" s="4" t="e">
        <f t="shared" si="6"/>
        <v>#NAME?</v>
      </c>
      <c r="U422" s="4">
        <v>1050</v>
      </c>
      <c r="V422" s="4">
        <v>629.16</v>
      </c>
      <c r="W422" s="4">
        <v>12</v>
      </c>
      <c r="X422" s="5">
        <v>2014</v>
      </c>
      <c r="Y422" s="5" t="s">
        <v>29</v>
      </c>
      <c r="Z422" s="5" t="s">
        <v>171</v>
      </c>
      <c r="AA422" s="5">
        <v>513</v>
      </c>
    </row>
    <row r="423" spans="1:27">
      <c r="A423" s="4">
        <v>12</v>
      </c>
      <c r="B423" s="4" t="s">
        <v>453</v>
      </c>
      <c r="C423" s="4">
        <v>1979</v>
      </c>
      <c r="D423" s="4" t="s">
        <v>289</v>
      </c>
      <c r="E423" s="4">
        <v>90.45</v>
      </c>
      <c r="F423" s="4">
        <v>0.63680000000000003</v>
      </c>
      <c r="G423" s="4">
        <v>9</v>
      </c>
      <c r="H423" s="6">
        <v>170</v>
      </c>
      <c r="I423" s="4">
        <v>170</v>
      </c>
      <c r="J423" s="6">
        <v>177.5</v>
      </c>
      <c r="K423" s="4" t="e">
        <f t="array" aca="1" ref="K423">MAX(H423:J423*(1-strike(H423:J423)))</f>
        <v>#NAME?</v>
      </c>
      <c r="L423" s="4">
        <v>125</v>
      </c>
      <c r="M423" s="4">
        <v>132.5</v>
      </c>
      <c r="N423" s="6">
        <v>137.5</v>
      </c>
      <c r="O423" s="4" t="e">
        <f t="array" aca="1" ref="O423">MAX(L423:N423*(1-strike(L423:N423)))</f>
        <v>#NAME?</v>
      </c>
      <c r="P423" s="4">
        <v>210</v>
      </c>
      <c r="Q423" s="6">
        <v>222.5</v>
      </c>
      <c r="R423" s="4">
        <v>225</v>
      </c>
      <c r="S423" s="4" t="e">
        <f t="array" aca="1" ref="S423">MAX(P423:R423*(1-strike(P423:R423)))</f>
        <v>#NAME?</v>
      </c>
      <c r="T423" s="4" t="e">
        <f t="shared" si="6"/>
        <v>#NAME?</v>
      </c>
      <c r="U423" s="4">
        <v>527.5</v>
      </c>
      <c r="V423" s="4">
        <v>335.91</v>
      </c>
      <c r="W423" s="4">
        <v>1</v>
      </c>
      <c r="X423" s="5">
        <v>2014</v>
      </c>
      <c r="Y423" s="5" t="s">
        <v>29</v>
      </c>
      <c r="Z423" s="5" t="s">
        <v>30</v>
      </c>
      <c r="AA423" s="5">
        <v>708</v>
      </c>
    </row>
    <row r="424" spans="1:27">
      <c r="A424" s="4">
        <v>16</v>
      </c>
      <c r="B424" s="4" t="s">
        <v>453</v>
      </c>
      <c r="C424" s="4">
        <v>1979</v>
      </c>
      <c r="D424" s="4" t="s">
        <v>289</v>
      </c>
      <c r="E424" s="4">
        <v>92.36</v>
      </c>
      <c r="F424" s="4">
        <v>0.63029999999999997</v>
      </c>
      <c r="G424" s="4">
        <v>22</v>
      </c>
      <c r="H424" s="4">
        <v>175</v>
      </c>
      <c r="I424" s="4">
        <v>182.5</v>
      </c>
      <c r="J424" s="6">
        <v>185</v>
      </c>
      <c r="K424" s="4" t="e">
        <f t="array" aca="1" ref="K424">MAX(H424:J424*(1-strike(H424:J424)))</f>
        <v>#NAME?</v>
      </c>
      <c r="L424" s="4">
        <v>130</v>
      </c>
      <c r="M424" s="4">
        <v>137.5</v>
      </c>
      <c r="N424" s="6">
        <v>140</v>
      </c>
      <c r="O424" s="4" t="e">
        <f t="array" aca="1" ref="O424">MAX(L424:N424*(1-strike(L424:N424)))</f>
        <v>#NAME?</v>
      </c>
      <c r="P424" s="4">
        <v>220</v>
      </c>
      <c r="Q424" s="6">
        <v>230</v>
      </c>
      <c r="R424" s="4">
        <v>230</v>
      </c>
      <c r="S424" s="4" t="e">
        <f t="array" aca="1" ref="S424">MAX(P424:R424*(1-strike(P424:R424)))</f>
        <v>#NAME?</v>
      </c>
      <c r="T424" s="4" t="e">
        <f t="shared" si="6"/>
        <v>#NAME?</v>
      </c>
      <c r="U424" s="4">
        <v>550</v>
      </c>
      <c r="V424" s="4">
        <v>346.67</v>
      </c>
      <c r="W424" s="4">
        <v>1</v>
      </c>
      <c r="X424" s="5">
        <v>2015</v>
      </c>
      <c r="Y424" s="5" t="s">
        <v>29</v>
      </c>
      <c r="Z424" s="5" t="s">
        <v>30</v>
      </c>
      <c r="AA424" s="5">
        <v>288</v>
      </c>
    </row>
    <row r="425" spans="1:27">
      <c r="A425" s="4">
        <v>10</v>
      </c>
      <c r="B425" s="4" t="s">
        <v>454</v>
      </c>
      <c r="C425" s="4">
        <v>1975</v>
      </c>
      <c r="D425" s="4" t="s">
        <v>49</v>
      </c>
      <c r="E425" s="4">
        <v>101.56</v>
      </c>
      <c r="F425" s="4">
        <v>0.6048</v>
      </c>
      <c r="G425" s="4">
        <v>4</v>
      </c>
      <c r="H425" s="4">
        <v>350</v>
      </c>
      <c r="I425" s="6">
        <v>375</v>
      </c>
      <c r="J425" s="6">
        <v>375</v>
      </c>
      <c r="K425" s="4" t="e">
        <f t="array" aca="1" ref="K425">MAX(H425:J425*(1-strike(H425:J425)))</f>
        <v>#NAME?</v>
      </c>
      <c r="L425" s="4">
        <v>200</v>
      </c>
      <c r="M425" s="4">
        <v>210</v>
      </c>
      <c r="N425" s="4">
        <v>220</v>
      </c>
      <c r="O425" s="4" t="e">
        <f t="array" aca="1" ref="O425">MAX(L425:N425*(1-strike(L425:N425)))</f>
        <v>#NAME?</v>
      </c>
      <c r="P425" s="4">
        <v>270</v>
      </c>
      <c r="Q425" s="4">
        <v>285</v>
      </c>
      <c r="R425" s="6">
        <v>302.5</v>
      </c>
      <c r="S425" s="4" t="e">
        <f t="array" aca="1" ref="S425">MAX(P425:R425*(1-strike(P425:R425)))</f>
        <v>#NAME?</v>
      </c>
      <c r="T425" s="4" t="e">
        <f t="shared" si="6"/>
        <v>#NAME?</v>
      </c>
      <c r="U425" s="4">
        <v>855</v>
      </c>
      <c r="V425" s="4">
        <v>517.1</v>
      </c>
      <c r="W425" s="4">
        <v>1</v>
      </c>
      <c r="X425" s="5">
        <v>2014</v>
      </c>
      <c r="Y425" s="5" t="s">
        <v>29</v>
      </c>
      <c r="Z425" s="5" t="s">
        <v>171</v>
      </c>
      <c r="AA425" s="5">
        <v>522</v>
      </c>
    </row>
    <row r="426" spans="1:27">
      <c r="A426" s="4">
        <v>10</v>
      </c>
      <c r="B426" s="4" t="s">
        <v>455</v>
      </c>
      <c r="C426" s="4">
        <v>1980</v>
      </c>
      <c r="D426" s="4" t="s">
        <v>119</v>
      </c>
      <c r="E426" s="4">
        <v>107.29</v>
      </c>
      <c r="F426" s="4">
        <v>0.59319999999999995</v>
      </c>
      <c r="G426" s="4">
        <v>5</v>
      </c>
      <c r="H426" s="4">
        <v>300</v>
      </c>
      <c r="I426" s="4">
        <v>312.5</v>
      </c>
      <c r="J426" s="4">
        <v>315</v>
      </c>
      <c r="K426" s="4" t="e">
        <f t="array" aca="1" ref="K426">MAX(H426:J426*(1-strike(H426:J426)))</f>
        <v>#NAME?</v>
      </c>
      <c r="L426" s="4">
        <v>200</v>
      </c>
      <c r="M426" s="6">
        <v>215</v>
      </c>
      <c r="N426" s="6">
        <v>215</v>
      </c>
      <c r="O426" s="4" t="e">
        <f t="array" aca="1" ref="O426">MAX(L426:N426*(1-strike(L426:N426)))</f>
        <v>#NAME?</v>
      </c>
      <c r="P426" s="4">
        <v>255</v>
      </c>
      <c r="Q426" s="4">
        <v>270</v>
      </c>
      <c r="R426" s="4">
        <v>280</v>
      </c>
      <c r="S426" s="4" t="e">
        <f t="array" aca="1" ref="S426">MAX(P426:R426*(1-strike(P426:R426)))</f>
        <v>#NAME?</v>
      </c>
      <c r="T426" s="4" t="e">
        <f t="shared" si="6"/>
        <v>#NAME?</v>
      </c>
      <c r="U426" s="4">
        <v>795</v>
      </c>
      <c r="V426" s="4">
        <v>471.59</v>
      </c>
      <c r="W426" s="4">
        <v>1</v>
      </c>
      <c r="X426" s="5">
        <v>2015</v>
      </c>
      <c r="Y426" s="5" t="s">
        <v>29</v>
      </c>
      <c r="Z426" s="5" t="s">
        <v>30</v>
      </c>
      <c r="AA426" s="5">
        <v>316</v>
      </c>
    </row>
    <row r="427" spans="1:27">
      <c r="A427" s="3">
        <v>16</v>
      </c>
      <c r="B427" s="3" t="s">
        <v>456</v>
      </c>
      <c r="C427" s="3">
        <v>1988</v>
      </c>
      <c r="D427" s="3" t="s">
        <v>349</v>
      </c>
      <c r="E427" s="3">
        <v>159</v>
      </c>
      <c r="F427" s="3">
        <v>0.54869999999999997</v>
      </c>
      <c r="G427" s="3">
        <v>18</v>
      </c>
      <c r="H427" s="3">
        <v>200</v>
      </c>
      <c r="I427" s="3">
        <v>220</v>
      </c>
      <c r="J427" s="3">
        <v>250</v>
      </c>
      <c r="K427" s="4" t="e">
        <f t="array" aca="1" ref="K427">MAX(H427:J427*(1-strike(H427:J427)))</f>
        <v>#NAME?</v>
      </c>
      <c r="L427" s="3">
        <v>200</v>
      </c>
      <c r="M427" s="3">
        <v>202.5</v>
      </c>
      <c r="N427" s="3">
        <v>215</v>
      </c>
      <c r="O427" s="4" t="e">
        <f t="array" aca="1" ref="O427">MAX(L427:N427*(1-strike(L427:N427)))</f>
        <v>#NAME?</v>
      </c>
      <c r="P427" s="3">
        <v>352.5</v>
      </c>
      <c r="Q427" s="1">
        <v>365</v>
      </c>
      <c r="R427" s="1">
        <v>367.5</v>
      </c>
      <c r="S427" s="4" t="e">
        <f t="array" aca="1" ref="S427">MAX(P427:R427*(1-strike(P427:R427)))</f>
        <v>#NAME?</v>
      </c>
      <c r="T427" s="4" t="e">
        <f t="shared" si="6"/>
        <v>#NAME?</v>
      </c>
      <c r="U427" s="3">
        <v>817.5</v>
      </c>
      <c r="V427" s="3">
        <v>448.56</v>
      </c>
      <c r="W427" s="3">
        <v>1</v>
      </c>
      <c r="X427" s="5">
        <v>2013</v>
      </c>
      <c r="Y427" s="5" t="s">
        <v>29</v>
      </c>
      <c r="Z427" s="5" t="s">
        <v>171</v>
      </c>
      <c r="AA427" s="5">
        <v>927</v>
      </c>
    </row>
    <row r="428" spans="1:27" ht="15" customHeight="1">
      <c r="A428" s="4">
        <v>4</v>
      </c>
      <c r="B428" s="4" t="s">
        <v>457</v>
      </c>
      <c r="C428" s="4">
        <v>1980</v>
      </c>
      <c r="D428" s="4" t="s">
        <v>77</v>
      </c>
      <c r="E428" s="4">
        <v>58.7</v>
      </c>
      <c r="F428" s="4">
        <v>0.87029999999999996</v>
      </c>
      <c r="G428" s="4">
        <v>5</v>
      </c>
      <c r="H428" s="4">
        <v>165</v>
      </c>
      <c r="I428" s="4">
        <v>180</v>
      </c>
      <c r="J428" s="4">
        <v>185</v>
      </c>
      <c r="K428" s="4" t="e">
        <f t="array" aca="1" ref="K428">MAX(H428:J428*(1-strike(H428:J428)))</f>
        <v>#NAME?</v>
      </c>
      <c r="L428" s="4">
        <v>130</v>
      </c>
      <c r="M428" s="4">
        <v>140</v>
      </c>
      <c r="N428" s="6">
        <v>142.5</v>
      </c>
      <c r="O428" s="4" t="e">
        <f t="array" aca="1" ref="O428">MAX(L428:N428*(1-strike(L428:N428)))</f>
        <v>#NAME?</v>
      </c>
      <c r="P428" s="4">
        <v>200</v>
      </c>
      <c r="Q428" s="4">
        <v>210</v>
      </c>
      <c r="R428" s="4">
        <v>215</v>
      </c>
      <c r="S428" s="4" t="e">
        <f t="array" aca="1" ref="S428">MAX(P428:R428*(1-strike(P428:R428)))</f>
        <v>#NAME?</v>
      </c>
      <c r="T428" s="4" t="e">
        <f t="shared" si="6"/>
        <v>#NAME?</v>
      </c>
      <c r="U428" s="4">
        <v>540</v>
      </c>
      <c r="V428" s="4">
        <v>469.96</v>
      </c>
      <c r="W428" s="4">
        <v>7</v>
      </c>
      <c r="X428" s="5">
        <v>2014</v>
      </c>
      <c r="Y428" s="5" t="s">
        <v>29</v>
      </c>
      <c r="Z428" s="5" t="s">
        <v>30</v>
      </c>
      <c r="AA428" s="5">
        <v>651</v>
      </c>
    </row>
    <row r="429" spans="1:27">
      <c r="A429" s="4">
        <v>5</v>
      </c>
      <c r="B429" s="4" t="s">
        <v>457</v>
      </c>
      <c r="C429" s="4">
        <v>1980</v>
      </c>
      <c r="D429" s="4" t="s">
        <v>77</v>
      </c>
      <c r="E429" s="4">
        <v>58.47</v>
      </c>
      <c r="F429" s="4">
        <v>0.87350000000000005</v>
      </c>
      <c r="G429" s="4">
        <v>5</v>
      </c>
      <c r="H429" s="6">
        <v>175</v>
      </c>
      <c r="I429" s="4">
        <v>175</v>
      </c>
      <c r="J429" s="4">
        <v>185</v>
      </c>
      <c r="K429" s="4" t="e">
        <f t="array" aca="1" ref="K429">MAX(H429:J429*(1-strike(H429:J429)))</f>
        <v>#NAME?</v>
      </c>
      <c r="L429" s="4">
        <v>135</v>
      </c>
      <c r="M429" s="4">
        <v>140</v>
      </c>
      <c r="N429" s="6">
        <v>142.5</v>
      </c>
      <c r="O429" s="4" t="e">
        <f t="array" aca="1" ref="O429">MAX(L429:N429*(1-strike(L429:N429)))</f>
        <v>#NAME?</v>
      </c>
      <c r="P429" s="4">
        <v>200</v>
      </c>
      <c r="Q429" s="4">
        <v>220</v>
      </c>
      <c r="R429" s="6">
        <v>225</v>
      </c>
      <c r="S429" s="4" t="e">
        <f t="array" aca="1" ref="S429">MAX(P429:R429*(1-strike(P429:R429)))</f>
        <v>#NAME?</v>
      </c>
      <c r="T429" s="4" t="e">
        <f t="shared" si="6"/>
        <v>#NAME?</v>
      </c>
      <c r="U429" s="4">
        <v>545</v>
      </c>
      <c r="V429" s="4">
        <v>476.06</v>
      </c>
      <c r="W429" s="4">
        <v>6</v>
      </c>
      <c r="X429" s="5">
        <v>2015</v>
      </c>
      <c r="Y429" s="5" t="s">
        <v>29</v>
      </c>
      <c r="Z429" s="5" t="s">
        <v>30</v>
      </c>
      <c r="AA429" s="5">
        <v>223</v>
      </c>
    </row>
    <row r="430" spans="1:27">
      <c r="A430" s="4">
        <v>8</v>
      </c>
      <c r="B430" s="4" t="s">
        <v>458</v>
      </c>
      <c r="C430" s="4">
        <v>1985</v>
      </c>
      <c r="D430" s="4" t="s">
        <v>194</v>
      </c>
      <c r="E430" s="4">
        <v>117.35</v>
      </c>
      <c r="F430" s="4">
        <v>0.57799999999999996</v>
      </c>
      <c r="G430" s="4">
        <v>4</v>
      </c>
      <c r="H430" s="4">
        <v>250</v>
      </c>
      <c r="I430" s="6">
        <v>265</v>
      </c>
      <c r="J430" s="4">
        <v>265</v>
      </c>
      <c r="K430" s="4" t="e">
        <f t="array" aca="1" ref="K430">MAX(H430:J430*(1-strike(H430:J430)))</f>
        <v>#NAME?</v>
      </c>
      <c r="L430" s="4">
        <v>190</v>
      </c>
      <c r="M430" s="4">
        <v>200</v>
      </c>
      <c r="N430" s="4">
        <v>205</v>
      </c>
      <c r="O430" s="4" t="e">
        <f t="array" aca="1" ref="O430">MAX(L430:N430*(1-strike(L430:N430)))</f>
        <v>#NAME?</v>
      </c>
      <c r="P430" s="4">
        <v>270</v>
      </c>
      <c r="Q430" s="4">
        <v>285</v>
      </c>
      <c r="R430" s="4">
        <v>292.5</v>
      </c>
      <c r="S430" s="4" t="e">
        <f t="array" aca="1" ref="S430">MAX(P430:R430*(1-strike(P430:R430)))</f>
        <v>#NAME?</v>
      </c>
      <c r="T430" s="4" t="e">
        <f t="shared" si="6"/>
        <v>#NAME?</v>
      </c>
      <c r="U430" s="4">
        <v>762.5</v>
      </c>
      <c r="V430" s="4">
        <v>440.76</v>
      </c>
      <c r="W430" s="4">
        <v>3</v>
      </c>
      <c r="X430" s="5">
        <v>2014</v>
      </c>
      <c r="Y430" s="5" t="s">
        <v>29</v>
      </c>
      <c r="Z430" s="5" t="s">
        <v>30</v>
      </c>
      <c r="AA430" s="5">
        <v>731</v>
      </c>
    </row>
    <row r="431" spans="1:27">
      <c r="A431" s="3">
        <v>5</v>
      </c>
      <c r="B431" s="3" t="s">
        <v>459</v>
      </c>
      <c r="C431" s="3">
        <v>1989</v>
      </c>
      <c r="D431" s="3" t="s">
        <v>45</v>
      </c>
      <c r="E431" s="3">
        <v>103.69</v>
      </c>
      <c r="F431" s="3">
        <v>0.60019999999999996</v>
      </c>
      <c r="G431" s="3">
        <v>7</v>
      </c>
      <c r="H431" s="3">
        <v>332.5</v>
      </c>
      <c r="I431" s="1">
        <v>340</v>
      </c>
      <c r="J431" s="1">
        <v>340</v>
      </c>
      <c r="K431" s="4" t="e">
        <f t="array" aca="1" ref="K431">MAX(H431:J431*(1-strike(H431:J431)))</f>
        <v>#NAME?</v>
      </c>
      <c r="L431" s="3">
        <v>267.5</v>
      </c>
      <c r="M431" s="3">
        <v>275</v>
      </c>
      <c r="N431" s="1">
        <v>280</v>
      </c>
      <c r="O431" s="4" t="e">
        <f t="array" aca="1" ref="O431">MAX(L431:N431*(1-strike(L431:N431)))</f>
        <v>#NAME?</v>
      </c>
      <c r="P431" s="3">
        <v>317.5</v>
      </c>
      <c r="Q431" s="3">
        <v>330</v>
      </c>
      <c r="R431" s="1">
        <v>337.5</v>
      </c>
      <c r="S431" s="4" t="e">
        <f t="array" aca="1" ref="S431">MAX(P431:R431*(1-strike(P431:R431)))</f>
        <v>#NAME?</v>
      </c>
      <c r="T431" s="4" t="e">
        <f t="shared" si="6"/>
        <v>#NAME?</v>
      </c>
      <c r="U431" s="3">
        <v>937.5</v>
      </c>
      <c r="V431" s="3">
        <v>562.69000000000005</v>
      </c>
      <c r="W431" s="3">
        <v>6</v>
      </c>
      <c r="X431" s="5">
        <v>2013</v>
      </c>
      <c r="Y431" s="5" t="s">
        <v>29</v>
      </c>
      <c r="Z431" s="5" t="s">
        <v>171</v>
      </c>
      <c r="AA431" s="5">
        <v>886</v>
      </c>
    </row>
    <row r="432" spans="1:27">
      <c r="A432" s="4">
        <v>6</v>
      </c>
      <c r="B432" s="4" t="s">
        <v>459</v>
      </c>
      <c r="C432" s="4">
        <v>1989</v>
      </c>
      <c r="D432" s="4" t="s">
        <v>45</v>
      </c>
      <c r="E432" s="4">
        <v>104.02</v>
      </c>
      <c r="F432" s="4">
        <v>0.59960000000000002</v>
      </c>
      <c r="G432" s="4">
        <v>19</v>
      </c>
      <c r="H432" s="4">
        <v>335</v>
      </c>
      <c r="I432" s="4">
        <v>345</v>
      </c>
      <c r="J432" s="4">
        <v>350</v>
      </c>
      <c r="K432" s="4" t="e">
        <f t="array" aca="1" ref="K432">MAX(H432:J432*(1-strike(H432:J432)))</f>
        <v>#NAME?</v>
      </c>
      <c r="L432" s="4">
        <v>277.5</v>
      </c>
      <c r="M432" s="6">
        <v>282.5</v>
      </c>
      <c r="N432" s="4">
        <v>282.5</v>
      </c>
      <c r="O432" s="4" t="e">
        <f t="array" aca="1" ref="O432">MAX(L432:N432*(1-strike(L432:N432)))</f>
        <v>#NAME?</v>
      </c>
      <c r="P432" s="4">
        <v>320</v>
      </c>
      <c r="Q432" s="4">
        <v>330</v>
      </c>
      <c r="R432" s="4">
        <v>337.5</v>
      </c>
      <c r="S432" s="4" t="e">
        <f t="array" aca="1" ref="S432">MAX(P432:R432*(1-strike(P432:R432)))</f>
        <v>#NAME?</v>
      </c>
      <c r="T432" s="4" t="e">
        <f t="shared" si="6"/>
        <v>#NAME?</v>
      </c>
      <c r="U432" s="4">
        <v>970</v>
      </c>
      <c r="V432" s="4">
        <v>581.61</v>
      </c>
      <c r="W432" s="4">
        <v>5</v>
      </c>
      <c r="X432" s="5">
        <v>2014</v>
      </c>
      <c r="Y432" s="5" t="s">
        <v>29</v>
      </c>
      <c r="Z432" s="5" t="s">
        <v>171</v>
      </c>
      <c r="AA432" s="5">
        <v>518</v>
      </c>
    </row>
    <row r="433" spans="1:27">
      <c r="A433" s="4">
        <v>6</v>
      </c>
      <c r="B433" s="4" t="s">
        <v>459</v>
      </c>
      <c r="C433" s="4">
        <v>1989</v>
      </c>
      <c r="D433" s="4" t="s">
        <v>45</v>
      </c>
      <c r="E433" s="4">
        <v>104.49</v>
      </c>
      <c r="F433" s="4">
        <v>0.59860000000000002</v>
      </c>
      <c r="G433" s="4">
        <v>19</v>
      </c>
      <c r="H433" s="4">
        <v>345</v>
      </c>
      <c r="I433" s="4">
        <v>352.5</v>
      </c>
      <c r="J433" s="6">
        <v>357.5</v>
      </c>
      <c r="K433" s="4" t="e">
        <f t="array" aca="1" ref="K433">MAX(H433:J433*(1-strike(H433:J433)))</f>
        <v>#NAME?</v>
      </c>
      <c r="L433" s="6">
        <v>285</v>
      </c>
      <c r="M433" s="6">
        <v>285</v>
      </c>
      <c r="N433" s="4">
        <v>285</v>
      </c>
      <c r="O433" s="4" t="e">
        <f t="array" aca="1" ref="O433">MAX(L433:N433*(1-strike(L433:N433)))</f>
        <v>#NAME?</v>
      </c>
      <c r="P433" s="4">
        <v>322.5</v>
      </c>
      <c r="Q433" s="6">
        <v>337.5</v>
      </c>
      <c r="R433" s="4"/>
      <c r="S433" s="4" t="e">
        <f t="array" aca="1" ref="S433">MAX(P433:R433*(1-strike(P433:R433)))</f>
        <v>#NAME?</v>
      </c>
      <c r="T433" s="4" t="e">
        <f t="shared" si="6"/>
        <v>#NAME?</v>
      </c>
      <c r="U433" s="4">
        <v>960</v>
      </c>
      <c r="V433" s="4">
        <v>574.66</v>
      </c>
      <c r="W433" s="4">
        <v>5</v>
      </c>
      <c r="X433" s="5">
        <v>2015</v>
      </c>
      <c r="Y433" s="5" t="s">
        <v>29</v>
      </c>
      <c r="Z433" s="5" t="s">
        <v>171</v>
      </c>
      <c r="AA433" s="5">
        <v>78</v>
      </c>
    </row>
    <row r="434" spans="1:27">
      <c r="A434" s="4">
        <v>2</v>
      </c>
      <c r="B434" s="4" t="s">
        <v>460</v>
      </c>
      <c r="C434" s="4">
        <v>1975</v>
      </c>
      <c r="D434" s="4" t="s">
        <v>137</v>
      </c>
      <c r="E434" s="4">
        <v>73.040000000000006</v>
      </c>
      <c r="F434" s="4">
        <v>0.72609999999999997</v>
      </c>
      <c r="G434" s="4">
        <v>12</v>
      </c>
      <c r="H434" s="4">
        <v>225</v>
      </c>
      <c r="I434" s="4">
        <v>235</v>
      </c>
      <c r="J434" s="4">
        <v>240</v>
      </c>
      <c r="K434" s="4" t="e">
        <f t="array" aca="1" ref="K434">MAX(H434:J434*(1-strike(H434:J434)))</f>
        <v>#NAME?</v>
      </c>
      <c r="L434" s="4">
        <v>140</v>
      </c>
      <c r="M434" s="4">
        <v>147.5</v>
      </c>
      <c r="N434" s="4">
        <v>150</v>
      </c>
      <c r="O434" s="4" t="e">
        <f t="array" aca="1" ref="O434">MAX(L434:N434*(1-strike(L434:N434)))</f>
        <v>#NAME?</v>
      </c>
      <c r="P434" s="4">
        <v>290</v>
      </c>
      <c r="Q434" s="4">
        <v>305</v>
      </c>
      <c r="R434" s="6">
        <v>311.5</v>
      </c>
      <c r="S434" s="4" t="e">
        <f t="array" aca="1" ref="S434">MAX(P434:R434*(1-strike(P434:R434)))</f>
        <v>#NAME?</v>
      </c>
      <c r="T434" s="4" t="e">
        <f t="shared" si="6"/>
        <v>#NAME?</v>
      </c>
      <c r="U434" s="4" t="s">
        <v>461</v>
      </c>
      <c r="V434" s="4">
        <v>504.64</v>
      </c>
      <c r="W434" s="4">
        <v>9</v>
      </c>
      <c r="X434" s="5">
        <v>2015</v>
      </c>
      <c r="Y434" s="5" t="s">
        <v>29</v>
      </c>
      <c r="Z434" s="5" t="s">
        <v>30</v>
      </c>
      <c r="AA434" s="5">
        <v>239</v>
      </c>
    </row>
    <row r="435" spans="1:27" ht="15" customHeight="1">
      <c r="A435" s="4">
        <v>6</v>
      </c>
      <c r="B435" s="4" t="s">
        <v>460</v>
      </c>
      <c r="C435" s="4">
        <v>1975</v>
      </c>
      <c r="D435" s="4" t="s">
        <v>137</v>
      </c>
      <c r="E435" s="4">
        <v>71.349999999999994</v>
      </c>
      <c r="F435" s="4">
        <v>0.73870000000000002</v>
      </c>
      <c r="G435" s="4">
        <v>3</v>
      </c>
      <c r="H435" s="6">
        <v>275</v>
      </c>
      <c r="I435" s="6">
        <v>275</v>
      </c>
      <c r="J435" s="4">
        <v>285</v>
      </c>
      <c r="K435" s="4" t="e">
        <f t="array" aca="1" ref="K435">MAX(H435:J435*(1-strike(H435:J435)))</f>
        <v>#NAME?</v>
      </c>
      <c r="L435" s="4">
        <v>180</v>
      </c>
      <c r="M435" s="4">
        <v>185</v>
      </c>
      <c r="N435" s="6">
        <v>187.5</v>
      </c>
      <c r="O435" s="4" t="e">
        <f t="array" aca="1" ref="O435">MAX(L435:N435*(1-strike(L435:N435)))</f>
        <v>#NAME?</v>
      </c>
      <c r="P435" s="4">
        <v>300</v>
      </c>
      <c r="Q435" s="6">
        <v>315</v>
      </c>
      <c r="R435" s="6">
        <v>315</v>
      </c>
      <c r="S435" s="4" t="e">
        <f t="array" aca="1" ref="S435">MAX(P435:R435*(1-strike(P435:R435)))</f>
        <v>#NAME?</v>
      </c>
      <c r="T435" s="4" t="e">
        <f t="shared" si="6"/>
        <v>#NAME?</v>
      </c>
      <c r="U435" s="4">
        <v>770</v>
      </c>
      <c r="V435" s="4">
        <v>568.79999999999995</v>
      </c>
      <c r="W435" s="4">
        <v>5</v>
      </c>
      <c r="X435" s="5">
        <v>2015</v>
      </c>
      <c r="Y435" s="5" t="s">
        <v>29</v>
      </c>
      <c r="Z435" s="5" t="s">
        <v>171</v>
      </c>
      <c r="AA435" s="5">
        <v>28</v>
      </c>
    </row>
    <row r="436" spans="1:27">
      <c r="A436" s="3">
        <v>2</v>
      </c>
      <c r="B436" s="3" t="s">
        <v>462</v>
      </c>
      <c r="C436" s="3">
        <v>1975</v>
      </c>
      <c r="D436" s="3" t="s">
        <v>137</v>
      </c>
      <c r="E436" s="3">
        <v>65.88</v>
      </c>
      <c r="F436" s="3">
        <v>0.78639999999999999</v>
      </c>
      <c r="G436" s="3">
        <v>19</v>
      </c>
      <c r="H436" s="1">
        <v>285</v>
      </c>
      <c r="I436" s="3">
        <v>290</v>
      </c>
      <c r="J436" s="1">
        <v>300</v>
      </c>
      <c r="K436" s="4" t="e">
        <f t="array" aca="1" ref="K436">MAX(H436:J436*(1-strike(H436:J436)))</f>
        <v>#NAME?</v>
      </c>
      <c r="L436" s="1">
        <v>155</v>
      </c>
      <c r="M436" s="3">
        <v>155</v>
      </c>
      <c r="N436" s="1">
        <v>160</v>
      </c>
      <c r="O436" s="4" t="e">
        <f t="array" aca="1" ref="O436">MAX(L436:N436*(1-strike(L436:N436)))</f>
        <v>#NAME?</v>
      </c>
      <c r="P436" s="3">
        <v>295</v>
      </c>
      <c r="Q436" s="3">
        <v>310</v>
      </c>
      <c r="R436" s="3">
        <v>313</v>
      </c>
      <c r="S436" s="4" t="e">
        <f t="array" aca="1" ref="S436">MAX(P436:R436*(1-strike(P436:R436)))</f>
        <v>#NAME?</v>
      </c>
      <c r="T436" s="4" t="e">
        <f t="shared" si="6"/>
        <v>#NAME?</v>
      </c>
      <c r="U436" s="3">
        <v>758</v>
      </c>
      <c r="V436" s="3">
        <v>596.09</v>
      </c>
      <c r="W436" s="3">
        <v>9</v>
      </c>
      <c r="X436" s="5">
        <v>2012</v>
      </c>
      <c r="Y436" s="5" t="s">
        <v>29</v>
      </c>
      <c r="Z436" s="5" t="s">
        <v>171</v>
      </c>
      <c r="AA436" s="5">
        <v>1204</v>
      </c>
    </row>
    <row r="437" spans="1:27">
      <c r="A437" s="3">
        <v>4</v>
      </c>
      <c r="B437" s="3" t="s">
        <v>462</v>
      </c>
      <c r="C437" s="3">
        <v>1975</v>
      </c>
      <c r="D437" s="3" t="s">
        <v>137</v>
      </c>
      <c r="E437" s="3">
        <v>72.19</v>
      </c>
      <c r="F437" s="3">
        <v>0.73229999999999995</v>
      </c>
      <c r="G437" s="3">
        <v>6</v>
      </c>
      <c r="H437" s="3">
        <v>300</v>
      </c>
      <c r="I437" s="1">
        <v>320</v>
      </c>
      <c r="J437" s="1">
        <v>320</v>
      </c>
      <c r="K437" s="4" t="e">
        <f t="array" aca="1" ref="K437">MAX(H437:J437*(1-strike(H437:J437)))</f>
        <v>#NAME?</v>
      </c>
      <c r="L437" s="3">
        <v>172.5</v>
      </c>
      <c r="M437" s="3">
        <v>177.5</v>
      </c>
      <c r="N437" s="3">
        <v>180</v>
      </c>
      <c r="O437" s="4" t="e">
        <f t="array" aca="1" ref="O437">MAX(L437:N437*(1-strike(L437:N437)))</f>
        <v>#NAME?</v>
      </c>
      <c r="P437" s="3">
        <v>305</v>
      </c>
      <c r="Q437" s="1">
        <v>317.5</v>
      </c>
      <c r="R437" s="1">
        <v>321.5</v>
      </c>
      <c r="S437" s="4" t="e">
        <f t="array" aca="1" ref="S437">MAX(P437:R437*(1-strike(P437:R437)))</f>
        <v>#NAME?</v>
      </c>
      <c r="T437" s="4" t="e">
        <f t="shared" si="6"/>
        <v>#NAME?</v>
      </c>
      <c r="U437" s="3">
        <v>785</v>
      </c>
      <c r="V437" s="3">
        <v>574.86</v>
      </c>
      <c r="W437" s="3">
        <v>7</v>
      </c>
      <c r="X437" s="5">
        <v>2013</v>
      </c>
      <c r="Y437" s="5" t="s">
        <v>29</v>
      </c>
      <c r="Z437" s="5" t="s">
        <v>171</v>
      </c>
      <c r="AA437" s="5">
        <v>839</v>
      </c>
    </row>
    <row r="438" spans="1:27">
      <c r="A438" s="4">
        <v>2</v>
      </c>
      <c r="B438" s="4" t="s">
        <v>462</v>
      </c>
      <c r="C438" s="4">
        <v>1975</v>
      </c>
      <c r="D438" s="4" t="s">
        <v>137</v>
      </c>
      <c r="E438" s="4">
        <v>72.55</v>
      </c>
      <c r="F438" s="4">
        <v>0.72960000000000003</v>
      </c>
      <c r="G438" s="4">
        <v>13</v>
      </c>
      <c r="H438" s="4">
        <v>205</v>
      </c>
      <c r="I438" s="4">
        <v>217.5</v>
      </c>
      <c r="J438" s="4">
        <v>222.5</v>
      </c>
      <c r="K438" s="4" t="e">
        <f t="array" aca="1" ref="K438">MAX(H438:J438*(1-strike(H438:J438)))</f>
        <v>#NAME?</v>
      </c>
      <c r="L438" s="4">
        <v>135</v>
      </c>
      <c r="M438" s="4">
        <v>142.5</v>
      </c>
      <c r="N438" s="4">
        <v>145</v>
      </c>
      <c r="O438" s="4" t="e">
        <f t="array" aca="1" ref="O438">MAX(L438:N438*(1-strike(L438:N438)))</f>
        <v>#NAME?</v>
      </c>
      <c r="P438" s="4">
        <v>285</v>
      </c>
      <c r="Q438" s="4">
        <v>296.5</v>
      </c>
      <c r="R438" s="4">
        <v>310</v>
      </c>
      <c r="S438" s="4" t="e">
        <f t="array" aca="1" ref="S438">MAX(P438:R438*(1-strike(P438:R438)))</f>
        <v>#NAME?</v>
      </c>
      <c r="T438" s="4" t="e">
        <f t="shared" si="6"/>
        <v>#NAME?</v>
      </c>
      <c r="U438" s="4">
        <v>677.5</v>
      </c>
      <c r="V438" s="4">
        <v>494.34</v>
      </c>
      <c r="W438" s="4">
        <v>9</v>
      </c>
      <c r="X438" s="5">
        <v>2014</v>
      </c>
      <c r="Y438" s="5" t="s">
        <v>29</v>
      </c>
      <c r="Z438" s="5" t="s">
        <v>30</v>
      </c>
      <c r="AA438" s="5">
        <v>669</v>
      </c>
    </row>
    <row r="439" spans="1:27">
      <c r="A439" s="4">
        <v>5</v>
      </c>
      <c r="B439" s="4" t="s">
        <v>462</v>
      </c>
      <c r="C439" s="4">
        <v>1975</v>
      </c>
      <c r="D439" s="4" t="s">
        <v>137</v>
      </c>
      <c r="E439" s="4">
        <v>71.7</v>
      </c>
      <c r="F439" s="4">
        <v>0.73599999999999999</v>
      </c>
      <c r="G439" s="4">
        <v>8</v>
      </c>
      <c r="H439" s="4">
        <v>285</v>
      </c>
      <c r="I439" s="6">
        <v>295</v>
      </c>
      <c r="J439" s="6">
        <v>300</v>
      </c>
      <c r="K439" s="4" t="e">
        <f t="array" aca="1" ref="K439">MAX(H439:J439*(1-strike(H439:J439)))</f>
        <v>#NAME?</v>
      </c>
      <c r="L439" s="4">
        <v>175</v>
      </c>
      <c r="M439" s="6">
        <v>180</v>
      </c>
      <c r="N439" s="4">
        <v>180</v>
      </c>
      <c r="O439" s="4" t="e">
        <f t="array" aca="1" ref="O439">MAX(L439:N439*(1-strike(L439:N439)))</f>
        <v>#NAME?</v>
      </c>
      <c r="P439" s="4">
        <v>295</v>
      </c>
      <c r="Q439" s="4">
        <v>307.5</v>
      </c>
      <c r="R439" s="6">
        <v>312.5</v>
      </c>
      <c r="S439" s="4" t="e">
        <f t="array" aca="1" ref="S439">MAX(P439:R439*(1-strike(P439:R439)))</f>
        <v>#NAME?</v>
      </c>
      <c r="T439" s="4" t="e">
        <f t="shared" si="6"/>
        <v>#NAME?</v>
      </c>
      <c r="U439" s="4">
        <v>772.5</v>
      </c>
      <c r="V439" s="4">
        <v>568.55999999999995</v>
      </c>
      <c r="W439" s="4">
        <v>6</v>
      </c>
      <c r="X439" s="5">
        <v>2014</v>
      </c>
      <c r="Y439" s="5" t="s">
        <v>29</v>
      </c>
      <c r="Z439" s="5" t="s">
        <v>171</v>
      </c>
      <c r="AA439" s="5">
        <v>465</v>
      </c>
    </row>
    <row r="440" spans="1:27">
      <c r="A440" s="3" t="s">
        <v>37</v>
      </c>
      <c r="B440" s="3" t="s">
        <v>463</v>
      </c>
      <c r="C440" s="3">
        <v>1982</v>
      </c>
      <c r="D440" s="3" t="s">
        <v>464</v>
      </c>
      <c r="E440" s="3">
        <v>82.98</v>
      </c>
      <c r="F440" s="3">
        <v>0.66759999999999997</v>
      </c>
      <c r="G440" s="3">
        <v>11</v>
      </c>
      <c r="H440" s="1">
        <v>340</v>
      </c>
      <c r="I440" s="1">
        <v>352.5</v>
      </c>
      <c r="J440" s="1">
        <v>352.5</v>
      </c>
      <c r="K440" s="4" t="e">
        <f t="array" aca="1" ref="K440">MAX(H440:J440*(1-strike(H440:J440)))</f>
        <v>#NAME?</v>
      </c>
      <c r="L440" s="3">
        <v>240</v>
      </c>
      <c r="M440" s="1">
        <v>242.5</v>
      </c>
      <c r="N440" s="1">
        <v>242.5</v>
      </c>
      <c r="O440" s="4" t="e">
        <f t="array" aca="1" ref="O440">MAX(L440:N440*(1-strike(L440:N440)))</f>
        <v>#NAME?</v>
      </c>
      <c r="P440" s="3"/>
      <c r="Q440" s="3"/>
      <c r="R440" s="3"/>
      <c r="S440" s="4" t="e">
        <f t="array" aca="1" ref="S440">MAX(P440:R440*(1-strike(P440:R440)))</f>
        <v>#NAME?</v>
      </c>
      <c r="T440" s="4" t="e">
        <f t="shared" si="6"/>
        <v>#NAME?</v>
      </c>
      <c r="U440" s="3" t="s">
        <v>40</v>
      </c>
      <c r="V440" s="3" t="s">
        <v>37</v>
      </c>
      <c r="W440" s="3" t="s">
        <v>37</v>
      </c>
      <c r="X440" s="5">
        <v>2012</v>
      </c>
      <c r="Y440" s="5" t="s">
        <v>29</v>
      </c>
      <c r="Z440" s="5" t="s">
        <v>171</v>
      </c>
      <c r="AA440" s="5">
        <v>1254</v>
      </c>
    </row>
    <row r="441" spans="1:27">
      <c r="A441" s="4">
        <v>5</v>
      </c>
      <c r="B441" s="4" t="s">
        <v>55</v>
      </c>
      <c r="C441" s="4">
        <v>1986</v>
      </c>
      <c r="D441" s="4" t="s">
        <v>56</v>
      </c>
      <c r="E441" s="4">
        <v>82.63</v>
      </c>
      <c r="F441" s="4">
        <v>0.66930000000000001</v>
      </c>
      <c r="G441" s="4">
        <v>9</v>
      </c>
      <c r="H441" s="4">
        <v>240</v>
      </c>
      <c r="I441" s="4">
        <v>252.5</v>
      </c>
      <c r="J441" s="6">
        <v>260</v>
      </c>
      <c r="K441" s="4" t="e">
        <f t="array" aca="1" ref="K441">MAX(H441:J441*(1-strike(H441:J441)))</f>
        <v>#NAME?</v>
      </c>
      <c r="L441" s="4">
        <v>140</v>
      </c>
      <c r="M441" s="4">
        <v>147.5</v>
      </c>
      <c r="N441" s="6">
        <v>152.5</v>
      </c>
      <c r="O441" s="4" t="e">
        <f t="array" aca="1" ref="O441">MAX(L441:N441*(1-strike(L441:N441)))</f>
        <v>#NAME?</v>
      </c>
      <c r="P441" s="4">
        <v>297.5</v>
      </c>
      <c r="Q441" s="6">
        <v>312.5</v>
      </c>
      <c r="R441" s="6">
        <v>312.5</v>
      </c>
      <c r="S441" s="4" t="e">
        <f t="array" aca="1" ref="S441">MAX(P441:R441*(1-strike(P441:R441)))</f>
        <v>#NAME?</v>
      </c>
      <c r="T441" s="4" t="e">
        <f t="shared" si="6"/>
        <v>#NAME?</v>
      </c>
      <c r="U441" s="4">
        <v>697.5</v>
      </c>
      <c r="V441" s="4">
        <v>466.84</v>
      </c>
      <c r="W441" s="4">
        <v>6</v>
      </c>
      <c r="X441" s="5">
        <v>2015</v>
      </c>
      <c r="Y441" s="5" t="s">
        <v>29</v>
      </c>
      <c r="Z441" s="5" t="s">
        <v>30</v>
      </c>
      <c r="AA441" s="5">
        <v>260</v>
      </c>
    </row>
    <row r="442" spans="1:27">
      <c r="A442" s="3">
        <v>1</v>
      </c>
      <c r="B442" s="3" t="s">
        <v>57</v>
      </c>
      <c r="C442" s="3">
        <v>1982</v>
      </c>
      <c r="D442" s="3" t="s">
        <v>28</v>
      </c>
      <c r="E442" s="3">
        <v>57.03</v>
      </c>
      <c r="F442" s="3">
        <v>0.89449999999999996</v>
      </c>
      <c r="G442" s="3">
        <v>16</v>
      </c>
      <c r="H442" s="3">
        <v>260</v>
      </c>
      <c r="I442" s="3">
        <v>280</v>
      </c>
      <c r="J442" s="3">
        <v>295</v>
      </c>
      <c r="K442" s="4" t="e">
        <f t="array" aca="1" ref="K442">MAX(H442:J442*(1-strike(H442:J442)))</f>
        <v>#NAME?</v>
      </c>
      <c r="L442" s="1">
        <v>175</v>
      </c>
      <c r="M442" s="3">
        <v>175</v>
      </c>
      <c r="N442" s="3">
        <v>185</v>
      </c>
      <c r="O442" s="4" t="e">
        <f t="array" aca="1" ref="O442">MAX(L442:N442*(1-strike(L442:N442)))</f>
        <v>#NAME?</v>
      </c>
      <c r="P442" s="3">
        <v>237.5</v>
      </c>
      <c r="Q442" s="3">
        <v>257.5</v>
      </c>
      <c r="R442" s="1">
        <v>270</v>
      </c>
      <c r="S442" s="4" t="e">
        <f t="array" aca="1" ref="S442">MAX(P442:R442*(1-strike(P442:R442)))</f>
        <v>#NAME?</v>
      </c>
      <c r="T442" s="4" t="e">
        <f t="shared" si="6"/>
        <v>#NAME?</v>
      </c>
      <c r="U442" s="3" t="s">
        <v>465</v>
      </c>
      <c r="V442" s="3">
        <v>659.65</v>
      </c>
      <c r="W442" s="3">
        <v>12</v>
      </c>
      <c r="X442" s="5">
        <v>2012</v>
      </c>
      <c r="Y442" s="5" t="s">
        <v>29</v>
      </c>
      <c r="Z442" s="5" t="s">
        <v>171</v>
      </c>
      <c r="AA442" s="5">
        <v>1192</v>
      </c>
    </row>
    <row r="443" spans="1:27">
      <c r="A443" s="3">
        <v>1</v>
      </c>
      <c r="B443" s="3" t="s">
        <v>57</v>
      </c>
      <c r="C443" s="3">
        <v>1982</v>
      </c>
      <c r="D443" s="3" t="s">
        <v>28</v>
      </c>
      <c r="E443" s="3">
        <v>57.63</v>
      </c>
      <c r="F443" s="3">
        <v>0.88549999999999995</v>
      </c>
      <c r="G443" s="3">
        <v>6</v>
      </c>
      <c r="H443" s="3">
        <v>260</v>
      </c>
      <c r="I443" s="3">
        <v>280</v>
      </c>
      <c r="J443" s="3">
        <v>292.5</v>
      </c>
      <c r="K443" s="4" t="e">
        <f t="array" aca="1" ref="K443">MAX(H443:J443*(1-strike(H443:J443)))</f>
        <v>#NAME?</v>
      </c>
      <c r="L443" s="3">
        <v>180</v>
      </c>
      <c r="M443" s="3">
        <v>190</v>
      </c>
      <c r="N443" s="3">
        <v>197.5</v>
      </c>
      <c r="O443" s="4" t="e">
        <f t="array" aca="1" ref="O443">MAX(L443:N443*(1-strike(L443:N443)))</f>
        <v>#NAME?</v>
      </c>
      <c r="P443" s="3">
        <v>230</v>
      </c>
      <c r="Q443" s="3">
        <v>255</v>
      </c>
      <c r="R443" s="3">
        <v>265</v>
      </c>
      <c r="S443" s="4" t="e">
        <f t="array" aca="1" ref="S443">MAX(P443:R443*(1-strike(P443:R443)))</f>
        <v>#NAME?</v>
      </c>
      <c r="T443" s="4" t="e">
        <f t="shared" si="6"/>
        <v>#NAME?</v>
      </c>
      <c r="U443" s="3" t="s">
        <v>466</v>
      </c>
      <c r="V443" s="3">
        <v>668.55</v>
      </c>
      <c r="W443" s="3">
        <v>12</v>
      </c>
      <c r="X443" s="5">
        <v>2013</v>
      </c>
      <c r="Y443" s="5" t="s">
        <v>29</v>
      </c>
      <c r="Z443" s="5" t="s">
        <v>171</v>
      </c>
      <c r="AA443" s="5">
        <v>817</v>
      </c>
    </row>
    <row r="444" spans="1:27">
      <c r="A444" s="4">
        <v>1</v>
      </c>
      <c r="B444" s="4" t="s">
        <v>57</v>
      </c>
      <c r="C444" s="4">
        <v>1982</v>
      </c>
      <c r="D444" s="4" t="s">
        <v>28</v>
      </c>
      <c r="E444" s="4">
        <v>58.2</v>
      </c>
      <c r="F444" s="4">
        <v>0.87729999999999997</v>
      </c>
      <c r="G444" s="4">
        <v>6</v>
      </c>
      <c r="H444" s="4">
        <v>200</v>
      </c>
      <c r="I444" s="4">
        <v>215</v>
      </c>
      <c r="J444" s="4">
        <v>225.5</v>
      </c>
      <c r="K444" s="4" t="e">
        <f t="array" aca="1" ref="K444">MAX(H444:J444*(1-strike(H444:J444)))</f>
        <v>#NAME?</v>
      </c>
      <c r="L444" s="4">
        <v>150</v>
      </c>
      <c r="M444" s="4">
        <v>160</v>
      </c>
      <c r="N444" s="4">
        <v>165</v>
      </c>
      <c r="O444" s="4" t="e">
        <f t="array" aca="1" ref="O444">MAX(L444:N444*(1-strike(L444:N444)))</f>
        <v>#NAME?</v>
      </c>
      <c r="P444" s="4">
        <v>230</v>
      </c>
      <c r="Q444" s="4">
        <v>255</v>
      </c>
      <c r="R444" s="4">
        <v>270.5</v>
      </c>
      <c r="S444" s="4" t="e">
        <f t="array" aca="1" ref="S444">MAX(P444:R444*(1-strike(P444:R444)))</f>
        <v>#NAME?</v>
      </c>
      <c r="T444" s="4" t="e">
        <f t="shared" si="6"/>
        <v>#NAME?</v>
      </c>
      <c r="U444" s="4" t="s">
        <v>467</v>
      </c>
      <c r="V444" s="4">
        <v>579.9</v>
      </c>
      <c r="W444" s="4">
        <v>12</v>
      </c>
      <c r="X444" s="5">
        <v>2014</v>
      </c>
      <c r="Y444" s="5" t="s">
        <v>29</v>
      </c>
      <c r="Z444" s="4" t="s">
        <v>30</v>
      </c>
      <c r="AA444" s="5">
        <v>648</v>
      </c>
    </row>
    <row r="445" spans="1:27">
      <c r="A445" s="4">
        <v>1</v>
      </c>
      <c r="B445" s="4" t="s">
        <v>57</v>
      </c>
      <c r="C445" s="4">
        <v>1982</v>
      </c>
      <c r="D445" s="4" t="s">
        <v>28</v>
      </c>
      <c r="E445" s="4">
        <v>58.06</v>
      </c>
      <c r="F445" s="4">
        <v>0.87870000000000004</v>
      </c>
      <c r="G445" s="4">
        <v>11</v>
      </c>
      <c r="H445" s="4">
        <v>265</v>
      </c>
      <c r="I445" s="4">
        <v>285</v>
      </c>
      <c r="J445" s="4">
        <v>300</v>
      </c>
      <c r="K445" s="4" t="e">
        <f t="array" aca="1" ref="K445">MAX(H445:J445*(1-strike(H445:J445)))</f>
        <v>#NAME?</v>
      </c>
      <c r="L445" s="4">
        <v>185</v>
      </c>
      <c r="M445" s="4">
        <v>195</v>
      </c>
      <c r="N445" s="4">
        <v>201</v>
      </c>
      <c r="O445" s="4" t="e">
        <f t="array" aca="1" ref="O445">MAX(L445:N445*(1-strike(L445:N445)))</f>
        <v>#NAME?</v>
      </c>
      <c r="P445" s="4">
        <v>240</v>
      </c>
      <c r="Q445" s="4">
        <v>260</v>
      </c>
      <c r="R445" s="6">
        <v>270</v>
      </c>
      <c r="S445" s="4" t="e">
        <f t="array" aca="1" ref="S445">MAX(P445:R445*(1-strike(P445:R445)))</f>
        <v>#NAME?</v>
      </c>
      <c r="T445" s="4" t="e">
        <f t="shared" si="6"/>
        <v>#NAME?</v>
      </c>
      <c r="U445" s="4" t="s">
        <v>468</v>
      </c>
      <c r="V445" s="4">
        <v>668.69</v>
      </c>
      <c r="W445" s="4">
        <v>12</v>
      </c>
      <c r="X445" s="4">
        <v>2014</v>
      </c>
      <c r="Y445" s="5" t="s">
        <v>29</v>
      </c>
      <c r="Z445" s="5" t="s">
        <v>171</v>
      </c>
      <c r="AA445" s="5">
        <v>440</v>
      </c>
    </row>
    <row r="446" spans="1:27">
      <c r="A446" s="4">
        <v>1</v>
      </c>
      <c r="B446" s="4" t="s">
        <v>57</v>
      </c>
      <c r="C446" s="4">
        <v>1982</v>
      </c>
      <c r="D446" s="4" t="s">
        <v>28</v>
      </c>
      <c r="E446" s="4">
        <v>58.15</v>
      </c>
      <c r="F446" s="4">
        <v>0.878</v>
      </c>
      <c r="G446" s="4">
        <v>3</v>
      </c>
      <c r="H446" s="4">
        <v>205</v>
      </c>
      <c r="I446" s="4">
        <v>217.5</v>
      </c>
      <c r="J446" s="4">
        <v>226</v>
      </c>
      <c r="K446" s="4" t="e">
        <f t="array" aca="1" ref="K446">MAX(H446:J446*(1-strike(H446:J446)))</f>
        <v>#NAME?</v>
      </c>
      <c r="L446" s="4">
        <v>155</v>
      </c>
      <c r="M446" s="4">
        <v>165</v>
      </c>
      <c r="N446" s="4">
        <v>170</v>
      </c>
      <c r="O446" s="4" t="e">
        <f t="array" aca="1" ref="O446">MAX(L446:N446*(1-strike(L446:N446)))</f>
        <v>#NAME?</v>
      </c>
      <c r="P446" s="4">
        <v>240</v>
      </c>
      <c r="Q446" s="4">
        <v>260</v>
      </c>
      <c r="R446" s="6">
        <v>267.5</v>
      </c>
      <c r="S446" s="4" t="e">
        <f t="array" aca="1" ref="S446">MAX(P446:R446*(1-strike(P446:R446)))</f>
        <v>#NAME?</v>
      </c>
      <c r="T446" s="4" t="e">
        <f t="shared" si="6"/>
        <v>#NAME?</v>
      </c>
      <c r="U446" s="4">
        <v>656</v>
      </c>
      <c r="V446" s="4">
        <v>575.97</v>
      </c>
      <c r="W446" s="4">
        <v>12</v>
      </c>
      <c r="X446" s="5">
        <v>2015</v>
      </c>
      <c r="Y446" s="5" t="s">
        <v>29</v>
      </c>
      <c r="Z446" s="4" t="s">
        <v>30</v>
      </c>
      <c r="AA446" s="5">
        <v>219</v>
      </c>
    </row>
    <row r="447" spans="1:27">
      <c r="A447" s="4">
        <v>1</v>
      </c>
      <c r="B447" s="4" t="s">
        <v>57</v>
      </c>
      <c r="C447" s="4">
        <v>1982</v>
      </c>
      <c r="D447" s="4" t="s">
        <v>28</v>
      </c>
      <c r="E447" s="4">
        <v>57.6</v>
      </c>
      <c r="F447" s="4">
        <v>0.88590000000000002</v>
      </c>
      <c r="G447" s="4">
        <v>7</v>
      </c>
      <c r="H447" s="4">
        <v>265</v>
      </c>
      <c r="I447" s="4">
        <v>285</v>
      </c>
      <c r="J447" s="6">
        <v>302.5</v>
      </c>
      <c r="K447" s="4" t="e">
        <f t="array" aca="1" ref="K447">MAX(H447:J447*(1-strike(H447:J447)))</f>
        <v>#NAME?</v>
      </c>
      <c r="L447" s="4">
        <v>190</v>
      </c>
      <c r="M447" s="4">
        <v>200</v>
      </c>
      <c r="N447" s="6">
        <v>206</v>
      </c>
      <c r="O447" s="4" t="e">
        <f t="array" aca="1" ref="O447">MAX(L447:N447*(1-strike(L447:N447)))</f>
        <v>#NAME?</v>
      </c>
      <c r="P447" s="4">
        <v>230</v>
      </c>
      <c r="Q447" s="4">
        <v>250</v>
      </c>
      <c r="R447" s="4">
        <v>260</v>
      </c>
      <c r="S447" s="4" t="e">
        <f t="array" aca="1" ref="S447">MAX(P447:R447*(1-strike(P447:R447)))</f>
        <v>#NAME?</v>
      </c>
      <c r="T447" s="4" t="e">
        <f t="shared" si="6"/>
        <v>#NAME?</v>
      </c>
      <c r="U447" s="4">
        <v>745</v>
      </c>
      <c r="V447" s="4">
        <v>660</v>
      </c>
      <c r="W447" s="4">
        <v>12</v>
      </c>
      <c r="X447" s="4">
        <v>2015</v>
      </c>
      <c r="Y447" s="5" t="s">
        <v>29</v>
      </c>
      <c r="Z447" s="5" t="s">
        <v>171</v>
      </c>
      <c r="AA447" s="5">
        <v>2</v>
      </c>
    </row>
    <row r="448" spans="1:27">
      <c r="A448" s="4">
        <v>8</v>
      </c>
      <c r="B448" s="4" t="s">
        <v>469</v>
      </c>
      <c r="C448" s="4">
        <v>1990</v>
      </c>
      <c r="D448" s="4" t="s">
        <v>42</v>
      </c>
      <c r="E448" s="4">
        <v>73.84</v>
      </c>
      <c r="F448" s="4">
        <v>0.72040000000000004</v>
      </c>
      <c r="G448" s="4">
        <v>6</v>
      </c>
      <c r="H448" s="4">
        <v>235</v>
      </c>
      <c r="I448" s="4">
        <v>250</v>
      </c>
      <c r="J448" s="6">
        <v>255</v>
      </c>
      <c r="K448" s="4" t="e">
        <f t="array" aca="1" ref="K448">MAX(H448:J448*(1-strike(H448:J448)))</f>
        <v>#NAME?</v>
      </c>
      <c r="L448" s="4">
        <v>135</v>
      </c>
      <c r="M448" s="4">
        <v>145</v>
      </c>
      <c r="N448" s="4">
        <v>150</v>
      </c>
      <c r="O448" s="4" t="e">
        <f t="array" aca="1" ref="O448">MAX(L448:N448*(1-strike(L448:N448)))</f>
        <v>#NAME?</v>
      </c>
      <c r="P448" s="4">
        <v>250</v>
      </c>
      <c r="Q448" s="4">
        <v>270</v>
      </c>
      <c r="R448" s="6">
        <v>277.5</v>
      </c>
      <c r="S448" s="4" t="e">
        <f t="array" aca="1" ref="S448">MAX(P448:R448*(1-strike(P448:R448)))</f>
        <v>#NAME?</v>
      </c>
      <c r="T448" s="4" t="e">
        <f t="shared" si="6"/>
        <v>#NAME?</v>
      </c>
      <c r="U448" s="4">
        <v>670</v>
      </c>
      <c r="V448" s="4">
        <v>482.67</v>
      </c>
      <c r="W448" s="4">
        <v>3</v>
      </c>
      <c r="X448" s="5">
        <v>2015</v>
      </c>
      <c r="Y448" s="5" t="s">
        <v>29</v>
      </c>
      <c r="Z448" s="5" t="s">
        <v>30</v>
      </c>
      <c r="AA448" s="5">
        <v>245</v>
      </c>
    </row>
    <row r="449" spans="1:27" ht="15" customHeight="1">
      <c r="A449" s="4" t="s">
        <v>37</v>
      </c>
      <c r="B449" s="4" t="s">
        <v>470</v>
      </c>
      <c r="C449" s="4">
        <v>1982</v>
      </c>
      <c r="D449" s="4" t="s">
        <v>418</v>
      </c>
      <c r="E449" s="4">
        <v>102.82</v>
      </c>
      <c r="F449" s="4">
        <v>0.60209999999999997</v>
      </c>
      <c r="G449" s="4">
        <v>6</v>
      </c>
      <c r="H449" s="6">
        <v>280</v>
      </c>
      <c r="I449" s="6">
        <v>280</v>
      </c>
      <c r="J449" s="6">
        <v>280</v>
      </c>
      <c r="K449" s="4" t="e">
        <f t="array" aca="1" ref="K449">MAX(H449:J449*(1-strike(H449:J449)))</f>
        <v>#NAME?</v>
      </c>
      <c r="L449" s="6">
        <v>180</v>
      </c>
      <c r="M449" s="4">
        <v>180</v>
      </c>
      <c r="N449" s="6">
        <v>200</v>
      </c>
      <c r="O449" s="4" t="e">
        <f t="array" aca="1" ref="O449">MAX(L449:N449*(1-strike(L449:N449)))</f>
        <v>#NAME?</v>
      </c>
      <c r="P449" s="6">
        <v>250</v>
      </c>
      <c r="Q449" s="6">
        <v>250</v>
      </c>
      <c r="R449" s="6">
        <v>250</v>
      </c>
      <c r="S449" s="4" t="e">
        <f t="array" aca="1" ref="S449">MAX(P449:R449*(1-strike(P449:R449)))</f>
        <v>#NAME?</v>
      </c>
      <c r="T449" s="4" t="e">
        <f t="shared" si="6"/>
        <v>#NAME?</v>
      </c>
      <c r="U449" s="4" t="s">
        <v>187</v>
      </c>
      <c r="V449" s="4" t="s">
        <v>37</v>
      </c>
      <c r="W449" s="4" t="s">
        <v>37</v>
      </c>
      <c r="X449" s="5">
        <v>2014</v>
      </c>
      <c r="Y449" s="5" t="s">
        <v>29</v>
      </c>
      <c r="Z449" s="5" t="s">
        <v>171</v>
      </c>
      <c r="AA449" s="5">
        <v>529</v>
      </c>
    </row>
    <row r="450" spans="1:27">
      <c r="A450" s="3">
        <v>8</v>
      </c>
      <c r="B450" s="3" t="s">
        <v>471</v>
      </c>
      <c r="C450" s="3">
        <v>1989</v>
      </c>
      <c r="D450" s="3" t="s">
        <v>39</v>
      </c>
      <c r="E450" s="3">
        <v>73.25</v>
      </c>
      <c r="F450" s="3">
        <v>0.72460000000000002</v>
      </c>
      <c r="G450" s="3">
        <v>18</v>
      </c>
      <c r="H450" s="3">
        <v>202.5</v>
      </c>
      <c r="I450" s="3">
        <v>212.5</v>
      </c>
      <c r="J450" s="3">
        <v>220</v>
      </c>
      <c r="K450" s="4" t="e">
        <f t="array" aca="1" ref="K450">MAX(H450:J450*(1-strike(H450:J450)))</f>
        <v>#NAME?</v>
      </c>
      <c r="L450" s="3">
        <v>145</v>
      </c>
      <c r="M450" s="3">
        <v>155</v>
      </c>
      <c r="N450" s="1">
        <v>160</v>
      </c>
      <c r="O450" s="4" t="e">
        <f t="array" aca="1" ref="O450">MAX(L450:N450*(1-strike(L450:N450)))</f>
        <v>#NAME?</v>
      </c>
      <c r="P450" s="3">
        <v>250</v>
      </c>
      <c r="Q450" s="3">
        <v>260</v>
      </c>
      <c r="R450" s="1">
        <v>280</v>
      </c>
      <c r="S450" s="4" t="e">
        <f t="array" aca="1" ref="S450">MAX(P450:R450*(1-strike(P450:R450)))</f>
        <v>#NAME?</v>
      </c>
      <c r="T450" s="4" t="e">
        <f t="shared" ref="T450:T513" si="7">IF(AND(K450&lt;&gt;0,O450&lt;&gt;0,S450&lt;&gt;0),K450+O450+S450,0)</f>
        <v>#NAME?</v>
      </c>
      <c r="U450" s="3">
        <v>635</v>
      </c>
      <c r="V450" s="3">
        <v>460.09</v>
      </c>
      <c r="W450" s="3">
        <v>3</v>
      </c>
      <c r="X450" s="5">
        <v>2013</v>
      </c>
      <c r="Y450" s="5" t="s">
        <v>29</v>
      </c>
      <c r="Z450" s="5" t="s">
        <v>30</v>
      </c>
      <c r="AA450" s="5">
        <v>1038</v>
      </c>
    </row>
    <row r="451" spans="1:27">
      <c r="A451" s="4">
        <v>16</v>
      </c>
      <c r="B451" s="4" t="s">
        <v>472</v>
      </c>
      <c r="C451" s="4">
        <v>1980</v>
      </c>
      <c r="D451" s="4" t="s">
        <v>49</v>
      </c>
      <c r="E451" s="4">
        <v>92</v>
      </c>
      <c r="F451" s="4">
        <v>0.63149999999999995</v>
      </c>
      <c r="G451" s="4">
        <v>2</v>
      </c>
      <c r="H451" s="6">
        <v>255</v>
      </c>
      <c r="I451" s="4">
        <v>255</v>
      </c>
      <c r="J451" s="4">
        <v>265</v>
      </c>
      <c r="K451" s="4" t="e">
        <f t="array" aca="1" ref="K451">MAX(H451:J451*(1-strike(H451:J451)))</f>
        <v>#NAME?</v>
      </c>
      <c r="L451" s="4">
        <v>140</v>
      </c>
      <c r="M451" s="6">
        <v>147.5</v>
      </c>
      <c r="N451" s="6">
        <v>147.5</v>
      </c>
      <c r="O451" s="4" t="e">
        <f t="array" aca="1" ref="O451">MAX(L451:N451*(1-strike(L451:N451)))</f>
        <v>#NAME?</v>
      </c>
      <c r="P451" s="4">
        <v>220</v>
      </c>
      <c r="Q451" s="4">
        <v>227.5</v>
      </c>
      <c r="R451" s="4">
        <v>240</v>
      </c>
      <c r="S451" s="4" t="e">
        <f t="array" aca="1" ref="S451">MAX(P451:R451*(1-strike(P451:R451)))</f>
        <v>#NAME?</v>
      </c>
      <c r="T451" s="4" t="e">
        <f t="shared" si="7"/>
        <v>#NAME?</v>
      </c>
      <c r="U451" s="4">
        <v>645</v>
      </c>
      <c r="V451" s="4">
        <v>407.32</v>
      </c>
      <c r="W451" s="4">
        <v>1</v>
      </c>
      <c r="X451" s="5">
        <v>2014</v>
      </c>
      <c r="Y451" s="5" t="s">
        <v>29</v>
      </c>
      <c r="Z451" s="5" t="s">
        <v>171</v>
      </c>
      <c r="AA451" s="5">
        <v>508</v>
      </c>
    </row>
    <row r="452" spans="1:27">
      <c r="A452" s="4">
        <v>19</v>
      </c>
      <c r="B452" s="4" t="s">
        <v>472</v>
      </c>
      <c r="C452" s="4">
        <v>1981</v>
      </c>
      <c r="D452" s="4" t="s">
        <v>49</v>
      </c>
      <c r="E452" s="4">
        <v>100.85</v>
      </c>
      <c r="F452" s="4">
        <v>0.60660000000000003</v>
      </c>
      <c r="G452" s="4">
        <v>9</v>
      </c>
      <c r="H452" s="4">
        <v>260</v>
      </c>
      <c r="I452" s="6">
        <v>275</v>
      </c>
      <c r="J452" s="4">
        <v>275</v>
      </c>
      <c r="K452" s="4" t="e">
        <f t="array" aca="1" ref="K452">MAX(H452:J452*(1-strike(H452:J452)))</f>
        <v>#NAME?</v>
      </c>
      <c r="L452" s="4">
        <v>160</v>
      </c>
      <c r="M452" s="4">
        <v>170</v>
      </c>
      <c r="N452" s="4">
        <v>177.5</v>
      </c>
      <c r="O452" s="4" t="e">
        <f t="array" aca="1" ref="O452">MAX(L452:N452*(1-strike(L452:N452)))</f>
        <v>#NAME?</v>
      </c>
      <c r="P452" s="4">
        <v>230</v>
      </c>
      <c r="Q452" s="6">
        <v>240</v>
      </c>
      <c r="R452" s="6">
        <v>247.5</v>
      </c>
      <c r="S452" s="4" t="e">
        <f t="array" aca="1" ref="S452">MAX(P452:R452*(1-strike(P452:R452)))</f>
        <v>#NAME?</v>
      </c>
      <c r="T452" s="4" t="e">
        <f t="shared" si="7"/>
        <v>#NAME?</v>
      </c>
      <c r="U452" s="4">
        <v>682.5</v>
      </c>
      <c r="V452" s="4">
        <v>414</v>
      </c>
      <c r="W452" s="4">
        <v>1</v>
      </c>
      <c r="X452" s="5">
        <v>2015</v>
      </c>
      <c r="Y452" s="5" t="s">
        <v>29</v>
      </c>
      <c r="Z452" s="5" t="s">
        <v>171</v>
      </c>
      <c r="AA452" s="5">
        <v>91</v>
      </c>
    </row>
    <row r="453" spans="1:27">
      <c r="A453" s="4">
        <v>12</v>
      </c>
      <c r="B453" s="4" t="s">
        <v>473</v>
      </c>
      <c r="C453" s="4">
        <v>1995</v>
      </c>
      <c r="D453" s="4" t="s">
        <v>418</v>
      </c>
      <c r="E453" s="4">
        <v>72.239999999999995</v>
      </c>
      <c r="F453" s="4">
        <v>0.73219999999999996</v>
      </c>
      <c r="G453" s="4">
        <v>4</v>
      </c>
      <c r="H453" s="4">
        <v>220</v>
      </c>
      <c r="I453" s="6">
        <v>240</v>
      </c>
      <c r="J453" s="6">
        <v>240</v>
      </c>
      <c r="K453" s="4" t="e">
        <f t="array" aca="1" ref="K453">MAX(H453:J453*(1-strike(H453:J453)))</f>
        <v>#NAME?</v>
      </c>
      <c r="L453" s="4">
        <v>110</v>
      </c>
      <c r="M453" s="4">
        <v>120</v>
      </c>
      <c r="N453" s="6">
        <v>130</v>
      </c>
      <c r="O453" s="4" t="e">
        <f t="array" aca="1" ref="O453">MAX(L453:N453*(1-strike(L453:N453)))</f>
        <v>#NAME?</v>
      </c>
      <c r="P453" s="4">
        <v>210</v>
      </c>
      <c r="Q453" s="4">
        <v>220</v>
      </c>
      <c r="R453" s="6">
        <v>225</v>
      </c>
      <c r="S453" s="4" t="e">
        <f t="array" aca="1" ref="S453">MAX(P453:R453*(1-strike(P453:R453)))</f>
        <v>#NAME?</v>
      </c>
      <c r="T453" s="4" t="e">
        <f t="shared" si="7"/>
        <v>#NAME?</v>
      </c>
      <c r="U453" s="4">
        <v>560</v>
      </c>
      <c r="V453" s="4">
        <v>410.03</v>
      </c>
      <c r="W453" s="4">
        <v>1</v>
      </c>
      <c r="X453" s="5">
        <v>2014</v>
      </c>
      <c r="Y453" s="5" t="s">
        <v>29</v>
      </c>
      <c r="Z453" s="5" t="s">
        <v>171</v>
      </c>
      <c r="AA453" s="5">
        <v>472</v>
      </c>
    </row>
    <row r="454" spans="1:27">
      <c r="A454" s="4">
        <v>9</v>
      </c>
      <c r="B454" s="4" t="s">
        <v>474</v>
      </c>
      <c r="C454" s="4">
        <v>1988</v>
      </c>
      <c r="D454" s="4" t="s">
        <v>113</v>
      </c>
      <c r="E454" s="4">
        <v>104.07</v>
      </c>
      <c r="F454" s="4">
        <v>0.59940000000000004</v>
      </c>
      <c r="G454" s="4">
        <v>16</v>
      </c>
      <c r="H454" s="4">
        <v>270</v>
      </c>
      <c r="I454" s="4">
        <v>285</v>
      </c>
      <c r="J454" s="6">
        <v>300</v>
      </c>
      <c r="K454" s="4" t="e">
        <f t="array" aca="1" ref="K454">MAX(H454:J454*(1-strike(H454:J454)))</f>
        <v>#NAME?</v>
      </c>
      <c r="L454" s="4">
        <v>175</v>
      </c>
      <c r="M454" s="4">
        <v>180</v>
      </c>
      <c r="N454" s="4">
        <v>185</v>
      </c>
      <c r="O454" s="4" t="e">
        <f t="array" aca="1" ref="O454">MAX(L454:N454*(1-strike(L454:N454)))</f>
        <v>#NAME?</v>
      </c>
      <c r="P454" s="4">
        <v>270</v>
      </c>
      <c r="Q454" s="4">
        <v>282.5</v>
      </c>
      <c r="R454" s="4">
        <v>290</v>
      </c>
      <c r="S454" s="4" t="e">
        <f t="array" aca="1" ref="S454">MAX(P454:R454*(1-strike(P454:R454)))</f>
        <v>#NAME?</v>
      </c>
      <c r="T454" s="4" t="e">
        <f t="shared" si="7"/>
        <v>#NAME?</v>
      </c>
      <c r="U454" s="4">
        <v>760</v>
      </c>
      <c r="V454" s="4">
        <v>455.54</v>
      </c>
      <c r="W454" s="4">
        <v>2</v>
      </c>
      <c r="X454" s="5">
        <v>2015</v>
      </c>
      <c r="Y454" s="5" t="s">
        <v>29</v>
      </c>
      <c r="Z454" s="5" t="s">
        <v>30</v>
      </c>
      <c r="AA454" s="5">
        <v>301</v>
      </c>
    </row>
    <row r="455" spans="1:27">
      <c r="A455" s="4" t="s">
        <v>37</v>
      </c>
      <c r="B455" s="4" t="s">
        <v>475</v>
      </c>
      <c r="C455" s="4">
        <v>1983</v>
      </c>
      <c r="D455" s="4" t="s">
        <v>228</v>
      </c>
      <c r="E455" s="4">
        <v>169.7</v>
      </c>
      <c r="F455" s="4">
        <v>0.54330000000000001</v>
      </c>
      <c r="G455" s="4">
        <v>7</v>
      </c>
      <c r="H455" s="6">
        <v>360</v>
      </c>
      <c r="I455" s="4">
        <v>360</v>
      </c>
      <c r="J455" s="6">
        <v>382.5</v>
      </c>
      <c r="K455" s="4" t="e">
        <f t="array" aca="1" ref="K455">MAX(H455:J455*(1-strike(H455:J455)))</f>
        <v>#NAME?</v>
      </c>
      <c r="L455" s="6">
        <v>330</v>
      </c>
      <c r="M455" s="6">
        <v>330</v>
      </c>
      <c r="N455" s="4">
        <v>330</v>
      </c>
      <c r="O455" s="4" t="e">
        <f t="array" aca="1" ref="O455">MAX(L455:N455*(1-strike(L455:N455)))</f>
        <v>#NAME?</v>
      </c>
      <c r="P455" s="4">
        <v>290</v>
      </c>
      <c r="Q455" s="4">
        <v>310</v>
      </c>
      <c r="R455" s="6">
        <v>315</v>
      </c>
      <c r="S455" s="4" t="e">
        <f t="array" aca="1" ref="S455">MAX(P455:R455*(1-strike(P455:R455)))</f>
        <v>#NAME?</v>
      </c>
      <c r="T455" s="4" t="e">
        <f t="shared" si="7"/>
        <v>#NAME?</v>
      </c>
      <c r="U455" s="4" t="s">
        <v>361</v>
      </c>
      <c r="V455" s="4" t="s">
        <v>37</v>
      </c>
      <c r="W455" s="4" t="s">
        <v>37</v>
      </c>
      <c r="X455" s="5">
        <v>2014</v>
      </c>
      <c r="Y455" s="5" t="s">
        <v>29</v>
      </c>
      <c r="Z455" s="5" t="s">
        <v>171</v>
      </c>
      <c r="AA455" s="5">
        <v>565</v>
      </c>
    </row>
    <row r="456" spans="1:27">
      <c r="A456" s="4">
        <v>9</v>
      </c>
      <c r="B456" s="4" t="s">
        <v>476</v>
      </c>
      <c r="C456" s="4">
        <v>1982</v>
      </c>
      <c r="D456" s="4" t="s">
        <v>113</v>
      </c>
      <c r="E456" s="4">
        <v>135.1</v>
      </c>
      <c r="F456" s="4">
        <v>0.56189999999999996</v>
      </c>
      <c r="G456" s="4">
        <v>12</v>
      </c>
      <c r="H456" s="4">
        <v>330</v>
      </c>
      <c r="I456" s="4">
        <v>340</v>
      </c>
      <c r="J456" s="6">
        <v>347.5</v>
      </c>
      <c r="K456" s="4" t="e">
        <f t="array" aca="1" ref="K456">MAX(H456:J456*(1-strike(H456:J456)))</f>
        <v>#NAME?</v>
      </c>
      <c r="L456" s="4">
        <v>232.5</v>
      </c>
      <c r="M456" s="4">
        <v>242.5</v>
      </c>
      <c r="N456" s="4">
        <v>250</v>
      </c>
      <c r="O456" s="4" t="e">
        <f t="array" aca="1" ref="O456">MAX(L456:N456*(1-strike(L456:N456)))</f>
        <v>#NAME?</v>
      </c>
      <c r="P456" s="4">
        <v>285</v>
      </c>
      <c r="Q456" s="4">
        <v>300</v>
      </c>
      <c r="R456" s="6">
        <v>310</v>
      </c>
      <c r="S456" s="4" t="e">
        <f t="array" aca="1" ref="S456">MAX(P456:R456*(1-strike(P456:R456)))</f>
        <v>#NAME?</v>
      </c>
      <c r="T456" s="4" t="e">
        <f t="shared" si="7"/>
        <v>#NAME?</v>
      </c>
      <c r="U456" s="4">
        <v>890</v>
      </c>
      <c r="V456" s="4">
        <v>500.09</v>
      </c>
      <c r="W456" s="4">
        <v>2</v>
      </c>
      <c r="X456" s="5">
        <v>2014</v>
      </c>
      <c r="Y456" s="5" t="s">
        <v>29</v>
      </c>
      <c r="Z456" s="5" t="s">
        <v>171</v>
      </c>
      <c r="AA456" s="5">
        <v>562</v>
      </c>
    </row>
    <row r="457" spans="1:27">
      <c r="A457" s="3">
        <v>5</v>
      </c>
      <c r="B457" s="3" t="s">
        <v>61</v>
      </c>
      <c r="C457" s="3">
        <v>1986</v>
      </c>
      <c r="D457" s="3" t="s">
        <v>62</v>
      </c>
      <c r="E457" s="3">
        <v>65.45</v>
      </c>
      <c r="F457" s="3">
        <v>0.79059999999999997</v>
      </c>
      <c r="G457" s="3">
        <v>2</v>
      </c>
      <c r="H457" s="3">
        <v>182.5</v>
      </c>
      <c r="I457" s="3">
        <v>195</v>
      </c>
      <c r="J457" s="1">
        <v>205</v>
      </c>
      <c r="K457" s="4" t="e">
        <f t="array" aca="1" ref="K457">MAX(H457:J457*(1-strike(H457:J457)))</f>
        <v>#NAME?</v>
      </c>
      <c r="L457" s="3">
        <v>142.5</v>
      </c>
      <c r="M457" s="3">
        <v>150</v>
      </c>
      <c r="N457" s="3">
        <v>155</v>
      </c>
      <c r="O457" s="4" t="e">
        <f t="array" aca="1" ref="O457">MAX(L457:N457*(1-strike(L457:N457)))</f>
        <v>#NAME?</v>
      </c>
      <c r="P457" s="3">
        <v>215</v>
      </c>
      <c r="Q457" s="3">
        <v>227.5</v>
      </c>
      <c r="R457" s="3">
        <v>232.5</v>
      </c>
      <c r="S457" s="4" t="e">
        <f t="array" aca="1" ref="S457">MAX(P457:R457*(1-strike(P457:R457)))</f>
        <v>#NAME?</v>
      </c>
      <c r="T457" s="4" t="e">
        <f t="shared" si="7"/>
        <v>#NAME?</v>
      </c>
      <c r="U457" s="3">
        <v>582.5</v>
      </c>
      <c r="V457" s="3">
        <v>460.52</v>
      </c>
      <c r="W457" s="3">
        <v>6</v>
      </c>
      <c r="X457" s="5">
        <v>2013</v>
      </c>
      <c r="Y457" s="5" t="s">
        <v>29</v>
      </c>
      <c r="Z457" s="5" t="s">
        <v>30</v>
      </c>
      <c r="AA457" s="5">
        <v>1027</v>
      </c>
    </row>
    <row r="458" spans="1:27">
      <c r="A458" s="4">
        <v>5</v>
      </c>
      <c r="B458" s="4" t="s">
        <v>61</v>
      </c>
      <c r="C458" s="4">
        <v>1986</v>
      </c>
      <c r="D458" s="4" t="s">
        <v>62</v>
      </c>
      <c r="E458" s="4">
        <v>65.05</v>
      </c>
      <c r="F458" s="4">
        <v>0.79469999999999996</v>
      </c>
      <c r="G458" s="4">
        <v>12</v>
      </c>
      <c r="H458" s="4">
        <v>182.5</v>
      </c>
      <c r="I458" s="4">
        <v>192.5</v>
      </c>
      <c r="J458" s="4">
        <v>197.5</v>
      </c>
      <c r="K458" s="4" t="e">
        <f t="array" aca="1" ref="K458">MAX(H458:J458*(1-strike(H458:J458)))</f>
        <v>#NAME?</v>
      </c>
      <c r="L458" s="4">
        <v>140</v>
      </c>
      <c r="M458" s="4">
        <v>150</v>
      </c>
      <c r="N458" s="4">
        <v>155</v>
      </c>
      <c r="O458" s="4" t="e">
        <f t="array" aca="1" ref="O458">MAX(L458:N458*(1-strike(L458:N458)))</f>
        <v>#NAME?</v>
      </c>
      <c r="P458" s="4">
        <v>227.5</v>
      </c>
      <c r="Q458" s="4">
        <v>240</v>
      </c>
      <c r="R458" s="6">
        <v>250</v>
      </c>
      <c r="S458" s="4" t="e">
        <f t="array" aca="1" ref="S458">MAX(P458:R458*(1-strike(P458:R458)))</f>
        <v>#NAME?</v>
      </c>
      <c r="T458" s="4" t="e">
        <f t="shared" si="7"/>
        <v>#NAME?</v>
      </c>
      <c r="U458" s="4">
        <v>592.5</v>
      </c>
      <c r="V458" s="4">
        <v>470.86</v>
      </c>
      <c r="W458" s="4">
        <v>6</v>
      </c>
      <c r="X458" s="5">
        <v>2014</v>
      </c>
      <c r="Y458" s="5" t="s">
        <v>29</v>
      </c>
      <c r="Z458" s="5" t="s">
        <v>30</v>
      </c>
      <c r="AA458" s="5">
        <v>661</v>
      </c>
    </row>
    <row r="459" spans="1:27">
      <c r="A459" s="4">
        <v>10</v>
      </c>
      <c r="B459" s="4" t="s">
        <v>477</v>
      </c>
      <c r="C459" s="4">
        <v>1985</v>
      </c>
      <c r="D459" s="4" t="s">
        <v>194</v>
      </c>
      <c r="E459" s="4">
        <v>63.3</v>
      </c>
      <c r="F459" s="4">
        <v>0.81330000000000002</v>
      </c>
      <c r="G459" s="4">
        <v>13</v>
      </c>
      <c r="H459" s="4">
        <v>152.5</v>
      </c>
      <c r="I459" s="4">
        <v>160</v>
      </c>
      <c r="J459" s="4">
        <v>167.5</v>
      </c>
      <c r="K459" s="4" t="e">
        <f t="array" aca="1" ref="K459">MAX(H459:J459*(1-strike(H459:J459)))</f>
        <v>#NAME?</v>
      </c>
      <c r="L459" s="4">
        <v>100</v>
      </c>
      <c r="M459" s="6">
        <v>107.5</v>
      </c>
      <c r="N459" s="6">
        <v>107.5</v>
      </c>
      <c r="O459" s="4" t="e">
        <f t="array" aca="1" ref="O459">MAX(L459:N459*(1-strike(L459:N459)))</f>
        <v>#NAME?</v>
      </c>
      <c r="P459" s="6">
        <v>232.5</v>
      </c>
      <c r="Q459" s="4">
        <v>235</v>
      </c>
      <c r="R459" s="6">
        <v>240</v>
      </c>
      <c r="S459" s="4" t="e">
        <f t="array" aca="1" ref="S459">MAX(P459:R459*(1-strike(P459:R459)))</f>
        <v>#NAME?</v>
      </c>
      <c r="T459" s="4" t="e">
        <f t="shared" si="7"/>
        <v>#NAME?</v>
      </c>
      <c r="U459" s="4">
        <v>502.5</v>
      </c>
      <c r="V459" s="4">
        <v>408.68</v>
      </c>
      <c r="W459" s="4">
        <v>1</v>
      </c>
      <c r="X459" s="5">
        <v>2014</v>
      </c>
      <c r="Y459" s="5" t="s">
        <v>29</v>
      </c>
      <c r="Z459" s="5" t="s">
        <v>30</v>
      </c>
      <c r="AA459" s="5">
        <v>666</v>
      </c>
    </row>
    <row r="460" spans="1:27">
      <c r="A460" s="4">
        <v>12</v>
      </c>
      <c r="B460" s="4" t="s">
        <v>478</v>
      </c>
      <c r="C460" s="4">
        <v>1984</v>
      </c>
      <c r="D460" s="4" t="s">
        <v>113</v>
      </c>
      <c r="E460" s="4">
        <v>81.900000000000006</v>
      </c>
      <c r="F460" s="4">
        <v>0.67290000000000005</v>
      </c>
      <c r="G460" s="4">
        <v>14</v>
      </c>
      <c r="H460" s="4">
        <v>237.5</v>
      </c>
      <c r="I460" s="4">
        <v>250</v>
      </c>
      <c r="J460" s="6">
        <v>262.5</v>
      </c>
      <c r="K460" s="4" t="e">
        <f t="array" aca="1" ref="K460">MAX(H460:J460*(1-strike(H460:J460)))</f>
        <v>#NAME?</v>
      </c>
      <c r="L460" s="4">
        <v>157.5</v>
      </c>
      <c r="M460" s="6">
        <v>165</v>
      </c>
      <c r="N460" s="4">
        <v>165</v>
      </c>
      <c r="O460" s="4" t="e">
        <f t="array" aca="1" ref="O460">MAX(L460:N460*(1-strike(L460:N460)))</f>
        <v>#NAME?</v>
      </c>
      <c r="P460" s="4">
        <v>237.5</v>
      </c>
      <c r="Q460" s="4">
        <v>250</v>
      </c>
      <c r="R460" s="6">
        <v>260</v>
      </c>
      <c r="S460" s="4" t="e">
        <f t="array" aca="1" ref="S460">MAX(P460:R460*(1-strike(P460:R460)))</f>
        <v>#NAME?</v>
      </c>
      <c r="T460" s="4" t="e">
        <f t="shared" si="7"/>
        <v>#NAME?</v>
      </c>
      <c r="U460" s="4">
        <v>665</v>
      </c>
      <c r="V460" s="4">
        <v>447.48</v>
      </c>
      <c r="W460" s="4">
        <v>1</v>
      </c>
      <c r="X460" s="5">
        <v>2014</v>
      </c>
      <c r="Y460" s="5" t="s">
        <v>29</v>
      </c>
      <c r="Z460" s="5" t="s">
        <v>171</v>
      </c>
      <c r="AA460" s="5">
        <v>487</v>
      </c>
    </row>
    <row r="461" spans="1:27">
      <c r="A461" s="3">
        <v>10</v>
      </c>
      <c r="B461" s="3" t="s">
        <v>479</v>
      </c>
      <c r="C461" s="3">
        <v>1982</v>
      </c>
      <c r="D461" s="3" t="s">
        <v>480</v>
      </c>
      <c r="E461" s="3">
        <v>73.25</v>
      </c>
      <c r="F461" s="3">
        <v>0.72460000000000002</v>
      </c>
      <c r="G461" s="3">
        <v>1</v>
      </c>
      <c r="H461" s="3">
        <v>190</v>
      </c>
      <c r="I461" s="3">
        <v>200</v>
      </c>
      <c r="J461" s="1">
        <v>212.5</v>
      </c>
      <c r="K461" s="4" t="e">
        <f t="array" aca="1" ref="K461">MAX(H461:J461*(1-strike(H461:J461)))</f>
        <v>#NAME?</v>
      </c>
      <c r="L461" s="3">
        <v>120</v>
      </c>
      <c r="M461" s="3">
        <v>130</v>
      </c>
      <c r="N461" s="1">
        <v>132.5</v>
      </c>
      <c r="O461" s="4" t="e">
        <f t="array" aca="1" ref="O461">MAX(L461:N461*(1-strike(L461:N461)))</f>
        <v>#NAME?</v>
      </c>
      <c r="P461" s="3">
        <v>240</v>
      </c>
      <c r="Q461" s="1">
        <v>250</v>
      </c>
      <c r="R461" s="3"/>
      <c r="S461" s="4" t="e">
        <f t="array" aca="1" ref="S461">MAX(P461:R461*(1-strike(P461:R461)))</f>
        <v>#NAME?</v>
      </c>
      <c r="T461" s="4" t="e">
        <f t="shared" si="7"/>
        <v>#NAME?</v>
      </c>
      <c r="U461" s="3">
        <v>570</v>
      </c>
      <c r="V461" s="3">
        <v>412.99</v>
      </c>
      <c r="W461" s="3">
        <v>1</v>
      </c>
      <c r="X461" s="5">
        <v>2013</v>
      </c>
      <c r="Y461" s="5" t="s">
        <v>29</v>
      </c>
      <c r="Z461" s="5" t="s">
        <v>30</v>
      </c>
      <c r="AA461" s="5">
        <v>1040</v>
      </c>
    </row>
    <row r="462" spans="1:27" ht="15" customHeight="1">
      <c r="A462" s="4">
        <v>2</v>
      </c>
      <c r="B462" s="4" t="s">
        <v>481</v>
      </c>
      <c r="C462" s="4">
        <v>1986</v>
      </c>
      <c r="D462" s="4" t="s">
        <v>28</v>
      </c>
      <c r="E462" s="4">
        <v>73.16</v>
      </c>
      <c r="F462" s="4">
        <v>0.72489999999999999</v>
      </c>
      <c r="G462" s="4">
        <v>13</v>
      </c>
      <c r="H462" s="4">
        <v>295</v>
      </c>
      <c r="I462" s="4">
        <v>305</v>
      </c>
      <c r="J462" s="4">
        <v>310</v>
      </c>
      <c r="K462" s="4" t="e">
        <f t="array" aca="1" ref="K462">MAX(H462:J462*(1-strike(H462:J462)))</f>
        <v>#NAME?</v>
      </c>
      <c r="L462" s="4">
        <v>190</v>
      </c>
      <c r="M462" s="4">
        <v>200</v>
      </c>
      <c r="N462" s="4">
        <v>207.5</v>
      </c>
      <c r="O462" s="4" t="e">
        <f t="array" aca="1" ref="O462">MAX(L462:N462*(1-strike(L462:N462)))</f>
        <v>#NAME?</v>
      </c>
      <c r="P462" s="4">
        <v>305</v>
      </c>
      <c r="Q462" s="4">
        <v>317.5</v>
      </c>
      <c r="R462" s="4">
        <v>325</v>
      </c>
      <c r="S462" s="4" t="e">
        <f t="array" aca="1" ref="S462">MAX(P462:R462*(1-strike(P462:R462)))</f>
        <v>#NAME?</v>
      </c>
      <c r="T462" s="4" t="e">
        <f t="shared" si="7"/>
        <v>#NAME?</v>
      </c>
      <c r="U462" s="4">
        <v>842.5</v>
      </c>
      <c r="V462" s="4">
        <v>610.73</v>
      </c>
      <c r="W462" s="4">
        <v>9</v>
      </c>
      <c r="X462" s="5">
        <v>2014</v>
      </c>
      <c r="Y462" s="5" t="s">
        <v>29</v>
      </c>
      <c r="Z462" s="5" t="s">
        <v>171</v>
      </c>
      <c r="AA462" s="5">
        <v>462</v>
      </c>
    </row>
    <row r="463" spans="1:27">
      <c r="A463" s="4">
        <v>2</v>
      </c>
      <c r="B463" s="4" t="s">
        <v>481</v>
      </c>
      <c r="C463" s="4">
        <v>1986</v>
      </c>
      <c r="D463" s="4" t="s">
        <v>28</v>
      </c>
      <c r="E463" s="4">
        <v>72.900000000000006</v>
      </c>
      <c r="F463" s="4">
        <v>0.72709999999999997</v>
      </c>
      <c r="G463" s="4">
        <v>12</v>
      </c>
      <c r="H463" s="4">
        <v>315</v>
      </c>
      <c r="I463" s="4">
        <v>330</v>
      </c>
      <c r="J463" s="4">
        <v>340</v>
      </c>
      <c r="K463" s="4" t="e">
        <f t="array" aca="1" ref="K463">MAX(H463:J463*(1-strike(H463:J463)))</f>
        <v>#NAME?</v>
      </c>
      <c r="L463" s="4">
        <v>202.5</v>
      </c>
      <c r="M463" s="6">
        <v>212.5</v>
      </c>
      <c r="N463" s="6">
        <v>212.5</v>
      </c>
      <c r="O463" s="4" t="e">
        <f t="array" aca="1" ref="O463">MAX(L463:N463*(1-strike(L463:N463)))</f>
        <v>#NAME?</v>
      </c>
      <c r="P463" s="4">
        <v>310</v>
      </c>
      <c r="Q463" s="4">
        <v>322.5</v>
      </c>
      <c r="R463" s="6">
        <v>340.5</v>
      </c>
      <c r="S463" s="4" t="e">
        <f t="array" aca="1" ref="S463">MAX(P463:R463*(1-strike(P463:R463)))</f>
        <v>#NAME?</v>
      </c>
      <c r="T463" s="4" t="e">
        <f t="shared" si="7"/>
        <v>#NAME?</v>
      </c>
      <c r="U463" s="4">
        <v>865</v>
      </c>
      <c r="V463" s="4">
        <v>628.94000000000005</v>
      </c>
      <c r="W463" s="4">
        <v>9</v>
      </c>
      <c r="X463" s="5">
        <v>2015</v>
      </c>
      <c r="Y463" s="5" t="s">
        <v>29</v>
      </c>
      <c r="Z463" s="5" t="s">
        <v>171</v>
      </c>
      <c r="AA463" s="5">
        <v>24</v>
      </c>
    </row>
    <row r="464" spans="1:27">
      <c r="A464" s="4">
        <v>10</v>
      </c>
      <c r="B464" s="4" t="s">
        <v>482</v>
      </c>
      <c r="C464" s="4">
        <v>1982</v>
      </c>
      <c r="D464" s="4" t="s">
        <v>49</v>
      </c>
      <c r="E464" s="4">
        <v>73.040000000000006</v>
      </c>
      <c r="F464" s="4">
        <v>0.72640000000000005</v>
      </c>
      <c r="G464" s="4">
        <v>11</v>
      </c>
      <c r="H464" s="4">
        <v>265</v>
      </c>
      <c r="I464" s="6">
        <v>280</v>
      </c>
      <c r="J464" s="6">
        <v>280</v>
      </c>
      <c r="K464" s="4" t="e">
        <f t="array" aca="1" ref="K464">MAX(H464:J464*(1-strike(H464:J464)))</f>
        <v>#NAME?</v>
      </c>
      <c r="L464" s="4">
        <v>215</v>
      </c>
      <c r="M464" s="4">
        <v>220</v>
      </c>
      <c r="N464" s="6">
        <v>225</v>
      </c>
      <c r="O464" s="4" t="e">
        <f t="array" aca="1" ref="O464">MAX(L464:N464*(1-strike(L464:N464)))</f>
        <v>#NAME?</v>
      </c>
      <c r="P464" s="4">
        <v>240</v>
      </c>
      <c r="Q464" s="4">
        <v>250</v>
      </c>
      <c r="R464" s="6">
        <v>255</v>
      </c>
      <c r="S464" s="4" t="e">
        <f t="array" aca="1" ref="S464">MAX(P464:R464*(1-strike(P464:R464)))</f>
        <v>#NAME?</v>
      </c>
      <c r="T464" s="4" t="e">
        <f t="shared" si="7"/>
        <v>#NAME?</v>
      </c>
      <c r="U464" s="4">
        <v>735</v>
      </c>
      <c r="V464" s="4">
        <v>533.9</v>
      </c>
      <c r="W464" s="4">
        <v>1</v>
      </c>
      <c r="X464" s="5">
        <v>2014</v>
      </c>
      <c r="Y464" s="5" t="s">
        <v>29</v>
      </c>
      <c r="Z464" s="5" t="s">
        <v>171</v>
      </c>
      <c r="AA464" s="5">
        <v>470</v>
      </c>
    </row>
    <row r="465" spans="1:27">
      <c r="A465" s="3">
        <v>2</v>
      </c>
      <c r="B465" s="3" t="s">
        <v>483</v>
      </c>
      <c r="C465" s="3">
        <v>1980</v>
      </c>
      <c r="D465" s="3" t="s">
        <v>464</v>
      </c>
      <c r="E465" s="3">
        <v>58.41</v>
      </c>
      <c r="F465" s="3">
        <v>0.87439999999999996</v>
      </c>
      <c r="G465" s="3">
        <v>4</v>
      </c>
      <c r="H465" s="3">
        <v>240</v>
      </c>
      <c r="I465" s="3">
        <v>250</v>
      </c>
      <c r="J465" s="1">
        <v>257.5</v>
      </c>
      <c r="K465" s="4" t="e">
        <f t="array" aca="1" ref="K465">MAX(H465:J465*(1-strike(H465:J465)))</f>
        <v>#NAME?</v>
      </c>
      <c r="L465" s="3">
        <v>165</v>
      </c>
      <c r="M465" s="1">
        <v>170</v>
      </c>
      <c r="N465" s="3">
        <v>172.5</v>
      </c>
      <c r="O465" s="4" t="e">
        <f t="array" aca="1" ref="O465">MAX(L465:N465*(1-strike(L465:N465)))</f>
        <v>#NAME?</v>
      </c>
      <c r="P465" s="3">
        <v>235</v>
      </c>
      <c r="Q465" s="3">
        <v>245</v>
      </c>
      <c r="R465" s="1">
        <v>250</v>
      </c>
      <c r="S465" s="4" t="e">
        <f t="array" aca="1" ref="S465">MAX(P465:R465*(1-strike(P465:R465)))</f>
        <v>#NAME?</v>
      </c>
      <c r="T465" s="4" t="e">
        <f t="shared" si="7"/>
        <v>#NAME?</v>
      </c>
      <c r="U465" s="3">
        <v>667.5</v>
      </c>
      <c r="V465" s="3">
        <v>583.63</v>
      </c>
      <c r="W465" s="3">
        <v>9</v>
      </c>
      <c r="X465" s="5">
        <v>2012</v>
      </c>
      <c r="Y465" s="5" t="s">
        <v>29</v>
      </c>
      <c r="Z465" s="5" t="s">
        <v>171</v>
      </c>
      <c r="AA465" s="5">
        <v>1193</v>
      </c>
    </row>
    <row r="466" spans="1:27">
      <c r="A466" s="3">
        <v>14</v>
      </c>
      <c r="B466" s="3" t="s">
        <v>484</v>
      </c>
      <c r="C466" s="3">
        <v>1975</v>
      </c>
      <c r="D466" s="3" t="s">
        <v>485</v>
      </c>
      <c r="E466" s="3">
        <v>90.82</v>
      </c>
      <c r="F466" s="3">
        <v>0.63549999999999995</v>
      </c>
      <c r="G466" s="3">
        <v>24</v>
      </c>
      <c r="H466" s="3">
        <v>285</v>
      </c>
      <c r="I466" s="3">
        <v>295</v>
      </c>
      <c r="J466" s="1">
        <v>305</v>
      </c>
      <c r="K466" s="4" t="e">
        <f t="array" aca="1" ref="K466">MAX(H466:J466*(1-strike(H466:J466)))</f>
        <v>#NAME?</v>
      </c>
      <c r="L466" s="3">
        <v>207.5</v>
      </c>
      <c r="M466" s="3">
        <v>215</v>
      </c>
      <c r="N466" s="1">
        <v>220</v>
      </c>
      <c r="O466" s="4" t="e">
        <f t="array" aca="1" ref="O466">MAX(L466:N466*(1-strike(L466:N466)))</f>
        <v>#NAME?</v>
      </c>
      <c r="P466" s="3">
        <v>280</v>
      </c>
      <c r="Q466" s="1">
        <v>290</v>
      </c>
      <c r="R466" s="1">
        <v>290</v>
      </c>
      <c r="S466" s="4" t="e">
        <f t="array" aca="1" ref="S466">MAX(P466:R466*(1-strike(P466:R466)))</f>
        <v>#NAME?</v>
      </c>
      <c r="T466" s="4" t="e">
        <f t="shared" si="7"/>
        <v>#NAME?</v>
      </c>
      <c r="U466" s="3">
        <v>790</v>
      </c>
      <c r="V466" s="3">
        <v>502.06</v>
      </c>
      <c r="W466" s="3">
        <v>1</v>
      </c>
      <c r="X466" s="5">
        <v>2012</v>
      </c>
      <c r="Y466" s="5" t="s">
        <v>29</v>
      </c>
      <c r="Z466" s="5" t="s">
        <v>171</v>
      </c>
      <c r="AA466" s="5">
        <v>1269</v>
      </c>
    </row>
    <row r="467" spans="1:27">
      <c r="A467" s="4">
        <v>13</v>
      </c>
      <c r="B467" s="4" t="s">
        <v>484</v>
      </c>
      <c r="C467" s="4">
        <v>1975</v>
      </c>
      <c r="D467" s="4" t="s">
        <v>485</v>
      </c>
      <c r="E467" s="4">
        <v>91.28</v>
      </c>
      <c r="F467" s="4">
        <v>0.63380000000000003</v>
      </c>
      <c r="G467" s="4">
        <v>8</v>
      </c>
      <c r="H467" s="4">
        <v>300</v>
      </c>
      <c r="I467" s="4">
        <v>310</v>
      </c>
      <c r="J467" s="4">
        <v>320</v>
      </c>
      <c r="K467" s="4" t="e">
        <f t="array" aca="1" ref="K467">MAX(H467:J467*(1-strike(H467:J467)))</f>
        <v>#NAME?</v>
      </c>
      <c r="L467" s="4">
        <v>237.5</v>
      </c>
      <c r="M467" s="6">
        <v>242.5</v>
      </c>
      <c r="N467" s="6">
        <v>242.5</v>
      </c>
      <c r="O467" s="4" t="e">
        <f t="array" aca="1" ref="O467">MAX(L467:N467*(1-strike(L467:N467)))</f>
        <v>#NAME?</v>
      </c>
      <c r="P467" s="4">
        <v>280</v>
      </c>
      <c r="Q467" s="6">
        <v>295</v>
      </c>
      <c r="R467" s="6">
        <v>295</v>
      </c>
      <c r="S467" s="4" t="e">
        <f t="array" aca="1" ref="S467">MAX(P467:R467*(1-strike(P467:R467)))</f>
        <v>#NAME?</v>
      </c>
      <c r="T467" s="4" t="e">
        <f t="shared" si="7"/>
        <v>#NAME?</v>
      </c>
      <c r="U467" s="4">
        <v>837.5</v>
      </c>
      <c r="V467" s="4">
        <v>530.80999999999995</v>
      </c>
      <c r="W467" s="4">
        <v>1</v>
      </c>
      <c r="X467" s="5">
        <v>2014</v>
      </c>
      <c r="Y467" s="5" t="s">
        <v>29</v>
      </c>
      <c r="Z467" s="5" t="s">
        <v>171</v>
      </c>
      <c r="AA467" s="5">
        <v>505</v>
      </c>
    </row>
    <row r="468" spans="1:27">
      <c r="A468" s="4">
        <v>20</v>
      </c>
      <c r="B468" s="4" t="s">
        <v>486</v>
      </c>
      <c r="C468" s="4">
        <v>1986</v>
      </c>
      <c r="D468" s="4" t="s">
        <v>47</v>
      </c>
      <c r="E468" s="4">
        <v>101.21</v>
      </c>
      <c r="F468" s="4">
        <v>0.60570000000000002</v>
      </c>
      <c r="G468" s="4">
        <v>6</v>
      </c>
      <c r="H468" s="4">
        <v>220</v>
      </c>
      <c r="I468" s="4">
        <v>230</v>
      </c>
      <c r="J468" s="6">
        <v>240</v>
      </c>
      <c r="K468" s="4" t="e">
        <f t="array" aca="1" ref="K468">MAX(H468:J468*(1-strike(H468:J468)))</f>
        <v>#NAME?</v>
      </c>
      <c r="L468" s="4">
        <v>130</v>
      </c>
      <c r="M468" s="4">
        <v>135</v>
      </c>
      <c r="N468" s="6">
        <v>140</v>
      </c>
      <c r="O468" s="4" t="e">
        <f t="array" aca="1" ref="O468">MAX(L468:N468*(1-strike(L468:N468)))</f>
        <v>#NAME?</v>
      </c>
      <c r="P468" s="4">
        <v>240</v>
      </c>
      <c r="Q468" s="4">
        <v>250</v>
      </c>
      <c r="R468" s="4">
        <v>260</v>
      </c>
      <c r="S468" s="4" t="e">
        <f t="array" aca="1" ref="S468">MAX(P468:R468*(1-strike(P468:R468)))</f>
        <v>#NAME?</v>
      </c>
      <c r="T468" s="4" t="e">
        <f t="shared" si="7"/>
        <v>#NAME?</v>
      </c>
      <c r="U468" s="4">
        <v>625</v>
      </c>
      <c r="V468" s="4">
        <v>378.56</v>
      </c>
      <c r="W468" s="4">
        <v>1</v>
      </c>
      <c r="X468" s="5">
        <v>2015</v>
      </c>
      <c r="Y468" s="5" t="s">
        <v>29</v>
      </c>
      <c r="Z468" s="5" t="s">
        <v>171</v>
      </c>
      <c r="AA468" s="5">
        <v>92</v>
      </c>
    </row>
    <row r="469" spans="1:27">
      <c r="A469" s="4">
        <v>1</v>
      </c>
      <c r="B469" s="4" t="s">
        <v>487</v>
      </c>
      <c r="C469" s="4">
        <v>1991</v>
      </c>
      <c r="D469" s="4" t="s">
        <v>163</v>
      </c>
      <c r="E469" s="4">
        <v>82.4</v>
      </c>
      <c r="F469" s="4">
        <v>0.6704</v>
      </c>
      <c r="G469" s="4">
        <v>17</v>
      </c>
      <c r="H469" s="4">
        <v>270</v>
      </c>
      <c r="I469" s="6">
        <v>282.5</v>
      </c>
      <c r="J469" s="6">
        <v>283</v>
      </c>
      <c r="K469" s="4" t="e">
        <f t="array" aca="1" ref="K469">MAX(H469:J469*(1-strike(H469:J469)))</f>
        <v>#NAME?</v>
      </c>
      <c r="L469" s="4">
        <v>195</v>
      </c>
      <c r="M469" s="4">
        <v>202.5</v>
      </c>
      <c r="N469" s="6">
        <v>205.5</v>
      </c>
      <c r="O469" s="4" t="e">
        <f t="array" aca="1" ref="O469">MAX(L469:N469*(1-strike(L469:N469)))</f>
        <v>#NAME?</v>
      </c>
      <c r="P469" s="4">
        <v>290</v>
      </c>
      <c r="Q469" s="4">
        <v>302.5</v>
      </c>
      <c r="R469" s="6">
        <v>316.5</v>
      </c>
      <c r="S469" s="4" t="e">
        <f t="array" aca="1" ref="S469">MAX(P469:R469*(1-strike(P469:R469)))</f>
        <v>#NAME?</v>
      </c>
      <c r="T469" s="4" t="e">
        <f t="shared" si="7"/>
        <v>#NAME?</v>
      </c>
      <c r="U469" s="4">
        <v>775</v>
      </c>
      <c r="V469" s="4">
        <v>519.55999999999995</v>
      </c>
      <c r="W469" s="4">
        <v>12</v>
      </c>
      <c r="X469" s="5">
        <v>2015</v>
      </c>
      <c r="Y469" s="5" t="s">
        <v>29</v>
      </c>
      <c r="Z469" s="5" t="s">
        <v>30</v>
      </c>
      <c r="AA469" s="5">
        <v>256</v>
      </c>
    </row>
    <row r="470" spans="1:27">
      <c r="A470" s="4">
        <v>6</v>
      </c>
      <c r="B470" s="4" t="s">
        <v>488</v>
      </c>
      <c r="C470" s="4">
        <v>1983</v>
      </c>
      <c r="D470" s="4" t="s">
        <v>137</v>
      </c>
      <c r="E470" s="4">
        <v>92.65</v>
      </c>
      <c r="F470" s="4">
        <v>0.62929999999999997</v>
      </c>
      <c r="G470" s="4">
        <v>12</v>
      </c>
      <c r="H470" s="4">
        <v>270</v>
      </c>
      <c r="I470" s="4">
        <v>282.5</v>
      </c>
      <c r="J470" s="6">
        <v>287.5</v>
      </c>
      <c r="K470" s="4" t="e">
        <f t="array" aca="1" ref="K470">MAX(H470:J470*(1-strike(H470:J470)))</f>
        <v>#NAME?</v>
      </c>
      <c r="L470" s="4">
        <v>180</v>
      </c>
      <c r="M470" s="4">
        <v>192.5</v>
      </c>
      <c r="N470" s="6">
        <v>197.5</v>
      </c>
      <c r="O470" s="4" t="e">
        <f t="array" aca="1" ref="O470">MAX(L470:N470*(1-strike(L470:N470)))</f>
        <v>#NAME?</v>
      </c>
      <c r="P470" s="4">
        <v>280</v>
      </c>
      <c r="Q470" s="4">
        <v>292.5</v>
      </c>
      <c r="R470" s="6">
        <v>300</v>
      </c>
      <c r="S470" s="4" t="e">
        <f t="array" aca="1" ref="S470">MAX(P470:R470*(1-strike(P470:R470)))</f>
        <v>#NAME?</v>
      </c>
      <c r="T470" s="4" t="e">
        <f t="shared" si="7"/>
        <v>#NAME?</v>
      </c>
      <c r="U470" s="4">
        <v>767.5</v>
      </c>
      <c r="V470" s="4">
        <v>483.03</v>
      </c>
      <c r="W470" s="4">
        <v>5</v>
      </c>
      <c r="X470" s="5">
        <v>2014</v>
      </c>
      <c r="Y470" s="5" t="s">
        <v>29</v>
      </c>
      <c r="Z470" s="5" t="s">
        <v>30</v>
      </c>
      <c r="AA470" s="5">
        <v>702</v>
      </c>
    </row>
    <row r="471" spans="1:27">
      <c r="A471" s="4" t="s">
        <v>37</v>
      </c>
      <c r="B471" s="4" t="s">
        <v>488</v>
      </c>
      <c r="C471" s="4">
        <v>1983</v>
      </c>
      <c r="D471" s="4" t="s">
        <v>137</v>
      </c>
      <c r="E471" s="4">
        <v>92.84</v>
      </c>
      <c r="F471" s="4">
        <v>0.62880000000000003</v>
      </c>
      <c r="G471" s="4">
        <v>16</v>
      </c>
      <c r="H471" s="6">
        <v>330</v>
      </c>
      <c r="I471" s="6">
        <v>330</v>
      </c>
      <c r="J471" s="6">
        <v>330</v>
      </c>
      <c r="K471" s="4" t="e">
        <f t="array" aca="1" ref="K471">MAX(H471:J471*(1-strike(H471:J471)))</f>
        <v>#NAME?</v>
      </c>
      <c r="L471" s="4">
        <v>220</v>
      </c>
      <c r="M471" s="4">
        <v>227.5</v>
      </c>
      <c r="N471" s="4">
        <v>232.5</v>
      </c>
      <c r="O471" s="4" t="e">
        <f t="array" aca="1" ref="O471">MAX(L471:N471*(1-strike(L471:N471)))</f>
        <v>#NAME?</v>
      </c>
      <c r="P471" s="4">
        <v>300</v>
      </c>
      <c r="Q471" s="4">
        <v>315</v>
      </c>
      <c r="R471" s="6">
        <v>325</v>
      </c>
      <c r="S471" s="4" t="e">
        <f t="array" aca="1" ref="S471">MAX(P471:R471*(1-strike(P471:R471)))</f>
        <v>#NAME?</v>
      </c>
      <c r="T471" s="4" t="e">
        <f t="shared" si="7"/>
        <v>#NAME?</v>
      </c>
      <c r="U471" s="4" t="s">
        <v>187</v>
      </c>
      <c r="V471" s="4" t="s">
        <v>37</v>
      </c>
      <c r="W471" s="4" t="s">
        <v>37</v>
      </c>
      <c r="X471" s="5">
        <v>2014</v>
      </c>
      <c r="Y471" s="5" t="s">
        <v>29</v>
      </c>
      <c r="Z471" s="5" t="s">
        <v>171</v>
      </c>
      <c r="AA471" s="5">
        <v>511</v>
      </c>
    </row>
    <row r="472" spans="1:27">
      <c r="A472" s="4">
        <v>4</v>
      </c>
      <c r="B472" s="4" t="s">
        <v>488</v>
      </c>
      <c r="C472" s="4">
        <v>1983</v>
      </c>
      <c r="D472" s="4" t="s">
        <v>137</v>
      </c>
      <c r="E472" s="4">
        <v>92.85</v>
      </c>
      <c r="F472" s="4">
        <v>0.62870000000000004</v>
      </c>
      <c r="G472" s="4">
        <v>12</v>
      </c>
      <c r="H472" s="4">
        <v>275</v>
      </c>
      <c r="I472" s="4">
        <v>282.5</v>
      </c>
      <c r="J472" s="4">
        <v>287.5</v>
      </c>
      <c r="K472" s="4" t="e">
        <f t="array" aca="1" ref="K472">MAX(H472:J472*(1-strike(H472:J472)))</f>
        <v>#NAME?</v>
      </c>
      <c r="L472" s="4">
        <v>185</v>
      </c>
      <c r="M472" s="4">
        <v>192.5</v>
      </c>
      <c r="N472" s="4">
        <v>195</v>
      </c>
      <c r="O472" s="4" t="e">
        <f t="array" aca="1" ref="O472">MAX(L472:N472*(1-strike(L472:N472)))</f>
        <v>#NAME?</v>
      </c>
      <c r="P472" s="4">
        <v>290</v>
      </c>
      <c r="Q472" s="4">
        <v>302.5</v>
      </c>
      <c r="R472" s="6">
        <v>312.5</v>
      </c>
      <c r="S472" s="4" t="e">
        <f t="array" aca="1" ref="S472">MAX(P472:R472*(1-strike(P472:R472)))</f>
        <v>#NAME?</v>
      </c>
      <c r="T472" s="4" t="e">
        <f t="shared" si="7"/>
        <v>#NAME?</v>
      </c>
      <c r="U472" s="4">
        <v>785</v>
      </c>
      <c r="V472" s="4">
        <v>493.53</v>
      </c>
      <c r="W472" s="4">
        <v>7</v>
      </c>
      <c r="X472" s="5">
        <v>2015</v>
      </c>
      <c r="Y472" s="5" t="s">
        <v>29</v>
      </c>
      <c r="Z472" s="5" t="s">
        <v>30</v>
      </c>
      <c r="AA472" s="5">
        <v>276</v>
      </c>
    </row>
    <row r="473" spans="1:27" ht="15" customHeight="1">
      <c r="A473" s="3">
        <v>1</v>
      </c>
      <c r="B473" s="3" t="s">
        <v>489</v>
      </c>
      <c r="C473" s="3">
        <v>1966</v>
      </c>
      <c r="D473" s="3" t="s">
        <v>62</v>
      </c>
      <c r="E473" s="3">
        <v>147.05000000000001</v>
      </c>
      <c r="F473" s="3">
        <v>0.55479999999999996</v>
      </c>
      <c r="G473" s="3">
        <v>26</v>
      </c>
      <c r="H473" s="3">
        <v>295</v>
      </c>
      <c r="I473" s="3">
        <v>307.5</v>
      </c>
      <c r="J473" s="3">
        <v>315</v>
      </c>
      <c r="K473" s="4" t="e">
        <f t="array" aca="1" ref="K473">MAX(H473:J473*(1-strike(H473:J473)))</f>
        <v>#NAME?</v>
      </c>
      <c r="L473" s="3">
        <v>215</v>
      </c>
      <c r="M473" s="3">
        <v>225</v>
      </c>
      <c r="N473" s="3">
        <v>230</v>
      </c>
      <c r="O473" s="4" t="e">
        <f t="array" aca="1" ref="O473">MAX(L473:N473*(1-strike(L473:N473)))</f>
        <v>#NAME?</v>
      </c>
      <c r="P473" s="3">
        <v>350</v>
      </c>
      <c r="Q473" s="3">
        <v>365</v>
      </c>
      <c r="R473" s="3">
        <v>375</v>
      </c>
      <c r="S473" s="4" t="e">
        <f t="array" aca="1" ref="S473">MAX(P473:R473*(1-strike(P473:R473)))</f>
        <v>#NAME?</v>
      </c>
      <c r="T473" s="4" t="e">
        <f t="shared" si="7"/>
        <v>#NAME?</v>
      </c>
      <c r="U473" s="3">
        <v>920</v>
      </c>
      <c r="V473" s="3">
        <v>510.46</v>
      </c>
      <c r="W473" s="3">
        <v>12</v>
      </c>
      <c r="X473" s="5">
        <v>2013</v>
      </c>
      <c r="Y473" s="5" t="s">
        <v>29</v>
      </c>
      <c r="Z473" s="5" t="s">
        <v>30</v>
      </c>
      <c r="AA473" s="5">
        <v>1109</v>
      </c>
    </row>
    <row r="474" spans="1:27">
      <c r="A474" s="3">
        <v>1</v>
      </c>
      <c r="B474" s="3" t="s">
        <v>490</v>
      </c>
      <c r="C474" s="3">
        <v>1989</v>
      </c>
      <c r="D474" s="3" t="s">
        <v>28</v>
      </c>
      <c r="E474" s="3">
        <v>65.94</v>
      </c>
      <c r="F474" s="3">
        <v>0.78580000000000005</v>
      </c>
      <c r="G474" s="3">
        <v>27</v>
      </c>
      <c r="H474" s="3">
        <v>300</v>
      </c>
      <c r="I474" s="3">
        <v>310</v>
      </c>
      <c r="J474" s="3">
        <v>315</v>
      </c>
      <c r="K474" s="4" t="e">
        <f t="array" aca="1" ref="K474">MAX(H474:J474*(1-strike(H474:J474)))</f>
        <v>#NAME?</v>
      </c>
      <c r="L474" s="3">
        <v>185</v>
      </c>
      <c r="M474" s="3">
        <v>195</v>
      </c>
      <c r="N474" s="3">
        <v>205</v>
      </c>
      <c r="O474" s="4" t="e">
        <f t="array" aca="1" ref="O474">MAX(L474:N474*(1-strike(L474:N474)))</f>
        <v>#NAME?</v>
      </c>
      <c r="P474" s="3">
        <v>280</v>
      </c>
      <c r="Q474" s="3">
        <v>290</v>
      </c>
      <c r="R474" s="1">
        <v>300</v>
      </c>
      <c r="S474" s="4" t="e">
        <f t="array" aca="1" ref="S474">MAX(P474:R474*(1-strike(P474:R474)))</f>
        <v>#NAME?</v>
      </c>
      <c r="T474" s="4" t="e">
        <f t="shared" si="7"/>
        <v>#NAME?</v>
      </c>
      <c r="U474" s="3" t="s">
        <v>491</v>
      </c>
      <c r="V474" s="3">
        <v>636.49</v>
      </c>
      <c r="W474" s="3">
        <v>12</v>
      </c>
      <c r="X474" s="5">
        <v>2012</v>
      </c>
      <c r="Y474" s="5" t="s">
        <v>29</v>
      </c>
      <c r="Z474" s="5" t="s">
        <v>171</v>
      </c>
      <c r="AA474" s="5">
        <v>1203</v>
      </c>
    </row>
    <row r="475" spans="1:27">
      <c r="A475" s="3">
        <v>2</v>
      </c>
      <c r="B475" s="3" t="s">
        <v>490</v>
      </c>
      <c r="C475" s="3">
        <v>1989</v>
      </c>
      <c r="D475" s="3" t="s">
        <v>28</v>
      </c>
      <c r="E475" s="3">
        <v>65.45</v>
      </c>
      <c r="F475" s="3">
        <v>0.79059999999999997</v>
      </c>
      <c r="G475" s="3">
        <v>18</v>
      </c>
      <c r="H475" s="3">
        <v>300</v>
      </c>
      <c r="I475" s="3">
        <v>310</v>
      </c>
      <c r="J475" s="1">
        <v>315</v>
      </c>
      <c r="K475" s="4" t="e">
        <f t="array" aca="1" ref="K475">MAX(H475:J475*(1-strike(H475:J475)))</f>
        <v>#NAME?</v>
      </c>
      <c r="L475" s="3">
        <v>190</v>
      </c>
      <c r="M475" s="3">
        <v>200</v>
      </c>
      <c r="N475" s="3">
        <v>205</v>
      </c>
      <c r="O475" s="4" t="e">
        <f t="array" aca="1" ref="O475">MAX(L475:N475*(1-strike(L475:N475)))</f>
        <v>#NAME?</v>
      </c>
      <c r="P475" s="3">
        <v>275</v>
      </c>
      <c r="Q475" s="3">
        <v>282.5</v>
      </c>
      <c r="R475" s="1">
        <v>290</v>
      </c>
      <c r="S475" s="4" t="e">
        <f t="array" aca="1" ref="S475">MAX(P475:R475*(1-strike(P475:R475)))</f>
        <v>#NAME?</v>
      </c>
      <c r="T475" s="4" t="e">
        <f t="shared" si="7"/>
        <v>#NAME?</v>
      </c>
      <c r="U475" s="3">
        <v>797.5</v>
      </c>
      <c r="V475" s="3">
        <v>630.5</v>
      </c>
      <c r="W475" s="3">
        <v>9</v>
      </c>
      <c r="X475" s="5">
        <v>2013</v>
      </c>
      <c r="Y475" s="5" t="s">
        <v>29</v>
      </c>
      <c r="Z475" s="5" t="s">
        <v>171</v>
      </c>
      <c r="AA475" s="5">
        <v>826</v>
      </c>
    </row>
    <row r="476" spans="1:27">
      <c r="A476" s="4">
        <v>2</v>
      </c>
      <c r="B476" s="4" t="s">
        <v>490</v>
      </c>
      <c r="C476" s="4">
        <v>1989</v>
      </c>
      <c r="D476" s="4" t="s">
        <v>28</v>
      </c>
      <c r="E476" s="4">
        <v>65.62</v>
      </c>
      <c r="F476" s="4">
        <v>0.78890000000000005</v>
      </c>
      <c r="G476" s="4">
        <v>16</v>
      </c>
      <c r="H476" s="4">
        <v>300</v>
      </c>
      <c r="I476" s="6">
        <v>315</v>
      </c>
      <c r="J476" s="6">
        <v>315</v>
      </c>
      <c r="K476" s="4" t="e">
        <f t="array" aca="1" ref="K476">MAX(H476:J476*(1-strike(H476:J476)))</f>
        <v>#NAME?</v>
      </c>
      <c r="L476" s="4">
        <v>190</v>
      </c>
      <c r="M476" s="4">
        <v>200</v>
      </c>
      <c r="N476" s="4">
        <v>207.5</v>
      </c>
      <c r="O476" s="4" t="e">
        <f t="array" aca="1" ref="O476">MAX(L476:N476*(1-strike(L476:N476)))</f>
        <v>#NAME?</v>
      </c>
      <c r="P476" s="4">
        <v>275</v>
      </c>
      <c r="Q476" s="6">
        <v>290</v>
      </c>
      <c r="R476" s="6">
        <v>290</v>
      </c>
      <c r="S476" s="4" t="e">
        <f t="array" aca="1" ref="S476">MAX(P476:R476*(1-strike(P476:R476)))</f>
        <v>#NAME?</v>
      </c>
      <c r="T476" s="4" t="e">
        <f t="shared" si="7"/>
        <v>#NAME?</v>
      </c>
      <c r="U476" s="4">
        <v>782.5</v>
      </c>
      <c r="V476" s="4">
        <v>617.30999999999995</v>
      </c>
      <c r="W476" s="4">
        <v>9</v>
      </c>
      <c r="X476" s="5">
        <v>2015</v>
      </c>
      <c r="Y476" s="5" t="s">
        <v>29</v>
      </c>
      <c r="Z476" s="5" t="s">
        <v>171</v>
      </c>
      <c r="AA476" s="5">
        <v>13</v>
      </c>
    </row>
    <row r="477" spans="1:27">
      <c r="A477" s="4">
        <v>16</v>
      </c>
      <c r="B477" s="4" t="s">
        <v>492</v>
      </c>
      <c r="C477" s="4">
        <v>1990</v>
      </c>
      <c r="D477" s="4" t="s">
        <v>109</v>
      </c>
      <c r="E477" s="4">
        <v>104.39</v>
      </c>
      <c r="F477" s="4">
        <v>0.5988</v>
      </c>
      <c r="G477" s="4">
        <v>14</v>
      </c>
      <c r="H477" s="4">
        <v>320</v>
      </c>
      <c r="I477" s="4">
        <v>335</v>
      </c>
      <c r="J477" s="4">
        <v>342.5</v>
      </c>
      <c r="K477" s="4" t="e">
        <f t="array" aca="1" ref="K477">MAX(H477:J477*(1-strike(H477:J477)))</f>
        <v>#NAME?</v>
      </c>
      <c r="L477" s="6">
        <v>232.5</v>
      </c>
      <c r="M477" s="4">
        <v>232.5</v>
      </c>
      <c r="N477" s="6">
        <v>242.5</v>
      </c>
      <c r="O477" s="4" t="e">
        <f t="array" aca="1" ref="O477">MAX(L477:N477*(1-strike(L477:N477)))</f>
        <v>#NAME?</v>
      </c>
      <c r="P477" s="4">
        <v>277.5</v>
      </c>
      <c r="Q477" s="6">
        <v>292.5</v>
      </c>
      <c r="R477" s="6">
        <v>292.5</v>
      </c>
      <c r="S477" s="4" t="e">
        <f t="array" aca="1" ref="S477">MAX(P477:R477*(1-strike(P477:R477)))</f>
        <v>#NAME?</v>
      </c>
      <c r="T477" s="4" t="e">
        <f t="shared" si="7"/>
        <v>#NAME?</v>
      </c>
      <c r="U477" s="4">
        <v>852.5</v>
      </c>
      <c r="V477" s="4">
        <v>510.48</v>
      </c>
      <c r="W477" s="4">
        <v>1</v>
      </c>
      <c r="X477" s="5">
        <v>2015</v>
      </c>
      <c r="Y477" s="5" t="s">
        <v>29</v>
      </c>
      <c r="Z477" s="5" t="s">
        <v>171</v>
      </c>
      <c r="AA477" s="5">
        <v>88</v>
      </c>
    </row>
    <row r="478" spans="1:27">
      <c r="A478" s="3">
        <v>7</v>
      </c>
      <c r="B478" s="3" t="s">
        <v>67</v>
      </c>
      <c r="C478" s="3">
        <v>1986</v>
      </c>
      <c r="D478" s="3" t="s">
        <v>39</v>
      </c>
      <c r="E478" s="3">
        <v>118.2</v>
      </c>
      <c r="F478" s="3">
        <v>0.57699999999999996</v>
      </c>
      <c r="G478" s="3">
        <v>4</v>
      </c>
      <c r="H478" s="3">
        <v>325</v>
      </c>
      <c r="I478" s="1">
        <v>335</v>
      </c>
      <c r="J478" s="3">
        <v>335</v>
      </c>
      <c r="K478" s="4" t="e">
        <f t="array" aca="1" ref="K478">MAX(H478:J478*(1-strike(H478:J478)))</f>
        <v>#NAME?</v>
      </c>
      <c r="L478" s="3">
        <v>210</v>
      </c>
      <c r="M478" s="1">
        <v>217.5</v>
      </c>
      <c r="N478" s="1">
        <v>217.5</v>
      </c>
      <c r="O478" s="4" t="e">
        <f t="array" aca="1" ref="O478">MAX(L478:N478*(1-strike(L478:N478)))</f>
        <v>#NAME?</v>
      </c>
      <c r="P478" s="3">
        <v>290</v>
      </c>
      <c r="Q478" s="1">
        <v>322.5</v>
      </c>
      <c r="R478" s="1">
        <v>322.5</v>
      </c>
      <c r="S478" s="4" t="e">
        <f t="array" aca="1" ref="S478">MAX(P478:R478*(1-strike(P478:R478)))</f>
        <v>#NAME?</v>
      </c>
      <c r="T478" s="4" t="e">
        <f t="shared" si="7"/>
        <v>#NAME?</v>
      </c>
      <c r="U478" s="3">
        <v>835</v>
      </c>
      <c r="V478" s="3">
        <v>481.79</v>
      </c>
      <c r="W478" s="3">
        <v>4</v>
      </c>
      <c r="X478" s="5">
        <v>2013</v>
      </c>
      <c r="Y478" s="5" t="s">
        <v>29</v>
      </c>
      <c r="Z478" s="5" t="s">
        <v>30</v>
      </c>
      <c r="AA478" s="5">
        <v>1097</v>
      </c>
    </row>
    <row r="479" spans="1:27">
      <c r="A479" s="3">
        <v>4</v>
      </c>
      <c r="B479" s="3" t="s">
        <v>493</v>
      </c>
      <c r="C479" s="3">
        <v>1989</v>
      </c>
      <c r="D479" s="3" t="s">
        <v>282</v>
      </c>
      <c r="E479" s="3">
        <v>58.2</v>
      </c>
      <c r="F479" s="3">
        <v>0.87729999999999997</v>
      </c>
      <c r="G479" s="3">
        <v>5</v>
      </c>
      <c r="H479" s="3">
        <v>205</v>
      </c>
      <c r="I479" s="3">
        <v>215</v>
      </c>
      <c r="J479" s="3">
        <v>222.5</v>
      </c>
      <c r="K479" s="4" t="e">
        <f t="array" aca="1" ref="K479">MAX(H479:J479*(1-strike(H479:J479)))</f>
        <v>#NAME?</v>
      </c>
      <c r="L479" s="1">
        <v>140</v>
      </c>
      <c r="M479" s="3">
        <v>145</v>
      </c>
      <c r="N479" s="3">
        <v>155</v>
      </c>
      <c r="O479" s="4" t="e">
        <f t="array" aca="1" ref="O479">MAX(L479:N479*(1-strike(L479:N479)))</f>
        <v>#NAME?</v>
      </c>
      <c r="P479" s="3">
        <v>205</v>
      </c>
      <c r="Q479" s="3">
        <v>217.5</v>
      </c>
      <c r="R479" s="3">
        <v>222.5</v>
      </c>
      <c r="S479" s="4" t="e">
        <f t="array" aca="1" ref="S479">MAX(P479:R479*(1-strike(P479:R479)))</f>
        <v>#NAME?</v>
      </c>
      <c r="T479" s="4" t="e">
        <f t="shared" si="7"/>
        <v>#NAME?</v>
      </c>
      <c r="U479" s="3">
        <v>600</v>
      </c>
      <c r="V479" s="3">
        <v>526.38</v>
      </c>
      <c r="W479" s="3">
        <v>7</v>
      </c>
      <c r="X479" s="5">
        <v>2013</v>
      </c>
      <c r="Y479" s="5" t="s">
        <v>29</v>
      </c>
      <c r="Z479" s="5" t="s">
        <v>171</v>
      </c>
      <c r="AA479" s="5">
        <v>820</v>
      </c>
    </row>
    <row r="480" spans="1:27">
      <c r="A480" s="4">
        <v>6</v>
      </c>
      <c r="B480" s="4" t="s">
        <v>493</v>
      </c>
      <c r="C480" s="4">
        <v>1989</v>
      </c>
      <c r="D480" s="4" t="s">
        <v>282</v>
      </c>
      <c r="E480" s="4">
        <v>57.95</v>
      </c>
      <c r="F480" s="4">
        <v>0.88090000000000002</v>
      </c>
      <c r="G480" s="4">
        <v>4</v>
      </c>
      <c r="H480" s="4">
        <v>155</v>
      </c>
      <c r="I480" s="4">
        <v>162.5</v>
      </c>
      <c r="J480" s="4">
        <v>167.5</v>
      </c>
      <c r="K480" s="4" t="e">
        <f t="array" aca="1" ref="K480">MAX(H480:J480*(1-strike(H480:J480)))</f>
        <v>#NAME?</v>
      </c>
      <c r="L480" s="4">
        <v>112.5</v>
      </c>
      <c r="M480" s="4">
        <v>120</v>
      </c>
      <c r="N480" s="4">
        <v>125</v>
      </c>
      <c r="O480" s="4" t="e">
        <f t="array" aca="1" ref="O480">MAX(L480:N480*(1-strike(L480:N480)))</f>
        <v>#NAME?</v>
      </c>
      <c r="P480" s="4">
        <v>195</v>
      </c>
      <c r="Q480" s="4">
        <v>205</v>
      </c>
      <c r="R480" s="6">
        <v>210</v>
      </c>
      <c r="S480" s="4" t="e">
        <f t="array" aca="1" ref="S480">MAX(P480:R480*(1-strike(P480:R480)))</f>
        <v>#NAME?</v>
      </c>
      <c r="T480" s="4" t="e">
        <f t="shared" si="7"/>
        <v>#NAME?</v>
      </c>
      <c r="U480" s="4">
        <v>497.5</v>
      </c>
      <c r="V480" s="4">
        <v>438.25</v>
      </c>
      <c r="W480" s="4">
        <v>5</v>
      </c>
      <c r="X480" s="5">
        <v>2014</v>
      </c>
      <c r="Y480" s="5" t="s">
        <v>29</v>
      </c>
      <c r="Z480" s="5" t="s">
        <v>30</v>
      </c>
      <c r="AA480" s="5">
        <v>653</v>
      </c>
    </row>
    <row r="481" spans="1:27">
      <c r="A481" s="4">
        <v>8</v>
      </c>
      <c r="B481" s="4" t="s">
        <v>493</v>
      </c>
      <c r="C481" s="4">
        <v>1989</v>
      </c>
      <c r="D481" s="4" t="s">
        <v>282</v>
      </c>
      <c r="E481" s="4">
        <v>57.94</v>
      </c>
      <c r="F481" s="4">
        <v>0.88160000000000005</v>
      </c>
      <c r="G481" s="4">
        <v>5</v>
      </c>
      <c r="H481" s="6">
        <v>215</v>
      </c>
      <c r="I481" s="4">
        <v>215</v>
      </c>
      <c r="J481" s="4">
        <v>230</v>
      </c>
      <c r="K481" s="4" t="e">
        <f t="array" aca="1" ref="K481">MAX(H481:J481*(1-strike(H481:J481)))</f>
        <v>#NAME?</v>
      </c>
      <c r="L481" s="4">
        <v>147.5</v>
      </c>
      <c r="M481" s="4">
        <v>155</v>
      </c>
      <c r="N481" s="4">
        <v>160</v>
      </c>
      <c r="O481" s="4" t="e">
        <f t="array" aca="1" ref="O481">MAX(L481:N481*(1-strike(L481:N481)))</f>
        <v>#NAME?</v>
      </c>
      <c r="P481" s="4">
        <v>210</v>
      </c>
      <c r="Q481" s="6">
        <v>222.5</v>
      </c>
      <c r="R481" s="4">
        <v>225</v>
      </c>
      <c r="S481" s="4" t="e">
        <f t="array" aca="1" ref="S481">MAX(P481:R481*(1-strike(P481:R481)))</f>
        <v>#NAME?</v>
      </c>
      <c r="T481" s="4" t="e">
        <f t="shared" si="7"/>
        <v>#NAME?</v>
      </c>
      <c r="U481" s="4">
        <v>615</v>
      </c>
      <c r="V481" s="4">
        <v>542.17999999999995</v>
      </c>
      <c r="W481" s="4">
        <v>3</v>
      </c>
      <c r="X481" s="5">
        <v>2014</v>
      </c>
      <c r="Y481" s="5" t="s">
        <v>29</v>
      </c>
      <c r="Z481" s="5" t="s">
        <v>171</v>
      </c>
      <c r="AA481" s="5">
        <v>447</v>
      </c>
    </row>
    <row r="482" spans="1:27">
      <c r="A482" s="3">
        <v>17</v>
      </c>
      <c r="B482" s="3" t="s">
        <v>494</v>
      </c>
      <c r="C482" s="3">
        <v>1971</v>
      </c>
      <c r="D482" s="3" t="s">
        <v>336</v>
      </c>
      <c r="E482" s="3">
        <v>98.91</v>
      </c>
      <c r="F482" s="3">
        <v>0.61129999999999995</v>
      </c>
      <c r="G482" s="3">
        <v>2</v>
      </c>
      <c r="H482" s="1">
        <v>307.5</v>
      </c>
      <c r="I482" s="3">
        <v>307.5</v>
      </c>
      <c r="J482" s="1">
        <v>317.5</v>
      </c>
      <c r="K482" s="4" t="e">
        <f t="array" aca="1" ref="K482">MAX(H482:J482*(1-strike(H482:J482)))</f>
        <v>#NAME?</v>
      </c>
      <c r="L482" s="3">
        <v>190</v>
      </c>
      <c r="M482" s="3">
        <v>200</v>
      </c>
      <c r="N482" s="1">
        <v>205</v>
      </c>
      <c r="O482" s="4" t="e">
        <f t="array" aca="1" ref="O482">MAX(L482:N482*(1-strike(L482:N482)))</f>
        <v>#NAME?</v>
      </c>
      <c r="P482" s="1">
        <v>262.5</v>
      </c>
      <c r="Q482" s="1">
        <v>270</v>
      </c>
      <c r="R482" s="3">
        <v>270</v>
      </c>
      <c r="S482" s="4" t="e">
        <f t="array" aca="1" ref="S482">MAX(P482:R482*(1-strike(P482:R482)))</f>
        <v>#NAME?</v>
      </c>
      <c r="T482" s="4" t="e">
        <f t="shared" si="7"/>
        <v>#NAME?</v>
      </c>
      <c r="U482" s="3">
        <v>777.5</v>
      </c>
      <c r="V482" s="3">
        <v>475.27</v>
      </c>
      <c r="W482" s="3">
        <v>1</v>
      </c>
      <c r="X482" s="5">
        <v>2012</v>
      </c>
      <c r="Y482" s="5" t="s">
        <v>29</v>
      </c>
      <c r="Z482" s="5" t="s">
        <v>171</v>
      </c>
      <c r="AA482" s="5">
        <v>1294</v>
      </c>
    </row>
    <row r="483" spans="1:27">
      <c r="A483" s="4" t="s">
        <v>37</v>
      </c>
      <c r="B483" s="4" t="s">
        <v>495</v>
      </c>
      <c r="C483" s="4">
        <v>1990</v>
      </c>
      <c r="D483" s="4" t="s">
        <v>28</v>
      </c>
      <c r="E483" s="4">
        <v>119.99</v>
      </c>
      <c r="F483" s="4">
        <v>0.57489999999999997</v>
      </c>
      <c r="G483" s="4">
        <v>7</v>
      </c>
      <c r="H483" s="6">
        <v>405</v>
      </c>
      <c r="I483" s="6">
        <v>405</v>
      </c>
      <c r="J483" s="6">
        <v>405</v>
      </c>
      <c r="K483" s="4" t="e">
        <f t="array" aca="1" ref="K483">MAX(H483:J483*(1-strike(H483:J483)))</f>
        <v>#NAME?</v>
      </c>
      <c r="L483" s="4">
        <v>290</v>
      </c>
      <c r="M483" s="4">
        <v>300</v>
      </c>
      <c r="N483" s="6">
        <v>305</v>
      </c>
      <c r="O483" s="4" t="e">
        <f t="array" aca="1" ref="O483">MAX(L483:N483*(1-strike(L483:N483)))</f>
        <v>#NAME?</v>
      </c>
      <c r="P483" s="4">
        <v>305</v>
      </c>
      <c r="Q483" s="4">
        <v>322.5</v>
      </c>
      <c r="R483" s="6">
        <v>340</v>
      </c>
      <c r="S483" s="4" t="e">
        <f t="array" aca="1" ref="S483">MAX(P483:R483*(1-strike(P483:R483)))</f>
        <v>#NAME?</v>
      </c>
      <c r="T483" s="4" t="e">
        <f t="shared" si="7"/>
        <v>#NAME?</v>
      </c>
      <c r="U483" s="4" t="s">
        <v>187</v>
      </c>
      <c r="V483" s="4" t="s">
        <v>37</v>
      </c>
      <c r="W483" s="4" t="s">
        <v>37</v>
      </c>
      <c r="X483" s="5">
        <v>2015</v>
      </c>
      <c r="Y483" s="5" t="s">
        <v>29</v>
      </c>
      <c r="Z483" s="5" t="s">
        <v>171</v>
      </c>
      <c r="AA483" s="5">
        <v>110</v>
      </c>
    </row>
    <row r="484" spans="1:27">
      <c r="A484" s="4">
        <v>3</v>
      </c>
      <c r="B484" s="4" t="s">
        <v>496</v>
      </c>
      <c r="C484" s="4">
        <v>1979</v>
      </c>
      <c r="D484" s="4" t="s">
        <v>119</v>
      </c>
      <c r="E484" s="4">
        <v>73.540000000000006</v>
      </c>
      <c r="F484" s="4">
        <v>0.7228</v>
      </c>
      <c r="G484" s="4">
        <v>17</v>
      </c>
      <c r="H484" s="6">
        <v>292.5</v>
      </c>
      <c r="I484" s="4">
        <v>300</v>
      </c>
      <c r="J484" s="6">
        <v>310</v>
      </c>
      <c r="K484" s="4" t="e">
        <f t="array" aca="1" ref="K484">MAX(H484:J484*(1-strike(H484:J484)))</f>
        <v>#NAME?</v>
      </c>
      <c r="L484" s="4">
        <v>187.5</v>
      </c>
      <c r="M484" s="4">
        <v>192.5</v>
      </c>
      <c r="N484" s="4">
        <v>197.5</v>
      </c>
      <c r="O484" s="4" t="e">
        <f t="array" aca="1" ref="O484">MAX(L484:N484*(1-strike(L484:N484)))</f>
        <v>#NAME?</v>
      </c>
      <c r="P484" s="4">
        <v>302.5</v>
      </c>
      <c r="Q484" s="4">
        <v>312.5</v>
      </c>
      <c r="R484" s="4">
        <v>323</v>
      </c>
      <c r="S484" s="4" t="e">
        <f t="array" aca="1" ref="S484">MAX(P484:R484*(1-strike(P484:R484)))</f>
        <v>#NAME?</v>
      </c>
      <c r="T484" s="4" t="e">
        <f t="shared" si="7"/>
        <v>#NAME?</v>
      </c>
      <c r="U484" s="4">
        <v>820.5</v>
      </c>
      <c r="V484" s="4">
        <v>593.05999999999995</v>
      </c>
      <c r="W484" s="4">
        <v>8</v>
      </c>
      <c r="X484" s="5">
        <v>2014</v>
      </c>
      <c r="Y484" s="5" t="s">
        <v>29</v>
      </c>
      <c r="Z484" s="5" t="s">
        <v>171</v>
      </c>
      <c r="AA484" s="5">
        <v>463</v>
      </c>
    </row>
    <row r="485" spans="1:27" ht="15" customHeight="1">
      <c r="A485" s="3">
        <v>2</v>
      </c>
      <c r="B485" s="3" t="s">
        <v>497</v>
      </c>
      <c r="C485" s="3">
        <v>1979</v>
      </c>
      <c r="D485" s="3" t="s">
        <v>119</v>
      </c>
      <c r="E485" s="3">
        <v>73.77</v>
      </c>
      <c r="F485" s="3">
        <v>0.72089999999999999</v>
      </c>
      <c r="G485" s="3">
        <v>14</v>
      </c>
      <c r="H485" s="3">
        <v>285</v>
      </c>
      <c r="I485" s="3">
        <v>295</v>
      </c>
      <c r="J485" s="3">
        <v>305</v>
      </c>
      <c r="K485" s="4" t="e">
        <f t="array" aca="1" ref="K485">MAX(H485:J485*(1-strike(H485:J485)))</f>
        <v>#NAME?</v>
      </c>
      <c r="L485" s="1">
        <v>185</v>
      </c>
      <c r="M485" s="3">
        <v>190</v>
      </c>
      <c r="N485" s="3">
        <v>197.5</v>
      </c>
      <c r="O485" s="4" t="e">
        <f t="array" aca="1" ref="O485">MAX(L485:N485*(1-strike(L485:N485)))</f>
        <v>#NAME?</v>
      </c>
      <c r="P485" s="3">
        <v>297.5</v>
      </c>
      <c r="Q485" s="3">
        <v>310</v>
      </c>
      <c r="R485" s="3">
        <v>312.5</v>
      </c>
      <c r="S485" s="4" t="e">
        <f t="array" aca="1" ref="S485">MAX(P485:R485*(1-strike(P485:R485)))</f>
        <v>#NAME?</v>
      </c>
      <c r="T485" s="4" t="e">
        <f t="shared" si="7"/>
        <v>#NAME?</v>
      </c>
      <c r="U485" s="3">
        <v>815</v>
      </c>
      <c r="V485" s="3">
        <v>587.53</v>
      </c>
      <c r="W485" s="3">
        <v>9</v>
      </c>
      <c r="X485" s="5">
        <v>2013</v>
      </c>
      <c r="Y485" s="5" t="s">
        <v>29</v>
      </c>
      <c r="Z485" s="5" t="s">
        <v>171</v>
      </c>
      <c r="AA485" s="5">
        <v>837</v>
      </c>
    </row>
    <row r="486" spans="1:27">
      <c r="A486" s="4">
        <v>3</v>
      </c>
      <c r="B486" s="4" t="s">
        <v>498</v>
      </c>
      <c r="C486" s="4">
        <v>1987</v>
      </c>
      <c r="D486" s="4" t="s">
        <v>62</v>
      </c>
      <c r="E486" s="4">
        <v>82.55</v>
      </c>
      <c r="F486" s="4">
        <v>0.66969999999999996</v>
      </c>
      <c r="G486" s="4">
        <v>23</v>
      </c>
      <c r="H486" s="4">
        <v>237.5</v>
      </c>
      <c r="I486" s="4">
        <v>247.5</v>
      </c>
      <c r="J486" s="4">
        <v>257.5</v>
      </c>
      <c r="K486" s="4" t="e">
        <f t="array" aca="1" ref="K486">MAX(H486:J486*(1-strike(H486:J486)))</f>
        <v>#NAME?</v>
      </c>
      <c r="L486" s="4">
        <v>142.5</v>
      </c>
      <c r="M486" s="4">
        <v>152.5</v>
      </c>
      <c r="N486" s="6">
        <v>157.5</v>
      </c>
      <c r="O486" s="4" t="e">
        <f t="array" aca="1" ref="O486">MAX(L486:N486*(1-strike(L486:N486)))</f>
        <v>#NAME?</v>
      </c>
      <c r="P486" s="4">
        <v>272.5</v>
      </c>
      <c r="Q486" s="4">
        <v>285</v>
      </c>
      <c r="R486" s="4">
        <v>290</v>
      </c>
      <c r="S486" s="4" t="e">
        <f t="array" aca="1" ref="S486">MAX(P486:R486*(1-strike(P486:R486)))</f>
        <v>#NAME?</v>
      </c>
      <c r="T486" s="4" t="e">
        <f t="shared" si="7"/>
        <v>#NAME?</v>
      </c>
      <c r="U486" s="4">
        <v>700</v>
      </c>
      <c r="V486" s="4">
        <v>468.76</v>
      </c>
      <c r="W486" s="4">
        <v>8</v>
      </c>
      <c r="X486" s="5">
        <v>2014</v>
      </c>
      <c r="Y486" s="5" t="s">
        <v>29</v>
      </c>
      <c r="Z486" s="5" t="s">
        <v>30</v>
      </c>
      <c r="AA486" s="5">
        <v>685</v>
      </c>
    </row>
    <row r="487" spans="1:27">
      <c r="A487" s="4">
        <v>5</v>
      </c>
      <c r="B487" s="4" t="s">
        <v>499</v>
      </c>
      <c r="C487" s="4">
        <v>1986</v>
      </c>
      <c r="D487" s="4" t="s">
        <v>85</v>
      </c>
      <c r="E487" s="4">
        <v>118.94</v>
      </c>
      <c r="F487" s="4">
        <v>0.57620000000000005</v>
      </c>
      <c r="G487" s="4">
        <v>18</v>
      </c>
      <c r="H487" s="6">
        <v>405</v>
      </c>
      <c r="I487" s="4">
        <v>415</v>
      </c>
      <c r="J487" s="6">
        <v>430</v>
      </c>
      <c r="K487" s="4" t="e">
        <f t="array" aca="1" ref="K487">MAX(H487:J487*(1-strike(H487:J487)))</f>
        <v>#NAME?</v>
      </c>
      <c r="L487" s="4">
        <v>260</v>
      </c>
      <c r="M487" s="4">
        <v>270</v>
      </c>
      <c r="N487" s="4">
        <v>275</v>
      </c>
      <c r="O487" s="4" t="e">
        <f t="array" aca="1" ref="O487">MAX(L487:N487*(1-strike(L487:N487)))</f>
        <v>#NAME?</v>
      </c>
      <c r="P487" s="4">
        <v>335</v>
      </c>
      <c r="Q487" s="4">
        <v>350</v>
      </c>
      <c r="R487" s="6">
        <v>362.5</v>
      </c>
      <c r="S487" s="4" t="e">
        <f t="array" aca="1" ref="S487">MAX(P487:R487*(1-strike(P487:R487)))</f>
        <v>#NAME?</v>
      </c>
      <c r="T487" s="4" t="e">
        <f t="shared" si="7"/>
        <v>#NAME?</v>
      </c>
      <c r="U487" s="4">
        <v>1040</v>
      </c>
      <c r="V487" s="4">
        <v>599.25</v>
      </c>
      <c r="W487" s="4">
        <v>6</v>
      </c>
      <c r="X487" s="5">
        <v>2014</v>
      </c>
      <c r="Y487" s="5" t="s">
        <v>29</v>
      </c>
      <c r="Z487" s="5" t="s">
        <v>171</v>
      </c>
      <c r="AA487" s="5">
        <v>537</v>
      </c>
    </row>
    <row r="488" spans="1:27">
      <c r="A488" s="4">
        <v>17</v>
      </c>
      <c r="B488" s="4" t="s">
        <v>500</v>
      </c>
      <c r="C488" s="4">
        <v>1987</v>
      </c>
      <c r="D488" s="4" t="s">
        <v>125</v>
      </c>
      <c r="E488" s="4">
        <v>131.85</v>
      </c>
      <c r="F488" s="4">
        <v>0.56420000000000003</v>
      </c>
      <c r="G488" s="4">
        <v>23</v>
      </c>
      <c r="H488" s="4">
        <v>285</v>
      </c>
      <c r="I488" s="6">
        <v>300</v>
      </c>
      <c r="J488" s="6">
        <v>300</v>
      </c>
      <c r="K488" s="4" t="e">
        <f t="array" aca="1" ref="K488">MAX(H488:J488*(1-strike(H488:J488)))</f>
        <v>#NAME?</v>
      </c>
      <c r="L488" s="4">
        <v>180</v>
      </c>
      <c r="M488" s="4">
        <v>190</v>
      </c>
      <c r="N488" s="4">
        <v>200</v>
      </c>
      <c r="O488" s="4" t="e">
        <f t="array" aca="1" ref="O488">MAX(L488:N488*(1-strike(L488:N488)))</f>
        <v>#NAME?</v>
      </c>
      <c r="P488" s="4">
        <v>300</v>
      </c>
      <c r="Q488" s="4">
        <v>317.5</v>
      </c>
      <c r="R488" s="6">
        <v>322.5</v>
      </c>
      <c r="S488" s="4" t="e">
        <f t="array" aca="1" ref="S488">MAX(P488:R488*(1-strike(P488:R488)))</f>
        <v>#NAME?</v>
      </c>
      <c r="T488" s="4" t="e">
        <f t="shared" si="7"/>
        <v>#NAME?</v>
      </c>
      <c r="U488" s="4">
        <v>802.5</v>
      </c>
      <c r="V488" s="4">
        <v>452.77</v>
      </c>
      <c r="W488" s="4">
        <v>1</v>
      </c>
      <c r="X488" s="5">
        <v>2015</v>
      </c>
      <c r="Y488" s="5" t="s">
        <v>29</v>
      </c>
      <c r="Z488" s="5" t="s">
        <v>30</v>
      </c>
      <c r="AA488" s="5">
        <v>339</v>
      </c>
    </row>
    <row r="489" spans="1:27">
      <c r="A489" s="4">
        <v>12</v>
      </c>
      <c r="B489" s="4" t="s">
        <v>501</v>
      </c>
      <c r="C489" s="4">
        <v>1990</v>
      </c>
      <c r="D489" s="4" t="s">
        <v>137</v>
      </c>
      <c r="E489" s="4">
        <v>92.99</v>
      </c>
      <c r="F489" s="4">
        <v>0.62819999999999998</v>
      </c>
      <c r="G489" s="4">
        <v>7</v>
      </c>
      <c r="H489" s="4">
        <v>315</v>
      </c>
      <c r="I489" s="6">
        <v>325</v>
      </c>
      <c r="J489" s="6">
        <v>325</v>
      </c>
      <c r="K489" s="4" t="e">
        <f t="array" aca="1" ref="K489">MAX(H489:J489*(1-strike(H489:J489)))</f>
        <v>#NAME?</v>
      </c>
      <c r="L489" s="4">
        <v>240</v>
      </c>
      <c r="M489" s="6">
        <v>250</v>
      </c>
      <c r="N489" s="6">
        <v>262.5</v>
      </c>
      <c r="O489" s="4" t="e">
        <f t="array" aca="1" ref="O489">MAX(L489:N489*(1-strike(L489:N489)))</f>
        <v>#NAME?</v>
      </c>
      <c r="P489" s="4">
        <v>260</v>
      </c>
      <c r="Q489" s="6">
        <v>280</v>
      </c>
      <c r="R489" s="4">
        <v>280</v>
      </c>
      <c r="S489" s="4" t="e">
        <f t="array" aca="1" ref="S489">MAX(P489:R489*(1-strike(P489:R489)))</f>
        <v>#NAME?</v>
      </c>
      <c r="T489" s="4" t="e">
        <f t="shared" si="7"/>
        <v>#NAME?</v>
      </c>
      <c r="U489" s="4">
        <v>835</v>
      </c>
      <c r="V489" s="4">
        <v>524.54999999999995</v>
      </c>
      <c r="W489" s="4">
        <v>1</v>
      </c>
      <c r="X489" s="5">
        <v>2015</v>
      </c>
      <c r="Y489" s="5" t="s">
        <v>29</v>
      </c>
      <c r="Z489" s="5" t="s">
        <v>171</v>
      </c>
      <c r="AA489" s="5">
        <v>66</v>
      </c>
    </row>
    <row r="490" spans="1:27">
      <c r="A490" s="4">
        <v>4</v>
      </c>
      <c r="B490" s="4" t="s">
        <v>502</v>
      </c>
      <c r="C490" s="4">
        <v>1987</v>
      </c>
      <c r="D490" s="4" t="s">
        <v>28</v>
      </c>
      <c r="E490" s="4">
        <v>103.85</v>
      </c>
      <c r="F490" s="4">
        <v>0.59989999999999999</v>
      </c>
      <c r="G490" s="4">
        <v>14</v>
      </c>
      <c r="H490" s="4">
        <v>300</v>
      </c>
      <c r="I490" s="4">
        <v>310</v>
      </c>
      <c r="J490" s="6">
        <v>315</v>
      </c>
      <c r="K490" s="4" t="e">
        <f t="array" aca="1" ref="K490">MAX(H490:J490*(1-strike(H490:J490)))</f>
        <v>#NAME?</v>
      </c>
      <c r="L490" s="4">
        <v>185</v>
      </c>
      <c r="M490" s="4">
        <v>190</v>
      </c>
      <c r="N490" s="4">
        <v>197.5</v>
      </c>
      <c r="O490" s="4" t="e">
        <f t="array" aca="1" ref="O490">MAX(L490:N490*(1-strike(L490:N490)))</f>
        <v>#NAME?</v>
      </c>
      <c r="P490" s="4">
        <v>295</v>
      </c>
      <c r="Q490" s="6">
        <v>305</v>
      </c>
      <c r="R490" s="6">
        <v>305</v>
      </c>
      <c r="S490" s="4" t="e">
        <f t="array" aca="1" ref="S490">MAX(P490:R490*(1-strike(P490:R490)))</f>
        <v>#NAME?</v>
      </c>
      <c r="T490" s="4" t="e">
        <f t="shared" si="7"/>
        <v>#NAME?</v>
      </c>
      <c r="U490" s="4">
        <v>802.5</v>
      </c>
      <c r="V490" s="4">
        <v>481.42</v>
      </c>
      <c r="W490" s="4">
        <v>7</v>
      </c>
      <c r="X490" s="5">
        <v>2015</v>
      </c>
      <c r="Y490" s="5" t="s">
        <v>29</v>
      </c>
      <c r="Z490" s="5" t="s">
        <v>30</v>
      </c>
      <c r="AA490" s="5">
        <v>296</v>
      </c>
    </row>
    <row r="491" spans="1:27">
      <c r="A491" s="4">
        <v>6</v>
      </c>
      <c r="B491" s="4" t="s">
        <v>503</v>
      </c>
      <c r="C491" s="4">
        <v>1989</v>
      </c>
      <c r="D491" s="4" t="s">
        <v>85</v>
      </c>
      <c r="E491" s="4">
        <v>65.55</v>
      </c>
      <c r="F491" s="4">
        <v>0.78959999999999997</v>
      </c>
      <c r="G491" s="4">
        <v>14</v>
      </c>
      <c r="H491" s="6">
        <v>250</v>
      </c>
      <c r="I491" s="4">
        <v>250</v>
      </c>
      <c r="J491" s="6">
        <v>260</v>
      </c>
      <c r="K491" s="4" t="e">
        <f t="array" aca="1" ref="K491">MAX(H491:J491*(1-strike(H491:J491)))</f>
        <v>#NAME?</v>
      </c>
      <c r="L491" s="4">
        <v>185</v>
      </c>
      <c r="M491" s="4">
        <v>192.5</v>
      </c>
      <c r="N491" s="6">
        <v>202.5</v>
      </c>
      <c r="O491" s="4" t="e">
        <f t="array" aca="1" ref="O491">MAX(L491:N491*(1-strike(L491:N491)))</f>
        <v>#NAME?</v>
      </c>
      <c r="P491" s="4">
        <v>240</v>
      </c>
      <c r="Q491" s="4">
        <v>252.5</v>
      </c>
      <c r="R491" s="6">
        <v>257.5</v>
      </c>
      <c r="S491" s="4" t="e">
        <f t="array" aca="1" ref="S491">MAX(P491:R491*(1-strike(P491:R491)))</f>
        <v>#NAME?</v>
      </c>
      <c r="T491" s="4" t="e">
        <f t="shared" si="7"/>
        <v>#NAME?</v>
      </c>
      <c r="U491" s="4">
        <v>695</v>
      </c>
      <c r="V491" s="4">
        <v>548.77</v>
      </c>
      <c r="W491" s="4">
        <v>5</v>
      </c>
      <c r="X491" s="5">
        <v>2015</v>
      </c>
      <c r="Y491" s="5" t="s">
        <v>29</v>
      </c>
      <c r="Z491" s="5" t="s">
        <v>171</v>
      </c>
      <c r="AA491" s="5">
        <v>17</v>
      </c>
    </row>
    <row r="492" spans="1:27">
      <c r="A492" s="4">
        <v>7</v>
      </c>
      <c r="B492" s="4" t="s">
        <v>504</v>
      </c>
      <c r="C492" s="4">
        <v>1989</v>
      </c>
      <c r="D492" s="4" t="s">
        <v>85</v>
      </c>
      <c r="E492" s="4">
        <v>104.05</v>
      </c>
      <c r="F492" s="4">
        <v>0.59950000000000003</v>
      </c>
      <c r="G492" s="4">
        <v>9</v>
      </c>
      <c r="H492" s="4">
        <v>260</v>
      </c>
      <c r="I492" s="4">
        <v>275</v>
      </c>
      <c r="J492" s="4">
        <v>280</v>
      </c>
      <c r="K492" s="4" t="e">
        <f t="array" aca="1" ref="K492">MAX(H492:J492*(1-strike(H492:J492)))</f>
        <v>#NAME?</v>
      </c>
      <c r="L492" s="4">
        <v>190</v>
      </c>
      <c r="M492" s="4">
        <v>200</v>
      </c>
      <c r="N492" s="4">
        <v>202.5</v>
      </c>
      <c r="O492" s="4" t="e">
        <f t="array" aca="1" ref="O492">MAX(L492:N492*(1-strike(L492:N492)))</f>
        <v>#NAME?</v>
      </c>
      <c r="P492" s="4">
        <v>300</v>
      </c>
      <c r="Q492" s="6">
        <v>322.5</v>
      </c>
      <c r="R492" s="6">
        <v>322.5</v>
      </c>
      <c r="S492" s="4" t="e">
        <f t="array" aca="1" ref="S492">MAX(P492:R492*(1-strike(P492:R492)))</f>
        <v>#NAME?</v>
      </c>
      <c r="T492" s="4" t="e">
        <f t="shared" si="7"/>
        <v>#NAME?</v>
      </c>
      <c r="U492" s="4">
        <v>782.5</v>
      </c>
      <c r="V492" s="4">
        <v>469.11</v>
      </c>
      <c r="W492" s="4">
        <v>4</v>
      </c>
      <c r="X492" s="5">
        <v>2015</v>
      </c>
      <c r="Y492" s="5" t="s">
        <v>29</v>
      </c>
      <c r="Z492" s="5" t="s">
        <v>30</v>
      </c>
      <c r="AA492" s="5">
        <v>299</v>
      </c>
    </row>
    <row r="493" spans="1:27">
      <c r="A493" s="3">
        <v>19</v>
      </c>
      <c r="B493" s="3" t="s">
        <v>505</v>
      </c>
      <c r="C493" s="3">
        <v>1992</v>
      </c>
      <c r="D493" s="3" t="s">
        <v>480</v>
      </c>
      <c r="E493" s="3">
        <v>82.03</v>
      </c>
      <c r="F493" s="3">
        <v>0.67230000000000001</v>
      </c>
      <c r="G493" s="3">
        <v>22</v>
      </c>
      <c r="H493" s="3">
        <v>260</v>
      </c>
      <c r="I493" s="1">
        <v>270</v>
      </c>
      <c r="J493" s="1">
        <v>280</v>
      </c>
      <c r="K493" s="4" t="e">
        <f t="array" aca="1" ref="K493">MAX(H493:J493*(1-strike(H493:J493)))</f>
        <v>#NAME?</v>
      </c>
      <c r="L493" s="1">
        <v>170</v>
      </c>
      <c r="M493" s="1">
        <v>170</v>
      </c>
      <c r="N493" s="3">
        <v>170</v>
      </c>
      <c r="O493" s="4" t="e">
        <f t="array" aca="1" ref="O493">MAX(L493:N493*(1-strike(L493:N493)))</f>
        <v>#NAME?</v>
      </c>
      <c r="P493" s="1">
        <v>240</v>
      </c>
      <c r="Q493" s="3">
        <v>240</v>
      </c>
      <c r="R493" s="1">
        <v>252.5</v>
      </c>
      <c r="S493" s="4" t="e">
        <f t="array" aca="1" ref="S493">MAX(P493:R493*(1-strike(P493:R493)))</f>
        <v>#NAME?</v>
      </c>
      <c r="T493" s="4" t="e">
        <f t="shared" si="7"/>
        <v>#NAME?</v>
      </c>
      <c r="U493" s="3">
        <v>670</v>
      </c>
      <c r="V493" s="3">
        <v>450.4</v>
      </c>
      <c r="W493" s="3">
        <v>1</v>
      </c>
      <c r="X493" s="5">
        <v>2012</v>
      </c>
      <c r="Y493" s="5" t="s">
        <v>29</v>
      </c>
      <c r="Z493" s="5" t="s">
        <v>171</v>
      </c>
      <c r="AA493" s="5">
        <v>1252</v>
      </c>
    </row>
    <row r="494" spans="1:27" ht="15" customHeight="1">
      <c r="A494" s="4">
        <v>15</v>
      </c>
      <c r="B494" s="4" t="s">
        <v>506</v>
      </c>
      <c r="C494" s="4">
        <v>1986</v>
      </c>
      <c r="D494" s="4" t="s">
        <v>35</v>
      </c>
      <c r="E494" s="4">
        <v>146.19999999999999</v>
      </c>
      <c r="F494" s="4">
        <v>0.55530000000000002</v>
      </c>
      <c r="G494" s="4">
        <v>14</v>
      </c>
      <c r="H494" s="4">
        <v>265</v>
      </c>
      <c r="I494" s="4">
        <v>277.5</v>
      </c>
      <c r="J494" s="4">
        <v>285</v>
      </c>
      <c r="K494" s="4" t="e">
        <f t="array" aca="1" ref="K494">MAX(H494:J494*(1-strike(H494:J494)))</f>
        <v>#NAME?</v>
      </c>
      <c r="L494" s="4">
        <v>155</v>
      </c>
      <c r="M494" s="4">
        <v>165</v>
      </c>
      <c r="N494" s="4">
        <v>170</v>
      </c>
      <c r="O494" s="4" t="e">
        <f t="array" aca="1" ref="O494">MAX(L494:N494*(1-strike(L494:N494)))</f>
        <v>#NAME?</v>
      </c>
      <c r="P494" s="4">
        <v>340</v>
      </c>
      <c r="Q494" s="4">
        <v>360</v>
      </c>
      <c r="R494" s="6">
        <v>375.5</v>
      </c>
      <c r="S494" s="4" t="e">
        <f t="array" aca="1" ref="S494">MAX(P494:R494*(1-strike(P494:R494)))</f>
        <v>#NAME?</v>
      </c>
      <c r="T494" s="4" t="e">
        <f t="shared" si="7"/>
        <v>#NAME?</v>
      </c>
      <c r="U494" s="4">
        <v>815</v>
      </c>
      <c r="V494" s="4">
        <v>452.57</v>
      </c>
      <c r="W494" s="4">
        <v>1</v>
      </c>
      <c r="X494" s="5">
        <v>2015</v>
      </c>
      <c r="Y494" s="5" t="s">
        <v>29</v>
      </c>
      <c r="Z494" s="5" t="s">
        <v>30</v>
      </c>
      <c r="AA494" s="5">
        <v>337</v>
      </c>
    </row>
    <row r="495" spans="1:27">
      <c r="A495" s="4">
        <v>4</v>
      </c>
      <c r="B495" s="4" t="s">
        <v>507</v>
      </c>
      <c r="C495" s="4">
        <v>1979</v>
      </c>
      <c r="D495" s="4" t="s">
        <v>113</v>
      </c>
      <c r="E495" s="4">
        <v>73.099999999999994</v>
      </c>
      <c r="F495" s="4">
        <v>0.72560000000000002</v>
      </c>
      <c r="G495" s="4">
        <v>5</v>
      </c>
      <c r="H495" s="4">
        <v>227.5</v>
      </c>
      <c r="I495" s="4">
        <v>237.5</v>
      </c>
      <c r="J495" s="4">
        <v>242.5</v>
      </c>
      <c r="K495" s="4" t="e">
        <f t="array" aca="1" ref="K495">MAX(H495:J495*(1-strike(H495:J495)))</f>
        <v>#NAME?</v>
      </c>
      <c r="L495" s="4">
        <v>135</v>
      </c>
      <c r="M495" s="4">
        <v>140</v>
      </c>
      <c r="N495" s="4">
        <v>142.5</v>
      </c>
      <c r="O495" s="4" t="e">
        <f t="array" aca="1" ref="O495">MAX(L495:N495*(1-strike(L495:N495)))</f>
        <v>#NAME?</v>
      </c>
      <c r="P495" s="4">
        <v>275</v>
      </c>
      <c r="Q495" s="4">
        <v>290</v>
      </c>
      <c r="R495" s="6">
        <v>303.5</v>
      </c>
      <c r="S495" s="4" t="e">
        <f t="array" aca="1" ref="S495">MAX(P495:R495*(1-strike(P495:R495)))</f>
        <v>#NAME?</v>
      </c>
      <c r="T495" s="4" t="e">
        <f t="shared" si="7"/>
        <v>#NAME?</v>
      </c>
      <c r="U495" s="4">
        <v>675</v>
      </c>
      <c r="V495" s="4">
        <v>489.78</v>
      </c>
      <c r="W495" s="4">
        <v>7</v>
      </c>
      <c r="X495" s="5">
        <v>2014</v>
      </c>
      <c r="Y495" s="5" t="s">
        <v>29</v>
      </c>
      <c r="Z495" s="5" t="s">
        <v>30</v>
      </c>
      <c r="AA495" s="5">
        <v>671</v>
      </c>
    </row>
    <row r="496" spans="1:27">
      <c r="A496" s="4">
        <v>9</v>
      </c>
      <c r="B496" s="4" t="s">
        <v>508</v>
      </c>
      <c r="C496" s="4">
        <v>1988</v>
      </c>
      <c r="D496" s="4" t="s">
        <v>35</v>
      </c>
      <c r="E496" s="4">
        <v>116.94</v>
      </c>
      <c r="F496" s="4">
        <v>0.57850000000000001</v>
      </c>
      <c r="G496" s="4">
        <v>3</v>
      </c>
      <c r="H496" s="4">
        <v>275</v>
      </c>
      <c r="I496" s="4">
        <v>290</v>
      </c>
      <c r="J496" s="6">
        <v>295</v>
      </c>
      <c r="K496" s="4" t="e">
        <f t="array" aca="1" ref="K496">MAX(H496:J496*(1-strike(H496:J496)))</f>
        <v>#NAME?</v>
      </c>
      <c r="L496" s="4">
        <v>185</v>
      </c>
      <c r="M496" s="4">
        <v>192.5</v>
      </c>
      <c r="N496" s="4">
        <v>200</v>
      </c>
      <c r="O496" s="4" t="e">
        <f t="array" aca="1" ref="O496">MAX(L496:N496*(1-strike(L496:N496)))</f>
        <v>#NAME?</v>
      </c>
      <c r="P496" s="4">
        <v>300</v>
      </c>
      <c r="Q496" s="4">
        <v>315</v>
      </c>
      <c r="R496" s="4">
        <v>320</v>
      </c>
      <c r="S496" s="4" t="e">
        <f t="array" aca="1" ref="S496">MAX(P496:R496*(1-strike(P496:R496)))</f>
        <v>#NAME?</v>
      </c>
      <c r="T496" s="4" t="e">
        <f t="shared" si="7"/>
        <v>#NAME?</v>
      </c>
      <c r="U496" s="4">
        <v>810</v>
      </c>
      <c r="V496" s="4">
        <v>468.58</v>
      </c>
      <c r="W496" s="4">
        <v>2</v>
      </c>
      <c r="X496" s="5">
        <v>2015</v>
      </c>
      <c r="Y496" s="5" t="s">
        <v>29</v>
      </c>
      <c r="Z496" s="5" t="s">
        <v>30</v>
      </c>
      <c r="AA496" s="5">
        <v>315</v>
      </c>
    </row>
    <row r="497" spans="1:27">
      <c r="A497" s="4">
        <v>8</v>
      </c>
      <c r="B497" s="4" t="s">
        <v>509</v>
      </c>
      <c r="C497" s="4">
        <v>1987</v>
      </c>
      <c r="D497" s="4" t="s">
        <v>35</v>
      </c>
      <c r="E497" s="4">
        <v>81.88</v>
      </c>
      <c r="F497" s="4">
        <v>0.67300000000000004</v>
      </c>
      <c r="G497" s="4">
        <v>4</v>
      </c>
      <c r="H497" s="4">
        <v>220</v>
      </c>
      <c r="I497" s="4">
        <v>232.5</v>
      </c>
      <c r="J497" s="6">
        <v>237.5</v>
      </c>
      <c r="K497" s="4" t="e">
        <f t="array" aca="1" ref="K497">MAX(H497:J497*(1-strike(H497:J497)))</f>
        <v>#NAME?</v>
      </c>
      <c r="L497" s="4">
        <v>145</v>
      </c>
      <c r="M497" s="6">
        <v>150</v>
      </c>
      <c r="N497" s="6">
        <v>150</v>
      </c>
      <c r="O497" s="4" t="e">
        <f t="array" aca="1" ref="O497">MAX(L497:N497*(1-strike(L497:N497)))</f>
        <v>#NAME?</v>
      </c>
      <c r="P497" s="4">
        <v>275</v>
      </c>
      <c r="Q497" s="4">
        <v>285</v>
      </c>
      <c r="R497" s="6">
        <v>295</v>
      </c>
      <c r="S497" s="4" t="e">
        <f t="array" aca="1" ref="S497">MAX(P497:R497*(1-strike(P497:R497)))</f>
        <v>#NAME?</v>
      </c>
      <c r="T497" s="4" t="e">
        <f t="shared" si="7"/>
        <v>#NAME?</v>
      </c>
      <c r="U497" s="4">
        <v>662.5</v>
      </c>
      <c r="V497" s="4">
        <v>445.86</v>
      </c>
      <c r="W497" s="4">
        <v>3</v>
      </c>
      <c r="X497" s="5">
        <v>2015</v>
      </c>
      <c r="Y497" s="5" t="s">
        <v>29</v>
      </c>
      <c r="Z497" s="5" t="s">
        <v>30</v>
      </c>
      <c r="AA497" s="5">
        <v>263</v>
      </c>
    </row>
    <row r="498" spans="1:27">
      <c r="A498" s="3">
        <v>9</v>
      </c>
      <c r="B498" s="3" t="s">
        <v>510</v>
      </c>
      <c r="C498" s="3">
        <v>1984</v>
      </c>
      <c r="D498" s="3" t="s">
        <v>62</v>
      </c>
      <c r="E498" s="3">
        <v>65.2</v>
      </c>
      <c r="F498" s="3">
        <v>0.79320000000000002</v>
      </c>
      <c r="G498" s="3">
        <v>13</v>
      </c>
      <c r="H498" s="3">
        <v>230</v>
      </c>
      <c r="I498" s="3">
        <v>235</v>
      </c>
      <c r="J498" s="3">
        <v>242.5</v>
      </c>
      <c r="K498" s="4" t="e">
        <f t="array" aca="1" ref="K498">MAX(H498:J498*(1-strike(H498:J498)))</f>
        <v>#NAME?</v>
      </c>
      <c r="L498" s="3">
        <v>145</v>
      </c>
      <c r="M498" s="3">
        <v>152.5</v>
      </c>
      <c r="N498" s="1">
        <v>160</v>
      </c>
      <c r="O498" s="4" t="e">
        <f t="array" aca="1" ref="O498">MAX(L498:N498*(1-strike(L498:N498)))</f>
        <v>#NAME?</v>
      </c>
      <c r="P498" s="3">
        <v>230</v>
      </c>
      <c r="Q498" s="3">
        <v>240</v>
      </c>
      <c r="R498" s="1">
        <v>245</v>
      </c>
      <c r="S498" s="4" t="e">
        <f t="array" aca="1" ref="S498">MAX(P498:R498*(1-strike(P498:R498)))</f>
        <v>#NAME?</v>
      </c>
      <c r="T498" s="4" t="e">
        <f t="shared" si="7"/>
        <v>#NAME?</v>
      </c>
      <c r="U498" s="3">
        <v>635</v>
      </c>
      <c r="V498" s="3">
        <v>503.68</v>
      </c>
      <c r="W498" s="3">
        <v>2</v>
      </c>
      <c r="X498" s="5">
        <v>2013</v>
      </c>
      <c r="Y498" s="5" t="s">
        <v>29</v>
      </c>
      <c r="Z498" s="5" t="s">
        <v>171</v>
      </c>
      <c r="AA498" s="5">
        <v>833</v>
      </c>
    </row>
    <row r="499" spans="1:27">
      <c r="A499" s="4">
        <v>14</v>
      </c>
      <c r="B499" s="4" t="s">
        <v>511</v>
      </c>
      <c r="C499" s="4">
        <v>1978</v>
      </c>
      <c r="D499" s="4" t="s">
        <v>56</v>
      </c>
      <c r="E499" s="4">
        <v>139.46</v>
      </c>
      <c r="F499" s="4">
        <v>0.55910000000000004</v>
      </c>
      <c r="G499" s="4">
        <v>3</v>
      </c>
      <c r="H499" s="6">
        <v>340</v>
      </c>
      <c r="I499" s="4">
        <v>340</v>
      </c>
      <c r="J499" s="6">
        <v>355</v>
      </c>
      <c r="K499" s="4" t="e">
        <f t="array" aca="1" ref="K499">MAX(H499:J499*(1-strike(H499:J499)))</f>
        <v>#NAME?</v>
      </c>
      <c r="L499" s="4">
        <v>205</v>
      </c>
      <c r="M499" s="4">
        <v>215</v>
      </c>
      <c r="N499" s="6">
        <v>225</v>
      </c>
      <c r="O499" s="4" t="e">
        <f t="array" aca="1" ref="O499">MAX(L499:N499*(1-strike(L499:N499)))</f>
        <v>#NAME?</v>
      </c>
      <c r="P499" s="4">
        <v>290</v>
      </c>
      <c r="Q499" s="4">
        <v>300</v>
      </c>
      <c r="R499" s="6">
        <v>307.5</v>
      </c>
      <c r="S499" s="4" t="e">
        <f t="array" aca="1" ref="S499">MAX(P499:R499*(1-strike(P499:R499)))</f>
        <v>#NAME?</v>
      </c>
      <c r="T499" s="4" t="e">
        <f t="shared" si="7"/>
        <v>#NAME?</v>
      </c>
      <c r="U499" s="4">
        <v>855</v>
      </c>
      <c r="V499" s="4">
        <v>478.03</v>
      </c>
      <c r="W499" s="4">
        <v>1</v>
      </c>
      <c r="X499" s="5">
        <v>2015</v>
      </c>
      <c r="Y499" s="5" t="s">
        <v>29</v>
      </c>
      <c r="Z499" s="5" t="s">
        <v>171</v>
      </c>
      <c r="AA499" s="5">
        <v>126</v>
      </c>
    </row>
    <row r="500" spans="1:27">
      <c r="A500" s="4" t="s">
        <v>37</v>
      </c>
      <c r="B500" s="4" t="s">
        <v>512</v>
      </c>
      <c r="C500" s="4">
        <v>1969</v>
      </c>
      <c r="D500" s="4" t="s">
        <v>77</v>
      </c>
      <c r="E500" s="4">
        <v>73.680000000000007</v>
      </c>
      <c r="F500" s="4">
        <v>0.72140000000000004</v>
      </c>
      <c r="G500" s="4">
        <v>7</v>
      </c>
      <c r="H500" s="6">
        <v>280</v>
      </c>
      <c r="I500" s="6">
        <v>280</v>
      </c>
      <c r="J500" s="6">
        <v>280</v>
      </c>
      <c r="K500" s="4" t="e">
        <f t="array" aca="1" ref="K500">MAX(H500:J500*(1-strike(H500:J500)))</f>
        <v>#NAME?</v>
      </c>
      <c r="L500" s="6">
        <v>210</v>
      </c>
      <c r="M500" s="4">
        <v>210</v>
      </c>
      <c r="N500" s="4">
        <v>215</v>
      </c>
      <c r="O500" s="4" t="e">
        <f t="array" aca="1" ref="O500">MAX(L500:N500*(1-strike(L500:N500)))</f>
        <v>#NAME?</v>
      </c>
      <c r="P500" s="4">
        <v>230</v>
      </c>
      <c r="Q500" s="4">
        <v>240</v>
      </c>
      <c r="R500" s="6">
        <v>245</v>
      </c>
      <c r="S500" s="4" t="e">
        <f t="array" aca="1" ref="S500">MAX(P500:R500*(1-strike(P500:R500)))</f>
        <v>#NAME?</v>
      </c>
      <c r="T500" s="4" t="e">
        <f t="shared" si="7"/>
        <v>#NAME?</v>
      </c>
      <c r="U500" s="4" t="s">
        <v>187</v>
      </c>
      <c r="V500" s="4" t="s">
        <v>37</v>
      </c>
      <c r="W500" s="4" t="s">
        <v>37</v>
      </c>
      <c r="X500" s="5">
        <v>2014</v>
      </c>
      <c r="Y500" s="5" t="s">
        <v>29</v>
      </c>
      <c r="Z500" s="5" t="s">
        <v>171</v>
      </c>
      <c r="AA500" s="5">
        <v>473</v>
      </c>
    </row>
    <row r="501" spans="1:27">
      <c r="A501" s="4">
        <v>8</v>
      </c>
      <c r="B501" s="4" t="s">
        <v>512</v>
      </c>
      <c r="C501" s="4">
        <v>1969</v>
      </c>
      <c r="D501" s="4" t="s">
        <v>77</v>
      </c>
      <c r="E501" s="4">
        <v>73.099999999999994</v>
      </c>
      <c r="F501" s="4">
        <v>0.72560000000000002</v>
      </c>
      <c r="G501" s="4">
        <v>7</v>
      </c>
      <c r="H501" s="6">
        <v>280</v>
      </c>
      <c r="I501" s="6">
        <v>280</v>
      </c>
      <c r="J501" s="4">
        <v>280</v>
      </c>
      <c r="K501" s="4" t="e">
        <f t="array" aca="1" ref="K501">MAX(H501:J501*(1-strike(H501:J501)))</f>
        <v>#NAME?</v>
      </c>
      <c r="L501" s="4">
        <v>210</v>
      </c>
      <c r="M501" s="6">
        <v>220</v>
      </c>
      <c r="N501" s="4">
        <v>220</v>
      </c>
      <c r="O501" s="4" t="e">
        <f t="array" aca="1" ref="O501">MAX(L501:N501*(1-strike(L501:N501)))</f>
        <v>#NAME?</v>
      </c>
      <c r="P501" s="4">
        <v>245</v>
      </c>
      <c r="Q501" s="4">
        <v>260</v>
      </c>
      <c r="R501" s="4">
        <v>265</v>
      </c>
      <c r="S501" s="4" t="e">
        <f t="array" aca="1" ref="S501">MAX(P501:R501*(1-strike(P501:R501)))</f>
        <v>#NAME?</v>
      </c>
      <c r="T501" s="4" t="e">
        <f t="shared" si="7"/>
        <v>#NAME?</v>
      </c>
      <c r="U501" s="4">
        <v>765</v>
      </c>
      <c r="V501" s="4">
        <v>555.08000000000004</v>
      </c>
      <c r="W501" s="4">
        <v>3</v>
      </c>
      <c r="X501" s="5">
        <v>2015</v>
      </c>
      <c r="Y501" s="5" t="s">
        <v>29</v>
      </c>
      <c r="Z501" s="5" t="s">
        <v>171</v>
      </c>
      <c r="AA501" s="5">
        <v>30</v>
      </c>
    </row>
    <row r="502" spans="1:27">
      <c r="A502" s="4">
        <v>7</v>
      </c>
      <c r="B502" s="4" t="s">
        <v>513</v>
      </c>
      <c r="C502" s="4">
        <v>1990</v>
      </c>
      <c r="D502" s="4" t="s">
        <v>51</v>
      </c>
      <c r="E502" s="4">
        <v>104.76</v>
      </c>
      <c r="F502" s="4">
        <v>0.59799999999999998</v>
      </c>
      <c r="G502" s="4">
        <v>21</v>
      </c>
      <c r="H502" s="4">
        <v>330</v>
      </c>
      <c r="I502" s="6">
        <v>350</v>
      </c>
      <c r="J502" s="4">
        <v>350</v>
      </c>
      <c r="K502" s="4" t="e">
        <f t="array" aca="1" ref="K502">MAX(H502:J502*(1-strike(H502:J502)))</f>
        <v>#NAME?</v>
      </c>
      <c r="L502" s="4">
        <v>230</v>
      </c>
      <c r="M502" s="4">
        <v>240</v>
      </c>
      <c r="N502" s="4">
        <v>245</v>
      </c>
      <c r="O502" s="4" t="e">
        <f t="array" aca="1" ref="O502">MAX(L502:N502*(1-strike(L502:N502)))</f>
        <v>#NAME?</v>
      </c>
      <c r="P502" s="4">
        <v>310</v>
      </c>
      <c r="Q502" s="4">
        <v>327.5</v>
      </c>
      <c r="R502" s="6">
        <v>332.5</v>
      </c>
      <c r="S502" s="4" t="e">
        <f t="array" aca="1" ref="S502">MAX(P502:R502*(1-strike(P502:R502)))</f>
        <v>#NAME?</v>
      </c>
      <c r="T502" s="4" t="e">
        <f t="shared" si="7"/>
        <v>#NAME?</v>
      </c>
      <c r="U502" s="4">
        <v>922.5</v>
      </c>
      <c r="V502" s="4">
        <v>551.65</v>
      </c>
      <c r="W502" s="4">
        <v>4</v>
      </c>
      <c r="X502" s="5">
        <v>2014</v>
      </c>
      <c r="Y502" s="5" t="s">
        <v>29</v>
      </c>
      <c r="Z502" s="5" t="s">
        <v>171</v>
      </c>
      <c r="AA502" s="5">
        <v>519</v>
      </c>
    </row>
    <row r="503" spans="1:27">
      <c r="A503" s="3">
        <v>15</v>
      </c>
      <c r="B503" s="3" t="s">
        <v>514</v>
      </c>
      <c r="C503" s="3">
        <v>1991</v>
      </c>
      <c r="D503" s="3" t="s">
        <v>77</v>
      </c>
      <c r="E503" s="3">
        <v>91.91</v>
      </c>
      <c r="F503" s="3">
        <v>0.63180000000000003</v>
      </c>
      <c r="G503" s="3">
        <v>4</v>
      </c>
      <c r="H503" s="3">
        <v>280</v>
      </c>
      <c r="I503" s="1">
        <v>290</v>
      </c>
      <c r="J503" s="1">
        <v>290</v>
      </c>
      <c r="K503" s="4" t="e">
        <f t="array" aca="1" ref="K503">MAX(H503:J503*(1-strike(H503:J503)))</f>
        <v>#NAME?</v>
      </c>
      <c r="L503" s="3">
        <v>175</v>
      </c>
      <c r="M503" s="3">
        <v>187.5</v>
      </c>
      <c r="N503" s="3">
        <v>197.5</v>
      </c>
      <c r="O503" s="4" t="e">
        <f t="array" aca="1" ref="O503">MAX(L503:N503*(1-strike(L503:N503)))</f>
        <v>#NAME?</v>
      </c>
      <c r="P503" s="3">
        <v>260</v>
      </c>
      <c r="Q503" s="1">
        <v>270</v>
      </c>
      <c r="R503" s="3">
        <v>270</v>
      </c>
      <c r="S503" s="4" t="e">
        <f t="array" aca="1" ref="S503">MAX(P503:R503*(1-strike(P503:R503)))</f>
        <v>#NAME?</v>
      </c>
      <c r="T503" s="4" t="e">
        <f t="shared" si="7"/>
        <v>#NAME?</v>
      </c>
      <c r="U503" s="3">
        <v>747.5</v>
      </c>
      <c r="V503" s="3">
        <v>472.27</v>
      </c>
      <c r="W503" s="3">
        <v>1</v>
      </c>
      <c r="X503" s="5">
        <v>2013</v>
      </c>
      <c r="Y503" s="5" t="s">
        <v>29</v>
      </c>
      <c r="Z503" s="5" t="s">
        <v>171</v>
      </c>
      <c r="AA503" s="5">
        <v>877</v>
      </c>
    </row>
    <row r="504" spans="1:27">
      <c r="A504" s="4" t="s">
        <v>37</v>
      </c>
      <c r="B504" s="4" t="s">
        <v>515</v>
      </c>
      <c r="C504" s="4">
        <v>1986</v>
      </c>
      <c r="D504" s="4" t="s">
        <v>45</v>
      </c>
      <c r="E504" s="4">
        <v>119.41</v>
      </c>
      <c r="F504" s="4">
        <v>0.5756</v>
      </c>
      <c r="G504" s="4">
        <v>16</v>
      </c>
      <c r="H504" s="6">
        <v>385</v>
      </c>
      <c r="I504" s="6">
        <v>385</v>
      </c>
      <c r="J504" s="6">
        <v>385</v>
      </c>
      <c r="K504" s="4" t="e">
        <f t="array" aca="1" ref="K504">MAX(H504:J504*(1-strike(H504:J504)))</f>
        <v>#NAME?</v>
      </c>
      <c r="L504" s="4"/>
      <c r="M504" s="4"/>
      <c r="N504" s="4"/>
      <c r="O504" s="4" t="e">
        <f t="array" aca="1" ref="O504">MAX(L504:N504*(1-strike(L504:N504)))</f>
        <v>#NAME?</v>
      </c>
      <c r="P504" s="4"/>
      <c r="Q504" s="4"/>
      <c r="R504" s="4"/>
      <c r="S504" s="4" t="e">
        <f t="array" aca="1" ref="S504">MAX(P504:R504*(1-strike(P504:R504)))</f>
        <v>#NAME?</v>
      </c>
      <c r="T504" s="4" t="e">
        <f t="shared" si="7"/>
        <v>#NAME?</v>
      </c>
      <c r="U504" s="4" t="s">
        <v>187</v>
      </c>
      <c r="V504" s="4" t="s">
        <v>37</v>
      </c>
      <c r="W504" s="4" t="s">
        <v>37</v>
      </c>
      <c r="X504" s="5">
        <v>2015</v>
      </c>
      <c r="Y504" s="5" t="s">
        <v>29</v>
      </c>
      <c r="Z504" s="5" t="s">
        <v>171</v>
      </c>
      <c r="AA504" s="5">
        <v>109</v>
      </c>
    </row>
    <row r="505" spans="1:27">
      <c r="A505" s="3">
        <v>5</v>
      </c>
      <c r="B505" s="3" t="s">
        <v>516</v>
      </c>
      <c r="C505" s="3">
        <v>1986</v>
      </c>
      <c r="D505" s="3" t="s">
        <v>45</v>
      </c>
      <c r="E505" s="3">
        <v>119.52</v>
      </c>
      <c r="F505" s="3">
        <v>0.57550000000000001</v>
      </c>
      <c r="G505" s="3">
        <v>31</v>
      </c>
      <c r="H505" s="3">
        <v>375</v>
      </c>
      <c r="I505" s="3">
        <v>392.5</v>
      </c>
      <c r="J505" s="3">
        <v>402.5</v>
      </c>
      <c r="K505" s="4" t="e">
        <f t="array" aca="1" ref="K505">MAX(H505:J505*(1-strike(H505:J505)))</f>
        <v>#NAME?</v>
      </c>
      <c r="L505" s="3">
        <v>257.5</v>
      </c>
      <c r="M505" s="3">
        <v>262.5</v>
      </c>
      <c r="N505" s="3">
        <v>267.5</v>
      </c>
      <c r="O505" s="4" t="e">
        <f t="array" aca="1" ref="O505">MAX(L505:N505*(1-strike(L505:N505)))</f>
        <v>#NAME?</v>
      </c>
      <c r="P505" s="3">
        <v>320</v>
      </c>
      <c r="Q505" s="3">
        <v>330</v>
      </c>
      <c r="R505" s="3">
        <v>342.5</v>
      </c>
      <c r="S505" s="4" t="e">
        <f t="array" aca="1" ref="S505">MAX(P505:R505*(1-strike(P505:R505)))</f>
        <v>#NAME?</v>
      </c>
      <c r="T505" s="4" t="e">
        <f t="shared" si="7"/>
        <v>#NAME?</v>
      </c>
      <c r="U505" s="3">
        <v>1012.5</v>
      </c>
      <c r="V505" s="3">
        <v>582.66999999999996</v>
      </c>
      <c r="W505" s="3">
        <v>6</v>
      </c>
      <c r="X505" s="5">
        <v>2012</v>
      </c>
      <c r="Y505" s="5" t="s">
        <v>29</v>
      </c>
      <c r="Z505" s="5" t="s">
        <v>171</v>
      </c>
      <c r="AA505" s="5">
        <v>1303</v>
      </c>
    </row>
    <row r="506" spans="1:27" ht="15" customHeight="1">
      <c r="A506" s="3">
        <v>5</v>
      </c>
      <c r="B506" s="3" t="s">
        <v>516</v>
      </c>
      <c r="C506" s="3">
        <v>1986</v>
      </c>
      <c r="D506" s="3" t="s">
        <v>45</v>
      </c>
      <c r="E506" s="3">
        <v>114.26</v>
      </c>
      <c r="F506" s="3">
        <v>0.58209999999999995</v>
      </c>
      <c r="G506" s="3">
        <v>16</v>
      </c>
      <c r="H506" s="3">
        <v>375</v>
      </c>
      <c r="I506" s="3">
        <v>390</v>
      </c>
      <c r="J506" s="1">
        <v>400</v>
      </c>
      <c r="K506" s="4" t="e">
        <f t="array" aca="1" ref="K506">MAX(H506:J506*(1-strike(H506:J506)))</f>
        <v>#NAME?</v>
      </c>
      <c r="L506" s="3">
        <v>250</v>
      </c>
      <c r="M506" s="3">
        <v>255</v>
      </c>
      <c r="N506" s="1">
        <v>260</v>
      </c>
      <c r="O506" s="4" t="e">
        <f t="array" aca="1" ref="O506">MAX(L506:N506*(1-strike(L506:N506)))</f>
        <v>#NAME?</v>
      </c>
      <c r="P506" s="3">
        <v>320</v>
      </c>
      <c r="Q506" s="3">
        <v>337.5</v>
      </c>
      <c r="R506" s="1">
        <v>350</v>
      </c>
      <c r="S506" s="4" t="e">
        <f t="array" aca="1" ref="S506">MAX(P506:R506*(1-strike(P506:R506)))</f>
        <v>#NAME?</v>
      </c>
      <c r="T506" s="4" t="e">
        <f t="shared" si="7"/>
        <v>#NAME?</v>
      </c>
      <c r="U506" s="3">
        <v>982.5</v>
      </c>
      <c r="V506" s="3">
        <v>571.91</v>
      </c>
      <c r="W506" s="3">
        <v>6</v>
      </c>
      <c r="X506" s="5">
        <v>2013</v>
      </c>
      <c r="Y506" s="5" t="s">
        <v>29</v>
      </c>
      <c r="Z506" s="5" t="s">
        <v>171</v>
      </c>
      <c r="AA506" s="5">
        <v>899</v>
      </c>
    </row>
    <row r="507" spans="1:27" ht="15" customHeight="1">
      <c r="A507" s="4">
        <v>8</v>
      </c>
      <c r="B507" s="4" t="s">
        <v>516</v>
      </c>
      <c r="C507" s="4">
        <v>1986</v>
      </c>
      <c r="D507" s="4" t="s">
        <v>45</v>
      </c>
      <c r="E507" s="4">
        <v>118.82</v>
      </c>
      <c r="F507" s="4">
        <v>0.57630000000000003</v>
      </c>
      <c r="G507" s="4">
        <v>1</v>
      </c>
      <c r="H507" s="4">
        <v>380</v>
      </c>
      <c r="I507" s="4">
        <v>390</v>
      </c>
      <c r="J507" s="4">
        <v>395</v>
      </c>
      <c r="K507" s="4" t="e">
        <f t="array" aca="1" ref="K507">MAX(H507:J507*(1-strike(H507:J507)))</f>
        <v>#NAME?</v>
      </c>
      <c r="L507" s="6">
        <v>260</v>
      </c>
      <c r="M507" s="4">
        <v>260</v>
      </c>
      <c r="N507" s="4">
        <v>265</v>
      </c>
      <c r="O507" s="4" t="e">
        <f t="array" aca="1" ref="O507">MAX(L507:N507*(1-strike(L507:N507)))</f>
        <v>#NAME?</v>
      </c>
      <c r="P507" s="4">
        <v>320</v>
      </c>
      <c r="Q507" s="4">
        <v>327.5</v>
      </c>
      <c r="R507" s="6">
        <v>340</v>
      </c>
      <c r="S507" s="4" t="e">
        <f t="array" aca="1" ref="S507">MAX(P507:R507*(1-strike(P507:R507)))</f>
        <v>#NAME?</v>
      </c>
      <c r="T507" s="4" t="e">
        <f t="shared" si="7"/>
        <v>#NAME?</v>
      </c>
      <c r="U507" s="4">
        <v>987.5</v>
      </c>
      <c r="V507" s="4">
        <v>569.1</v>
      </c>
      <c r="W507" s="4">
        <v>3</v>
      </c>
      <c r="X507" s="5">
        <v>2014</v>
      </c>
      <c r="Y507" s="5" t="s">
        <v>29</v>
      </c>
      <c r="Z507" s="5" t="s">
        <v>171</v>
      </c>
      <c r="AA507" s="5">
        <v>540</v>
      </c>
    </row>
    <row r="508" spans="1:27">
      <c r="A508" s="3">
        <v>9</v>
      </c>
      <c r="B508" s="3" t="s">
        <v>517</v>
      </c>
      <c r="C508" s="3">
        <v>1977</v>
      </c>
      <c r="D508" s="3" t="s">
        <v>56</v>
      </c>
      <c r="E508" s="3">
        <v>73.650000000000006</v>
      </c>
      <c r="F508" s="3">
        <v>0.7218</v>
      </c>
      <c r="G508" s="3">
        <v>8</v>
      </c>
      <c r="H508" s="1">
        <v>202.5</v>
      </c>
      <c r="I508" s="1">
        <v>202.5</v>
      </c>
      <c r="J508" s="3">
        <v>202.5</v>
      </c>
      <c r="K508" s="4" t="e">
        <f t="array" aca="1" ref="K508">MAX(H508:J508*(1-strike(H508:J508)))</f>
        <v>#NAME?</v>
      </c>
      <c r="L508" s="3">
        <v>132.5</v>
      </c>
      <c r="M508" s="1">
        <v>140</v>
      </c>
      <c r="N508" s="1">
        <v>140</v>
      </c>
      <c r="O508" s="4" t="e">
        <f t="array" aca="1" ref="O508">MAX(L508:N508*(1-strike(L508:N508)))</f>
        <v>#NAME?</v>
      </c>
      <c r="P508" s="3">
        <v>230</v>
      </c>
      <c r="Q508" s="3">
        <v>240</v>
      </c>
      <c r="R508" s="1">
        <v>247.5</v>
      </c>
      <c r="S508" s="4" t="e">
        <f t="array" aca="1" ref="S508">MAX(P508:R508*(1-strike(P508:R508)))</f>
        <v>#NAME?</v>
      </c>
      <c r="T508" s="4" t="e">
        <f t="shared" si="7"/>
        <v>#NAME?</v>
      </c>
      <c r="U508" s="3">
        <v>575</v>
      </c>
      <c r="V508" s="3">
        <v>415.01</v>
      </c>
      <c r="W508" s="3">
        <v>2</v>
      </c>
      <c r="X508" s="5">
        <v>2013</v>
      </c>
      <c r="Y508" s="5" t="s">
        <v>29</v>
      </c>
      <c r="Z508" s="5" t="s">
        <v>30</v>
      </c>
      <c r="AA508" s="5">
        <v>1039</v>
      </c>
    </row>
    <row r="509" spans="1:27">
      <c r="A509" s="3">
        <v>7</v>
      </c>
      <c r="B509" s="3" t="s">
        <v>518</v>
      </c>
      <c r="C509" s="3">
        <v>1982</v>
      </c>
      <c r="D509" s="3" t="s">
        <v>239</v>
      </c>
      <c r="E509" s="3">
        <v>104.42</v>
      </c>
      <c r="F509" s="3">
        <v>0.5988</v>
      </c>
      <c r="G509" s="3">
        <v>6</v>
      </c>
      <c r="H509" s="3">
        <v>330</v>
      </c>
      <c r="I509" s="3">
        <v>340</v>
      </c>
      <c r="J509" s="3">
        <v>345</v>
      </c>
      <c r="K509" s="4" t="e">
        <f t="array" aca="1" ref="K509">MAX(H509:J509*(1-strike(H509:J509)))</f>
        <v>#NAME?</v>
      </c>
      <c r="L509" s="1">
        <v>215</v>
      </c>
      <c r="M509" s="3">
        <v>215</v>
      </c>
      <c r="N509" s="3">
        <v>230</v>
      </c>
      <c r="O509" s="4" t="e">
        <f t="array" aca="1" ref="O509">MAX(L509:N509*(1-strike(L509:N509)))</f>
        <v>#NAME?</v>
      </c>
      <c r="P509" s="3">
        <v>310</v>
      </c>
      <c r="Q509" s="3">
        <v>325</v>
      </c>
      <c r="R509" s="3">
        <v>335</v>
      </c>
      <c r="S509" s="4" t="e">
        <f t="array" aca="1" ref="S509">MAX(P509:R509*(1-strike(P509:R509)))</f>
        <v>#NAME?</v>
      </c>
      <c r="T509" s="4" t="e">
        <f t="shared" si="7"/>
        <v>#NAME?</v>
      </c>
      <c r="U509" s="3">
        <v>910</v>
      </c>
      <c r="V509" s="3">
        <v>544.87</v>
      </c>
      <c r="W509" s="3">
        <v>4</v>
      </c>
      <c r="X509" s="5">
        <v>2012</v>
      </c>
      <c r="Y509" s="5" t="s">
        <v>29</v>
      </c>
      <c r="Z509" s="5" t="s">
        <v>171</v>
      </c>
      <c r="AA509" s="5">
        <v>1284</v>
      </c>
    </row>
    <row r="510" spans="1:27">
      <c r="A510" s="3">
        <v>6</v>
      </c>
      <c r="B510" s="3" t="s">
        <v>518</v>
      </c>
      <c r="C510" s="3">
        <v>1982</v>
      </c>
      <c r="D510" s="3" t="s">
        <v>239</v>
      </c>
      <c r="E510" s="3">
        <v>104.27</v>
      </c>
      <c r="F510" s="3">
        <v>0.59899999999999998</v>
      </c>
      <c r="G510" s="3">
        <v>11</v>
      </c>
      <c r="H510" s="3">
        <v>340</v>
      </c>
      <c r="I510" s="3">
        <v>350</v>
      </c>
      <c r="J510" s="1">
        <v>360</v>
      </c>
      <c r="K510" s="4" t="e">
        <f t="array" aca="1" ref="K510">MAX(H510:J510*(1-strike(H510:J510)))</f>
        <v>#NAME?</v>
      </c>
      <c r="L510" s="3">
        <v>240</v>
      </c>
      <c r="M510" s="1">
        <v>247.5</v>
      </c>
      <c r="N510" s="3">
        <v>247.5</v>
      </c>
      <c r="O510" s="4" t="e">
        <f t="array" aca="1" ref="O510">MAX(L510:N510*(1-strike(L510:N510)))</f>
        <v>#NAME?</v>
      </c>
      <c r="P510" s="3">
        <v>330</v>
      </c>
      <c r="Q510" s="1">
        <v>342.5</v>
      </c>
      <c r="R510" s="1">
        <v>342.5</v>
      </c>
      <c r="S510" s="4" t="e">
        <f t="array" aca="1" ref="S510">MAX(P510:R510*(1-strike(P510:R510)))</f>
        <v>#NAME?</v>
      </c>
      <c r="T510" s="4" t="e">
        <f t="shared" si="7"/>
        <v>#NAME?</v>
      </c>
      <c r="U510" s="3">
        <v>927.5</v>
      </c>
      <c r="V510" s="3">
        <v>555.57000000000005</v>
      </c>
      <c r="W510" s="3">
        <v>5</v>
      </c>
      <c r="X510" s="5">
        <v>2013</v>
      </c>
      <c r="Y510" s="5" t="s">
        <v>29</v>
      </c>
      <c r="Z510" s="5" t="s">
        <v>171</v>
      </c>
      <c r="AA510" s="5">
        <v>887</v>
      </c>
    </row>
    <row r="511" spans="1:27">
      <c r="A511" s="4">
        <v>8</v>
      </c>
      <c r="B511" s="4" t="s">
        <v>518</v>
      </c>
      <c r="C511" s="4">
        <v>1982</v>
      </c>
      <c r="D511" s="4" t="s">
        <v>239</v>
      </c>
      <c r="E511" s="4">
        <v>104.03</v>
      </c>
      <c r="F511" s="4">
        <v>0.59950000000000003</v>
      </c>
      <c r="G511" s="4">
        <v>5</v>
      </c>
      <c r="H511" s="6">
        <v>335</v>
      </c>
      <c r="I511" s="4">
        <v>335</v>
      </c>
      <c r="J511" s="4">
        <v>350</v>
      </c>
      <c r="K511" s="4" t="e">
        <f t="array" aca="1" ref="K511">MAX(H511:J511*(1-strike(H511:J511)))</f>
        <v>#NAME?</v>
      </c>
      <c r="L511" s="4">
        <v>230</v>
      </c>
      <c r="M511" s="6">
        <v>240</v>
      </c>
      <c r="N511" s="4">
        <v>240</v>
      </c>
      <c r="O511" s="4" t="e">
        <f t="array" aca="1" ref="O511">MAX(L511:N511*(1-strike(L511:N511)))</f>
        <v>#NAME?</v>
      </c>
      <c r="P511" s="4">
        <v>332.5</v>
      </c>
      <c r="Q511" s="6">
        <v>345</v>
      </c>
      <c r="R511" s="4">
        <v>345</v>
      </c>
      <c r="S511" s="4" t="e">
        <f t="array" aca="1" ref="S511">MAX(P511:R511*(1-strike(P511:R511)))</f>
        <v>#NAME?</v>
      </c>
      <c r="T511" s="4" t="e">
        <f t="shared" si="7"/>
        <v>#NAME?</v>
      </c>
      <c r="U511" s="4">
        <v>935</v>
      </c>
      <c r="V511" s="4">
        <v>560.53</v>
      </c>
      <c r="W511" s="4">
        <v>3</v>
      </c>
      <c r="X511" s="5">
        <v>2015</v>
      </c>
      <c r="Y511" s="5" t="s">
        <v>29</v>
      </c>
      <c r="Z511" s="5" t="s">
        <v>171</v>
      </c>
      <c r="AA511" s="5">
        <v>80</v>
      </c>
    </row>
    <row r="512" spans="1:27">
      <c r="A512" s="3">
        <v>9</v>
      </c>
      <c r="B512" s="3" t="s">
        <v>519</v>
      </c>
      <c r="C512" s="3">
        <v>1985</v>
      </c>
      <c r="D512" s="3" t="s">
        <v>349</v>
      </c>
      <c r="E512" s="3">
        <v>179.9</v>
      </c>
      <c r="F512" s="3">
        <v>0.53820000000000001</v>
      </c>
      <c r="G512" s="3">
        <v>6</v>
      </c>
      <c r="H512" s="3">
        <v>432.5</v>
      </c>
      <c r="I512" s="3">
        <v>450</v>
      </c>
      <c r="J512" s="3">
        <v>455</v>
      </c>
      <c r="K512" s="4" t="e">
        <f t="array" aca="1" ref="K512">MAX(H512:J512*(1-strike(H512:J512)))</f>
        <v>#NAME?</v>
      </c>
      <c r="L512" s="1">
        <v>250</v>
      </c>
      <c r="M512" s="3">
        <v>250</v>
      </c>
      <c r="N512" s="1">
        <v>265</v>
      </c>
      <c r="O512" s="4" t="e">
        <f t="array" aca="1" ref="O512">MAX(L512:N512*(1-strike(L512:N512)))</f>
        <v>#NAME?</v>
      </c>
      <c r="P512" s="3">
        <v>270</v>
      </c>
      <c r="Q512" s="3">
        <v>300</v>
      </c>
      <c r="R512" s="1">
        <v>327.5</v>
      </c>
      <c r="S512" s="4" t="e">
        <f t="array" aca="1" ref="S512">MAX(P512:R512*(1-strike(P512:R512)))</f>
        <v>#NAME?</v>
      </c>
      <c r="T512" s="4" t="e">
        <f t="shared" si="7"/>
        <v>#NAME?</v>
      </c>
      <c r="U512" s="3">
        <v>1005</v>
      </c>
      <c r="V512" s="3">
        <v>540.89</v>
      </c>
      <c r="W512" s="3">
        <v>2</v>
      </c>
      <c r="X512" s="5">
        <v>2013</v>
      </c>
      <c r="Y512" s="5" t="s">
        <v>29</v>
      </c>
      <c r="Z512" s="5" t="s">
        <v>171</v>
      </c>
      <c r="AA512" s="5">
        <v>920</v>
      </c>
    </row>
    <row r="513" spans="1:27">
      <c r="A513" s="3">
        <v>8</v>
      </c>
      <c r="B513" s="3" t="s">
        <v>520</v>
      </c>
      <c r="C513" s="3">
        <v>1985</v>
      </c>
      <c r="D513" s="3" t="s">
        <v>62</v>
      </c>
      <c r="E513" s="3">
        <v>116.6</v>
      </c>
      <c r="F513" s="3">
        <v>0.57899999999999996</v>
      </c>
      <c r="G513" s="3">
        <v>5</v>
      </c>
      <c r="H513" s="3">
        <v>232.5</v>
      </c>
      <c r="I513" s="3">
        <v>247.5</v>
      </c>
      <c r="J513" s="3">
        <v>260</v>
      </c>
      <c r="K513" s="4" t="e">
        <f t="array" aca="1" ref="K513">MAX(H513:J513*(1-strike(H513:J513)))</f>
        <v>#NAME?</v>
      </c>
      <c r="L513" s="3">
        <v>175</v>
      </c>
      <c r="M513" s="3">
        <v>185</v>
      </c>
      <c r="N513" s="1">
        <v>187.5</v>
      </c>
      <c r="O513" s="4" t="e">
        <f t="array" aca="1" ref="O513">MAX(L513:N513*(1-strike(L513:N513)))</f>
        <v>#NAME?</v>
      </c>
      <c r="P513" s="3">
        <v>322.5</v>
      </c>
      <c r="Q513" s="3">
        <v>342.5</v>
      </c>
      <c r="R513" s="3">
        <v>352.5</v>
      </c>
      <c r="S513" s="4" t="e">
        <f t="array" aca="1" ref="S513">MAX(P513:R513*(1-strike(P513:R513)))</f>
        <v>#NAME?</v>
      </c>
      <c r="T513" s="4" t="e">
        <f t="shared" si="7"/>
        <v>#NAME?</v>
      </c>
      <c r="U513" s="3">
        <v>797.5</v>
      </c>
      <c r="V513" s="3">
        <v>461.75</v>
      </c>
      <c r="W513" s="3">
        <v>3</v>
      </c>
      <c r="X513" s="5">
        <v>2013</v>
      </c>
      <c r="Y513" s="5" t="s">
        <v>29</v>
      </c>
      <c r="Z513" s="5" t="s">
        <v>30</v>
      </c>
      <c r="AA513" s="5">
        <v>1098</v>
      </c>
    </row>
    <row r="514" spans="1:27">
      <c r="A514" s="4" t="s">
        <v>37</v>
      </c>
      <c r="B514" s="4" t="s">
        <v>521</v>
      </c>
      <c r="C514" s="4">
        <v>1984</v>
      </c>
      <c r="D514" s="4" t="s">
        <v>80</v>
      </c>
      <c r="E514" s="4">
        <v>81.45</v>
      </c>
      <c r="F514" s="4">
        <v>0.67520000000000002</v>
      </c>
      <c r="G514" s="4">
        <v>26</v>
      </c>
      <c r="H514" s="4">
        <v>230</v>
      </c>
      <c r="I514" s="4">
        <v>242.5</v>
      </c>
      <c r="J514" s="6">
        <v>247.5</v>
      </c>
      <c r="K514" s="4" t="e">
        <f t="array" aca="1" ref="K514">MAX(H514:J514*(1-strike(H514:J514)))</f>
        <v>#NAME?</v>
      </c>
      <c r="L514" s="6">
        <v>152.5</v>
      </c>
      <c r="M514" s="6">
        <v>152.5</v>
      </c>
      <c r="N514" s="6">
        <v>152.5</v>
      </c>
      <c r="O514" s="4" t="e">
        <f t="array" aca="1" ref="O514">MAX(L514:N514*(1-strike(L514:N514)))</f>
        <v>#NAME?</v>
      </c>
      <c r="P514" s="4"/>
      <c r="Q514" s="4"/>
      <c r="R514" s="4"/>
      <c r="S514" s="4" t="e">
        <f t="array" aca="1" ref="S514">MAX(P514:R514*(1-strike(P514:R514)))</f>
        <v>#NAME?</v>
      </c>
      <c r="T514" s="4" t="e">
        <f t="shared" ref="T514:T577" si="8">IF(AND(K514&lt;&gt;0,O514&lt;&gt;0,S514&lt;&gt;0),K514+O514+S514,0)</f>
        <v>#NAME?</v>
      </c>
      <c r="U514" s="4" t="s">
        <v>40</v>
      </c>
      <c r="V514" s="4" t="s">
        <v>37</v>
      </c>
      <c r="W514" s="4" t="s">
        <v>37</v>
      </c>
      <c r="X514" s="5">
        <v>2014</v>
      </c>
      <c r="Y514" s="5" t="s">
        <v>29</v>
      </c>
      <c r="Z514" s="5" t="s">
        <v>30</v>
      </c>
      <c r="AA514" s="5">
        <v>695</v>
      </c>
    </row>
    <row r="515" spans="1:27">
      <c r="A515" s="4">
        <v>21</v>
      </c>
      <c r="B515" s="4" t="s">
        <v>522</v>
      </c>
      <c r="C515" s="4">
        <v>1988</v>
      </c>
      <c r="D515" s="4" t="s">
        <v>296</v>
      </c>
      <c r="E515" s="4">
        <v>136</v>
      </c>
      <c r="F515" s="4">
        <v>0.56130000000000002</v>
      </c>
      <c r="G515" s="4">
        <v>5</v>
      </c>
      <c r="H515" s="4">
        <v>250</v>
      </c>
      <c r="I515" s="4">
        <v>260</v>
      </c>
      <c r="J515" s="4">
        <v>275</v>
      </c>
      <c r="K515" s="4" t="e">
        <f t="array" aca="1" ref="K515">MAX(H515:J515*(1-strike(H515:J515)))</f>
        <v>#NAME?</v>
      </c>
      <c r="L515" s="4">
        <v>150</v>
      </c>
      <c r="M515" s="4">
        <v>157.5</v>
      </c>
      <c r="N515" s="4">
        <v>165</v>
      </c>
      <c r="O515" s="4" t="e">
        <f t="array" aca="1" ref="O515">MAX(L515:N515*(1-strike(L515:N515)))</f>
        <v>#NAME?</v>
      </c>
      <c r="P515" s="4">
        <v>285</v>
      </c>
      <c r="Q515" s="4">
        <v>300</v>
      </c>
      <c r="R515" s="6">
        <v>310</v>
      </c>
      <c r="S515" s="4" t="e">
        <f t="array" aca="1" ref="S515">MAX(P515:R515*(1-strike(P515:R515)))</f>
        <v>#NAME?</v>
      </c>
      <c r="T515" s="4" t="e">
        <f t="shared" si="8"/>
        <v>#NAME?</v>
      </c>
      <c r="U515" s="4">
        <v>740</v>
      </c>
      <c r="V515" s="4">
        <v>415.36</v>
      </c>
      <c r="W515" s="4">
        <v>1</v>
      </c>
      <c r="X515" s="5">
        <v>2015</v>
      </c>
      <c r="Y515" s="5" t="s">
        <v>29</v>
      </c>
      <c r="Z515" s="5" t="s">
        <v>30</v>
      </c>
      <c r="AA515" s="5">
        <v>343</v>
      </c>
    </row>
    <row r="516" spans="1:27" ht="15" customHeight="1">
      <c r="A516" s="3" t="s">
        <v>37</v>
      </c>
      <c r="B516" s="3" t="s">
        <v>523</v>
      </c>
      <c r="C516" s="3">
        <v>1984</v>
      </c>
      <c r="D516" s="3" t="s">
        <v>125</v>
      </c>
      <c r="E516" s="3">
        <v>92.84</v>
      </c>
      <c r="F516" s="3">
        <v>0.62870000000000004</v>
      </c>
      <c r="G516" s="3">
        <v>21</v>
      </c>
      <c r="H516" s="1">
        <v>320</v>
      </c>
      <c r="I516" s="1">
        <v>320</v>
      </c>
      <c r="J516" s="1">
        <v>320</v>
      </c>
      <c r="K516" s="4" t="e">
        <f t="array" aca="1" ref="K516">MAX(H516:J516*(1-strike(H516:J516)))</f>
        <v>#NAME?</v>
      </c>
      <c r="L516" s="1">
        <v>232.5</v>
      </c>
      <c r="M516" s="3"/>
      <c r="N516" s="3"/>
      <c r="O516" s="4" t="e">
        <f t="array" aca="1" ref="O516">MAX(L516:N516*(1-strike(L516:N516)))</f>
        <v>#NAME?</v>
      </c>
      <c r="P516" s="3"/>
      <c r="Q516" s="3"/>
      <c r="R516" s="3"/>
      <c r="S516" s="4" t="e">
        <f t="array" aca="1" ref="S516">MAX(P516:R516*(1-strike(P516:R516)))</f>
        <v>#NAME?</v>
      </c>
      <c r="T516" s="4" t="e">
        <f t="shared" si="8"/>
        <v>#NAME?</v>
      </c>
      <c r="U516" s="3" t="s">
        <v>40</v>
      </c>
      <c r="V516" s="3" t="s">
        <v>37</v>
      </c>
      <c r="W516" s="3" t="s">
        <v>37</v>
      </c>
      <c r="X516" s="5">
        <v>2012</v>
      </c>
      <c r="Y516" s="5" t="s">
        <v>29</v>
      </c>
      <c r="Z516" s="5" t="s">
        <v>171</v>
      </c>
      <c r="AA516" s="5">
        <v>1274</v>
      </c>
    </row>
    <row r="517" spans="1:27">
      <c r="A517" s="3">
        <v>11</v>
      </c>
      <c r="B517" s="3" t="s">
        <v>523</v>
      </c>
      <c r="C517" s="3">
        <v>1984</v>
      </c>
      <c r="D517" s="3" t="s">
        <v>125</v>
      </c>
      <c r="E517" s="3">
        <v>92.52</v>
      </c>
      <c r="F517" s="3">
        <v>0.62970000000000004</v>
      </c>
      <c r="G517" s="3">
        <v>10</v>
      </c>
      <c r="H517" s="3">
        <v>310</v>
      </c>
      <c r="I517" s="3">
        <v>322.5</v>
      </c>
      <c r="J517" s="1">
        <v>332.5</v>
      </c>
      <c r="K517" s="4" t="e">
        <f t="array" aca="1" ref="K517">MAX(H517:J517*(1-strike(H517:J517)))</f>
        <v>#NAME?</v>
      </c>
      <c r="L517" s="1">
        <v>250</v>
      </c>
      <c r="M517" s="3">
        <v>250</v>
      </c>
      <c r="N517" s="1">
        <v>260</v>
      </c>
      <c r="O517" s="4" t="e">
        <f t="array" aca="1" ref="O517">MAX(L517:N517*(1-strike(L517:N517)))</f>
        <v>#NAME?</v>
      </c>
      <c r="P517" s="3">
        <v>280</v>
      </c>
      <c r="Q517" s="3">
        <v>292.5</v>
      </c>
      <c r="R517" s="1">
        <v>302.5</v>
      </c>
      <c r="S517" s="4" t="e">
        <f t="array" aca="1" ref="S517">MAX(P517:R517*(1-strike(P517:R517)))</f>
        <v>#NAME?</v>
      </c>
      <c r="T517" s="4" t="e">
        <f t="shared" si="8"/>
        <v>#NAME?</v>
      </c>
      <c r="U517" s="3">
        <v>865</v>
      </c>
      <c r="V517" s="3">
        <v>544.69000000000005</v>
      </c>
      <c r="W517" s="3">
        <v>1</v>
      </c>
      <c r="X517" s="5">
        <v>2013</v>
      </c>
      <c r="Y517" s="5" t="s">
        <v>29</v>
      </c>
      <c r="Z517" s="5" t="s">
        <v>171</v>
      </c>
      <c r="AA517" s="5">
        <v>873</v>
      </c>
    </row>
    <row r="518" spans="1:27">
      <c r="A518" s="4">
        <v>15</v>
      </c>
      <c r="B518" s="4" t="s">
        <v>523</v>
      </c>
      <c r="C518" s="4">
        <v>1984</v>
      </c>
      <c r="D518" s="4" t="s">
        <v>125</v>
      </c>
      <c r="E518" s="4">
        <v>92.6</v>
      </c>
      <c r="F518" s="4">
        <v>0.62949999999999995</v>
      </c>
      <c r="G518" s="4">
        <v>14</v>
      </c>
      <c r="H518" s="4">
        <v>310</v>
      </c>
      <c r="I518" s="6">
        <v>320</v>
      </c>
      <c r="J518" s="4">
        <v>320</v>
      </c>
      <c r="K518" s="4" t="e">
        <f t="array" aca="1" ref="K518">MAX(H518:J518*(1-strike(H518:J518)))</f>
        <v>#NAME?</v>
      </c>
      <c r="L518" s="4">
        <v>125</v>
      </c>
      <c r="M518" s="4"/>
      <c r="N518" s="4"/>
      <c r="O518" s="4" t="e">
        <f t="array" aca="1" ref="O518">MAX(L518:N518*(1-strike(L518:N518)))</f>
        <v>#NAME?</v>
      </c>
      <c r="P518" s="4">
        <v>280</v>
      </c>
      <c r="Q518" s="4">
        <v>300</v>
      </c>
      <c r="R518" s="6">
        <v>305</v>
      </c>
      <c r="S518" s="4" t="e">
        <f t="array" aca="1" ref="S518">MAX(P518:R518*(1-strike(P518:R518)))</f>
        <v>#NAME?</v>
      </c>
      <c r="T518" s="4" t="e">
        <f t="shared" si="8"/>
        <v>#NAME?</v>
      </c>
      <c r="U518" s="4">
        <v>745</v>
      </c>
      <c r="V518" s="4">
        <v>468.98</v>
      </c>
      <c r="W518" s="4">
        <v>1</v>
      </c>
      <c r="X518" s="5">
        <v>2014</v>
      </c>
      <c r="Y518" s="5" t="s">
        <v>29</v>
      </c>
      <c r="Z518" s="5" t="s">
        <v>171</v>
      </c>
      <c r="AA518" s="5">
        <v>507</v>
      </c>
    </row>
    <row r="519" spans="1:27">
      <c r="A519" s="3">
        <v>15</v>
      </c>
      <c r="B519" s="3" t="s">
        <v>524</v>
      </c>
      <c r="C519" s="3">
        <v>1973</v>
      </c>
      <c r="D519" s="3" t="s">
        <v>318</v>
      </c>
      <c r="E519" s="3">
        <v>114.2</v>
      </c>
      <c r="F519" s="3">
        <v>0.58209999999999995</v>
      </c>
      <c r="G519" s="3">
        <v>6</v>
      </c>
      <c r="H519" s="3">
        <v>230</v>
      </c>
      <c r="I519" s="3">
        <v>240</v>
      </c>
      <c r="J519" s="3">
        <v>250</v>
      </c>
      <c r="K519" s="4" t="e">
        <f t="array" aca="1" ref="K519">MAX(H519:J519*(1-strike(H519:J519)))</f>
        <v>#NAME?</v>
      </c>
      <c r="L519" s="3">
        <v>195</v>
      </c>
      <c r="M519" s="1">
        <v>207.5</v>
      </c>
      <c r="N519" s="1">
        <v>207.5</v>
      </c>
      <c r="O519" s="4" t="e">
        <f t="array" aca="1" ref="O519">MAX(L519:N519*(1-strike(L519:N519)))</f>
        <v>#NAME?</v>
      </c>
      <c r="P519" s="3">
        <v>225</v>
      </c>
      <c r="Q519" s="3">
        <v>240</v>
      </c>
      <c r="R519" s="3">
        <v>250</v>
      </c>
      <c r="S519" s="4" t="e">
        <f t="array" aca="1" ref="S519">MAX(P519:R519*(1-strike(P519:R519)))</f>
        <v>#NAME?</v>
      </c>
      <c r="T519" s="4" t="e">
        <f t="shared" si="8"/>
        <v>#NAME?</v>
      </c>
      <c r="U519" s="3">
        <v>695</v>
      </c>
      <c r="V519" s="3">
        <v>404.56</v>
      </c>
      <c r="W519" s="3">
        <v>1</v>
      </c>
      <c r="X519" s="5">
        <v>2013</v>
      </c>
      <c r="Y519" s="5" t="s">
        <v>29</v>
      </c>
      <c r="Z519" s="5" t="s">
        <v>30</v>
      </c>
      <c r="AA519" s="5">
        <v>1105</v>
      </c>
    </row>
    <row r="520" spans="1:27">
      <c r="A520" s="4">
        <v>13</v>
      </c>
      <c r="B520" s="4" t="s">
        <v>525</v>
      </c>
      <c r="C520" s="4">
        <v>1986</v>
      </c>
      <c r="D520" s="4" t="s">
        <v>77</v>
      </c>
      <c r="E520" s="4">
        <v>81.41</v>
      </c>
      <c r="F520" s="4">
        <v>0.67530000000000001</v>
      </c>
      <c r="G520" s="4">
        <v>15</v>
      </c>
      <c r="H520" s="4">
        <v>215</v>
      </c>
      <c r="I520" s="4">
        <v>230</v>
      </c>
      <c r="J520" s="4">
        <v>232.5</v>
      </c>
      <c r="K520" s="4" t="e">
        <f t="array" aca="1" ref="K520">MAX(H520:J520*(1-strike(H520:J520)))</f>
        <v>#NAME?</v>
      </c>
      <c r="L520" s="4">
        <v>135</v>
      </c>
      <c r="M520" s="4">
        <v>145</v>
      </c>
      <c r="N520" s="4">
        <v>150</v>
      </c>
      <c r="O520" s="4" t="e">
        <f t="array" aca="1" ref="O520">MAX(L520:N520*(1-strike(L520:N520)))</f>
        <v>#NAME?</v>
      </c>
      <c r="P520" s="4">
        <v>235</v>
      </c>
      <c r="Q520" s="4">
        <v>255</v>
      </c>
      <c r="R520" s="6">
        <v>260</v>
      </c>
      <c r="S520" s="4" t="e">
        <f t="array" aca="1" ref="S520">MAX(P520:R520*(1-strike(P520:R520)))</f>
        <v>#NAME?</v>
      </c>
      <c r="T520" s="4" t="e">
        <f t="shared" si="8"/>
        <v>#NAME?</v>
      </c>
      <c r="U520" s="4">
        <v>637.5</v>
      </c>
      <c r="V520" s="4">
        <v>430.5</v>
      </c>
      <c r="W520" s="4">
        <v>1</v>
      </c>
      <c r="X520" s="5">
        <v>2015</v>
      </c>
      <c r="Y520" s="5" t="s">
        <v>29</v>
      </c>
      <c r="Z520" s="5" t="s">
        <v>30</v>
      </c>
      <c r="AA520" s="5">
        <v>268</v>
      </c>
    </row>
    <row r="521" spans="1:27">
      <c r="A521" s="3" t="s">
        <v>37</v>
      </c>
      <c r="B521" s="3" t="s">
        <v>68</v>
      </c>
      <c r="C521" s="3">
        <v>1977</v>
      </c>
      <c r="D521" s="3" t="s">
        <v>56</v>
      </c>
      <c r="E521" s="3">
        <v>92.7</v>
      </c>
      <c r="F521" s="3">
        <v>0.62919999999999998</v>
      </c>
      <c r="G521" s="3">
        <v>13</v>
      </c>
      <c r="H521" s="3">
        <v>250</v>
      </c>
      <c r="I521" s="3">
        <v>257.5</v>
      </c>
      <c r="J521" s="1">
        <v>262.5</v>
      </c>
      <c r="K521" s="4" t="e">
        <f t="array" aca="1" ref="K521">MAX(H521:J521*(1-strike(H521:J521)))</f>
        <v>#NAME?</v>
      </c>
      <c r="L521" s="3">
        <v>170</v>
      </c>
      <c r="M521" s="1">
        <v>180</v>
      </c>
      <c r="N521" s="1">
        <v>180</v>
      </c>
      <c r="O521" s="4" t="e">
        <f t="array" aca="1" ref="O521">MAX(L521:N521*(1-strike(L521:N521)))</f>
        <v>#NAME?</v>
      </c>
      <c r="P521" s="1">
        <v>265</v>
      </c>
      <c r="Q521" s="1">
        <v>265</v>
      </c>
      <c r="R521" s="1">
        <v>265</v>
      </c>
      <c r="S521" s="4" t="e">
        <f t="array" aca="1" ref="S521">MAX(P521:R521*(1-strike(P521:R521)))</f>
        <v>#NAME?</v>
      </c>
      <c r="T521" s="4" t="e">
        <f t="shared" si="8"/>
        <v>#NAME?</v>
      </c>
      <c r="U521" s="3" t="s">
        <v>40</v>
      </c>
      <c r="V521" s="3" t="s">
        <v>37</v>
      </c>
      <c r="W521" s="3" t="s">
        <v>37</v>
      </c>
      <c r="X521" s="5">
        <v>2013</v>
      </c>
      <c r="Y521" s="5" t="s">
        <v>29</v>
      </c>
      <c r="Z521" s="5" t="s">
        <v>30</v>
      </c>
      <c r="AA521" s="5">
        <v>1069</v>
      </c>
    </row>
    <row r="522" spans="1:27">
      <c r="A522" s="4">
        <v>5</v>
      </c>
      <c r="B522" s="4" t="s">
        <v>69</v>
      </c>
      <c r="C522" s="4">
        <v>1983</v>
      </c>
      <c r="D522" s="4" t="s">
        <v>45</v>
      </c>
      <c r="E522" s="4">
        <v>103.6</v>
      </c>
      <c r="F522" s="4">
        <v>0.60040000000000004</v>
      </c>
      <c r="G522" s="4">
        <v>4</v>
      </c>
      <c r="H522" s="4">
        <v>280</v>
      </c>
      <c r="I522" s="4">
        <v>300</v>
      </c>
      <c r="J522" s="4">
        <v>307.5</v>
      </c>
      <c r="K522" s="4" t="e">
        <f t="array" aca="1" ref="K522">MAX(H522:J522*(1-strike(H522:J522)))</f>
        <v>#NAME?</v>
      </c>
      <c r="L522" s="4">
        <v>170</v>
      </c>
      <c r="M522" s="6">
        <v>175</v>
      </c>
      <c r="N522" s="4"/>
      <c r="O522" s="4" t="e">
        <f t="array" aca="1" ref="O522">MAX(L522:N522*(1-strike(L522:N522)))</f>
        <v>#NAME?</v>
      </c>
      <c r="P522" s="4">
        <v>320</v>
      </c>
      <c r="Q522" s="4">
        <v>330</v>
      </c>
      <c r="R522" s="6">
        <v>343</v>
      </c>
      <c r="S522" s="4" t="e">
        <f t="array" aca="1" ref="S522">MAX(P522:R522*(1-strike(P522:R522)))</f>
        <v>#NAME?</v>
      </c>
      <c r="T522" s="4" t="e">
        <f t="shared" si="8"/>
        <v>#NAME?</v>
      </c>
      <c r="U522" s="4">
        <v>807.5</v>
      </c>
      <c r="V522" s="4">
        <v>484.82</v>
      </c>
      <c r="W522" s="4">
        <v>6</v>
      </c>
      <c r="X522" s="5">
        <v>2014</v>
      </c>
      <c r="Y522" s="5" t="s">
        <v>29</v>
      </c>
      <c r="Z522" s="5" t="s">
        <v>30</v>
      </c>
      <c r="AA522" s="5">
        <v>714</v>
      </c>
    </row>
    <row r="523" spans="1:27">
      <c r="A523" s="4">
        <v>13</v>
      </c>
      <c r="B523" s="4" t="s">
        <v>69</v>
      </c>
      <c r="C523" s="4">
        <v>1983</v>
      </c>
      <c r="D523" s="4" t="s">
        <v>45</v>
      </c>
      <c r="E523" s="4">
        <v>107.42</v>
      </c>
      <c r="F523" s="4">
        <v>0.59299999999999997</v>
      </c>
      <c r="G523" s="4">
        <v>3</v>
      </c>
      <c r="H523" s="6">
        <v>360</v>
      </c>
      <c r="I523" s="4">
        <v>360</v>
      </c>
      <c r="J523" s="6">
        <v>370</v>
      </c>
      <c r="K523" s="4" t="e">
        <f t="array" aca="1" ref="K523">MAX(H523:J523*(1-strike(H523:J523)))</f>
        <v>#NAME?</v>
      </c>
      <c r="L523" s="4">
        <v>210</v>
      </c>
      <c r="M523" s="6">
        <v>217.5</v>
      </c>
      <c r="N523" s="4">
        <v>217.5</v>
      </c>
      <c r="O523" s="4" t="e">
        <f t="array" aca="1" ref="O523">MAX(L523:N523*(1-strike(L523:N523)))</f>
        <v>#NAME?</v>
      </c>
      <c r="P523" s="4">
        <v>340</v>
      </c>
      <c r="Q523" s="4">
        <v>352.5</v>
      </c>
      <c r="R523" s="4">
        <v>360</v>
      </c>
      <c r="S523" s="4" t="e">
        <f t="array" aca="1" ref="S523">MAX(P523:R523*(1-strike(P523:R523)))</f>
        <v>#NAME?</v>
      </c>
      <c r="T523" s="4" t="e">
        <f t="shared" si="8"/>
        <v>#NAME?</v>
      </c>
      <c r="U523" s="4">
        <v>937.5</v>
      </c>
      <c r="V523" s="4">
        <v>555.94000000000005</v>
      </c>
      <c r="W523" s="4">
        <v>1</v>
      </c>
      <c r="X523" s="5">
        <v>2014</v>
      </c>
      <c r="Y523" s="5" t="s">
        <v>29</v>
      </c>
      <c r="Z523" s="5" t="s">
        <v>171</v>
      </c>
      <c r="AA523" s="5">
        <v>545</v>
      </c>
    </row>
    <row r="524" spans="1:27">
      <c r="A524" s="4">
        <v>6</v>
      </c>
      <c r="B524" s="4" t="s">
        <v>69</v>
      </c>
      <c r="C524" s="4">
        <v>1983</v>
      </c>
      <c r="D524" s="4" t="s">
        <v>45</v>
      </c>
      <c r="E524" s="4">
        <v>110.95</v>
      </c>
      <c r="F524" s="4">
        <v>0.58699999999999997</v>
      </c>
      <c r="G524" s="4">
        <v>12</v>
      </c>
      <c r="H524" s="4">
        <v>380</v>
      </c>
      <c r="I524" s="4">
        <v>390</v>
      </c>
      <c r="J524" s="4">
        <v>395</v>
      </c>
      <c r="K524" s="4" t="e">
        <f t="array" aca="1" ref="K524">MAX(H524:J524*(1-strike(H524:J524)))</f>
        <v>#NAME?</v>
      </c>
      <c r="L524" s="4">
        <v>225</v>
      </c>
      <c r="M524" s="4">
        <v>230</v>
      </c>
      <c r="N524" s="4">
        <v>235</v>
      </c>
      <c r="O524" s="4" t="e">
        <f t="array" aca="1" ref="O524">MAX(L524:N524*(1-strike(L524:N524)))</f>
        <v>#NAME?</v>
      </c>
      <c r="P524" s="4">
        <v>355</v>
      </c>
      <c r="Q524" s="4">
        <v>370</v>
      </c>
      <c r="R524" s="4">
        <v>375</v>
      </c>
      <c r="S524" s="4" t="e">
        <f t="array" aca="1" ref="S524">MAX(P524:R524*(1-strike(P524:R524)))</f>
        <v>#NAME?</v>
      </c>
      <c r="T524" s="4" t="e">
        <f t="shared" si="8"/>
        <v>#NAME?</v>
      </c>
      <c r="U524" s="4">
        <v>1005</v>
      </c>
      <c r="V524" s="4">
        <v>589.92999999999995</v>
      </c>
      <c r="W524" s="4">
        <v>5</v>
      </c>
      <c r="X524" s="5">
        <v>2015</v>
      </c>
      <c r="Y524" s="5" t="s">
        <v>29</v>
      </c>
      <c r="Z524" s="5" t="s">
        <v>171</v>
      </c>
      <c r="AA524" s="5">
        <v>101</v>
      </c>
    </row>
    <row r="525" spans="1:27">
      <c r="A525" s="4">
        <v>12</v>
      </c>
      <c r="B525" s="4" t="s">
        <v>70</v>
      </c>
      <c r="C525" s="4">
        <v>1979</v>
      </c>
      <c r="D525" s="4" t="s">
        <v>51</v>
      </c>
      <c r="E525" s="4">
        <v>82.09</v>
      </c>
      <c r="F525" s="4">
        <v>0.67190000000000005</v>
      </c>
      <c r="G525" s="4">
        <v>2</v>
      </c>
      <c r="H525" s="4">
        <v>202.5</v>
      </c>
      <c r="I525" s="4">
        <v>212.5</v>
      </c>
      <c r="J525" s="4">
        <v>220</v>
      </c>
      <c r="K525" s="4" t="e">
        <f t="array" aca="1" ref="K525">MAX(H525:J525*(1-strike(H525:J525)))</f>
        <v>#NAME?</v>
      </c>
      <c r="L525" s="4">
        <v>137.5</v>
      </c>
      <c r="M525" s="4">
        <v>142.5</v>
      </c>
      <c r="N525" s="4">
        <v>147.5</v>
      </c>
      <c r="O525" s="4" t="e">
        <f t="array" aca="1" ref="O525">MAX(L525:N525*(1-strike(L525:N525)))</f>
        <v>#NAME?</v>
      </c>
      <c r="P525" s="4">
        <v>265</v>
      </c>
      <c r="Q525" s="4">
        <v>275</v>
      </c>
      <c r="R525" s="4">
        <v>280</v>
      </c>
      <c r="S525" s="4" t="e">
        <f t="array" aca="1" ref="S525">MAX(P525:R525*(1-strike(P525:R525)))</f>
        <v>#NAME?</v>
      </c>
      <c r="T525" s="4" t="e">
        <f t="shared" si="8"/>
        <v>#NAME?</v>
      </c>
      <c r="U525" s="4">
        <v>647.5</v>
      </c>
      <c r="V525" s="4">
        <v>435.06</v>
      </c>
      <c r="W525" s="4">
        <v>1</v>
      </c>
      <c r="X525" s="5">
        <v>2015</v>
      </c>
      <c r="Y525" s="5" t="s">
        <v>29</v>
      </c>
      <c r="Z525" s="5" t="s">
        <v>30</v>
      </c>
      <c r="AA525" s="5">
        <v>267</v>
      </c>
    </row>
    <row r="526" spans="1:27">
      <c r="A526" s="3">
        <v>9</v>
      </c>
      <c r="B526" s="3" t="s">
        <v>526</v>
      </c>
      <c r="C526" s="3">
        <v>1979</v>
      </c>
      <c r="D526" s="3" t="s">
        <v>80</v>
      </c>
      <c r="E526" s="3">
        <v>116.4</v>
      </c>
      <c r="F526" s="3">
        <v>0.57920000000000005</v>
      </c>
      <c r="G526" s="3">
        <v>17</v>
      </c>
      <c r="H526" s="1">
        <v>255</v>
      </c>
      <c r="I526" s="3">
        <v>265</v>
      </c>
      <c r="J526" s="3">
        <v>272.5</v>
      </c>
      <c r="K526" s="4" t="e">
        <f t="array" aca="1" ref="K526">MAX(H526:J526*(1-strike(H526:J526)))</f>
        <v>#NAME?</v>
      </c>
      <c r="L526" s="3">
        <v>225</v>
      </c>
      <c r="M526" s="3">
        <v>232.5</v>
      </c>
      <c r="N526" s="3">
        <v>237.5</v>
      </c>
      <c r="O526" s="4" t="e">
        <f t="array" aca="1" ref="O526">MAX(L526:N526*(1-strike(L526:N526)))</f>
        <v>#NAME?</v>
      </c>
      <c r="P526" s="3">
        <v>260</v>
      </c>
      <c r="Q526" s="3">
        <v>270</v>
      </c>
      <c r="R526" s="1">
        <v>277.5</v>
      </c>
      <c r="S526" s="4" t="e">
        <f t="array" aca="1" ref="S526">MAX(P526:R526*(1-strike(P526:R526)))</f>
        <v>#NAME?</v>
      </c>
      <c r="T526" s="4" t="e">
        <f t="shared" si="8"/>
        <v>#NAME?</v>
      </c>
      <c r="U526" s="3">
        <v>780</v>
      </c>
      <c r="V526" s="3">
        <v>451.78</v>
      </c>
      <c r="W526" s="3">
        <v>2</v>
      </c>
      <c r="X526" s="5">
        <v>2013</v>
      </c>
      <c r="Y526" s="5" t="s">
        <v>29</v>
      </c>
      <c r="Z526" s="5" t="s">
        <v>30</v>
      </c>
      <c r="AA526" s="5">
        <v>1099</v>
      </c>
    </row>
    <row r="527" spans="1:27" ht="15" customHeight="1">
      <c r="A527" s="4">
        <v>6</v>
      </c>
      <c r="B527" s="4" t="s">
        <v>526</v>
      </c>
      <c r="C527" s="4">
        <v>1979</v>
      </c>
      <c r="D527" s="4" t="s">
        <v>80</v>
      </c>
      <c r="E527" s="4">
        <v>116.35</v>
      </c>
      <c r="F527" s="4">
        <v>0.57930000000000004</v>
      </c>
      <c r="G527" s="4">
        <v>5</v>
      </c>
      <c r="H527" s="4">
        <v>265</v>
      </c>
      <c r="I527" s="4">
        <v>275</v>
      </c>
      <c r="J527" s="6">
        <v>285</v>
      </c>
      <c r="K527" s="4" t="e">
        <f t="array" aca="1" ref="K527">MAX(H527:J527*(1-strike(H527:J527)))</f>
        <v>#NAME?</v>
      </c>
      <c r="L527" s="4">
        <v>225</v>
      </c>
      <c r="M527" s="4">
        <v>235</v>
      </c>
      <c r="N527" s="6">
        <v>242</v>
      </c>
      <c r="O527" s="4" t="e">
        <f t="array" aca="1" ref="O527">MAX(L527:N527*(1-strike(L527:N527)))</f>
        <v>#NAME?</v>
      </c>
      <c r="P527" s="4">
        <v>260</v>
      </c>
      <c r="Q527" s="4">
        <v>270</v>
      </c>
      <c r="R527" s="4">
        <v>277.5</v>
      </c>
      <c r="S527" s="4" t="e">
        <f t="array" aca="1" ref="S527">MAX(P527:R527*(1-strike(P527:R527)))</f>
        <v>#NAME?</v>
      </c>
      <c r="T527" s="4" t="e">
        <f t="shared" si="8"/>
        <v>#NAME?</v>
      </c>
      <c r="U527" s="4">
        <v>787.5</v>
      </c>
      <c r="V527" s="4">
        <v>456.16</v>
      </c>
      <c r="W527" s="4">
        <v>5</v>
      </c>
      <c r="X527" s="5">
        <v>2014</v>
      </c>
      <c r="Y527" s="5" t="s">
        <v>29</v>
      </c>
      <c r="Z527" s="5" t="s">
        <v>30</v>
      </c>
      <c r="AA527" s="5">
        <v>729</v>
      </c>
    </row>
    <row r="528" spans="1:27">
      <c r="A528" s="3">
        <v>6</v>
      </c>
      <c r="B528" s="3" t="s">
        <v>527</v>
      </c>
      <c r="C528" s="3">
        <v>1977</v>
      </c>
      <c r="D528" s="3" t="s">
        <v>62</v>
      </c>
      <c r="E528" s="3">
        <v>65.5</v>
      </c>
      <c r="F528" s="3">
        <v>0.79010000000000002</v>
      </c>
      <c r="G528" s="3">
        <v>19</v>
      </c>
      <c r="H528" s="3">
        <v>237.5</v>
      </c>
      <c r="I528" s="3">
        <v>245</v>
      </c>
      <c r="J528" s="3">
        <v>252.5</v>
      </c>
      <c r="K528" s="4" t="e">
        <f t="array" aca="1" ref="K528">MAX(H528:J528*(1-strike(H528:J528)))</f>
        <v>#NAME?</v>
      </c>
      <c r="L528" s="3">
        <v>162.5</v>
      </c>
      <c r="M528" s="3">
        <v>170</v>
      </c>
      <c r="N528" s="3">
        <v>172.5</v>
      </c>
      <c r="O528" s="4" t="e">
        <f t="array" aca="1" ref="O528">MAX(L528:N528*(1-strike(L528:N528)))</f>
        <v>#NAME?</v>
      </c>
      <c r="P528" s="1">
        <v>255</v>
      </c>
      <c r="Q528" s="3">
        <v>255</v>
      </c>
      <c r="R528" s="1">
        <v>265</v>
      </c>
      <c r="S528" s="4" t="e">
        <f t="array" aca="1" ref="S528">MAX(P528:R528*(1-strike(P528:R528)))</f>
        <v>#NAME?</v>
      </c>
      <c r="T528" s="4" t="e">
        <f t="shared" si="8"/>
        <v>#NAME?</v>
      </c>
      <c r="U528" s="3">
        <v>680</v>
      </c>
      <c r="V528" s="3">
        <v>537.27</v>
      </c>
      <c r="W528" s="3">
        <v>5</v>
      </c>
      <c r="X528" s="5">
        <v>2013</v>
      </c>
      <c r="Y528" s="5" t="s">
        <v>29</v>
      </c>
      <c r="Z528" s="5" t="s">
        <v>171</v>
      </c>
      <c r="AA528" s="5">
        <v>830</v>
      </c>
    </row>
    <row r="529" spans="1:27">
      <c r="A529" s="4">
        <v>4</v>
      </c>
      <c r="B529" s="4" t="s">
        <v>527</v>
      </c>
      <c r="C529" s="4">
        <v>1980</v>
      </c>
      <c r="D529" s="4" t="s">
        <v>62</v>
      </c>
      <c r="E529" s="4">
        <v>65.84</v>
      </c>
      <c r="F529" s="4">
        <v>0.78720000000000001</v>
      </c>
      <c r="G529" s="4">
        <v>12</v>
      </c>
      <c r="H529" s="4">
        <v>250</v>
      </c>
      <c r="I529" s="6">
        <v>262.5</v>
      </c>
      <c r="J529" s="4">
        <v>262.5</v>
      </c>
      <c r="K529" s="4" t="e">
        <f t="array" aca="1" ref="K529">MAX(H529:J529*(1-strike(H529:J529)))</f>
        <v>#NAME?</v>
      </c>
      <c r="L529" s="4">
        <v>170</v>
      </c>
      <c r="M529" s="4">
        <v>177.5</v>
      </c>
      <c r="N529" s="4">
        <v>180</v>
      </c>
      <c r="O529" s="4" t="e">
        <f t="array" aca="1" ref="O529">MAX(L529:N529*(1-strike(L529:N529)))</f>
        <v>#NAME?</v>
      </c>
      <c r="P529" s="4">
        <v>260</v>
      </c>
      <c r="Q529" s="4">
        <v>275</v>
      </c>
      <c r="R529" s="4">
        <v>282.5</v>
      </c>
      <c r="S529" s="4" t="e">
        <f t="array" aca="1" ref="S529">MAX(P529:R529*(1-strike(P529:R529)))</f>
        <v>#NAME?</v>
      </c>
      <c r="T529" s="4" t="e">
        <f t="shared" si="8"/>
        <v>#NAME?</v>
      </c>
      <c r="U529" s="4">
        <v>725</v>
      </c>
      <c r="V529" s="4">
        <v>570.72</v>
      </c>
      <c r="W529" s="4">
        <v>7</v>
      </c>
      <c r="X529" s="5">
        <v>2014</v>
      </c>
      <c r="Y529" s="5" t="s">
        <v>29</v>
      </c>
      <c r="Z529" s="5" t="s">
        <v>171</v>
      </c>
      <c r="AA529" s="5">
        <v>455</v>
      </c>
    </row>
    <row r="530" spans="1:27">
      <c r="A530" s="4">
        <v>11</v>
      </c>
      <c r="B530" s="4" t="s">
        <v>528</v>
      </c>
      <c r="C530" s="4">
        <v>1993</v>
      </c>
      <c r="D530" s="4" t="s">
        <v>77</v>
      </c>
      <c r="E530" s="4">
        <v>92.39</v>
      </c>
      <c r="F530" s="4">
        <v>0.63019999999999998</v>
      </c>
      <c r="G530" s="4">
        <v>9</v>
      </c>
      <c r="H530" s="6">
        <v>287.5</v>
      </c>
      <c r="I530" s="4">
        <v>287.5</v>
      </c>
      <c r="J530" s="4">
        <v>300</v>
      </c>
      <c r="K530" s="4" t="e">
        <f t="array" aca="1" ref="K530">MAX(H530:J530*(1-strike(H530:J530)))</f>
        <v>#NAME?</v>
      </c>
      <c r="L530" s="4">
        <v>260</v>
      </c>
      <c r="M530" s="4">
        <v>280</v>
      </c>
      <c r="N530" s="6">
        <v>287.5</v>
      </c>
      <c r="O530" s="4" t="e">
        <f t="array" aca="1" ref="O530">MAX(L530:N530*(1-strike(L530:N530)))</f>
        <v>#NAME?</v>
      </c>
      <c r="P530" s="4">
        <v>250</v>
      </c>
      <c r="Q530" s="4">
        <v>270</v>
      </c>
      <c r="R530" s="6">
        <v>282.5</v>
      </c>
      <c r="S530" s="4" t="e">
        <f t="array" aca="1" ref="S530">MAX(P530:R530*(1-strike(P530:R530)))</f>
        <v>#NAME?</v>
      </c>
      <c r="T530" s="4" t="e">
        <f t="shared" si="8"/>
        <v>#NAME?</v>
      </c>
      <c r="U530" s="4">
        <v>850</v>
      </c>
      <c r="V530" s="4">
        <v>535.66999999999996</v>
      </c>
      <c r="W530" s="4">
        <v>1</v>
      </c>
      <c r="X530" s="5">
        <v>2015</v>
      </c>
      <c r="Y530" s="5" t="s">
        <v>29</v>
      </c>
      <c r="Z530" s="5" t="s">
        <v>171</v>
      </c>
      <c r="AA530" s="5">
        <v>65</v>
      </c>
    </row>
    <row r="531" spans="1:27">
      <c r="A531" s="4">
        <v>12</v>
      </c>
      <c r="B531" s="4" t="s">
        <v>529</v>
      </c>
      <c r="C531" s="4">
        <v>1991</v>
      </c>
      <c r="D531" s="4" t="s">
        <v>289</v>
      </c>
      <c r="E531" s="4">
        <v>90.58</v>
      </c>
      <c r="F531" s="4">
        <v>0.63629999999999998</v>
      </c>
      <c r="G531" s="4">
        <v>1</v>
      </c>
      <c r="H531" s="4">
        <v>230</v>
      </c>
      <c r="I531" s="4">
        <v>242.5</v>
      </c>
      <c r="J531" s="4">
        <v>252.5</v>
      </c>
      <c r="K531" s="4" t="e">
        <f t="array" aca="1" ref="K531">MAX(H531:J531*(1-strike(H531:J531)))</f>
        <v>#NAME?</v>
      </c>
      <c r="L531" s="4">
        <v>150</v>
      </c>
      <c r="M531" s="4">
        <v>157.5</v>
      </c>
      <c r="N531" s="4">
        <v>162.5</v>
      </c>
      <c r="O531" s="4" t="e">
        <f t="array" aca="1" ref="O531">MAX(L531:N531*(1-strike(L531:N531)))</f>
        <v>#NAME?</v>
      </c>
      <c r="P531" s="4">
        <v>260</v>
      </c>
      <c r="Q531" s="4">
        <v>272.5</v>
      </c>
      <c r="R531" s="6">
        <v>285</v>
      </c>
      <c r="S531" s="4" t="e">
        <f t="array" aca="1" ref="S531">MAX(P531:R531*(1-strike(P531:R531)))</f>
        <v>#NAME?</v>
      </c>
      <c r="T531" s="4" t="e">
        <f t="shared" si="8"/>
        <v>#NAME?</v>
      </c>
      <c r="U531" s="4">
        <v>687.5</v>
      </c>
      <c r="V531" s="4">
        <v>437.46</v>
      </c>
      <c r="W531" s="4">
        <v>1</v>
      </c>
      <c r="X531" s="5">
        <v>2015</v>
      </c>
      <c r="Y531" s="5" t="s">
        <v>29</v>
      </c>
      <c r="Z531" s="5" t="s">
        <v>30</v>
      </c>
      <c r="AA531" s="5">
        <v>284</v>
      </c>
    </row>
    <row r="532" spans="1:27">
      <c r="A532" s="3">
        <v>6</v>
      </c>
      <c r="B532" s="3" t="s">
        <v>530</v>
      </c>
      <c r="C532" s="3">
        <v>1982</v>
      </c>
      <c r="D532" s="3" t="s">
        <v>56</v>
      </c>
      <c r="E532" s="3">
        <v>101.95</v>
      </c>
      <c r="F532" s="3">
        <v>0.60399999999999998</v>
      </c>
      <c r="G532" s="3">
        <v>16</v>
      </c>
      <c r="H532" s="1">
        <v>255</v>
      </c>
      <c r="I532" s="3">
        <v>255</v>
      </c>
      <c r="J532" s="3">
        <v>267.5</v>
      </c>
      <c r="K532" s="4" t="e">
        <f t="array" aca="1" ref="K532">MAX(H532:J532*(1-strike(H532:J532)))</f>
        <v>#NAME?</v>
      </c>
      <c r="L532" s="3">
        <v>200</v>
      </c>
      <c r="M532" s="3">
        <v>205</v>
      </c>
      <c r="N532" s="1">
        <v>210</v>
      </c>
      <c r="O532" s="4" t="e">
        <f t="array" aca="1" ref="O532">MAX(L532:N532*(1-strike(L532:N532)))</f>
        <v>#NAME?</v>
      </c>
      <c r="P532" s="3">
        <v>290</v>
      </c>
      <c r="Q532" s="1">
        <v>315</v>
      </c>
      <c r="R532" s="1">
        <v>315</v>
      </c>
      <c r="S532" s="4" t="e">
        <f t="array" aca="1" ref="S532">MAX(P532:R532*(1-strike(P532:R532)))</f>
        <v>#NAME?</v>
      </c>
      <c r="T532" s="4" t="e">
        <f t="shared" si="8"/>
        <v>#NAME?</v>
      </c>
      <c r="U532" s="3">
        <v>762.5</v>
      </c>
      <c r="V532" s="3">
        <v>460.55</v>
      </c>
      <c r="W532" s="3">
        <v>5</v>
      </c>
      <c r="X532" s="5">
        <v>2013</v>
      </c>
      <c r="Y532" s="5" t="s">
        <v>29</v>
      </c>
      <c r="Z532" s="5" t="s">
        <v>30</v>
      </c>
      <c r="AA532" s="5">
        <v>1076</v>
      </c>
    </row>
    <row r="533" spans="1:27">
      <c r="A533" s="3">
        <v>2</v>
      </c>
      <c r="B533" s="3" t="s">
        <v>531</v>
      </c>
      <c r="C533" s="3">
        <v>1979</v>
      </c>
      <c r="D533" s="3" t="s">
        <v>352</v>
      </c>
      <c r="E533" s="3">
        <v>118.31</v>
      </c>
      <c r="F533" s="3">
        <v>0.57689999999999997</v>
      </c>
      <c r="G533" s="3">
        <v>26</v>
      </c>
      <c r="H533" s="3">
        <v>375</v>
      </c>
      <c r="I533" s="3">
        <v>395</v>
      </c>
      <c r="J533" s="3">
        <v>405</v>
      </c>
      <c r="K533" s="4" t="e">
        <f t="array" aca="1" ref="K533">MAX(H533:J533*(1-strike(H533:J533)))</f>
        <v>#NAME?</v>
      </c>
      <c r="L533" s="3">
        <v>292.5</v>
      </c>
      <c r="M533" s="3">
        <v>300</v>
      </c>
      <c r="N533" s="3">
        <v>305</v>
      </c>
      <c r="O533" s="4" t="e">
        <f t="array" aca="1" ref="O533">MAX(L533:N533*(1-strike(L533:N533)))</f>
        <v>#NAME?</v>
      </c>
      <c r="P533" s="3">
        <v>320</v>
      </c>
      <c r="Q533" s="3">
        <v>340</v>
      </c>
      <c r="R533" s="1">
        <v>345</v>
      </c>
      <c r="S533" s="4" t="e">
        <f t="array" aca="1" ref="S533">MAX(P533:R533*(1-strike(P533:R533)))</f>
        <v>#NAME?</v>
      </c>
      <c r="T533" s="4" t="e">
        <f t="shared" si="8"/>
        <v>#NAME?</v>
      </c>
      <c r="U533" s="3">
        <v>1050</v>
      </c>
      <c r="V533" s="3">
        <v>605.73</v>
      </c>
      <c r="W533" s="3">
        <v>9</v>
      </c>
      <c r="X533" s="5">
        <v>2012</v>
      </c>
      <c r="Y533" s="5" t="s">
        <v>29</v>
      </c>
      <c r="Z533" s="5" t="s">
        <v>171</v>
      </c>
      <c r="AA533" s="5">
        <v>1300</v>
      </c>
    </row>
    <row r="534" spans="1:27">
      <c r="A534" s="3">
        <v>1</v>
      </c>
      <c r="B534" s="3" t="s">
        <v>531</v>
      </c>
      <c r="C534" s="3">
        <v>1979</v>
      </c>
      <c r="D534" s="3" t="s">
        <v>352</v>
      </c>
      <c r="E534" s="3">
        <v>118.85</v>
      </c>
      <c r="F534" s="3">
        <v>0.57630000000000003</v>
      </c>
      <c r="G534" s="3">
        <v>13</v>
      </c>
      <c r="H534" s="3">
        <v>305</v>
      </c>
      <c r="I534" s="3">
        <v>325</v>
      </c>
      <c r="J534" s="3">
        <v>337.5</v>
      </c>
      <c r="K534" s="4" t="e">
        <f t="array" aca="1" ref="K534">MAX(H534:J534*(1-strike(H534:J534)))</f>
        <v>#NAME?</v>
      </c>
      <c r="L534" s="3">
        <v>212.5</v>
      </c>
      <c r="M534" s="3">
        <v>225</v>
      </c>
      <c r="N534" s="1">
        <v>230</v>
      </c>
      <c r="O534" s="4" t="e">
        <f t="array" aca="1" ref="O534">MAX(L534:N534*(1-strike(L534:N534)))</f>
        <v>#NAME?</v>
      </c>
      <c r="P534" s="3">
        <v>320</v>
      </c>
      <c r="Q534" s="3">
        <v>335</v>
      </c>
      <c r="R534" s="3">
        <v>342.5</v>
      </c>
      <c r="S534" s="4" t="e">
        <f t="array" aca="1" ref="S534">MAX(P534:R534*(1-strike(P534:R534)))</f>
        <v>#NAME?</v>
      </c>
      <c r="T534" s="4" t="e">
        <f t="shared" si="8"/>
        <v>#NAME?</v>
      </c>
      <c r="U534" s="3">
        <v>905</v>
      </c>
      <c r="V534" s="3">
        <v>521.51</v>
      </c>
      <c r="W534" s="3">
        <v>12</v>
      </c>
      <c r="X534" s="5">
        <v>2013</v>
      </c>
      <c r="Y534" s="5" t="s">
        <v>29</v>
      </c>
      <c r="Z534" s="5" t="s">
        <v>30</v>
      </c>
      <c r="AA534" s="5">
        <v>1091</v>
      </c>
    </row>
    <row r="535" spans="1:27">
      <c r="A535" s="4">
        <v>1</v>
      </c>
      <c r="B535" s="4" t="s">
        <v>531</v>
      </c>
      <c r="C535" s="4">
        <v>1979</v>
      </c>
      <c r="D535" s="4" t="s">
        <v>352</v>
      </c>
      <c r="E535" s="4">
        <v>119.26</v>
      </c>
      <c r="F535" s="4">
        <v>0.57569999999999999</v>
      </c>
      <c r="G535" s="4">
        <v>19</v>
      </c>
      <c r="H535" s="4">
        <v>390</v>
      </c>
      <c r="I535" s="4">
        <v>410</v>
      </c>
      <c r="J535" s="4"/>
      <c r="K535" s="4" t="e">
        <f t="array" aca="1" ref="K535">MAX(H535:J535*(1-strike(H535:J535)))</f>
        <v>#NAME?</v>
      </c>
      <c r="L535" s="4">
        <v>305</v>
      </c>
      <c r="M535" s="6">
        <v>310</v>
      </c>
      <c r="N535" s="6">
        <v>310</v>
      </c>
      <c r="O535" s="4" t="e">
        <f t="array" aca="1" ref="O535">MAX(L535:N535*(1-strike(L535:N535)))</f>
        <v>#NAME?</v>
      </c>
      <c r="P535" s="4">
        <v>330</v>
      </c>
      <c r="Q535" s="4">
        <v>347.5</v>
      </c>
      <c r="R535" s="6">
        <v>352.5</v>
      </c>
      <c r="S535" s="4" t="e">
        <f t="array" aca="1" ref="S535">MAX(P535:R535*(1-strike(P535:R535)))</f>
        <v>#NAME?</v>
      </c>
      <c r="T535" s="4" t="e">
        <f t="shared" si="8"/>
        <v>#NAME?</v>
      </c>
      <c r="U535" s="4">
        <v>1062.5</v>
      </c>
      <c r="V535" s="4">
        <v>611.67999999999995</v>
      </c>
      <c r="W535" s="4">
        <v>12</v>
      </c>
      <c r="X535" s="5">
        <v>2014</v>
      </c>
      <c r="Y535" s="5" t="s">
        <v>29</v>
      </c>
      <c r="Z535" s="5" t="s">
        <v>171</v>
      </c>
      <c r="AA535" s="5">
        <v>533</v>
      </c>
    </row>
    <row r="536" spans="1:27">
      <c r="A536" s="4">
        <v>2</v>
      </c>
      <c r="B536" s="4" t="s">
        <v>531</v>
      </c>
      <c r="C536" s="4">
        <v>1979</v>
      </c>
      <c r="D536" s="4" t="s">
        <v>352</v>
      </c>
      <c r="E536" s="4">
        <v>119.93</v>
      </c>
      <c r="F536" s="4">
        <v>0.57499999999999996</v>
      </c>
      <c r="G536" s="4">
        <v>8</v>
      </c>
      <c r="H536" s="4">
        <v>325</v>
      </c>
      <c r="I536" s="4">
        <v>342.5</v>
      </c>
      <c r="J536" s="6">
        <v>352.5</v>
      </c>
      <c r="K536" s="4" t="e">
        <f t="array" aca="1" ref="K536">MAX(H536:J536*(1-strike(H536:J536)))</f>
        <v>#NAME?</v>
      </c>
      <c r="L536" s="4">
        <v>210</v>
      </c>
      <c r="M536" s="4">
        <v>217.5</v>
      </c>
      <c r="N536" s="4">
        <v>222.5</v>
      </c>
      <c r="O536" s="4" t="e">
        <f t="array" aca="1" ref="O536">MAX(L536:N536*(1-strike(L536:N536)))</f>
        <v>#NAME?</v>
      </c>
      <c r="P536" s="4">
        <v>330</v>
      </c>
      <c r="Q536" s="4">
        <v>345</v>
      </c>
      <c r="R536" s="4">
        <v>362.5</v>
      </c>
      <c r="S536" s="4" t="e">
        <f t="array" aca="1" ref="S536">MAX(P536:R536*(1-strike(P536:R536)))</f>
        <v>#NAME?</v>
      </c>
      <c r="T536" s="4" t="e">
        <f t="shared" si="8"/>
        <v>#NAME?</v>
      </c>
      <c r="U536" s="4" t="s">
        <v>532</v>
      </c>
      <c r="V536" s="4">
        <v>533.30999999999995</v>
      </c>
      <c r="W536" s="4">
        <v>9</v>
      </c>
      <c r="X536" s="5">
        <v>2015</v>
      </c>
      <c r="Y536" s="5" t="s">
        <v>29</v>
      </c>
      <c r="Z536" s="5" t="s">
        <v>30</v>
      </c>
      <c r="AA536" s="5">
        <v>308</v>
      </c>
    </row>
    <row r="537" spans="1:27">
      <c r="A537" s="3">
        <v>1</v>
      </c>
      <c r="B537" s="3" t="s">
        <v>533</v>
      </c>
      <c r="C537" s="3">
        <v>1976</v>
      </c>
      <c r="D537" s="3" t="s">
        <v>83</v>
      </c>
      <c r="E537" s="3">
        <v>73.650000000000006</v>
      </c>
      <c r="F537" s="3">
        <v>0.7218</v>
      </c>
      <c r="G537" s="3">
        <v>17</v>
      </c>
      <c r="H537" s="3">
        <v>220</v>
      </c>
      <c r="I537" s="3">
        <v>230</v>
      </c>
      <c r="J537" s="3">
        <v>235</v>
      </c>
      <c r="K537" s="4" t="e">
        <f t="array" aca="1" ref="K537">MAX(H537:J537*(1-strike(H537:J537)))</f>
        <v>#NAME?</v>
      </c>
      <c r="L537" s="3">
        <v>155</v>
      </c>
      <c r="M537" s="3">
        <v>160</v>
      </c>
      <c r="N537" s="1">
        <v>165</v>
      </c>
      <c r="O537" s="4" t="e">
        <f t="array" aca="1" ref="O537">MAX(L537:N537*(1-strike(L537:N537)))</f>
        <v>#NAME?</v>
      </c>
      <c r="P537" s="1">
        <v>280</v>
      </c>
      <c r="Q537" s="3">
        <v>280</v>
      </c>
      <c r="R537" s="3">
        <v>291</v>
      </c>
      <c r="S537" s="4" t="e">
        <f t="array" aca="1" ref="S537">MAX(P537:R537*(1-strike(P537:R537)))</f>
        <v>#NAME?</v>
      </c>
      <c r="T537" s="4" t="e">
        <f t="shared" si="8"/>
        <v>#NAME?</v>
      </c>
      <c r="U537" s="3">
        <v>686</v>
      </c>
      <c r="V537" s="3">
        <v>495.12</v>
      </c>
      <c r="W537" s="3">
        <v>12</v>
      </c>
      <c r="X537" s="5">
        <v>2013</v>
      </c>
      <c r="Y537" s="5" t="s">
        <v>29</v>
      </c>
      <c r="Z537" s="5" t="s">
        <v>30</v>
      </c>
      <c r="AA537" s="5">
        <v>1031</v>
      </c>
    </row>
    <row r="538" spans="1:27">
      <c r="A538" s="4">
        <v>1</v>
      </c>
      <c r="B538" s="4" t="s">
        <v>533</v>
      </c>
      <c r="C538" s="4">
        <v>1976</v>
      </c>
      <c r="D538" s="4" t="s">
        <v>83</v>
      </c>
      <c r="E538" s="4">
        <v>73.55</v>
      </c>
      <c r="F538" s="4">
        <v>0.72250000000000003</v>
      </c>
      <c r="G538" s="4">
        <v>11</v>
      </c>
      <c r="H538" s="4">
        <v>227.5</v>
      </c>
      <c r="I538" s="4">
        <v>235</v>
      </c>
      <c r="J538" s="6">
        <v>240</v>
      </c>
      <c r="K538" s="4" t="e">
        <f t="array" aca="1" ref="K538">MAX(H538:J538*(1-strike(H538:J538)))</f>
        <v>#NAME?</v>
      </c>
      <c r="L538" s="4">
        <v>155</v>
      </c>
      <c r="M538" s="4">
        <v>162.5</v>
      </c>
      <c r="N538" s="4">
        <v>165</v>
      </c>
      <c r="O538" s="4" t="e">
        <f t="array" aca="1" ref="O538">MAX(L538:N538*(1-strike(L538:N538)))</f>
        <v>#NAME?</v>
      </c>
      <c r="P538" s="4">
        <v>282.5</v>
      </c>
      <c r="Q538" s="4">
        <v>287.5</v>
      </c>
      <c r="R538" s="6">
        <v>292.5</v>
      </c>
      <c r="S538" s="4" t="e">
        <f t="array" aca="1" ref="S538">MAX(P538:R538*(1-strike(P538:R538)))</f>
        <v>#NAME?</v>
      </c>
      <c r="T538" s="4" t="e">
        <f t="shared" si="8"/>
        <v>#NAME?</v>
      </c>
      <c r="U538" s="4">
        <v>687.5</v>
      </c>
      <c r="V538" s="4">
        <v>496.68</v>
      </c>
      <c r="W538" s="4">
        <v>12</v>
      </c>
      <c r="X538" s="5">
        <v>2014</v>
      </c>
      <c r="Y538" s="5" t="s">
        <v>29</v>
      </c>
      <c r="Z538" s="5" t="s">
        <v>30</v>
      </c>
      <c r="AA538" s="5">
        <v>668</v>
      </c>
    </row>
    <row r="539" spans="1:27">
      <c r="A539" s="4">
        <v>1</v>
      </c>
      <c r="B539" s="4" t="s">
        <v>533</v>
      </c>
      <c r="C539" s="4">
        <v>1976</v>
      </c>
      <c r="D539" s="4" t="s">
        <v>83</v>
      </c>
      <c r="E539" s="4">
        <v>73.569999999999993</v>
      </c>
      <c r="F539" s="4">
        <v>0.72230000000000005</v>
      </c>
      <c r="G539" s="4">
        <v>13</v>
      </c>
      <c r="H539" s="4">
        <v>235</v>
      </c>
      <c r="I539" s="4">
        <v>242.5</v>
      </c>
      <c r="J539" s="4">
        <v>247.5</v>
      </c>
      <c r="K539" s="4" t="e">
        <f t="array" aca="1" ref="K539">MAX(H539:J539*(1-strike(H539:J539)))</f>
        <v>#NAME?</v>
      </c>
      <c r="L539" s="4">
        <v>160</v>
      </c>
      <c r="M539" s="4">
        <v>165</v>
      </c>
      <c r="N539" s="4">
        <v>167.5</v>
      </c>
      <c r="O539" s="4" t="e">
        <f t="array" aca="1" ref="O539">MAX(L539:N539*(1-strike(L539:N539)))</f>
        <v>#NAME?</v>
      </c>
      <c r="P539" s="4">
        <v>280</v>
      </c>
      <c r="Q539" s="4">
        <v>290</v>
      </c>
      <c r="R539" s="4">
        <v>297.5</v>
      </c>
      <c r="S539" s="4" t="e">
        <f t="array" aca="1" ref="S539">MAX(P539:R539*(1-strike(P539:R539)))</f>
        <v>#NAME?</v>
      </c>
      <c r="T539" s="4" t="e">
        <f t="shared" si="8"/>
        <v>#NAME?</v>
      </c>
      <c r="U539" s="4" t="s">
        <v>534</v>
      </c>
      <c r="V539" s="4">
        <v>514.64</v>
      </c>
      <c r="W539" s="4">
        <v>12</v>
      </c>
      <c r="X539" s="5">
        <v>2015</v>
      </c>
      <c r="Y539" s="5" t="s">
        <v>29</v>
      </c>
      <c r="Z539" s="5" t="s">
        <v>30</v>
      </c>
      <c r="AA539" s="5">
        <v>238</v>
      </c>
    </row>
    <row r="540" spans="1:27">
      <c r="A540" s="3">
        <v>5</v>
      </c>
      <c r="B540" s="3" t="s">
        <v>73</v>
      </c>
      <c r="C540" s="3">
        <v>1982</v>
      </c>
      <c r="D540" s="3" t="s">
        <v>74</v>
      </c>
      <c r="E540" s="3">
        <v>64.88</v>
      </c>
      <c r="F540" s="3">
        <v>0.7964</v>
      </c>
      <c r="G540" s="3">
        <v>13</v>
      </c>
      <c r="H540" s="3">
        <v>200</v>
      </c>
      <c r="I540" s="3">
        <v>220</v>
      </c>
      <c r="J540" s="3">
        <v>240</v>
      </c>
      <c r="K540" s="4" t="e">
        <f t="array" aca="1" ref="K540">MAX(H540:J540*(1-strike(H540:J540)))</f>
        <v>#NAME?</v>
      </c>
      <c r="L540" s="3">
        <v>195</v>
      </c>
      <c r="M540" s="3">
        <v>205</v>
      </c>
      <c r="N540" s="3">
        <v>210</v>
      </c>
      <c r="O540" s="4" t="e">
        <f t="array" aca="1" ref="O540">MAX(L540:N540*(1-strike(L540:N540)))</f>
        <v>#NAME?</v>
      </c>
      <c r="P540" s="1">
        <v>240</v>
      </c>
      <c r="Q540" s="3">
        <v>250</v>
      </c>
      <c r="R540" s="3">
        <v>255</v>
      </c>
      <c r="S540" s="4" t="e">
        <f t="array" aca="1" ref="S540">MAX(P540:R540*(1-strike(P540:R540)))</f>
        <v>#NAME?</v>
      </c>
      <c r="T540" s="4" t="e">
        <f t="shared" si="8"/>
        <v>#NAME?</v>
      </c>
      <c r="U540" s="3">
        <v>705</v>
      </c>
      <c r="V540" s="3">
        <v>561.47</v>
      </c>
      <c r="W540" s="3">
        <v>6</v>
      </c>
      <c r="X540" s="5">
        <v>2012</v>
      </c>
      <c r="Y540" s="5" t="s">
        <v>29</v>
      </c>
      <c r="Z540" s="5" t="s">
        <v>171</v>
      </c>
      <c r="AA540" s="5">
        <v>1207</v>
      </c>
    </row>
    <row r="541" spans="1:27">
      <c r="A541" s="3">
        <v>3</v>
      </c>
      <c r="B541" s="3" t="s">
        <v>73</v>
      </c>
      <c r="C541" s="3">
        <v>1982</v>
      </c>
      <c r="D541" s="3" t="s">
        <v>74</v>
      </c>
      <c r="E541" s="3">
        <v>62.5</v>
      </c>
      <c r="F541" s="3">
        <v>0.82230000000000003</v>
      </c>
      <c r="G541" s="3">
        <v>17</v>
      </c>
      <c r="H541" s="1">
        <v>265</v>
      </c>
      <c r="I541" s="3">
        <v>265</v>
      </c>
      <c r="J541" s="3">
        <v>275</v>
      </c>
      <c r="K541" s="4" t="e">
        <f t="array" aca="1" ref="K541">MAX(H541:J541*(1-strike(H541:J541)))</f>
        <v>#NAME?</v>
      </c>
      <c r="L541" s="3">
        <v>195</v>
      </c>
      <c r="M541" s="3">
        <v>202.5</v>
      </c>
      <c r="N541" s="3">
        <v>205</v>
      </c>
      <c r="O541" s="4" t="e">
        <f t="array" aca="1" ref="O541">MAX(L541:N541*(1-strike(L541:N541)))</f>
        <v>#NAME?</v>
      </c>
      <c r="P541" s="3">
        <v>270</v>
      </c>
      <c r="Q541" s="3">
        <v>280</v>
      </c>
      <c r="R541" s="3">
        <v>285</v>
      </c>
      <c r="S541" s="4" t="e">
        <f t="array" aca="1" ref="S541">MAX(P541:R541*(1-strike(P541:R541)))</f>
        <v>#NAME?</v>
      </c>
      <c r="T541" s="4" t="e">
        <f t="shared" si="8"/>
        <v>#NAME?</v>
      </c>
      <c r="U541" s="3">
        <v>765</v>
      </c>
      <c r="V541" s="3">
        <v>629.05999999999995</v>
      </c>
      <c r="W541" s="3">
        <v>8</v>
      </c>
      <c r="X541" s="5">
        <v>2013</v>
      </c>
      <c r="Y541" s="5" t="s">
        <v>29</v>
      </c>
      <c r="Z541" s="5" t="s">
        <v>171</v>
      </c>
      <c r="AA541" s="5">
        <v>827</v>
      </c>
    </row>
    <row r="542" spans="1:27" ht="15" customHeight="1">
      <c r="A542" s="4">
        <v>2</v>
      </c>
      <c r="B542" s="4" t="s">
        <v>73</v>
      </c>
      <c r="C542" s="4">
        <v>1982</v>
      </c>
      <c r="D542" s="4" t="s">
        <v>74</v>
      </c>
      <c r="E542" s="4">
        <v>63.4</v>
      </c>
      <c r="F542" s="4">
        <v>0.81220000000000003</v>
      </c>
      <c r="G542" s="4">
        <v>16</v>
      </c>
      <c r="H542" s="4">
        <v>200</v>
      </c>
      <c r="I542" s="4">
        <v>210</v>
      </c>
      <c r="J542" s="6">
        <v>215</v>
      </c>
      <c r="K542" s="4" t="e">
        <f t="array" aca="1" ref="K542">MAX(H542:J542*(1-strike(H542:J542)))</f>
        <v>#NAME?</v>
      </c>
      <c r="L542" s="4">
        <v>155</v>
      </c>
      <c r="M542" s="4">
        <v>160</v>
      </c>
      <c r="N542" s="4">
        <v>165</v>
      </c>
      <c r="O542" s="4" t="e">
        <f t="array" aca="1" ref="O542">MAX(L542:N542*(1-strike(L542:N542)))</f>
        <v>#NAME?</v>
      </c>
      <c r="P542" s="4">
        <v>250</v>
      </c>
      <c r="Q542" s="4">
        <v>260</v>
      </c>
      <c r="R542" s="4">
        <v>265</v>
      </c>
      <c r="S542" s="4" t="e">
        <f t="array" aca="1" ref="S542">MAX(P542:R542*(1-strike(P542:R542)))</f>
        <v>#NAME?</v>
      </c>
      <c r="T542" s="4" t="e">
        <f t="shared" si="8"/>
        <v>#NAME?</v>
      </c>
      <c r="U542" s="4">
        <v>640</v>
      </c>
      <c r="V542" s="4">
        <v>519.80999999999995</v>
      </c>
      <c r="W542" s="4">
        <v>9</v>
      </c>
      <c r="X542" s="5">
        <v>2014</v>
      </c>
      <c r="Y542" s="5" t="s">
        <v>29</v>
      </c>
      <c r="Z542" s="5" t="s">
        <v>30</v>
      </c>
      <c r="AA542" s="5">
        <v>658</v>
      </c>
    </row>
    <row r="543" spans="1:27">
      <c r="A543" s="4">
        <v>3</v>
      </c>
      <c r="B543" s="4" t="s">
        <v>73</v>
      </c>
      <c r="C543" s="4">
        <v>1982</v>
      </c>
      <c r="D543" s="4" t="s">
        <v>74</v>
      </c>
      <c r="E543" s="4">
        <v>63.1</v>
      </c>
      <c r="F543" s="4">
        <v>0.8155</v>
      </c>
      <c r="G543" s="4">
        <v>21</v>
      </c>
      <c r="H543" s="4">
        <v>255</v>
      </c>
      <c r="I543" s="4">
        <v>265</v>
      </c>
      <c r="J543" s="6">
        <v>272.5</v>
      </c>
      <c r="K543" s="4" t="e">
        <f t="array" aca="1" ref="K543">MAX(H543:J543*(1-strike(H543:J543)))</f>
        <v>#NAME?</v>
      </c>
      <c r="L543" s="4">
        <v>190</v>
      </c>
      <c r="M543" s="4">
        <v>200</v>
      </c>
      <c r="N543" s="6">
        <v>210</v>
      </c>
      <c r="O543" s="4" t="e">
        <f t="array" aca="1" ref="O543">MAX(L543:N543*(1-strike(L543:N543)))</f>
        <v>#NAME?</v>
      </c>
      <c r="P543" s="6">
        <v>255</v>
      </c>
      <c r="Q543" s="4">
        <v>267.5</v>
      </c>
      <c r="R543" s="6">
        <v>275</v>
      </c>
      <c r="S543" s="4" t="e">
        <f t="array" aca="1" ref="S543">MAX(P543:R543*(1-strike(P543:R543)))</f>
        <v>#NAME?</v>
      </c>
      <c r="T543" s="4" t="e">
        <f t="shared" si="8"/>
        <v>#NAME?</v>
      </c>
      <c r="U543" s="4">
        <v>732.5</v>
      </c>
      <c r="V543" s="4">
        <v>597.35</v>
      </c>
      <c r="W543" s="4">
        <v>8</v>
      </c>
      <c r="X543" s="5">
        <v>2014</v>
      </c>
      <c r="Y543" s="5" t="s">
        <v>29</v>
      </c>
      <c r="Z543" s="5" t="s">
        <v>171</v>
      </c>
      <c r="AA543" s="5">
        <v>454</v>
      </c>
    </row>
    <row r="544" spans="1:27">
      <c r="A544" s="4">
        <v>2</v>
      </c>
      <c r="B544" s="4" t="s">
        <v>73</v>
      </c>
      <c r="C544" s="4">
        <v>1982</v>
      </c>
      <c r="D544" s="4" t="s">
        <v>74</v>
      </c>
      <c r="E544" s="4">
        <v>63.27</v>
      </c>
      <c r="F544" s="4">
        <v>0.81359999999999999</v>
      </c>
      <c r="G544" s="4">
        <v>10</v>
      </c>
      <c r="H544" s="4">
        <v>205</v>
      </c>
      <c r="I544" s="4">
        <v>215</v>
      </c>
      <c r="J544" s="4">
        <v>222.5</v>
      </c>
      <c r="K544" s="4" t="e">
        <f t="array" aca="1" ref="K544">MAX(H544:J544*(1-strike(H544:J544)))</f>
        <v>#NAME?</v>
      </c>
      <c r="L544" s="4">
        <v>150</v>
      </c>
      <c r="M544" s="4">
        <v>160</v>
      </c>
      <c r="N544" s="4">
        <v>162.5</v>
      </c>
      <c r="O544" s="4" t="e">
        <f t="array" aca="1" ref="O544">MAX(L544:N544*(1-strike(L544:N544)))</f>
        <v>#NAME?</v>
      </c>
      <c r="P544" s="4">
        <v>250</v>
      </c>
      <c r="Q544" s="4">
        <v>257.5</v>
      </c>
      <c r="R544" s="4">
        <v>265</v>
      </c>
      <c r="S544" s="4" t="e">
        <f t="array" aca="1" ref="S544">MAX(P544:R544*(1-strike(P544:R544)))</f>
        <v>#NAME?</v>
      </c>
      <c r="T544" s="4" t="e">
        <f t="shared" si="8"/>
        <v>#NAME?</v>
      </c>
      <c r="U544" s="4">
        <v>650</v>
      </c>
      <c r="V544" s="4">
        <v>528.84</v>
      </c>
      <c r="W544" s="4">
        <v>9</v>
      </c>
      <c r="X544" s="5">
        <v>2015</v>
      </c>
      <c r="Y544" s="5" t="s">
        <v>29</v>
      </c>
      <c r="Z544" s="5" t="s">
        <v>30</v>
      </c>
      <c r="AA544" s="5">
        <v>228</v>
      </c>
    </row>
    <row r="545" spans="1:27">
      <c r="A545" s="4">
        <v>3</v>
      </c>
      <c r="B545" s="4" t="s">
        <v>73</v>
      </c>
      <c r="C545" s="4">
        <v>1982</v>
      </c>
      <c r="D545" s="4" t="s">
        <v>74</v>
      </c>
      <c r="E545" s="4">
        <v>64.64</v>
      </c>
      <c r="F545" s="4">
        <v>0.79890000000000005</v>
      </c>
      <c r="G545" s="4">
        <v>10</v>
      </c>
      <c r="H545" s="4">
        <v>250</v>
      </c>
      <c r="I545" s="4">
        <v>265</v>
      </c>
      <c r="J545" s="4">
        <v>270</v>
      </c>
      <c r="K545" s="4" t="e">
        <f t="array" aca="1" ref="K545">MAX(H545:J545*(1-strike(H545:J545)))</f>
        <v>#NAME?</v>
      </c>
      <c r="L545" s="4">
        <v>195</v>
      </c>
      <c r="M545" s="4">
        <v>202.5</v>
      </c>
      <c r="N545" s="4">
        <v>207.5</v>
      </c>
      <c r="O545" s="4" t="e">
        <f t="array" aca="1" ref="O545">MAX(L545:N545*(1-strike(L545:N545)))</f>
        <v>#NAME?</v>
      </c>
      <c r="P545" s="4">
        <v>260</v>
      </c>
      <c r="Q545" s="4">
        <v>275</v>
      </c>
      <c r="R545" s="6">
        <v>282.5</v>
      </c>
      <c r="S545" s="4" t="e">
        <f t="array" aca="1" ref="S545">MAX(P545:R545*(1-strike(P545:R545)))</f>
        <v>#NAME?</v>
      </c>
      <c r="T545" s="4" t="e">
        <f t="shared" si="8"/>
        <v>#NAME?</v>
      </c>
      <c r="U545" s="4">
        <v>752.5</v>
      </c>
      <c r="V545" s="4">
        <v>601.16999999999996</v>
      </c>
      <c r="W545" s="4">
        <v>8</v>
      </c>
      <c r="X545" s="5">
        <v>2015</v>
      </c>
      <c r="Y545" s="5" t="s">
        <v>29</v>
      </c>
      <c r="Z545" s="5" t="s">
        <v>171</v>
      </c>
      <c r="AA545" s="5">
        <v>14</v>
      </c>
    </row>
    <row r="546" spans="1:27">
      <c r="A546" s="3">
        <v>3</v>
      </c>
      <c r="B546" s="3" t="s">
        <v>535</v>
      </c>
      <c r="C546" s="3">
        <v>1981</v>
      </c>
      <c r="D546" s="3" t="s">
        <v>74</v>
      </c>
      <c r="E546" s="3">
        <v>73.91</v>
      </c>
      <c r="F546" s="3">
        <v>0.71989999999999998</v>
      </c>
      <c r="G546" s="3">
        <v>12</v>
      </c>
      <c r="H546" s="3">
        <v>275</v>
      </c>
      <c r="I546" s="3">
        <v>285</v>
      </c>
      <c r="J546" s="1">
        <v>290</v>
      </c>
      <c r="K546" s="4" t="e">
        <f t="array" aca="1" ref="K546">MAX(H546:J546*(1-strike(H546:J546)))</f>
        <v>#NAME?</v>
      </c>
      <c r="L546" s="3">
        <v>200</v>
      </c>
      <c r="M546" s="1">
        <v>210</v>
      </c>
      <c r="N546" s="3">
        <v>210</v>
      </c>
      <c r="O546" s="4" t="e">
        <f t="array" aca="1" ref="O546">MAX(L546:N546*(1-strike(L546:N546)))</f>
        <v>#NAME?</v>
      </c>
      <c r="P546" s="3">
        <v>295</v>
      </c>
      <c r="Q546" s="3">
        <v>305</v>
      </c>
      <c r="R546" s="1">
        <v>307.5</v>
      </c>
      <c r="S546" s="4" t="e">
        <f t="array" aca="1" ref="S546">MAX(P546:R546*(1-strike(P546:R546)))</f>
        <v>#NAME?</v>
      </c>
      <c r="T546" s="4" t="e">
        <f t="shared" si="8"/>
        <v>#NAME?</v>
      </c>
      <c r="U546" s="3">
        <v>800</v>
      </c>
      <c r="V546" s="3">
        <v>575.94000000000005</v>
      </c>
      <c r="W546" s="3">
        <v>8</v>
      </c>
      <c r="X546" s="5">
        <v>2012</v>
      </c>
      <c r="Y546" s="5" t="s">
        <v>29</v>
      </c>
      <c r="Z546" s="5" t="s">
        <v>171</v>
      </c>
      <c r="AA546" s="5">
        <v>1219</v>
      </c>
    </row>
    <row r="547" spans="1:27">
      <c r="A547" s="3">
        <v>2</v>
      </c>
      <c r="B547" s="3" t="s">
        <v>535</v>
      </c>
      <c r="C547" s="3">
        <v>1981</v>
      </c>
      <c r="D547" s="3" t="s">
        <v>74</v>
      </c>
      <c r="E547" s="3">
        <v>73.55</v>
      </c>
      <c r="F547" s="3">
        <v>0.72250000000000003</v>
      </c>
      <c r="G547" s="3">
        <v>4</v>
      </c>
      <c r="H547" s="3">
        <v>200</v>
      </c>
      <c r="I547" s="3">
        <v>215</v>
      </c>
      <c r="J547" s="3">
        <v>220</v>
      </c>
      <c r="K547" s="4" t="e">
        <f t="array" aca="1" ref="K547">MAX(H547:J547*(1-strike(H547:J547)))</f>
        <v>#NAME?</v>
      </c>
      <c r="L547" s="3">
        <v>155</v>
      </c>
      <c r="M547" s="3">
        <v>165</v>
      </c>
      <c r="N547" s="3">
        <v>170</v>
      </c>
      <c r="O547" s="4" t="e">
        <f t="array" aca="1" ref="O547">MAX(L547:N547*(1-strike(L547:N547)))</f>
        <v>#NAME?</v>
      </c>
      <c r="P547" s="1">
        <v>265</v>
      </c>
      <c r="Q547" s="3">
        <v>265</v>
      </c>
      <c r="R547" s="3">
        <v>280</v>
      </c>
      <c r="S547" s="4" t="e">
        <f t="array" aca="1" ref="S547">MAX(P547:R547*(1-strike(P547:R547)))</f>
        <v>#NAME?</v>
      </c>
      <c r="T547" s="4" t="e">
        <f t="shared" si="8"/>
        <v>#NAME?</v>
      </c>
      <c r="U547" s="3">
        <v>670</v>
      </c>
      <c r="V547" s="3">
        <v>484.04</v>
      </c>
      <c r="W547" s="3">
        <v>9</v>
      </c>
      <c r="X547" s="5">
        <v>2013</v>
      </c>
      <c r="Y547" s="5" t="s">
        <v>29</v>
      </c>
      <c r="Z547" s="5" t="s">
        <v>30</v>
      </c>
      <c r="AA547" s="5">
        <v>1032</v>
      </c>
    </row>
    <row r="548" spans="1:27">
      <c r="A548" s="3">
        <v>3</v>
      </c>
      <c r="B548" s="3" t="s">
        <v>535</v>
      </c>
      <c r="C548" s="3">
        <v>1981</v>
      </c>
      <c r="D548" s="3" t="s">
        <v>74</v>
      </c>
      <c r="E548" s="3">
        <v>73.63</v>
      </c>
      <c r="F548" s="3">
        <v>0.72189999999999999</v>
      </c>
      <c r="G548" s="3">
        <v>5</v>
      </c>
      <c r="H548" s="1">
        <v>275</v>
      </c>
      <c r="I548" s="3">
        <v>275</v>
      </c>
      <c r="J548" s="3">
        <v>285</v>
      </c>
      <c r="K548" s="4" t="e">
        <f t="array" aca="1" ref="K548">MAX(H548:J548*(1-strike(H548:J548)))</f>
        <v>#NAME?</v>
      </c>
      <c r="L548" s="3">
        <v>205</v>
      </c>
      <c r="M548" s="3">
        <v>215</v>
      </c>
      <c r="N548" s="1">
        <v>220</v>
      </c>
      <c r="O548" s="4" t="e">
        <f t="array" aca="1" ref="O548">MAX(L548:N548*(1-strike(L548:N548)))</f>
        <v>#NAME?</v>
      </c>
      <c r="P548" s="3">
        <v>285</v>
      </c>
      <c r="Q548" s="3">
        <v>302.5</v>
      </c>
      <c r="R548" s="3">
        <v>312.5</v>
      </c>
      <c r="S548" s="4" t="e">
        <f t="array" aca="1" ref="S548">MAX(P548:R548*(1-strike(P548:R548)))</f>
        <v>#NAME?</v>
      </c>
      <c r="T548" s="4" t="e">
        <f t="shared" si="8"/>
        <v>#NAME?</v>
      </c>
      <c r="U548" s="3">
        <v>812.5</v>
      </c>
      <c r="V548" s="3">
        <v>586.54</v>
      </c>
      <c r="W548" s="3">
        <v>8</v>
      </c>
      <c r="X548" s="5">
        <v>2013</v>
      </c>
      <c r="Y548" s="5" t="s">
        <v>29</v>
      </c>
      <c r="Z548" s="5" t="s">
        <v>171</v>
      </c>
      <c r="AA548" s="5">
        <v>838</v>
      </c>
    </row>
    <row r="549" spans="1:27">
      <c r="A549" s="4" t="s">
        <v>37</v>
      </c>
      <c r="B549" s="4" t="s">
        <v>535</v>
      </c>
      <c r="C549" s="4">
        <v>1981</v>
      </c>
      <c r="D549" s="4" t="s">
        <v>74</v>
      </c>
      <c r="E549" s="4">
        <v>73.959999999999994</v>
      </c>
      <c r="F549" s="4">
        <v>0.71930000000000005</v>
      </c>
      <c r="G549" s="4">
        <v>16</v>
      </c>
      <c r="H549" s="4">
        <v>275</v>
      </c>
      <c r="I549" s="4">
        <v>285</v>
      </c>
      <c r="J549" s="6">
        <v>290</v>
      </c>
      <c r="K549" s="4" t="e">
        <f t="array" aca="1" ref="K549">MAX(H549:J549*(1-strike(H549:J549)))</f>
        <v>#NAME?</v>
      </c>
      <c r="L549" s="4">
        <v>210</v>
      </c>
      <c r="M549" s="4">
        <v>217.5</v>
      </c>
      <c r="N549" s="4">
        <v>220</v>
      </c>
      <c r="O549" s="4" t="e">
        <f t="array" aca="1" ref="O549">MAX(L549:N549*(1-strike(L549:N549)))</f>
        <v>#NAME?</v>
      </c>
      <c r="P549" s="6">
        <v>290</v>
      </c>
      <c r="Q549" s="6">
        <v>290</v>
      </c>
      <c r="R549" s="4"/>
      <c r="S549" s="4" t="e">
        <f t="array" aca="1" ref="S549">MAX(P549:R549*(1-strike(P549:R549)))</f>
        <v>#NAME?</v>
      </c>
      <c r="T549" s="4" t="e">
        <f t="shared" si="8"/>
        <v>#NAME?</v>
      </c>
      <c r="U549" s="4" t="s">
        <v>187</v>
      </c>
      <c r="V549" s="4" t="s">
        <v>37</v>
      </c>
      <c r="W549" s="4" t="s">
        <v>37</v>
      </c>
      <c r="X549" s="5">
        <v>2014</v>
      </c>
      <c r="Y549" s="5" t="s">
        <v>29</v>
      </c>
      <c r="Z549" s="5" t="s">
        <v>171</v>
      </c>
      <c r="AA549" s="5">
        <v>474</v>
      </c>
    </row>
    <row r="550" spans="1:27">
      <c r="A550" s="4">
        <v>5</v>
      </c>
      <c r="B550" s="4" t="s">
        <v>535</v>
      </c>
      <c r="C550" s="4">
        <v>1981</v>
      </c>
      <c r="D550" s="4" t="s">
        <v>74</v>
      </c>
      <c r="E550" s="4">
        <v>73.62</v>
      </c>
      <c r="F550" s="4">
        <v>0.72199999999999998</v>
      </c>
      <c r="G550" s="4">
        <v>17</v>
      </c>
      <c r="H550" s="4">
        <v>210</v>
      </c>
      <c r="I550" s="6">
        <v>225</v>
      </c>
      <c r="J550" s="4">
        <v>225</v>
      </c>
      <c r="K550" s="4" t="e">
        <f t="array" aca="1" ref="K550">MAX(H550:J550*(1-strike(H550:J550)))</f>
        <v>#NAME?</v>
      </c>
      <c r="L550" s="4">
        <v>130</v>
      </c>
      <c r="M550" s="4">
        <v>140</v>
      </c>
      <c r="N550" s="4">
        <v>150</v>
      </c>
      <c r="O550" s="4" t="e">
        <f t="array" aca="1" ref="O550">MAX(L550:N550*(1-strike(L550:N550)))</f>
        <v>#NAME?</v>
      </c>
      <c r="P550" s="4">
        <v>275</v>
      </c>
      <c r="Q550" s="4">
        <v>292.5</v>
      </c>
      <c r="R550" s="4">
        <v>300</v>
      </c>
      <c r="S550" s="4" t="e">
        <f t="array" aca="1" ref="S550">MAX(P550:R550*(1-strike(P550:R550)))</f>
        <v>#NAME?</v>
      </c>
      <c r="T550" s="4" t="e">
        <f t="shared" si="8"/>
        <v>#NAME?</v>
      </c>
      <c r="U550" s="4">
        <v>675</v>
      </c>
      <c r="V550" s="4">
        <v>487.35</v>
      </c>
      <c r="W550" s="4">
        <v>6</v>
      </c>
      <c r="X550" s="5">
        <v>2015</v>
      </c>
      <c r="Y550" s="5" t="s">
        <v>29</v>
      </c>
      <c r="Z550" s="5" t="s">
        <v>30</v>
      </c>
      <c r="AA550" s="5">
        <v>242</v>
      </c>
    </row>
    <row r="551" spans="1:27">
      <c r="A551" s="4">
        <v>10</v>
      </c>
      <c r="B551" s="4" t="s">
        <v>536</v>
      </c>
      <c r="C551" s="4">
        <v>1990</v>
      </c>
      <c r="D551" s="4" t="s">
        <v>109</v>
      </c>
      <c r="E551" s="4">
        <v>89.7</v>
      </c>
      <c r="F551" s="4">
        <v>0.63949999999999996</v>
      </c>
      <c r="G551" s="4">
        <v>12</v>
      </c>
      <c r="H551" s="4">
        <v>325</v>
      </c>
      <c r="I551" s="4">
        <v>337.5</v>
      </c>
      <c r="J551" s="4">
        <v>345</v>
      </c>
      <c r="K551" s="4" t="e">
        <f t="array" aca="1" ref="K551">MAX(H551:J551*(1-strike(H551:J551)))</f>
        <v>#NAME?</v>
      </c>
      <c r="L551" s="6">
        <v>232.5</v>
      </c>
      <c r="M551" s="4">
        <v>232.5</v>
      </c>
      <c r="N551" s="4">
        <v>240</v>
      </c>
      <c r="O551" s="4" t="e">
        <f t="array" aca="1" ref="O551">MAX(L551:N551*(1-strike(L551:N551)))</f>
        <v>#NAME?</v>
      </c>
      <c r="P551" s="4">
        <v>280</v>
      </c>
      <c r="Q551" s="4">
        <v>295</v>
      </c>
      <c r="R551" s="4">
        <v>302.5</v>
      </c>
      <c r="S551" s="4" t="e">
        <f t="array" aca="1" ref="S551">MAX(P551:R551*(1-strike(P551:R551)))</f>
        <v>#NAME?</v>
      </c>
      <c r="T551" s="4" t="e">
        <f t="shared" si="8"/>
        <v>#NAME?</v>
      </c>
      <c r="U551" s="4">
        <v>887.5</v>
      </c>
      <c r="V551" s="4">
        <v>567.55999999999995</v>
      </c>
      <c r="W551" s="4">
        <v>1</v>
      </c>
      <c r="X551" s="5">
        <v>2014</v>
      </c>
      <c r="Y551" s="5" t="s">
        <v>29</v>
      </c>
      <c r="Z551" s="5" t="s">
        <v>171</v>
      </c>
      <c r="AA551" s="5">
        <v>502</v>
      </c>
    </row>
    <row r="552" spans="1:27">
      <c r="A552" s="4">
        <v>11</v>
      </c>
      <c r="B552" s="4" t="s">
        <v>537</v>
      </c>
      <c r="C552" s="4">
        <v>1981</v>
      </c>
      <c r="D552" s="4" t="s">
        <v>194</v>
      </c>
      <c r="E552" s="4">
        <v>91.85</v>
      </c>
      <c r="F552" s="4">
        <v>0.63200000000000001</v>
      </c>
      <c r="G552" s="4">
        <v>7</v>
      </c>
      <c r="H552" s="4">
        <v>225</v>
      </c>
      <c r="I552" s="4">
        <v>235</v>
      </c>
      <c r="J552" s="6">
        <v>237.5</v>
      </c>
      <c r="K552" s="4" t="e">
        <f t="array" aca="1" ref="K552">MAX(H552:J552*(1-strike(H552:J552)))</f>
        <v>#NAME?</v>
      </c>
      <c r="L552" s="4">
        <v>130</v>
      </c>
      <c r="M552" s="4">
        <v>140</v>
      </c>
      <c r="N552" s="6">
        <v>145</v>
      </c>
      <c r="O552" s="4" t="e">
        <f t="array" aca="1" ref="O552">MAX(L552:N552*(1-strike(L552:N552)))</f>
        <v>#NAME?</v>
      </c>
      <c r="P552" s="4">
        <v>250</v>
      </c>
      <c r="Q552" s="6">
        <v>265</v>
      </c>
      <c r="R552" s="4"/>
      <c r="S552" s="4" t="e">
        <f t="array" aca="1" ref="S552">MAX(P552:R552*(1-strike(P552:R552)))</f>
        <v>#NAME?</v>
      </c>
      <c r="T552" s="4" t="e">
        <f t="shared" si="8"/>
        <v>#NAME?</v>
      </c>
      <c r="U552" s="4">
        <v>625</v>
      </c>
      <c r="V552" s="4">
        <v>394.97</v>
      </c>
      <c r="W552" s="4">
        <v>1</v>
      </c>
      <c r="X552" s="5">
        <v>2014</v>
      </c>
      <c r="Y552" s="5" t="s">
        <v>29</v>
      </c>
      <c r="Z552" s="5" t="s">
        <v>30</v>
      </c>
      <c r="AA552" s="5">
        <v>707</v>
      </c>
    </row>
    <row r="553" spans="1:27">
      <c r="A553" s="3" t="s">
        <v>37</v>
      </c>
      <c r="B553" s="3" t="s">
        <v>538</v>
      </c>
      <c r="C553" s="3">
        <v>1980</v>
      </c>
      <c r="D553" s="3" t="s">
        <v>349</v>
      </c>
      <c r="E553" s="3">
        <v>90.34</v>
      </c>
      <c r="F553" s="3">
        <v>0.63719999999999999</v>
      </c>
      <c r="G553" s="3">
        <v>16</v>
      </c>
      <c r="H553" s="1">
        <v>280</v>
      </c>
      <c r="I553" s="1">
        <v>280</v>
      </c>
      <c r="J553" s="1">
        <v>280</v>
      </c>
      <c r="K553" s="4" t="e">
        <f t="array" aca="1" ref="K553">MAX(H553:J553*(1-strike(H553:J553)))</f>
        <v>#NAME?</v>
      </c>
      <c r="L553" s="1">
        <v>200</v>
      </c>
      <c r="M553" s="3">
        <v>200</v>
      </c>
      <c r="N553" s="1">
        <v>210</v>
      </c>
      <c r="O553" s="4" t="e">
        <f t="array" aca="1" ref="O553">MAX(L553:N553*(1-strike(L553:N553)))</f>
        <v>#NAME?</v>
      </c>
      <c r="P553" s="3">
        <v>250</v>
      </c>
      <c r="Q553" s="1">
        <v>260</v>
      </c>
      <c r="R553" s="3"/>
      <c r="S553" s="4" t="e">
        <f t="array" aca="1" ref="S553">MAX(P553:R553*(1-strike(P553:R553)))</f>
        <v>#NAME?</v>
      </c>
      <c r="T553" s="4" t="e">
        <f t="shared" si="8"/>
        <v>#NAME?</v>
      </c>
      <c r="U553" s="3" t="s">
        <v>40</v>
      </c>
      <c r="V553" s="3" t="s">
        <v>37</v>
      </c>
      <c r="W553" s="3" t="s">
        <v>37</v>
      </c>
      <c r="X553" s="5">
        <v>2013</v>
      </c>
      <c r="Y553" s="5" t="s">
        <v>29</v>
      </c>
      <c r="Z553" s="5" t="s">
        <v>171</v>
      </c>
      <c r="AA553" s="5">
        <v>879</v>
      </c>
    </row>
    <row r="554" spans="1:27">
      <c r="A554" s="3">
        <v>9</v>
      </c>
      <c r="B554" s="3" t="s">
        <v>539</v>
      </c>
      <c r="C554" s="3">
        <v>1990</v>
      </c>
      <c r="D554" s="3" t="s">
        <v>77</v>
      </c>
      <c r="E554" s="3">
        <v>58.92</v>
      </c>
      <c r="F554" s="3">
        <v>0.86719999999999997</v>
      </c>
      <c r="G554" s="3">
        <v>15</v>
      </c>
      <c r="H554" s="3">
        <v>230</v>
      </c>
      <c r="I554" s="1">
        <v>240</v>
      </c>
      <c r="J554" s="1">
        <v>240</v>
      </c>
      <c r="K554" s="4" t="e">
        <f t="array" aca="1" ref="K554">MAX(H554:J554*(1-strike(H554:J554)))</f>
        <v>#NAME?</v>
      </c>
      <c r="L554" s="3">
        <v>130</v>
      </c>
      <c r="M554" s="1">
        <v>145</v>
      </c>
      <c r="N554" s="1">
        <v>145</v>
      </c>
      <c r="O554" s="4" t="e">
        <f t="array" aca="1" ref="O554">MAX(L554:N554*(1-strike(L554:N554)))</f>
        <v>#NAME?</v>
      </c>
      <c r="P554" s="3">
        <v>210</v>
      </c>
      <c r="Q554" s="3">
        <v>230</v>
      </c>
      <c r="R554" s="1">
        <v>240</v>
      </c>
      <c r="S554" s="4" t="e">
        <f t="array" aca="1" ref="S554">MAX(P554:R554*(1-strike(P554:R554)))</f>
        <v>#NAME?</v>
      </c>
      <c r="T554" s="4" t="e">
        <f t="shared" si="8"/>
        <v>#NAME?</v>
      </c>
      <c r="U554" s="3">
        <v>590</v>
      </c>
      <c r="V554" s="3">
        <v>511.67</v>
      </c>
      <c r="W554" s="3">
        <v>2</v>
      </c>
      <c r="X554" s="5">
        <v>2012</v>
      </c>
      <c r="Y554" s="5" t="s">
        <v>29</v>
      </c>
      <c r="Z554" s="5" t="s">
        <v>171</v>
      </c>
      <c r="AA554" s="5">
        <v>1200</v>
      </c>
    </row>
    <row r="555" spans="1:27">
      <c r="A555" s="4">
        <v>1</v>
      </c>
      <c r="B555" s="4" t="s">
        <v>540</v>
      </c>
      <c r="C555" s="4">
        <v>1987</v>
      </c>
      <c r="D555" s="4" t="s">
        <v>28</v>
      </c>
      <c r="E555" s="4">
        <v>91.7</v>
      </c>
      <c r="F555" s="4">
        <v>0.63249999999999995</v>
      </c>
      <c r="G555" s="4">
        <v>5</v>
      </c>
      <c r="H555" s="4">
        <v>355</v>
      </c>
      <c r="I555" s="4">
        <v>365</v>
      </c>
      <c r="J555" s="4">
        <v>372.5</v>
      </c>
      <c r="K555" s="4" t="e">
        <f t="array" aca="1" ref="K555">MAX(H555:J555*(1-strike(H555:J555)))</f>
        <v>#NAME?</v>
      </c>
      <c r="L555" s="4">
        <v>270</v>
      </c>
      <c r="M555" s="4">
        <v>280</v>
      </c>
      <c r="N555" s="4">
        <v>287.5</v>
      </c>
      <c r="O555" s="4" t="e">
        <f t="array" aca="1" ref="O555">MAX(L555:N555*(1-strike(L555:N555)))</f>
        <v>#NAME?</v>
      </c>
      <c r="P555" s="4">
        <v>320</v>
      </c>
      <c r="Q555" s="4">
        <v>330</v>
      </c>
      <c r="R555" s="4">
        <v>340</v>
      </c>
      <c r="S555" s="4" t="e">
        <f t="array" aca="1" ref="S555">MAX(P555:R555*(1-strike(P555:R555)))</f>
        <v>#NAME?</v>
      </c>
      <c r="T555" s="4" t="e">
        <f t="shared" si="8"/>
        <v>#NAME?</v>
      </c>
      <c r="U555" s="4" t="s">
        <v>541</v>
      </c>
      <c r="V555" s="4">
        <v>632.5</v>
      </c>
      <c r="W555" s="4">
        <v>12</v>
      </c>
      <c r="X555" s="5">
        <v>2014</v>
      </c>
      <c r="Y555" s="5" t="s">
        <v>29</v>
      </c>
      <c r="Z555" s="5" t="s">
        <v>171</v>
      </c>
      <c r="AA555" s="5">
        <v>493</v>
      </c>
    </row>
    <row r="556" spans="1:27" ht="15" customHeight="1">
      <c r="A556" s="4">
        <v>2</v>
      </c>
      <c r="B556" s="4" t="s">
        <v>540</v>
      </c>
      <c r="C556" s="4">
        <v>1987</v>
      </c>
      <c r="D556" s="4" t="s">
        <v>28</v>
      </c>
      <c r="E556" s="4">
        <v>92.06</v>
      </c>
      <c r="F556" s="4">
        <v>0.63129999999999997</v>
      </c>
      <c r="G556" s="4">
        <v>6</v>
      </c>
      <c r="H556" s="4">
        <v>350</v>
      </c>
      <c r="I556" s="4">
        <v>370</v>
      </c>
      <c r="J556" s="4">
        <v>380</v>
      </c>
      <c r="K556" s="4" t="e">
        <f t="array" aca="1" ref="K556">MAX(H556:J556*(1-strike(H556:J556)))</f>
        <v>#NAME?</v>
      </c>
      <c r="L556" s="4">
        <v>277.5</v>
      </c>
      <c r="M556" s="4">
        <v>287.5</v>
      </c>
      <c r="N556" s="6">
        <v>292.5</v>
      </c>
      <c r="O556" s="4" t="e">
        <f t="array" aca="1" ref="O556">MAX(L556:N556*(1-strike(L556:N556)))</f>
        <v>#NAME?</v>
      </c>
      <c r="P556" s="4">
        <v>322.5</v>
      </c>
      <c r="Q556" s="4">
        <v>335</v>
      </c>
      <c r="R556" s="4">
        <v>350</v>
      </c>
      <c r="S556" s="4" t="e">
        <f t="array" aca="1" ref="S556">MAX(P556:R556*(1-strike(P556:R556)))</f>
        <v>#NAME?</v>
      </c>
      <c r="T556" s="4" t="e">
        <f t="shared" si="8"/>
        <v>#NAME?</v>
      </c>
      <c r="U556" s="4">
        <v>1017.5</v>
      </c>
      <c r="V556" s="4">
        <v>642.35</v>
      </c>
      <c r="W556" s="4">
        <v>9</v>
      </c>
      <c r="X556" s="5">
        <v>2015</v>
      </c>
      <c r="Y556" s="5" t="s">
        <v>29</v>
      </c>
      <c r="Z556" s="5" t="s">
        <v>171</v>
      </c>
      <c r="AA556" s="5">
        <v>56</v>
      </c>
    </row>
    <row r="557" spans="1:27">
      <c r="A557" s="4">
        <v>4</v>
      </c>
      <c r="B557" s="4" t="s">
        <v>542</v>
      </c>
      <c r="C557" s="4">
        <v>1986</v>
      </c>
      <c r="D557" s="4" t="s">
        <v>39</v>
      </c>
      <c r="E557" s="4">
        <v>72.7</v>
      </c>
      <c r="F557" s="4">
        <v>0.72850000000000004</v>
      </c>
      <c r="G557" s="4">
        <v>11</v>
      </c>
      <c r="H557" s="4">
        <v>235</v>
      </c>
      <c r="I557" s="4">
        <v>245</v>
      </c>
      <c r="J557" s="4">
        <v>250</v>
      </c>
      <c r="K557" s="4" t="e">
        <f t="array" aca="1" ref="K557">MAX(H557:J557*(1-strike(H557:J557)))</f>
        <v>#NAME?</v>
      </c>
      <c r="L557" s="4">
        <v>160</v>
      </c>
      <c r="M557" s="4">
        <v>165</v>
      </c>
      <c r="N557" s="4">
        <v>167.5</v>
      </c>
      <c r="O557" s="4" t="e">
        <f t="array" aca="1" ref="O557">MAX(L557:N557*(1-strike(L557:N557)))</f>
        <v>#NAME?</v>
      </c>
      <c r="P557" s="4">
        <v>255</v>
      </c>
      <c r="Q557" s="4">
        <v>262.5</v>
      </c>
      <c r="R557" s="6">
        <v>277.5</v>
      </c>
      <c r="S557" s="4" t="e">
        <f t="array" aca="1" ref="S557">MAX(P557:R557*(1-strike(P557:R557)))</f>
        <v>#NAME?</v>
      </c>
      <c r="T557" s="4" t="e">
        <f t="shared" si="8"/>
        <v>#NAME?</v>
      </c>
      <c r="U557" s="4">
        <v>680</v>
      </c>
      <c r="V557" s="4">
        <v>495.38</v>
      </c>
      <c r="W557" s="4">
        <v>7</v>
      </c>
      <c r="X557" s="5">
        <v>2015</v>
      </c>
      <c r="Y557" s="5" t="s">
        <v>29</v>
      </c>
      <c r="Z557" s="5" t="s">
        <v>30</v>
      </c>
      <c r="AA557" s="5">
        <v>241</v>
      </c>
    </row>
    <row r="558" spans="1:27">
      <c r="A558" s="3">
        <v>5</v>
      </c>
      <c r="B558" s="3" t="s">
        <v>543</v>
      </c>
      <c r="C558" s="3">
        <v>1953</v>
      </c>
      <c r="D558" s="3" t="s">
        <v>77</v>
      </c>
      <c r="E558" s="3">
        <v>58.55</v>
      </c>
      <c r="F558" s="3">
        <v>0.87239999999999995</v>
      </c>
      <c r="G558" s="3">
        <v>1</v>
      </c>
      <c r="H558" s="1">
        <v>210</v>
      </c>
      <c r="I558" s="3">
        <v>210</v>
      </c>
      <c r="J558" s="1">
        <v>220</v>
      </c>
      <c r="K558" s="4" t="e">
        <f t="array" aca="1" ref="K558">MAX(H558:J558*(1-strike(H558:J558)))</f>
        <v>#NAME?</v>
      </c>
      <c r="L558" s="1">
        <v>165</v>
      </c>
      <c r="M558" s="3">
        <v>165</v>
      </c>
      <c r="N558" s="1">
        <v>172.5</v>
      </c>
      <c r="O558" s="4" t="e">
        <f t="array" aca="1" ref="O558">MAX(L558:N558*(1-strike(L558:N558)))</f>
        <v>#NAME?</v>
      </c>
      <c r="P558" s="3">
        <v>200</v>
      </c>
      <c r="Q558" s="3">
        <v>210</v>
      </c>
      <c r="R558" s="1">
        <v>215</v>
      </c>
      <c r="S558" s="4" t="e">
        <f t="array" aca="1" ref="S558">MAX(P558:R558*(1-strike(P558:R558)))</f>
        <v>#NAME?</v>
      </c>
      <c r="T558" s="4" t="e">
        <f t="shared" si="8"/>
        <v>#NAME?</v>
      </c>
      <c r="U558" s="3" t="s">
        <v>544</v>
      </c>
      <c r="V558" s="3">
        <v>510.35</v>
      </c>
      <c r="W558" s="3">
        <v>6</v>
      </c>
      <c r="X558" s="5">
        <v>2013</v>
      </c>
      <c r="Y558" s="5" t="s">
        <v>29</v>
      </c>
      <c r="Z558" s="5" t="s">
        <v>171</v>
      </c>
      <c r="AA558" s="5">
        <v>821</v>
      </c>
    </row>
    <row r="559" spans="1:27">
      <c r="A559" s="4">
        <v>11</v>
      </c>
      <c r="B559" s="4" t="s">
        <v>545</v>
      </c>
      <c r="C559" s="4">
        <v>1987</v>
      </c>
      <c r="D559" s="4" t="s">
        <v>359</v>
      </c>
      <c r="E559" s="4">
        <v>73.3</v>
      </c>
      <c r="F559" s="4">
        <v>0.72419999999999995</v>
      </c>
      <c r="G559" s="4">
        <v>4</v>
      </c>
      <c r="H559" s="4">
        <v>210</v>
      </c>
      <c r="I559" s="6">
        <v>217.5</v>
      </c>
      <c r="J559" s="6">
        <v>217.5</v>
      </c>
      <c r="K559" s="4" t="e">
        <f t="array" aca="1" ref="K559">MAX(H559:J559*(1-strike(H559:J559)))</f>
        <v>#NAME?</v>
      </c>
      <c r="L559" s="4">
        <v>150</v>
      </c>
      <c r="M559" s="4">
        <v>157.5</v>
      </c>
      <c r="N559" s="6">
        <v>160</v>
      </c>
      <c r="O559" s="4" t="e">
        <f t="array" aca="1" ref="O559">MAX(L559:N559*(1-strike(L559:N559)))</f>
        <v>#NAME?</v>
      </c>
      <c r="P559" s="4">
        <v>252.5</v>
      </c>
      <c r="Q559" s="6">
        <v>270</v>
      </c>
      <c r="R559" s="6">
        <v>270</v>
      </c>
      <c r="S559" s="4" t="e">
        <f t="array" aca="1" ref="S559">MAX(P559:R559*(1-strike(P559:R559)))</f>
        <v>#NAME?</v>
      </c>
      <c r="T559" s="4" t="e">
        <f t="shared" si="8"/>
        <v>#NAME?</v>
      </c>
      <c r="U559" s="4">
        <v>620</v>
      </c>
      <c r="V559" s="4">
        <v>449</v>
      </c>
      <c r="W559" s="4">
        <v>1</v>
      </c>
      <c r="X559" s="5">
        <v>2014</v>
      </c>
      <c r="Y559" s="5" t="s">
        <v>29</v>
      </c>
      <c r="Z559" s="5" t="s">
        <v>30</v>
      </c>
      <c r="AA559" s="5">
        <v>678</v>
      </c>
    </row>
    <row r="560" spans="1:27">
      <c r="A560" s="3" t="s">
        <v>37</v>
      </c>
      <c r="B560" s="3" t="s">
        <v>82</v>
      </c>
      <c r="C560" s="3">
        <v>1984</v>
      </c>
      <c r="D560" s="3" t="s">
        <v>83</v>
      </c>
      <c r="E560" s="3">
        <v>104.45</v>
      </c>
      <c r="F560" s="3">
        <v>0.59870000000000001</v>
      </c>
      <c r="G560" s="3">
        <v>6</v>
      </c>
      <c r="H560" s="3">
        <v>282.5</v>
      </c>
      <c r="I560" s="1">
        <v>295</v>
      </c>
      <c r="J560" s="1">
        <v>295</v>
      </c>
      <c r="K560" s="4" t="e">
        <f t="array" aca="1" ref="K560">MAX(H560:J560*(1-strike(H560:J560)))</f>
        <v>#NAME?</v>
      </c>
      <c r="L560" s="3"/>
      <c r="M560" s="3"/>
      <c r="N560" s="3"/>
      <c r="O560" s="4" t="e">
        <f t="array" aca="1" ref="O560">MAX(L560:N560*(1-strike(L560:N560)))</f>
        <v>#NAME?</v>
      </c>
      <c r="P560" s="3"/>
      <c r="Q560" s="3"/>
      <c r="R560" s="3"/>
      <c r="S560" s="4" t="e">
        <f t="array" aca="1" ref="S560">MAX(P560:R560*(1-strike(P560:R560)))</f>
        <v>#NAME?</v>
      </c>
      <c r="T560" s="4" t="e">
        <f t="shared" si="8"/>
        <v>#NAME?</v>
      </c>
      <c r="U560" s="3" t="s">
        <v>40</v>
      </c>
      <c r="V560" s="3" t="s">
        <v>37</v>
      </c>
      <c r="W560" s="3" t="s">
        <v>37</v>
      </c>
      <c r="X560" s="5">
        <v>2013</v>
      </c>
      <c r="Y560" s="5" t="s">
        <v>29</v>
      </c>
      <c r="Z560" s="5" t="s">
        <v>30</v>
      </c>
      <c r="AA560" s="5">
        <v>1088</v>
      </c>
    </row>
    <row r="561" spans="1:27">
      <c r="A561" s="4" t="s">
        <v>37</v>
      </c>
      <c r="B561" s="4" t="s">
        <v>546</v>
      </c>
      <c r="C561" s="4">
        <v>1995</v>
      </c>
      <c r="D561" s="4" t="s">
        <v>125</v>
      </c>
      <c r="E561" s="4">
        <v>118.58</v>
      </c>
      <c r="F561" s="4">
        <v>0.57650000000000001</v>
      </c>
      <c r="G561" s="4">
        <v>11</v>
      </c>
      <c r="H561" s="4">
        <v>347.5</v>
      </c>
      <c r="I561" s="6">
        <v>360</v>
      </c>
      <c r="J561" s="4">
        <v>365</v>
      </c>
      <c r="K561" s="4" t="e">
        <f t="array" aca="1" ref="K561">MAX(H561:J561*(1-strike(H561:J561)))</f>
        <v>#NAME?</v>
      </c>
      <c r="L561" s="6">
        <v>334</v>
      </c>
      <c r="M561" s="6">
        <v>334</v>
      </c>
      <c r="N561" s="6">
        <v>334</v>
      </c>
      <c r="O561" s="4" t="e">
        <f t="array" aca="1" ref="O561">MAX(L561:N561*(1-strike(L561:N561)))</f>
        <v>#NAME?</v>
      </c>
      <c r="P561" s="6">
        <v>270</v>
      </c>
      <c r="Q561" s="6">
        <v>300</v>
      </c>
      <c r="R561" s="6">
        <v>300</v>
      </c>
      <c r="S561" s="4" t="e">
        <f t="array" aca="1" ref="S561">MAX(P561:R561*(1-strike(P561:R561)))</f>
        <v>#NAME?</v>
      </c>
      <c r="T561" s="4" t="e">
        <f t="shared" si="8"/>
        <v>#NAME?</v>
      </c>
      <c r="U561" s="4" t="s">
        <v>187</v>
      </c>
      <c r="V561" s="4" t="s">
        <v>37</v>
      </c>
      <c r="W561" s="4" t="s">
        <v>37</v>
      </c>
      <c r="X561" s="5">
        <v>2015</v>
      </c>
      <c r="Y561" s="5" t="s">
        <v>29</v>
      </c>
      <c r="Z561" s="5" t="s">
        <v>171</v>
      </c>
      <c r="AA561" s="5">
        <v>108</v>
      </c>
    </row>
    <row r="562" spans="1:27">
      <c r="A562" s="3">
        <v>11</v>
      </c>
      <c r="B562" s="3" t="s">
        <v>547</v>
      </c>
      <c r="C562" s="3">
        <v>1989</v>
      </c>
      <c r="D562" s="3" t="s">
        <v>62</v>
      </c>
      <c r="E562" s="3">
        <v>104.66</v>
      </c>
      <c r="F562" s="3">
        <v>0.59830000000000005</v>
      </c>
      <c r="G562" s="3">
        <v>16</v>
      </c>
      <c r="H562" s="3">
        <v>330</v>
      </c>
      <c r="I562" s="1">
        <v>340</v>
      </c>
      <c r="J562" s="1">
        <v>340</v>
      </c>
      <c r="K562" s="4" t="e">
        <f t="array" aca="1" ref="K562">MAX(H562:J562*(1-strike(H562:J562)))</f>
        <v>#NAME?</v>
      </c>
      <c r="L562" s="3">
        <v>265</v>
      </c>
      <c r="M562" s="1">
        <v>275</v>
      </c>
      <c r="N562" s="1">
        <v>295</v>
      </c>
      <c r="O562" s="4" t="e">
        <f t="array" aca="1" ref="O562">MAX(L562:N562*(1-strike(L562:N562)))</f>
        <v>#NAME?</v>
      </c>
      <c r="P562" s="3">
        <v>250</v>
      </c>
      <c r="Q562" s="3">
        <v>265</v>
      </c>
      <c r="R562" s="3">
        <v>280</v>
      </c>
      <c r="S562" s="4" t="e">
        <f t="array" aca="1" ref="S562">MAX(P562:R562*(1-strike(P562:R562)))</f>
        <v>#NAME?</v>
      </c>
      <c r="T562" s="4" t="e">
        <f t="shared" si="8"/>
        <v>#NAME?</v>
      </c>
      <c r="U562" s="3">
        <v>875</v>
      </c>
      <c r="V562" s="3">
        <v>523.49</v>
      </c>
      <c r="W562" s="3">
        <v>1</v>
      </c>
      <c r="X562" s="5">
        <v>2012</v>
      </c>
      <c r="Y562" s="5" t="s">
        <v>29</v>
      </c>
      <c r="Z562" s="5" t="s">
        <v>171</v>
      </c>
      <c r="AA562" s="5">
        <v>1288</v>
      </c>
    </row>
    <row r="563" spans="1:27">
      <c r="A563" s="3">
        <v>12</v>
      </c>
      <c r="B563" s="3" t="s">
        <v>547</v>
      </c>
      <c r="C563" s="3">
        <v>1989</v>
      </c>
      <c r="D563" s="3" t="s">
        <v>62</v>
      </c>
      <c r="E563" s="3">
        <v>92.49</v>
      </c>
      <c r="F563" s="3">
        <v>0.62980000000000003</v>
      </c>
      <c r="G563" s="3">
        <v>6</v>
      </c>
      <c r="H563" s="3">
        <v>300</v>
      </c>
      <c r="I563" s="1">
        <v>305</v>
      </c>
      <c r="J563" s="3">
        <v>305</v>
      </c>
      <c r="K563" s="4" t="e">
        <f t="array" aca="1" ref="K563">MAX(H563:J563*(1-strike(H563:J563)))</f>
        <v>#NAME?</v>
      </c>
      <c r="L563" s="3">
        <v>235</v>
      </c>
      <c r="M563" s="3">
        <v>240</v>
      </c>
      <c r="N563" s="3">
        <v>245</v>
      </c>
      <c r="O563" s="4" t="e">
        <f t="array" aca="1" ref="O563">MAX(L563:N563*(1-strike(L563:N563)))</f>
        <v>#NAME?</v>
      </c>
      <c r="P563" s="3">
        <v>265</v>
      </c>
      <c r="Q563" s="3">
        <v>275</v>
      </c>
      <c r="R563" s="3">
        <v>280</v>
      </c>
      <c r="S563" s="4" t="e">
        <f t="array" aca="1" ref="S563">MAX(P563:R563*(1-strike(P563:R563)))</f>
        <v>#NAME?</v>
      </c>
      <c r="T563" s="4" t="e">
        <f t="shared" si="8"/>
        <v>#NAME?</v>
      </c>
      <c r="U563" s="3">
        <v>830</v>
      </c>
      <c r="V563" s="3">
        <v>522.73</v>
      </c>
      <c r="W563" s="3">
        <v>1</v>
      </c>
      <c r="X563" s="5">
        <v>2013</v>
      </c>
      <c r="Y563" s="5" t="s">
        <v>29</v>
      </c>
      <c r="Z563" s="5" t="s">
        <v>171</v>
      </c>
      <c r="AA563" s="5">
        <v>874</v>
      </c>
    </row>
    <row r="564" spans="1:27">
      <c r="A564" s="3">
        <v>6</v>
      </c>
      <c r="B564" s="3" t="s">
        <v>84</v>
      </c>
      <c r="C564" s="3">
        <v>1987</v>
      </c>
      <c r="D564" s="3" t="s">
        <v>85</v>
      </c>
      <c r="E564" s="3">
        <v>73.599999999999994</v>
      </c>
      <c r="F564" s="3">
        <v>0.72209999999999996</v>
      </c>
      <c r="G564" s="3">
        <v>9</v>
      </c>
      <c r="H564" s="3">
        <v>225</v>
      </c>
      <c r="I564" s="3">
        <v>232.5</v>
      </c>
      <c r="J564" s="3">
        <v>237.5</v>
      </c>
      <c r="K564" s="4" t="e">
        <f t="array" aca="1" ref="K564">MAX(H564:J564*(1-strike(H564:J564)))</f>
        <v>#NAME?</v>
      </c>
      <c r="L564" s="3">
        <v>155</v>
      </c>
      <c r="M564" s="3">
        <v>160</v>
      </c>
      <c r="N564" s="1">
        <v>162.5</v>
      </c>
      <c r="O564" s="4" t="e">
        <f t="array" aca="1" ref="O564">MAX(L564:N564*(1-strike(L564:N564)))</f>
        <v>#NAME?</v>
      </c>
      <c r="P564" s="3">
        <v>245</v>
      </c>
      <c r="Q564" s="1">
        <v>255</v>
      </c>
      <c r="R564" s="1">
        <v>260</v>
      </c>
      <c r="S564" s="4" t="e">
        <f t="array" aca="1" ref="S564">MAX(P564:R564*(1-strike(P564:R564)))</f>
        <v>#NAME?</v>
      </c>
      <c r="T564" s="4" t="e">
        <f t="shared" si="8"/>
        <v>#NAME?</v>
      </c>
      <c r="U564" s="3">
        <v>642.5</v>
      </c>
      <c r="V564" s="3">
        <v>463.95</v>
      </c>
      <c r="W564" s="3">
        <v>5</v>
      </c>
      <c r="X564" s="5">
        <v>2013</v>
      </c>
      <c r="Y564" s="5" t="s">
        <v>29</v>
      </c>
      <c r="Z564" s="5" t="s">
        <v>30</v>
      </c>
      <c r="AA564" s="5">
        <v>1036</v>
      </c>
    </row>
    <row r="565" spans="1:27">
      <c r="A565" s="3">
        <v>15</v>
      </c>
      <c r="B565" s="3" t="s">
        <v>548</v>
      </c>
      <c r="C565" s="3">
        <v>1981</v>
      </c>
      <c r="D565" s="3" t="s">
        <v>56</v>
      </c>
      <c r="E565" s="3">
        <v>104.1</v>
      </c>
      <c r="F565" s="3">
        <v>0.59940000000000004</v>
      </c>
      <c r="G565" s="3">
        <v>9</v>
      </c>
      <c r="H565" s="1">
        <v>320</v>
      </c>
      <c r="I565" s="3">
        <v>320</v>
      </c>
      <c r="J565" s="1">
        <v>332.5</v>
      </c>
      <c r="K565" s="4" t="e">
        <f t="array" aca="1" ref="K565">MAX(H565:J565*(1-strike(H565:J565)))</f>
        <v>#NAME?</v>
      </c>
      <c r="L565" s="3">
        <v>175</v>
      </c>
      <c r="M565" s="1">
        <v>180</v>
      </c>
      <c r="N565" s="1">
        <v>180</v>
      </c>
      <c r="O565" s="4" t="e">
        <f t="array" aca="1" ref="O565">MAX(L565:N565*(1-strike(L565:N565)))</f>
        <v>#NAME?</v>
      </c>
      <c r="P565" s="3">
        <v>280</v>
      </c>
      <c r="Q565" s="3">
        <v>300</v>
      </c>
      <c r="R565" s="3">
        <v>315</v>
      </c>
      <c r="S565" s="4" t="e">
        <f t="array" aca="1" ref="S565">MAX(P565:R565*(1-strike(P565:R565)))</f>
        <v>#NAME?</v>
      </c>
      <c r="T565" s="4" t="e">
        <f t="shared" si="8"/>
        <v>#NAME?</v>
      </c>
      <c r="U565" s="3">
        <v>810</v>
      </c>
      <c r="V565" s="3">
        <v>485.51</v>
      </c>
      <c r="W565" s="3">
        <v>1</v>
      </c>
      <c r="X565" s="5">
        <v>2012</v>
      </c>
      <c r="Y565" s="5" t="s">
        <v>29</v>
      </c>
      <c r="Z565" s="5" t="s">
        <v>171</v>
      </c>
      <c r="AA565" s="5">
        <v>1292</v>
      </c>
    </row>
    <row r="566" spans="1:27">
      <c r="A566" s="4">
        <v>11</v>
      </c>
      <c r="B566" s="4" t="s">
        <v>548</v>
      </c>
      <c r="C566" s="4">
        <v>1981</v>
      </c>
      <c r="D566" s="4" t="s">
        <v>56</v>
      </c>
      <c r="E566" s="4">
        <v>104.65</v>
      </c>
      <c r="F566" s="4">
        <v>0.59830000000000005</v>
      </c>
      <c r="G566" s="4">
        <v>6</v>
      </c>
      <c r="H566" s="4">
        <v>250</v>
      </c>
      <c r="I566" s="4">
        <v>262.5</v>
      </c>
      <c r="J566" s="4">
        <v>267.5</v>
      </c>
      <c r="K566" s="4" t="e">
        <f t="array" aca="1" ref="K566">MAX(H566:J566*(1-strike(H566:J566)))</f>
        <v>#NAME?</v>
      </c>
      <c r="L566" s="4">
        <v>135</v>
      </c>
      <c r="M566" s="4">
        <v>142.5</v>
      </c>
      <c r="N566" s="6">
        <v>145</v>
      </c>
      <c r="O566" s="4" t="e">
        <f t="array" aca="1" ref="O566">MAX(L566:N566*(1-strike(L566:N566)))</f>
        <v>#NAME?</v>
      </c>
      <c r="P566" s="4">
        <v>280</v>
      </c>
      <c r="Q566" s="4">
        <v>300</v>
      </c>
      <c r="R566" s="4">
        <v>305</v>
      </c>
      <c r="S566" s="4" t="e">
        <f t="array" aca="1" ref="S566">MAX(P566:R566*(1-strike(P566:R566)))</f>
        <v>#NAME?</v>
      </c>
      <c r="T566" s="4" t="e">
        <f t="shared" si="8"/>
        <v>#NAME?</v>
      </c>
      <c r="U566" s="4">
        <v>715</v>
      </c>
      <c r="V566" s="4">
        <v>427.78</v>
      </c>
      <c r="W566" s="4">
        <v>1</v>
      </c>
      <c r="X566" s="5">
        <v>2014</v>
      </c>
      <c r="Y566" s="5" t="s">
        <v>29</v>
      </c>
      <c r="Z566" s="5" t="s">
        <v>30</v>
      </c>
      <c r="AA566" s="5">
        <v>720</v>
      </c>
    </row>
    <row r="567" spans="1:27">
      <c r="A567" s="4">
        <v>8</v>
      </c>
      <c r="B567" s="4" t="s">
        <v>549</v>
      </c>
      <c r="C567" s="4">
        <v>1989</v>
      </c>
      <c r="D567" s="4" t="s">
        <v>51</v>
      </c>
      <c r="E567" s="4">
        <v>57.75</v>
      </c>
      <c r="F567" s="4">
        <v>0.88380000000000003</v>
      </c>
      <c r="G567" s="4">
        <v>8</v>
      </c>
      <c r="H567" s="4">
        <v>140</v>
      </c>
      <c r="I567" s="4">
        <v>155</v>
      </c>
      <c r="J567" s="6">
        <v>162.5</v>
      </c>
      <c r="K567" s="4" t="e">
        <f t="array" aca="1" ref="K567">MAX(H567:J567*(1-strike(H567:J567)))</f>
        <v>#NAME?</v>
      </c>
      <c r="L567" s="4">
        <v>75</v>
      </c>
      <c r="M567" s="4">
        <v>80</v>
      </c>
      <c r="N567" s="6">
        <v>85</v>
      </c>
      <c r="O567" s="4" t="e">
        <f t="array" aca="1" ref="O567">MAX(L567:N567*(1-strike(L567:N567)))</f>
        <v>#NAME?</v>
      </c>
      <c r="P567" s="4">
        <v>215</v>
      </c>
      <c r="Q567" s="4">
        <v>225</v>
      </c>
      <c r="R567" s="6">
        <v>235</v>
      </c>
      <c r="S567" s="4" t="e">
        <f t="array" aca="1" ref="S567">MAX(P567:R567*(1-strike(P567:R567)))</f>
        <v>#NAME?</v>
      </c>
      <c r="T567" s="4" t="e">
        <f t="shared" si="8"/>
        <v>#NAME?</v>
      </c>
      <c r="U567" s="4">
        <v>460</v>
      </c>
      <c r="V567" s="4">
        <v>406.53</v>
      </c>
      <c r="W567" s="4">
        <v>3</v>
      </c>
      <c r="X567" s="5">
        <v>2014</v>
      </c>
      <c r="Y567" s="5" t="s">
        <v>29</v>
      </c>
      <c r="Z567" s="5" t="s">
        <v>30</v>
      </c>
      <c r="AA567" s="5">
        <v>655</v>
      </c>
    </row>
    <row r="568" spans="1:27">
      <c r="A568" s="4">
        <v>10</v>
      </c>
      <c r="B568" s="4" t="s">
        <v>550</v>
      </c>
      <c r="C568" s="4">
        <v>1990</v>
      </c>
      <c r="D568" s="4" t="s">
        <v>252</v>
      </c>
      <c r="E568" s="4">
        <v>64.5</v>
      </c>
      <c r="F568" s="4">
        <v>0.8004</v>
      </c>
      <c r="G568" s="4">
        <v>15</v>
      </c>
      <c r="H568" s="4">
        <v>90</v>
      </c>
      <c r="I568" s="4">
        <v>100</v>
      </c>
      <c r="J568" s="6">
        <v>110</v>
      </c>
      <c r="K568" s="4" t="e">
        <f t="array" aca="1" ref="K568">MAX(H568:J568*(1-strike(H568:J568)))</f>
        <v>#NAME?</v>
      </c>
      <c r="L568" s="4">
        <v>80</v>
      </c>
      <c r="M568" s="4">
        <v>105</v>
      </c>
      <c r="N568" s="4"/>
      <c r="O568" s="4" t="e">
        <f t="array" aca="1" ref="O568">MAX(L568:N568*(1-strike(L568:N568)))</f>
        <v>#NAME?</v>
      </c>
      <c r="P568" s="4">
        <v>100</v>
      </c>
      <c r="Q568" s="4">
        <v>130</v>
      </c>
      <c r="R568" s="4"/>
      <c r="S568" s="4" t="e">
        <f t="array" aca="1" ref="S568">MAX(P568:R568*(1-strike(P568:R568)))</f>
        <v>#NAME?</v>
      </c>
      <c r="T568" s="4" t="e">
        <f t="shared" si="8"/>
        <v>#NAME?</v>
      </c>
      <c r="U568" s="4">
        <v>335</v>
      </c>
      <c r="V568" s="4">
        <v>268.13</v>
      </c>
      <c r="W568" s="4">
        <v>1</v>
      </c>
      <c r="X568" s="5">
        <v>2015</v>
      </c>
      <c r="Y568" s="5" t="s">
        <v>29</v>
      </c>
      <c r="Z568" s="5" t="s">
        <v>171</v>
      </c>
      <c r="AA568" s="5">
        <v>21</v>
      </c>
    </row>
    <row r="569" spans="1:27" ht="15" customHeight="1">
      <c r="A569" s="3" t="s">
        <v>37</v>
      </c>
      <c r="B569" s="3" t="s">
        <v>551</v>
      </c>
      <c r="C569" s="3">
        <v>1985</v>
      </c>
      <c r="D569" s="3" t="s">
        <v>109</v>
      </c>
      <c r="E569" s="3">
        <v>92.75</v>
      </c>
      <c r="F569" s="3">
        <v>0.629</v>
      </c>
      <c r="G569" s="3">
        <v>17</v>
      </c>
      <c r="H569" s="1">
        <v>315</v>
      </c>
      <c r="I569" s="3">
        <v>320</v>
      </c>
      <c r="J569" s="3">
        <v>332.5</v>
      </c>
      <c r="K569" s="4" t="e">
        <f t="array" aca="1" ref="K569">MAX(H569:J569*(1-strike(H569:J569)))</f>
        <v>#NAME?</v>
      </c>
      <c r="L569" s="1">
        <v>235</v>
      </c>
      <c r="M569" s="1">
        <v>237.5</v>
      </c>
      <c r="N569" s="1">
        <v>240</v>
      </c>
      <c r="O569" s="4" t="e">
        <f t="array" aca="1" ref="O569">MAX(L569:N569*(1-strike(L569:N569)))</f>
        <v>#NAME?</v>
      </c>
      <c r="P569" s="3">
        <v>285</v>
      </c>
      <c r="Q569" s="1">
        <v>307.5</v>
      </c>
      <c r="R569" s="1">
        <v>307.5</v>
      </c>
      <c r="S569" s="4" t="e">
        <f t="array" aca="1" ref="S569">MAX(P569:R569*(1-strike(P569:R569)))</f>
        <v>#NAME?</v>
      </c>
      <c r="T569" s="4" t="e">
        <f t="shared" si="8"/>
        <v>#NAME?</v>
      </c>
      <c r="U569" s="3" t="s">
        <v>40</v>
      </c>
      <c r="V569" s="3" t="s">
        <v>37</v>
      </c>
      <c r="W569" s="3" t="s">
        <v>37</v>
      </c>
      <c r="X569" s="5">
        <v>2012</v>
      </c>
      <c r="Y569" s="5" t="s">
        <v>29</v>
      </c>
      <c r="Z569" s="5" t="s">
        <v>171</v>
      </c>
      <c r="AA569" s="5">
        <v>1271</v>
      </c>
    </row>
    <row r="570" spans="1:27">
      <c r="A570" s="4">
        <v>11</v>
      </c>
      <c r="B570" s="4" t="s">
        <v>551</v>
      </c>
      <c r="C570" s="4">
        <v>1985</v>
      </c>
      <c r="D570" s="4" t="s">
        <v>109</v>
      </c>
      <c r="E570" s="4">
        <v>92.58</v>
      </c>
      <c r="F570" s="4">
        <v>0.62949999999999995</v>
      </c>
      <c r="G570" s="4">
        <v>1</v>
      </c>
      <c r="H570" s="4">
        <v>307.5</v>
      </c>
      <c r="I570" s="6">
        <v>322.5</v>
      </c>
      <c r="J570" s="4">
        <v>322.5</v>
      </c>
      <c r="K570" s="4" t="e">
        <f t="array" aca="1" ref="K570">MAX(H570:J570*(1-strike(H570:J570)))</f>
        <v>#NAME?</v>
      </c>
      <c r="L570" s="4">
        <v>225</v>
      </c>
      <c r="M570" s="4">
        <v>237.5</v>
      </c>
      <c r="N570" s="6">
        <v>245</v>
      </c>
      <c r="O570" s="4" t="e">
        <f t="array" aca="1" ref="O570">MAX(L570:N570*(1-strike(L570:N570)))</f>
        <v>#NAME?</v>
      </c>
      <c r="P570" s="4">
        <v>275</v>
      </c>
      <c r="Q570" s="4">
        <v>292.5</v>
      </c>
      <c r="R570" s="4">
        <v>302.5</v>
      </c>
      <c r="S570" s="4" t="e">
        <f t="array" aca="1" ref="S570">MAX(P570:R570*(1-strike(P570:R570)))</f>
        <v>#NAME?</v>
      </c>
      <c r="T570" s="4" t="e">
        <f t="shared" si="8"/>
        <v>#NAME?</v>
      </c>
      <c r="U570" s="4">
        <v>862.5</v>
      </c>
      <c r="V570" s="4">
        <v>542.94000000000005</v>
      </c>
      <c r="W570" s="4">
        <v>1</v>
      </c>
      <c r="X570" s="5">
        <v>2014</v>
      </c>
      <c r="Y570" s="5" t="s">
        <v>29</v>
      </c>
      <c r="Z570" s="5" t="s">
        <v>171</v>
      </c>
      <c r="AA570" s="5">
        <v>503</v>
      </c>
    </row>
    <row r="571" spans="1:27">
      <c r="A571" s="4">
        <v>14</v>
      </c>
      <c r="B571" s="4" t="s">
        <v>552</v>
      </c>
      <c r="C571" s="4">
        <v>1984</v>
      </c>
      <c r="D571" s="4" t="s">
        <v>113</v>
      </c>
      <c r="E571" s="4">
        <v>72.069999999999993</v>
      </c>
      <c r="F571" s="4">
        <v>0.73319999999999996</v>
      </c>
      <c r="G571" s="4">
        <v>9</v>
      </c>
      <c r="H571" s="4">
        <v>195</v>
      </c>
      <c r="I571" s="4">
        <v>205</v>
      </c>
      <c r="J571" s="6">
        <v>210</v>
      </c>
      <c r="K571" s="4" t="e">
        <f t="array" aca="1" ref="K571">MAX(H571:J571*(1-strike(H571:J571)))</f>
        <v>#NAME?</v>
      </c>
      <c r="L571" s="4">
        <v>122.5</v>
      </c>
      <c r="M571" s="4">
        <v>130</v>
      </c>
      <c r="N571" s="6">
        <v>135</v>
      </c>
      <c r="O571" s="4" t="e">
        <f t="array" aca="1" ref="O571">MAX(L571:N571*(1-strike(L571:N571)))</f>
        <v>#NAME?</v>
      </c>
      <c r="P571" s="4">
        <v>240</v>
      </c>
      <c r="Q571" s="6">
        <v>250</v>
      </c>
      <c r="R571" s="6">
        <v>250</v>
      </c>
      <c r="S571" s="4" t="e">
        <f t="array" aca="1" ref="S571">MAX(P571:R571*(1-strike(P571:R571)))</f>
        <v>#NAME?</v>
      </c>
      <c r="T571" s="4" t="e">
        <f t="shared" si="8"/>
        <v>#NAME?</v>
      </c>
      <c r="U571" s="4">
        <v>575</v>
      </c>
      <c r="V571" s="4">
        <v>421.59</v>
      </c>
      <c r="W571" s="4">
        <v>1</v>
      </c>
      <c r="X571" s="5">
        <v>2015</v>
      </c>
      <c r="Y571" s="5" t="s">
        <v>29</v>
      </c>
      <c r="Z571" s="5" t="s">
        <v>30</v>
      </c>
      <c r="AA571" s="5">
        <v>251</v>
      </c>
    </row>
    <row r="572" spans="1:27">
      <c r="A572" s="3">
        <v>8</v>
      </c>
      <c r="B572" s="3" t="s">
        <v>553</v>
      </c>
      <c r="C572" s="3">
        <v>1982</v>
      </c>
      <c r="D572" s="3" t="s">
        <v>54</v>
      </c>
      <c r="E572" s="3">
        <v>91.15</v>
      </c>
      <c r="F572" s="3">
        <v>0.63429999999999997</v>
      </c>
      <c r="G572" s="3">
        <v>1</v>
      </c>
      <c r="H572" s="3">
        <v>205</v>
      </c>
      <c r="I572" s="1">
        <v>220</v>
      </c>
      <c r="J572" s="3">
        <v>220</v>
      </c>
      <c r="K572" s="4" t="e">
        <f t="array" aca="1" ref="K572">MAX(H572:J572*(1-strike(H572:J572)))</f>
        <v>#NAME?</v>
      </c>
      <c r="L572" s="3">
        <v>170</v>
      </c>
      <c r="M572" s="1">
        <v>180</v>
      </c>
      <c r="N572" s="1">
        <v>180</v>
      </c>
      <c r="O572" s="4" t="e">
        <f t="array" aca="1" ref="O572">MAX(L572:N572*(1-strike(L572:N572)))</f>
        <v>#NAME?</v>
      </c>
      <c r="P572" s="3">
        <v>270</v>
      </c>
      <c r="Q572" s="3">
        <v>275</v>
      </c>
      <c r="R572" s="1">
        <v>282.5</v>
      </c>
      <c r="S572" s="4" t="e">
        <f t="array" aca="1" ref="S572">MAX(P572:R572*(1-strike(P572:R572)))</f>
        <v>#NAME?</v>
      </c>
      <c r="T572" s="4" t="e">
        <f t="shared" si="8"/>
        <v>#NAME?</v>
      </c>
      <c r="U572" s="3">
        <v>665</v>
      </c>
      <c r="V572" s="3">
        <v>421.84</v>
      </c>
      <c r="W572" s="3">
        <v>3</v>
      </c>
      <c r="X572" s="5">
        <v>2013</v>
      </c>
      <c r="Y572" s="5" t="s">
        <v>29</v>
      </c>
      <c r="Z572" s="5" t="s">
        <v>30</v>
      </c>
      <c r="AA572" s="5">
        <v>1063</v>
      </c>
    </row>
    <row r="573" spans="1:27">
      <c r="A573" s="3">
        <v>7</v>
      </c>
      <c r="B573" s="3" t="s">
        <v>554</v>
      </c>
      <c r="C573" s="3">
        <v>1994</v>
      </c>
      <c r="D573" s="3" t="s">
        <v>74</v>
      </c>
      <c r="E573" s="3">
        <v>82.35</v>
      </c>
      <c r="F573" s="3">
        <v>0.67059999999999997</v>
      </c>
      <c r="G573" s="3">
        <v>2</v>
      </c>
      <c r="H573" s="3">
        <v>255</v>
      </c>
      <c r="I573" s="3">
        <v>275</v>
      </c>
      <c r="J573" s="3">
        <v>285</v>
      </c>
      <c r="K573" s="4" t="e">
        <f t="array" aca="1" ref="K573">MAX(H573:J573*(1-strike(H573:J573)))</f>
        <v>#NAME?</v>
      </c>
      <c r="L573" s="3">
        <v>155</v>
      </c>
      <c r="M573" s="3">
        <v>170</v>
      </c>
      <c r="N573" s="1">
        <v>180</v>
      </c>
      <c r="O573" s="4" t="e">
        <f t="array" aca="1" ref="O573">MAX(L573:N573*(1-strike(L573:N573)))</f>
        <v>#NAME?</v>
      </c>
      <c r="P573" s="3">
        <v>290</v>
      </c>
      <c r="Q573" s="3">
        <v>317.5</v>
      </c>
      <c r="R573" s="3">
        <v>325</v>
      </c>
      <c r="S573" s="4" t="e">
        <f t="array" aca="1" ref="S573">MAX(P573:R573*(1-strike(P573:R573)))</f>
        <v>#NAME?</v>
      </c>
      <c r="T573" s="4" t="e">
        <f t="shared" si="8"/>
        <v>#NAME?</v>
      </c>
      <c r="U573" s="3">
        <v>780</v>
      </c>
      <c r="V573" s="3">
        <v>523.07000000000005</v>
      </c>
      <c r="W573" s="3">
        <v>4</v>
      </c>
      <c r="X573" s="5">
        <v>2013</v>
      </c>
      <c r="Y573" s="5" t="s">
        <v>29</v>
      </c>
      <c r="Z573" s="5" t="s">
        <v>171</v>
      </c>
      <c r="AA573" s="5">
        <v>858</v>
      </c>
    </row>
    <row r="574" spans="1:27">
      <c r="A574" s="4">
        <v>8</v>
      </c>
      <c r="B574" s="4" t="s">
        <v>554</v>
      </c>
      <c r="C574" s="4">
        <v>1994</v>
      </c>
      <c r="D574" s="4" t="s">
        <v>74</v>
      </c>
      <c r="E574" s="4">
        <v>82.78</v>
      </c>
      <c r="F574" s="4">
        <v>0.66849999999999998</v>
      </c>
      <c r="G574" s="4">
        <v>6</v>
      </c>
      <c r="H574" s="4">
        <v>255</v>
      </c>
      <c r="I574" s="4">
        <v>265</v>
      </c>
      <c r="J574" s="4">
        <v>270</v>
      </c>
      <c r="K574" s="4" t="e">
        <f t="array" aca="1" ref="K574">MAX(H574:J574*(1-strike(H574:J574)))</f>
        <v>#NAME?</v>
      </c>
      <c r="L574" s="6">
        <v>165</v>
      </c>
      <c r="M574" s="4">
        <v>165</v>
      </c>
      <c r="N574" s="4">
        <v>170</v>
      </c>
      <c r="O574" s="4" t="e">
        <f t="array" aca="1" ref="O574">MAX(L574:N574*(1-strike(L574:N574)))</f>
        <v>#NAME?</v>
      </c>
      <c r="P574" s="4">
        <v>295</v>
      </c>
      <c r="Q574" s="4">
        <v>320</v>
      </c>
      <c r="R574" s="4">
        <v>332.5</v>
      </c>
      <c r="S574" s="4" t="e">
        <f t="array" aca="1" ref="S574">MAX(P574:R574*(1-strike(P574:R574)))</f>
        <v>#NAME?</v>
      </c>
      <c r="T574" s="4" t="e">
        <f t="shared" si="8"/>
        <v>#NAME?</v>
      </c>
      <c r="U574" s="4">
        <v>772.5</v>
      </c>
      <c r="V574" s="4">
        <v>516.41999999999996</v>
      </c>
      <c r="W574" s="4">
        <v>3</v>
      </c>
      <c r="X574" s="5">
        <v>2014</v>
      </c>
      <c r="Y574" s="5" t="s">
        <v>29</v>
      </c>
      <c r="Z574" s="5" t="s">
        <v>171</v>
      </c>
      <c r="AA574" s="5">
        <v>483</v>
      </c>
    </row>
    <row r="575" spans="1:27">
      <c r="A575" s="4">
        <v>10</v>
      </c>
      <c r="B575" s="4" t="s">
        <v>554</v>
      </c>
      <c r="C575" s="4">
        <v>1994</v>
      </c>
      <c r="D575" s="4" t="s">
        <v>74</v>
      </c>
      <c r="E575" s="4">
        <v>82.1</v>
      </c>
      <c r="F575" s="4">
        <v>0.67190000000000005</v>
      </c>
      <c r="G575" s="4">
        <v>2</v>
      </c>
      <c r="H575" s="4">
        <v>200</v>
      </c>
      <c r="I575" s="4">
        <v>210</v>
      </c>
      <c r="J575" s="4">
        <v>215</v>
      </c>
      <c r="K575" s="4" t="e">
        <f t="array" aca="1" ref="K575">MAX(H575:J575*(1-strike(H575:J575)))</f>
        <v>#NAME?</v>
      </c>
      <c r="L575" s="4">
        <v>165</v>
      </c>
      <c r="M575" s="4">
        <v>175</v>
      </c>
      <c r="N575" s="6">
        <v>180</v>
      </c>
      <c r="O575" s="4" t="e">
        <f t="array" aca="1" ref="O575">MAX(L575:N575*(1-strike(L575:N575)))</f>
        <v>#NAME?</v>
      </c>
      <c r="P575" s="4">
        <v>295</v>
      </c>
      <c r="Q575" s="4">
        <v>325</v>
      </c>
      <c r="R575" s="4">
        <v>332.5</v>
      </c>
      <c r="S575" s="4" t="e">
        <f t="array" aca="1" ref="S575">MAX(P575:R575*(1-strike(P575:R575)))</f>
        <v>#NAME?</v>
      </c>
      <c r="T575" s="4" t="e">
        <f t="shared" si="8"/>
        <v>#NAME?</v>
      </c>
      <c r="U575" s="4">
        <v>722.5</v>
      </c>
      <c r="V575" s="4">
        <v>485.45</v>
      </c>
      <c r="W575" s="4">
        <v>1</v>
      </c>
      <c r="X575" s="5">
        <v>2015</v>
      </c>
      <c r="Y575" s="5" t="s">
        <v>29</v>
      </c>
      <c r="Z575" s="5" t="s">
        <v>171</v>
      </c>
      <c r="AA575" s="5">
        <v>50</v>
      </c>
    </row>
    <row r="576" spans="1:27">
      <c r="A576" s="4">
        <v>11</v>
      </c>
      <c r="B576" s="4" t="s">
        <v>555</v>
      </c>
      <c r="C576" s="4">
        <v>1990</v>
      </c>
      <c r="D576" s="4" t="s">
        <v>62</v>
      </c>
      <c r="E576" s="4">
        <v>99.14</v>
      </c>
      <c r="F576" s="4">
        <v>0.61070000000000002</v>
      </c>
      <c r="G576" s="4">
        <v>15</v>
      </c>
      <c r="H576" s="6">
        <v>340</v>
      </c>
      <c r="I576" s="4">
        <v>340</v>
      </c>
      <c r="J576" s="4">
        <v>357.5</v>
      </c>
      <c r="K576" s="4" t="e">
        <f t="array" aca="1" ref="K576">MAX(H576:J576*(1-strike(H576:J576)))</f>
        <v>#NAME?</v>
      </c>
      <c r="L576" s="4">
        <v>220</v>
      </c>
      <c r="M576" s="6">
        <v>230</v>
      </c>
      <c r="N576" s="6">
        <v>230</v>
      </c>
      <c r="O576" s="4" t="e">
        <f t="array" aca="1" ref="O576">MAX(L576:N576*(1-strike(L576:N576)))</f>
        <v>#NAME?</v>
      </c>
      <c r="P576" s="4">
        <v>335</v>
      </c>
      <c r="Q576" s="6">
        <v>350</v>
      </c>
      <c r="R576" s="6">
        <v>350</v>
      </c>
      <c r="S576" s="4" t="e">
        <f t="array" aca="1" ref="S576">MAX(P576:R576*(1-strike(P576:R576)))</f>
        <v>#NAME?</v>
      </c>
      <c r="T576" s="4" t="e">
        <f t="shared" si="8"/>
        <v>#NAME?</v>
      </c>
      <c r="U576" s="4">
        <v>912.5</v>
      </c>
      <c r="V576" s="4">
        <v>557.26</v>
      </c>
      <c r="W576" s="4">
        <v>1</v>
      </c>
      <c r="X576" s="5">
        <v>2015</v>
      </c>
      <c r="Y576" s="5" t="s">
        <v>29</v>
      </c>
      <c r="Z576" s="5" t="s">
        <v>171</v>
      </c>
      <c r="AA576" s="5">
        <v>83</v>
      </c>
    </row>
    <row r="577" spans="1:27">
      <c r="A577" s="4">
        <v>10</v>
      </c>
      <c r="B577" s="4" t="s">
        <v>556</v>
      </c>
      <c r="C577" s="4">
        <v>1988</v>
      </c>
      <c r="D577" s="4" t="s">
        <v>51</v>
      </c>
      <c r="E577" s="4">
        <v>174.25</v>
      </c>
      <c r="F577" s="4">
        <v>0.54100000000000004</v>
      </c>
      <c r="G577" s="4">
        <v>15</v>
      </c>
      <c r="H577" s="4">
        <v>300</v>
      </c>
      <c r="I577" s="4">
        <v>320</v>
      </c>
      <c r="J577" s="4">
        <v>335</v>
      </c>
      <c r="K577" s="4" t="e">
        <f t="array" aca="1" ref="K577">MAX(H577:J577*(1-strike(H577:J577)))</f>
        <v>#NAME?</v>
      </c>
      <c r="L577" s="4">
        <v>205</v>
      </c>
      <c r="M577" s="4">
        <v>217.5</v>
      </c>
      <c r="N577" s="4">
        <v>225</v>
      </c>
      <c r="O577" s="4" t="e">
        <f t="array" aca="1" ref="O577">MAX(L577:N577*(1-strike(L577:N577)))</f>
        <v>#NAME?</v>
      </c>
      <c r="P577" s="4">
        <v>300</v>
      </c>
      <c r="Q577" s="4">
        <v>317.5</v>
      </c>
      <c r="R577" s="4">
        <v>332.5</v>
      </c>
      <c r="S577" s="4" t="e">
        <f t="array" aca="1" ref="S577">MAX(P577:R577*(1-strike(P577:R577)))</f>
        <v>#NAME?</v>
      </c>
      <c r="T577" s="4" t="e">
        <f t="shared" si="8"/>
        <v>#NAME?</v>
      </c>
      <c r="U577" s="4">
        <v>892.5</v>
      </c>
      <c r="V577" s="4">
        <v>482.84</v>
      </c>
      <c r="W577" s="4">
        <v>1</v>
      </c>
      <c r="X577" s="5">
        <v>2015</v>
      </c>
      <c r="Y577" s="5" t="s">
        <v>29</v>
      </c>
      <c r="Z577" s="5" t="s">
        <v>30</v>
      </c>
      <c r="AA577" s="5">
        <v>332</v>
      </c>
    </row>
    <row r="578" spans="1:27" ht="30">
      <c r="A578" s="3">
        <v>8</v>
      </c>
      <c r="B578" s="3" t="s">
        <v>557</v>
      </c>
      <c r="C578" s="3">
        <v>1972</v>
      </c>
      <c r="D578" s="3" t="s">
        <v>228</v>
      </c>
      <c r="E578" s="3">
        <v>138.83000000000001</v>
      </c>
      <c r="F578" s="3">
        <v>0.5595</v>
      </c>
      <c r="G578" s="3">
        <v>18</v>
      </c>
      <c r="H578" s="3">
        <v>390</v>
      </c>
      <c r="I578" s="3">
        <v>412.5</v>
      </c>
      <c r="J578" s="1">
        <v>417.5</v>
      </c>
      <c r="K578" s="4" t="e">
        <f t="array" aca="1" ref="K578">MAX(H578:J578*(1-strike(H578:J578)))</f>
        <v>#NAME?</v>
      </c>
      <c r="L578" s="3">
        <v>262.5</v>
      </c>
      <c r="M578" s="1">
        <v>272.5</v>
      </c>
      <c r="N578" s="3">
        <v>275</v>
      </c>
      <c r="O578" s="4" t="e">
        <f t="array" aca="1" ref="O578">MAX(L578:N578*(1-strike(L578:N578)))</f>
        <v>#NAME?</v>
      </c>
      <c r="P578" s="3">
        <v>335</v>
      </c>
      <c r="Q578" s="3">
        <v>362.5</v>
      </c>
      <c r="R578" s="1">
        <v>375</v>
      </c>
      <c r="S578" s="4" t="e">
        <f t="array" aca="1" ref="S578">MAX(P578:R578*(1-strike(P578:R578)))</f>
        <v>#NAME?</v>
      </c>
      <c r="T578" s="4" t="e">
        <f t="shared" ref="T578:T641" si="9">IF(AND(K578&lt;&gt;0,O578&lt;&gt;0,S578&lt;&gt;0),K578+O578+S578,0)</f>
        <v>#NAME?</v>
      </c>
      <c r="U578" s="3" t="s">
        <v>558</v>
      </c>
      <c r="V578" s="3">
        <v>587.47</v>
      </c>
      <c r="W578" s="3">
        <v>3</v>
      </c>
      <c r="X578" s="5">
        <v>2012</v>
      </c>
      <c r="Y578" s="5" t="s">
        <v>29</v>
      </c>
      <c r="Z578" s="5" t="s">
        <v>171</v>
      </c>
      <c r="AA578" s="5">
        <v>1323</v>
      </c>
    </row>
    <row r="579" spans="1:27">
      <c r="A579" s="3" t="s">
        <v>37</v>
      </c>
      <c r="B579" s="3" t="s">
        <v>557</v>
      </c>
      <c r="C579" s="3">
        <v>1972</v>
      </c>
      <c r="D579" s="3" t="s">
        <v>228</v>
      </c>
      <c r="E579" s="3">
        <v>143.4</v>
      </c>
      <c r="F579" s="3">
        <v>0.55679999999999996</v>
      </c>
      <c r="G579" s="3">
        <v>7</v>
      </c>
      <c r="H579" s="1">
        <v>395</v>
      </c>
      <c r="I579" s="1">
        <v>395</v>
      </c>
      <c r="J579" s="1">
        <v>415</v>
      </c>
      <c r="K579" s="4" t="e">
        <f t="array" aca="1" ref="K579">MAX(H579:J579*(1-strike(H579:J579)))</f>
        <v>#NAME?</v>
      </c>
      <c r="L579" s="1">
        <v>285</v>
      </c>
      <c r="M579" s="1">
        <v>285</v>
      </c>
      <c r="N579" s="1">
        <v>285</v>
      </c>
      <c r="O579" s="4" t="e">
        <f t="array" aca="1" ref="O579">MAX(L579:N579*(1-strike(L579:N579)))</f>
        <v>#NAME?</v>
      </c>
      <c r="P579" s="3">
        <v>335</v>
      </c>
      <c r="Q579" s="1">
        <v>365</v>
      </c>
      <c r="R579" s="1">
        <v>365</v>
      </c>
      <c r="S579" s="4" t="e">
        <f t="array" aca="1" ref="S579">MAX(P579:R579*(1-strike(P579:R579)))</f>
        <v>#NAME?</v>
      </c>
      <c r="T579" s="4" t="e">
        <f t="shared" si="9"/>
        <v>#NAME?</v>
      </c>
      <c r="U579" s="3" t="s">
        <v>40</v>
      </c>
      <c r="V579" s="3" t="s">
        <v>37</v>
      </c>
      <c r="W579" s="3" t="s">
        <v>37</v>
      </c>
      <c r="X579" s="5">
        <v>2013</v>
      </c>
      <c r="Y579" s="5" t="s">
        <v>29</v>
      </c>
      <c r="Z579" s="5" t="s">
        <v>171</v>
      </c>
      <c r="AA579" s="5">
        <v>929</v>
      </c>
    </row>
    <row r="580" spans="1:27">
      <c r="A580" s="4">
        <v>11</v>
      </c>
      <c r="B580" s="4" t="s">
        <v>557</v>
      </c>
      <c r="C580" s="4">
        <v>1972</v>
      </c>
      <c r="D580" s="4" t="s">
        <v>228</v>
      </c>
      <c r="E580" s="4">
        <v>119.82</v>
      </c>
      <c r="F580" s="4">
        <v>0.57509999999999994</v>
      </c>
      <c r="G580" s="4">
        <v>14</v>
      </c>
      <c r="H580" s="4">
        <v>345</v>
      </c>
      <c r="I580" s="6">
        <v>365</v>
      </c>
      <c r="J580" s="4">
        <v>365</v>
      </c>
      <c r="K580" s="4" t="e">
        <f t="array" aca="1" ref="K580">MAX(H580:J580*(1-strike(H580:J580)))</f>
        <v>#NAME?</v>
      </c>
      <c r="L580" s="4">
        <v>260</v>
      </c>
      <c r="M580" s="6">
        <v>270</v>
      </c>
      <c r="N580" s="6">
        <v>270</v>
      </c>
      <c r="O580" s="4" t="e">
        <f t="array" aca="1" ref="O580">MAX(L580:N580*(1-strike(L580:N580)))</f>
        <v>#NAME?</v>
      </c>
      <c r="P580" s="4">
        <v>300</v>
      </c>
      <c r="Q580" s="4">
        <v>337.5</v>
      </c>
      <c r="R580" s="6">
        <v>350</v>
      </c>
      <c r="S580" s="4" t="e">
        <f t="array" aca="1" ref="S580">MAX(P580:R580*(1-strike(P580:R580)))</f>
        <v>#NAME?</v>
      </c>
      <c r="T580" s="4" t="e">
        <f t="shared" si="9"/>
        <v>#NAME?</v>
      </c>
      <c r="U580" s="4">
        <v>962.5</v>
      </c>
      <c r="V580" s="4">
        <v>553.53</v>
      </c>
      <c r="W580" s="4">
        <v>1</v>
      </c>
      <c r="X580" s="5">
        <v>2014</v>
      </c>
      <c r="Y580" s="5" t="s">
        <v>29</v>
      </c>
      <c r="Z580" s="5" t="s">
        <v>171</v>
      </c>
      <c r="AA580" s="5">
        <v>543</v>
      </c>
    </row>
    <row r="581" spans="1:27">
      <c r="A581" s="4">
        <v>6</v>
      </c>
      <c r="B581" s="4" t="s">
        <v>559</v>
      </c>
      <c r="C581" s="4">
        <v>1986</v>
      </c>
      <c r="D581" s="4" t="s">
        <v>252</v>
      </c>
      <c r="E581" s="4">
        <v>58.46</v>
      </c>
      <c r="F581" s="4">
        <v>0.87360000000000004</v>
      </c>
      <c r="G581" s="4">
        <v>5</v>
      </c>
      <c r="H581" s="6">
        <v>240</v>
      </c>
      <c r="I581" s="4">
        <v>250</v>
      </c>
      <c r="J581" s="6">
        <v>257.5</v>
      </c>
      <c r="K581" s="4" t="e">
        <f t="array" aca="1" ref="K581">MAX(H581:J581*(1-strike(H581:J581)))</f>
        <v>#NAME?</v>
      </c>
      <c r="L581" s="4">
        <v>140</v>
      </c>
      <c r="M581" s="6">
        <v>145</v>
      </c>
      <c r="N581" s="6">
        <v>145</v>
      </c>
      <c r="O581" s="4" t="e">
        <f t="array" aca="1" ref="O581">MAX(L581:N581*(1-strike(L581:N581)))</f>
        <v>#NAME?</v>
      </c>
      <c r="P581" s="4">
        <v>240</v>
      </c>
      <c r="Q581" s="6">
        <v>242.5</v>
      </c>
      <c r="R581" s="6">
        <v>257.5</v>
      </c>
      <c r="S581" s="4" t="e">
        <f t="array" aca="1" ref="S581">MAX(P581:R581*(1-strike(P581:R581)))</f>
        <v>#NAME?</v>
      </c>
      <c r="T581" s="4" t="e">
        <f t="shared" si="9"/>
        <v>#NAME?</v>
      </c>
      <c r="U581" s="4">
        <v>630</v>
      </c>
      <c r="V581" s="4">
        <v>550.37</v>
      </c>
      <c r="W581" s="4">
        <v>5</v>
      </c>
      <c r="X581" s="5">
        <v>2015</v>
      </c>
      <c r="Y581" s="5" t="s">
        <v>29</v>
      </c>
      <c r="Z581" s="5" t="s">
        <v>171</v>
      </c>
      <c r="AA581" s="5">
        <v>7</v>
      </c>
    </row>
    <row r="582" spans="1:27">
      <c r="A582" s="4">
        <v>9</v>
      </c>
      <c r="B582" s="4" t="s">
        <v>560</v>
      </c>
      <c r="C582" s="4">
        <v>1991</v>
      </c>
      <c r="D582" s="4" t="s">
        <v>85</v>
      </c>
      <c r="E582" s="4">
        <v>104.2</v>
      </c>
      <c r="F582" s="4">
        <v>0.59919999999999995</v>
      </c>
      <c r="G582" s="4">
        <v>17</v>
      </c>
      <c r="H582" s="6">
        <v>340</v>
      </c>
      <c r="I582" s="6">
        <v>340</v>
      </c>
      <c r="J582" s="4">
        <v>340</v>
      </c>
      <c r="K582" s="4" t="e">
        <f t="array" aca="1" ref="K582">MAX(H582:J582*(1-strike(H582:J582)))</f>
        <v>#NAME?</v>
      </c>
      <c r="L582" s="6">
        <v>230</v>
      </c>
      <c r="M582" s="6">
        <v>230</v>
      </c>
      <c r="N582" s="4">
        <v>230</v>
      </c>
      <c r="O582" s="4" t="e">
        <f t="array" aca="1" ref="O582">MAX(L582:N582*(1-strike(L582:N582)))</f>
        <v>#NAME?</v>
      </c>
      <c r="P582" s="4">
        <v>330</v>
      </c>
      <c r="Q582" s="4">
        <v>345</v>
      </c>
      <c r="R582" s="6">
        <v>350</v>
      </c>
      <c r="S582" s="4" t="e">
        <f t="array" aca="1" ref="S582">MAX(P582:R582*(1-strike(P582:R582)))</f>
        <v>#NAME?</v>
      </c>
      <c r="T582" s="4" t="e">
        <f t="shared" si="9"/>
        <v>#NAME?</v>
      </c>
      <c r="U582" s="4">
        <v>915</v>
      </c>
      <c r="V582" s="4">
        <v>548.27</v>
      </c>
      <c r="W582" s="4">
        <v>2</v>
      </c>
      <c r="X582" s="5">
        <v>2015</v>
      </c>
      <c r="Y582" s="5" t="s">
        <v>29</v>
      </c>
      <c r="Z582" s="5" t="s">
        <v>171</v>
      </c>
      <c r="AA582" s="5">
        <v>81</v>
      </c>
    </row>
    <row r="583" spans="1:27" ht="15" customHeight="1">
      <c r="A583" s="3">
        <v>7</v>
      </c>
      <c r="B583" s="3" t="s">
        <v>89</v>
      </c>
      <c r="C583" s="3">
        <v>1966</v>
      </c>
      <c r="D583" s="3" t="s">
        <v>56</v>
      </c>
      <c r="E583" s="3">
        <v>82.55</v>
      </c>
      <c r="F583" s="3">
        <v>0.66969999999999996</v>
      </c>
      <c r="G583" s="3">
        <v>21</v>
      </c>
      <c r="H583" s="3">
        <v>180</v>
      </c>
      <c r="I583" s="3">
        <v>195</v>
      </c>
      <c r="J583" s="1">
        <v>200</v>
      </c>
      <c r="K583" s="4" t="e">
        <f t="array" aca="1" ref="K583">MAX(H583:J583*(1-strike(H583:J583)))</f>
        <v>#NAME?</v>
      </c>
      <c r="L583" s="3">
        <v>165</v>
      </c>
      <c r="M583" s="1">
        <v>172.5</v>
      </c>
      <c r="N583" s="3">
        <v>172.5</v>
      </c>
      <c r="O583" s="4" t="e">
        <f t="array" aca="1" ref="O583">MAX(L583:N583*(1-strike(L583:N583)))</f>
        <v>#NAME?</v>
      </c>
      <c r="P583" s="3">
        <v>240</v>
      </c>
      <c r="Q583" s="3">
        <v>250</v>
      </c>
      <c r="R583" s="1">
        <v>260</v>
      </c>
      <c r="S583" s="4" t="e">
        <f t="array" aca="1" ref="S583">MAX(P583:R583*(1-strike(P583:R583)))</f>
        <v>#NAME?</v>
      </c>
      <c r="T583" s="4" t="e">
        <f t="shared" si="9"/>
        <v>#NAME?</v>
      </c>
      <c r="U583" s="3">
        <v>617.5</v>
      </c>
      <c r="V583" s="3">
        <v>413.51</v>
      </c>
      <c r="W583" s="3">
        <v>4</v>
      </c>
      <c r="X583" s="5">
        <v>2013</v>
      </c>
      <c r="Y583" s="5" t="s">
        <v>29</v>
      </c>
      <c r="Z583" s="5" t="s">
        <v>30</v>
      </c>
      <c r="AA583" s="5">
        <v>1050</v>
      </c>
    </row>
    <row r="584" spans="1:27">
      <c r="A584" s="4">
        <v>9</v>
      </c>
      <c r="B584" s="4" t="s">
        <v>89</v>
      </c>
      <c r="C584" s="4">
        <v>1966</v>
      </c>
      <c r="D584" s="4" t="s">
        <v>56</v>
      </c>
      <c r="E584" s="4">
        <v>82.4</v>
      </c>
      <c r="F584" s="4">
        <v>0.6704</v>
      </c>
      <c r="G584" s="4">
        <v>27</v>
      </c>
      <c r="H584" s="4">
        <v>195</v>
      </c>
      <c r="I584" s="4">
        <v>205</v>
      </c>
      <c r="J584" s="6">
        <v>210</v>
      </c>
      <c r="K584" s="4" t="e">
        <f t="array" aca="1" ref="K584">MAX(H584:J584*(1-strike(H584:J584)))</f>
        <v>#NAME?</v>
      </c>
      <c r="L584" s="4">
        <v>160</v>
      </c>
      <c r="M584" s="6">
        <v>170</v>
      </c>
      <c r="N584" s="6">
        <v>170</v>
      </c>
      <c r="O584" s="4" t="e">
        <f t="array" aca="1" ref="O584">MAX(L584:N584*(1-strike(L584:N584)))</f>
        <v>#NAME?</v>
      </c>
      <c r="P584" s="4">
        <v>245</v>
      </c>
      <c r="Q584" s="4">
        <v>255</v>
      </c>
      <c r="R584" s="4">
        <v>260</v>
      </c>
      <c r="S584" s="4" t="e">
        <f t="array" aca="1" ref="S584">MAX(P584:R584*(1-strike(P584:R584)))</f>
        <v>#NAME?</v>
      </c>
      <c r="T584" s="4" t="e">
        <f t="shared" si="9"/>
        <v>#NAME?</v>
      </c>
      <c r="U584" s="4">
        <v>625</v>
      </c>
      <c r="V584" s="4">
        <v>419</v>
      </c>
      <c r="W584" s="4">
        <v>2</v>
      </c>
      <c r="X584" s="5">
        <v>2014</v>
      </c>
      <c r="Y584" s="5" t="s">
        <v>29</v>
      </c>
      <c r="Z584" s="5" t="s">
        <v>30</v>
      </c>
      <c r="AA584" s="5">
        <v>691</v>
      </c>
    </row>
    <row r="585" spans="1:27">
      <c r="A585" s="3">
        <v>8</v>
      </c>
      <c r="B585" s="3" t="s">
        <v>561</v>
      </c>
      <c r="C585" s="3">
        <v>1988</v>
      </c>
      <c r="D585" s="3" t="s">
        <v>100</v>
      </c>
      <c r="E585" s="3">
        <v>104.45</v>
      </c>
      <c r="F585" s="3">
        <v>0.59870000000000001</v>
      </c>
      <c r="G585" s="3">
        <v>8</v>
      </c>
      <c r="H585" s="3">
        <v>250</v>
      </c>
      <c r="I585" s="1">
        <v>262.5</v>
      </c>
      <c r="J585" s="3">
        <v>265</v>
      </c>
      <c r="K585" s="4" t="e">
        <f t="array" aca="1" ref="K585">MAX(H585:J585*(1-strike(H585:J585)))</f>
        <v>#NAME?</v>
      </c>
      <c r="L585" s="3">
        <v>190</v>
      </c>
      <c r="M585" s="3">
        <v>200</v>
      </c>
      <c r="N585" s="3">
        <v>207.5</v>
      </c>
      <c r="O585" s="4" t="e">
        <f t="array" aca="1" ref="O585">MAX(L585:N585*(1-strike(L585:N585)))</f>
        <v>#NAME?</v>
      </c>
      <c r="P585" s="3">
        <v>270</v>
      </c>
      <c r="Q585" s="3">
        <v>282.5</v>
      </c>
      <c r="R585" s="1">
        <v>292.5</v>
      </c>
      <c r="S585" s="4" t="e">
        <f t="array" aca="1" ref="S585">MAX(P585:R585*(1-strike(P585:R585)))</f>
        <v>#NAME?</v>
      </c>
      <c r="T585" s="4" t="e">
        <f t="shared" si="9"/>
        <v>#NAME?</v>
      </c>
      <c r="U585" s="3">
        <v>755</v>
      </c>
      <c r="V585" s="3">
        <v>452.02</v>
      </c>
      <c r="W585" s="3">
        <v>3</v>
      </c>
      <c r="X585" s="5">
        <v>2013</v>
      </c>
      <c r="Y585" s="5" t="s">
        <v>29</v>
      </c>
      <c r="Z585" s="5" t="s">
        <v>30</v>
      </c>
      <c r="AA585" s="5">
        <v>1078</v>
      </c>
    </row>
    <row r="586" spans="1:27">
      <c r="A586" s="4">
        <v>8</v>
      </c>
      <c r="B586" s="4" t="s">
        <v>561</v>
      </c>
      <c r="C586" s="4">
        <v>1988</v>
      </c>
      <c r="D586" s="4" t="s">
        <v>100</v>
      </c>
      <c r="E586" s="4">
        <v>118.26</v>
      </c>
      <c r="F586" s="4">
        <v>0.57689999999999997</v>
      </c>
      <c r="G586" s="4">
        <v>7</v>
      </c>
      <c r="H586" s="4">
        <v>280</v>
      </c>
      <c r="I586" s="4">
        <v>292.5</v>
      </c>
      <c r="J586" s="4">
        <v>302.5</v>
      </c>
      <c r="K586" s="4" t="e">
        <f t="array" aca="1" ref="K586">MAX(H586:J586*(1-strike(H586:J586)))</f>
        <v>#NAME?</v>
      </c>
      <c r="L586" s="4">
        <v>220</v>
      </c>
      <c r="M586" s="4">
        <v>227.5</v>
      </c>
      <c r="N586" s="6">
        <v>235.5</v>
      </c>
      <c r="O586" s="4" t="e">
        <f t="array" aca="1" ref="O586">MAX(L586:N586*(1-strike(L586:N586)))</f>
        <v>#NAME?</v>
      </c>
      <c r="P586" s="4">
        <v>275</v>
      </c>
      <c r="Q586" s="4">
        <v>285</v>
      </c>
      <c r="R586" s="6">
        <v>292.5</v>
      </c>
      <c r="S586" s="4" t="e">
        <f t="array" aca="1" ref="S586">MAX(P586:R586*(1-strike(P586:R586)))</f>
        <v>#NAME?</v>
      </c>
      <c r="T586" s="4" t="e">
        <f t="shared" si="9"/>
        <v>#NAME?</v>
      </c>
      <c r="U586" s="4">
        <v>815</v>
      </c>
      <c r="V586" s="4">
        <v>470.17</v>
      </c>
      <c r="W586" s="4">
        <v>3</v>
      </c>
      <c r="X586" s="5">
        <v>2015</v>
      </c>
      <c r="Y586" s="5" t="s">
        <v>29</v>
      </c>
      <c r="Z586" s="5" t="s">
        <v>30</v>
      </c>
      <c r="AA586" s="5">
        <v>314</v>
      </c>
    </row>
    <row r="587" spans="1:27">
      <c r="A587" s="3">
        <v>8</v>
      </c>
      <c r="B587" s="3" t="s">
        <v>562</v>
      </c>
      <c r="C587" s="3">
        <v>1982</v>
      </c>
      <c r="D587" s="3" t="s">
        <v>563</v>
      </c>
      <c r="E587" s="3">
        <v>131.5</v>
      </c>
      <c r="F587" s="3">
        <v>0.56440000000000001</v>
      </c>
      <c r="G587" s="3">
        <v>25</v>
      </c>
      <c r="H587" s="3">
        <v>250</v>
      </c>
      <c r="I587" s="3">
        <v>252.5</v>
      </c>
      <c r="J587" s="3">
        <v>270</v>
      </c>
      <c r="K587" s="4" t="e">
        <f t="array" aca="1" ref="K587">MAX(H587:J587*(1-strike(H587:J587)))</f>
        <v>#NAME?</v>
      </c>
      <c r="L587" s="3">
        <v>215</v>
      </c>
      <c r="M587" s="3">
        <v>222.5</v>
      </c>
      <c r="N587" s="1">
        <v>230</v>
      </c>
      <c r="O587" s="4" t="e">
        <f t="array" aca="1" ref="O587">MAX(L587:N587*(1-strike(L587:N587)))</f>
        <v>#NAME?</v>
      </c>
      <c r="P587" s="3">
        <v>235</v>
      </c>
      <c r="Q587" s="3">
        <v>250</v>
      </c>
      <c r="R587" s="3">
        <v>265</v>
      </c>
      <c r="S587" s="4" t="e">
        <f t="array" aca="1" ref="S587">MAX(P587:R587*(1-strike(P587:R587)))</f>
        <v>#NAME?</v>
      </c>
      <c r="T587" s="4" t="e">
        <f t="shared" si="9"/>
        <v>#NAME?</v>
      </c>
      <c r="U587" s="3">
        <v>757.5</v>
      </c>
      <c r="V587" s="3">
        <v>427.53</v>
      </c>
      <c r="W587" s="3">
        <v>3</v>
      </c>
      <c r="X587" s="5">
        <v>2013</v>
      </c>
      <c r="Y587" s="5" t="s">
        <v>29</v>
      </c>
      <c r="Z587" s="5" t="s">
        <v>30</v>
      </c>
      <c r="AA587" s="5">
        <v>1116</v>
      </c>
    </row>
    <row r="588" spans="1:27">
      <c r="A588" s="4" t="s">
        <v>37</v>
      </c>
      <c r="B588" s="4" t="s">
        <v>564</v>
      </c>
      <c r="C588" s="4">
        <v>1988</v>
      </c>
      <c r="D588" s="4" t="s">
        <v>42</v>
      </c>
      <c r="E588" s="4">
        <v>91.89</v>
      </c>
      <c r="F588" s="4">
        <v>0.63180000000000003</v>
      </c>
      <c r="G588" s="4">
        <v>7</v>
      </c>
      <c r="H588" s="6">
        <v>270</v>
      </c>
      <c r="I588" s="6">
        <v>280</v>
      </c>
      <c r="J588" s="6">
        <v>290</v>
      </c>
      <c r="K588" s="4" t="e">
        <f t="array" aca="1" ref="K588">MAX(H588:J588*(1-strike(H588:J588)))</f>
        <v>#NAME?</v>
      </c>
      <c r="L588" s="4">
        <v>150</v>
      </c>
      <c r="M588" s="4">
        <v>155</v>
      </c>
      <c r="N588" s="6">
        <v>160</v>
      </c>
      <c r="O588" s="4" t="e">
        <f t="array" aca="1" ref="O588">MAX(L588:N588*(1-strike(L588:N588)))</f>
        <v>#NAME?</v>
      </c>
      <c r="P588" s="4">
        <v>290</v>
      </c>
      <c r="Q588" s="6">
        <v>305</v>
      </c>
      <c r="R588" s="6">
        <v>305</v>
      </c>
      <c r="S588" s="4" t="e">
        <f t="array" aca="1" ref="S588">MAX(P588:R588*(1-strike(P588:R588)))</f>
        <v>#NAME?</v>
      </c>
      <c r="T588" s="4" t="e">
        <f t="shared" si="9"/>
        <v>#NAME?</v>
      </c>
      <c r="U588" s="4" t="s">
        <v>187</v>
      </c>
      <c r="V588" s="4" t="s">
        <v>37</v>
      </c>
      <c r="W588" s="4" t="s">
        <v>37</v>
      </c>
      <c r="X588" s="5">
        <v>2015</v>
      </c>
      <c r="Y588" s="5" t="s">
        <v>29</v>
      </c>
      <c r="Z588" s="5" t="s">
        <v>30</v>
      </c>
      <c r="AA588" s="5">
        <v>289</v>
      </c>
    </row>
    <row r="589" spans="1:27">
      <c r="A589" s="3">
        <v>12</v>
      </c>
      <c r="B589" s="3" t="s">
        <v>565</v>
      </c>
      <c r="C589" s="3">
        <v>1988</v>
      </c>
      <c r="D589" s="3" t="s">
        <v>125</v>
      </c>
      <c r="E589" s="3">
        <v>119.05</v>
      </c>
      <c r="F589" s="3">
        <v>0.57599999999999996</v>
      </c>
      <c r="G589" s="3">
        <v>5</v>
      </c>
      <c r="H589" s="3">
        <v>290</v>
      </c>
      <c r="I589" s="1">
        <v>307.5</v>
      </c>
      <c r="J589" s="1">
        <v>315</v>
      </c>
      <c r="K589" s="4" t="e">
        <f t="array" aca="1" ref="K589">MAX(H589:J589*(1-strike(H589:J589)))</f>
        <v>#NAME?</v>
      </c>
      <c r="L589" s="3">
        <v>235</v>
      </c>
      <c r="M589" s="1">
        <v>247.5</v>
      </c>
      <c r="N589" s="3">
        <v>247.5</v>
      </c>
      <c r="O589" s="4" t="e">
        <f t="array" aca="1" ref="O589">MAX(L589:N589*(1-strike(L589:N589)))</f>
        <v>#NAME?</v>
      </c>
      <c r="P589" s="3">
        <v>290</v>
      </c>
      <c r="Q589" s="3">
        <v>307.5</v>
      </c>
      <c r="R589" s="3">
        <v>315</v>
      </c>
      <c r="S589" s="4" t="e">
        <f t="array" aca="1" ref="S589">MAX(P589:R589*(1-strike(P589:R589)))</f>
        <v>#NAME?</v>
      </c>
      <c r="T589" s="4" t="e">
        <f t="shared" si="9"/>
        <v>#NAME?</v>
      </c>
      <c r="U589" s="3">
        <v>852.5</v>
      </c>
      <c r="V589" s="3">
        <v>491.04</v>
      </c>
      <c r="W589" s="3">
        <v>1</v>
      </c>
      <c r="X589" s="5">
        <v>2013</v>
      </c>
      <c r="Y589" s="5" t="s">
        <v>29</v>
      </c>
      <c r="Z589" s="5" t="s">
        <v>171</v>
      </c>
      <c r="AA589" s="5">
        <v>906</v>
      </c>
    </row>
    <row r="590" spans="1:27">
      <c r="A590" s="3">
        <v>9</v>
      </c>
      <c r="B590" s="3" t="s">
        <v>566</v>
      </c>
      <c r="C590" s="3">
        <v>1983</v>
      </c>
      <c r="D590" s="3" t="s">
        <v>318</v>
      </c>
      <c r="E590" s="3">
        <v>73.88</v>
      </c>
      <c r="F590" s="3">
        <v>0.72009999999999996</v>
      </c>
      <c r="G590" s="3">
        <v>10</v>
      </c>
      <c r="H590" s="3">
        <v>257.5</v>
      </c>
      <c r="I590" s="3">
        <v>267.5</v>
      </c>
      <c r="J590" s="3">
        <v>272.5</v>
      </c>
      <c r="K590" s="4" t="e">
        <f t="array" aca="1" ref="K590">MAX(H590:J590*(1-strike(H590:J590)))</f>
        <v>#NAME?</v>
      </c>
      <c r="L590" s="3">
        <v>170</v>
      </c>
      <c r="M590" s="1">
        <v>177.5</v>
      </c>
      <c r="N590" s="3">
        <v>177.5</v>
      </c>
      <c r="O590" s="4" t="e">
        <f t="array" aca="1" ref="O590">MAX(L590:N590*(1-strike(L590:N590)))</f>
        <v>#NAME?</v>
      </c>
      <c r="P590" s="3">
        <v>262.5</v>
      </c>
      <c r="Q590" s="3">
        <v>272.5</v>
      </c>
      <c r="R590" s="3">
        <v>277.5</v>
      </c>
      <c r="S590" s="4" t="e">
        <f t="array" aca="1" ref="S590">MAX(P590:R590*(1-strike(P590:R590)))</f>
        <v>#NAME?</v>
      </c>
      <c r="T590" s="4" t="e">
        <f t="shared" si="9"/>
        <v>#NAME?</v>
      </c>
      <c r="U590" s="3">
        <v>727.5</v>
      </c>
      <c r="V590" s="3">
        <v>523.87</v>
      </c>
      <c r="W590" s="3">
        <v>2</v>
      </c>
      <c r="X590" s="5">
        <v>2013</v>
      </c>
      <c r="Y590" s="5" t="s">
        <v>29</v>
      </c>
      <c r="Z590" s="5" t="s">
        <v>171</v>
      </c>
      <c r="AA590" s="5">
        <v>844</v>
      </c>
    </row>
    <row r="591" spans="1:27">
      <c r="A591" s="4">
        <v>12</v>
      </c>
      <c r="B591" s="4" t="s">
        <v>566</v>
      </c>
      <c r="C591" s="4">
        <v>1983</v>
      </c>
      <c r="D591" s="4" t="s">
        <v>318</v>
      </c>
      <c r="E591" s="4">
        <v>73.88</v>
      </c>
      <c r="F591" s="4">
        <v>0.72009999999999996</v>
      </c>
      <c r="G591" s="4">
        <v>10</v>
      </c>
      <c r="H591" s="4">
        <v>260</v>
      </c>
      <c r="I591" s="4">
        <v>270</v>
      </c>
      <c r="J591" s="6">
        <v>275</v>
      </c>
      <c r="K591" s="4" t="e">
        <f t="array" aca="1" ref="K591">MAX(H591:J591*(1-strike(H591:J591)))</f>
        <v>#NAME?</v>
      </c>
      <c r="L591" s="6">
        <v>172.5</v>
      </c>
      <c r="M591" s="6">
        <v>172.5</v>
      </c>
      <c r="N591" s="4">
        <v>172.5</v>
      </c>
      <c r="O591" s="4" t="e">
        <f t="array" aca="1" ref="O591">MAX(L591:N591*(1-strike(L591:N591)))</f>
        <v>#NAME?</v>
      </c>
      <c r="P591" s="4">
        <v>270</v>
      </c>
      <c r="Q591" s="4">
        <v>275</v>
      </c>
      <c r="R591" s="6">
        <v>280</v>
      </c>
      <c r="S591" s="4" t="e">
        <f t="array" aca="1" ref="S591">MAX(P591:R591*(1-strike(P591:R591)))</f>
        <v>#NAME?</v>
      </c>
      <c r="T591" s="4" t="e">
        <f t="shared" si="9"/>
        <v>#NAME?</v>
      </c>
      <c r="U591" s="4">
        <v>717.5</v>
      </c>
      <c r="V591" s="4">
        <v>516.66999999999996</v>
      </c>
      <c r="W591" s="4">
        <v>1</v>
      </c>
      <c r="X591" s="5">
        <v>2015</v>
      </c>
      <c r="Y591" s="5" t="s">
        <v>29</v>
      </c>
      <c r="Z591" s="5" t="s">
        <v>171</v>
      </c>
      <c r="AA591" s="5">
        <v>34</v>
      </c>
    </row>
    <row r="592" spans="1:27">
      <c r="A592" s="3">
        <v>15</v>
      </c>
      <c r="B592" s="3" t="s">
        <v>567</v>
      </c>
      <c r="C592" s="3">
        <v>1984</v>
      </c>
      <c r="D592" s="3" t="s">
        <v>62</v>
      </c>
      <c r="E592" s="3">
        <v>66.52</v>
      </c>
      <c r="F592" s="3">
        <v>0.7802</v>
      </c>
      <c r="G592" s="3">
        <v>8</v>
      </c>
      <c r="H592" s="3">
        <v>215</v>
      </c>
      <c r="I592" s="3">
        <v>222.5</v>
      </c>
      <c r="J592" s="3">
        <v>235</v>
      </c>
      <c r="K592" s="4" t="e">
        <f t="array" aca="1" ref="K592">MAX(H592:J592*(1-strike(H592:J592)))</f>
        <v>#NAME?</v>
      </c>
      <c r="L592" s="3">
        <v>120</v>
      </c>
      <c r="M592" s="3">
        <v>125</v>
      </c>
      <c r="N592" s="3">
        <v>132.5</v>
      </c>
      <c r="O592" s="4" t="e">
        <f t="array" aca="1" ref="O592">MAX(L592:N592*(1-strike(L592:N592)))</f>
        <v>#NAME?</v>
      </c>
      <c r="P592" s="3">
        <v>230</v>
      </c>
      <c r="Q592" s="1">
        <v>237.5</v>
      </c>
      <c r="R592" s="1">
        <v>242.5</v>
      </c>
      <c r="S592" s="4" t="e">
        <f t="array" aca="1" ref="S592">MAX(P592:R592*(1-strike(P592:R592)))</f>
        <v>#NAME?</v>
      </c>
      <c r="T592" s="4" t="e">
        <f t="shared" si="9"/>
        <v>#NAME?</v>
      </c>
      <c r="U592" s="3">
        <v>597.5</v>
      </c>
      <c r="V592" s="3">
        <v>466.17</v>
      </c>
      <c r="W592" s="3">
        <v>1</v>
      </c>
      <c r="X592" s="5">
        <v>2013</v>
      </c>
      <c r="Y592" s="5" t="s">
        <v>29</v>
      </c>
      <c r="Z592" s="5" t="s">
        <v>171</v>
      </c>
      <c r="AA592" s="5">
        <v>850</v>
      </c>
    </row>
    <row r="593" spans="1:27">
      <c r="A593" s="4">
        <v>8</v>
      </c>
      <c r="B593" s="4" t="s">
        <v>567</v>
      </c>
      <c r="C593" s="4">
        <v>1984</v>
      </c>
      <c r="D593" s="4" t="s">
        <v>62</v>
      </c>
      <c r="E593" s="4">
        <v>64.89</v>
      </c>
      <c r="F593" s="4">
        <v>0.79630000000000001</v>
      </c>
      <c r="G593" s="4">
        <v>13</v>
      </c>
      <c r="H593" s="4">
        <v>225</v>
      </c>
      <c r="I593" s="4">
        <v>235</v>
      </c>
      <c r="J593" s="4">
        <v>242.5</v>
      </c>
      <c r="K593" s="4" t="e">
        <f t="array" aca="1" ref="K593">MAX(H593:J593*(1-strike(H593:J593)))</f>
        <v>#NAME?</v>
      </c>
      <c r="L593" s="6">
        <v>135</v>
      </c>
      <c r="M593" s="4">
        <v>135</v>
      </c>
      <c r="N593" s="4">
        <v>140</v>
      </c>
      <c r="O593" s="4" t="e">
        <f t="array" aca="1" ref="O593">MAX(L593:N593*(1-strike(L593:N593)))</f>
        <v>#NAME?</v>
      </c>
      <c r="P593" s="4">
        <v>230</v>
      </c>
      <c r="Q593" s="4">
        <v>250</v>
      </c>
      <c r="R593" s="6">
        <v>255</v>
      </c>
      <c r="S593" s="4" t="e">
        <f t="array" aca="1" ref="S593">MAX(P593:R593*(1-strike(P593:R593)))</f>
        <v>#NAME?</v>
      </c>
      <c r="T593" s="4" t="e">
        <f t="shared" si="9"/>
        <v>#NAME?</v>
      </c>
      <c r="U593" s="4">
        <v>632.5</v>
      </c>
      <c r="V593" s="4">
        <v>503.66</v>
      </c>
      <c r="W593" s="4">
        <v>3</v>
      </c>
      <c r="X593" s="5">
        <v>2015</v>
      </c>
      <c r="Y593" s="5" t="s">
        <v>29</v>
      </c>
      <c r="Z593" s="5" t="s">
        <v>171</v>
      </c>
      <c r="AA593" s="5">
        <v>19</v>
      </c>
    </row>
    <row r="594" spans="1:27" ht="15" customHeight="1">
      <c r="A594" s="4" t="s">
        <v>37</v>
      </c>
      <c r="B594" s="4" t="s">
        <v>568</v>
      </c>
      <c r="C594" s="4">
        <v>1987</v>
      </c>
      <c r="D594" s="4" t="s">
        <v>80</v>
      </c>
      <c r="E594" s="4">
        <v>104.48</v>
      </c>
      <c r="F594" s="4">
        <v>0.59860000000000002</v>
      </c>
      <c r="G594" s="4">
        <v>7</v>
      </c>
      <c r="H594" s="6">
        <v>320</v>
      </c>
      <c r="I594" s="6">
        <v>320</v>
      </c>
      <c r="J594" s="6">
        <v>320</v>
      </c>
      <c r="K594" s="4" t="e">
        <f t="array" aca="1" ref="K594">MAX(H594:J594*(1-strike(H594:J594)))</f>
        <v>#NAME?</v>
      </c>
      <c r="L594" s="4">
        <v>200</v>
      </c>
      <c r="M594" s="4">
        <v>210</v>
      </c>
      <c r="N594" s="6">
        <v>217.5</v>
      </c>
      <c r="O594" s="4" t="e">
        <f t="array" aca="1" ref="O594">MAX(L594:N594*(1-strike(L594:N594)))</f>
        <v>#NAME?</v>
      </c>
      <c r="P594" s="4">
        <v>300</v>
      </c>
      <c r="Q594" s="4">
        <v>310</v>
      </c>
      <c r="R594" s="6">
        <v>320</v>
      </c>
      <c r="S594" s="4" t="e">
        <f t="array" aca="1" ref="S594">MAX(P594:R594*(1-strike(P594:R594)))</f>
        <v>#NAME?</v>
      </c>
      <c r="T594" s="4" t="e">
        <f t="shared" si="9"/>
        <v>#NAME?</v>
      </c>
      <c r="U594" s="4" t="s">
        <v>187</v>
      </c>
      <c r="V594" s="4" t="s">
        <v>37</v>
      </c>
      <c r="W594" s="4" t="s">
        <v>37</v>
      </c>
      <c r="X594" s="5">
        <v>2014</v>
      </c>
      <c r="Y594" s="5" t="s">
        <v>29</v>
      </c>
      <c r="Z594" s="5" t="s">
        <v>171</v>
      </c>
      <c r="AA594" s="5">
        <v>531</v>
      </c>
    </row>
    <row r="595" spans="1:27">
      <c r="A595" s="3">
        <v>7</v>
      </c>
      <c r="B595" s="3" t="s">
        <v>569</v>
      </c>
      <c r="C595" s="3">
        <v>1987</v>
      </c>
      <c r="D595" s="3" t="s">
        <v>39</v>
      </c>
      <c r="E595" s="3">
        <v>73.25</v>
      </c>
      <c r="F595" s="3">
        <v>0.72460000000000002</v>
      </c>
      <c r="G595" s="3">
        <v>22</v>
      </c>
      <c r="H595" s="3">
        <v>230</v>
      </c>
      <c r="I595" s="3">
        <v>240</v>
      </c>
      <c r="J595" s="3">
        <v>245</v>
      </c>
      <c r="K595" s="4" t="e">
        <f t="array" aca="1" ref="K595">MAX(H595:J595*(1-strike(H595:J595)))</f>
        <v>#NAME?</v>
      </c>
      <c r="L595" s="3">
        <v>155</v>
      </c>
      <c r="M595" s="3">
        <v>162.5</v>
      </c>
      <c r="N595" s="3">
        <v>165</v>
      </c>
      <c r="O595" s="4" t="e">
        <f t="array" aca="1" ref="O595">MAX(L595:N595*(1-strike(L595:N595)))</f>
        <v>#NAME?</v>
      </c>
      <c r="P595" s="1">
        <v>230</v>
      </c>
      <c r="Q595" s="3">
        <v>230</v>
      </c>
      <c r="R595" s="1">
        <v>245</v>
      </c>
      <c r="S595" s="4" t="e">
        <f t="array" aca="1" ref="S595">MAX(P595:R595*(1-strike(P595:R595)))</f>
        <v>#NAME?</v>
      </c>
      <c r="T595" s="4" t="e">
        <f t="shared" si="9"/>
        <v>#NAME?</v>
      </c>
      <c r="U595" s="3">
        <v>640</v>
      </c>
      <c r="V595" s="3">
        <v>463.71</v>
      </c>
      <c r="W595" s="3">
        <v>4</v>
      </c>
      <c r="X595" s="5">
        <v>2013</v>
      </c>
      <c r="Y595" s="5" t="s">
        <v>29</v>
      </c>
      <c r="Z595" s="5" t="s">
        <v>30</v>
      </c>
      <c r="AA595" s="5">
        <v>1037</v>
      </c>
    </row>
    <row r="596" spans="1:27">
      <c r="A596" s="4">
        <v>10</v>
      </c>
      <c r="B596" s="4" t="s">
        <v>569</v>
      </c>
      <c r="C596" s="4">
        <v>1987</v>
      </c>
      <c r="D596" s="4" t="s">
        <v>39</v>
      </c>
      <c r="E596" s="4">
        <v>73.88</v>
      </c>
      <c r="F596" s="4">
        <v>0.72009999999999996</v>
      </c>
      <c r="G596" s="4">
        <v>4</v>
      </c>
      <c r="H596" s="4">
        <v>235</v>
      </c>
      <c r="I596" s="4">
        <v>245</v>
      </c>
      <c r="J596" s="4">
        <v>252.5</v>
      </c>
      <c r="K596" s="4" t="e">
        <f t="array" aca="1" ref="K596">MAX(H596:J596*(1-strike(H596:J596)))</f>
        <v>#NAME?</v>
      </c>
      <c r="L596" s="4">
        <v>145</v>
      </c>
      <c r="M596" s="4">
        <v>152.5</v>
      </c>
      <c r="N596" s="4">
        <v>160</v>
      </c>
      <c r="O596" s="4" t="e">
        <f t="array" aca="1" ref="O596">MAX(L596:N596*(1-strike(L596:N596)))</f>
        <v>#NAME?</v>
      </c>
      <c r="P596" s="4">
        <v>240</v>
      </c>
      <c r="Q596" s="6">
        <v>245</v>
      </c>
      <c r="R596" s="6">
        <v>245</v>
      </c>
      <c r="S596" s="4" t="e">
        <f t="array" aca="1" ref="S596">MAX(P596:R596*(1-strike(P596:R596)))</f>
        <v>#NAME?</v>
      </c>
      <c r="T596" s="4" t="e">
        <f t="shared" si="9"/>
        <v>#NAME?</v>
      </c>
      <c r="U596" s="4">
        <v>652.5</v>
      </c>
      <c r="V596" s="4">
        <v>469.87</v>
      </c>
      <c r="W596" s="4">
        <v>1</v>
      </c>
      <c r="X596" s="5">
        <v>2015</v>
      </c>
      <c r="Y596" s="5" t="s">
        <v>29</v>
      </c>
      <c r="Z596" s="5" t="s">
        <v>30</v>
      </c>
      <c r="AA596" s="5">
        <v>247</v>
      </c>
    </row>
    <row r="597" spans="1:27">
      <c r="A597" s="3">
        <v>3</v>
      </c>
      <c r="B597" s="3" t="s">
        <v>570</v>
      </c>
      <c r="C597" s="3">
        <v>1984</v>
      </c>
      <c r="D597" s="3" t="s">
        <v>119</v>
      </c>
      <c r="E597" s="3">
        <v>118.92</v>
      </c>
      <c r="F597" s="3">
        <v>0.57620000000000005</v>
      </c>
      <c r="G597" s="3">
        <v>28</v>
      </c>
      <c r="H597" s="3">
        <v>380</v>
      </c>
      <c r="I597" s="3">
        <v>395</v>
      </c>
      <c r="J597" s="3">
        <v>405</v>
      </c>
      <c r="K597" s="4" t="e">
        <f t="array" aca="1" ref="K597">MAX(H597:J597*(1-strike(H597:J597)))</f>
        <v>#NAME?</v>
      </c>
      <c r="L597" s="3">
        <v>280</v>
      </c>
      <c r="M597" s="3">
        <v>287.5</v>
      </c>
      <c r="N597" s="3">
        <v>295</v>
      </c>
      <c r="O597" s="4" t="e">
        <f t="array" aca="1" ref="O597">MAX(L597:N597*(1-strike(L597:N597)))</f>
        <v>#NAME?</v>
      </c>
      <c r="P597" s="3">
        <v>320</v>
      </c>
      <c r="Q597" s="3">
        <v>332.5</v>
      </c>
      <c r="R597" s="1">
        <v>352.5</v>
      </c>
      <c r="S597" s="4" t="e">
        <f t="array" aca="1" ref="S597">MAX(P597:R597*(1-strike(P597:R597)))</f>
        <v>#NAME?</v>
      </c>
      <c r="T597" s="4" t="e">
        <f t="shared" si="9"/>
        <v>#NAME?</v>
      </c>
      <c r="U597" s="3">
        <v>1032.5</v>
      </c>
      <c r="V597" s="3">
        <v>594.9</v>
      </c>
      <c r="W597" s="3">
        <v>8</v>
      </c>
      <c r="X597" s="5">
        <v>2012</v>
      </c>
      <c r="Y597" s="5" t="s">
        <v>29</v>
      </c>
      <c r="Z597" s="5" t="s">
        <v>171</v>
      </c>
      <c r="AA597" s="5">
        <v>1301</v>
      </c>
    </row>
    <row r="598" spans="1:27">
      <c r="A598" s="4">
        <v>9</v>
      </c>
      <c r="B598" s="4" t="s">
        <v>571</v>
      </c>
      <c r="C598" s="4">
        <v>1975</v>
      </c>
      <c r="D598" s="4" t="s">
        <v>109</v>
      </c>
      <c r="E598" s="4">
        <v>119.38</v>
      </c>
      <c r="F598" s="4">
        <v>0.5756</v>
      </c>
      <c r="G598" s="4">
        <v>6</v>
      </c>
      <c r="H598" s="4">
        <v>315</v>
      </c>
      <c r="I598" s="4">
        <v>330</v>
      </c>
      <c r="J598" s="6">
        <v>340</v>
      </c>
      <c r="K598" s="4" t="e">
        <f t="array" aca="1" ref="K598">MAX(H598:J598*(1-strike(H598:J598)))</f>
        <v>#NAME?</v>
      </c>
      <c r="L598" s="4">
        <v>275</v>
      </c>
      <c r="M598" s="4">
        <v>287.5</v>
      </c>
      <c r="N598" s="4">
        <v>300</v>
      </c>
      <c r="O598" s="4" t="e">
        <f t="array" aca="1" ref="O598">MAX(L598:N598*(1-strike(L598:N598)))</f>
        <v>#NAME?</v>
      </c>
      <c r="P598" s="4">
        <v>270</v>
      </c>
      <c r="Q598" s="4">
        <v>285</v>
      </c>
      <c r="R598" s="6">
        <v>290</v>
      </c>
      <c r="S598" s="4" t="e">
        <f t="array" aca="1" ref="S598">MAX(P598:R598*(1-strike(P598:R598)))</f>
        <v>#NAME?</v>
      </c>
      <c r="T598" s="4" t="e">
        <f t="shared" si="9"/>
        <v>#NAME?</v>
      </c>
      <c r="U598" s="4">
        <v>915</v>
      </c>
      <c r="V598" s="4">
        <v>526.66999999999996</v>
      </c>
      <c r="W598" s="4">
        <v>2</v>
      </c>
      <c r="X598" s="5">
        <v>2015</v>
      </c>
      <c r="Y598" s="5" t="s">
        <v>29</v>
      </c>
      <c r="Z598" s="5" t="s">
        <v>171</v>
      </c>
      <c r="AA598" s="5">
        <v>104</v>
      </c>
    </row>
    <row r="599" spans="1:27">
      <c r="A599" s="3">
        <v>10</v>
      </c>
      <c r="B599" s="3" t="s">
        <v>572</v>
      </c>
      <c r="C599" s="3">
        <v>1968</v>
      </c>
      <c r="D599" s="3" t="s">
        <v>359</v>
      </c>
      <c r="E599" s="3">
        <v>84.5</v>
      </c>
      <c r="F599" s="3">
        <v>0.66059999999999997</v>
      </c>
      <c r="G599" s="3">
        <v>2</v>
      </c>
      <c r="H599" s="3">
        <v>180</v>
      </c>
      <c r="I599" s="3"/>
      <c r="J599" s="3"/>
      <c r="K599" s="4" t="e">
        <f t="array" aca="1" ref="K599">MAX(H599:J599*(1-strike(H599:J599)))</f>
        <v>#NAME?</v>
      </c>
      <c r="L599" s="3">
        <v>125</v>
      </c>
      <c r="M599" s="3"/>
      <c r="N599" s="3"/>
      <c r="O599" s="4" t="e">
        <f t="array" aca="1" ref="O599">MAX(L599:N599*(1-strike(L599:N599)))</f>
        <v>#NAME?</v>
      </c>
      <c r="P599" s="3">
        <v>275</v>
      </c>
      <c r="Q599" s="1">
        <v>290</v>
      </c>
      <c r="R599" s="3"/>
      <c r="S599" s="4" t="e">
        <f t="array" aca="1" ref="S599">MAX(P599:R599*(1-strike(P599:R599)))</f>
        <v>#NAME?</v>
      </c>
      <c r="T599" s="4" t="e">
        <f t="shared" si="9"/>
        <v>#NAME?</v>
      </c>
      <c r="U599" s="3">
        <v>580</v>
      </c>
      <c r="V599" s="3">
        <v>383.15</v>
      </c>
      <c r="W599" s="3">
        <v>1</v>
      </c>
      <c r="X599" s="5">
        <v>2013</v>
      </c>
      <c r="Y599" s="5" t="s">
        <v>29</v>
      </c>
      <c r="Z599" s="5" t="s">
        <v>30</v>
      </c>
      <c r="AA599" s="5">
        <v>1065</v>
      </c>
    </row>
    <row r="600" spans="1:27">
      <c r="A600" s="3">
        <v>16</v>
      </c>
      <c r="B600" s="3" t="s">
        <v>572</v>
      </c>
      <c r="C600" s="3">
        <v>1968</v>
      </c>
      <c r="D600" s="3" t="s">
        <v>359</v>
      </c>
      <c r="E600" s="3">
        <v>87.4</v>
      </c>
      <c r="F600" s="3">
        <v>0.64829999999999999</v>
      </c>
      <c r="G600" s="3">
        <v>1</v>
      </c>
      <c r="H600" s="3">
        <v>215</v>
      </c>
      <c r="I600" s="3">
        <v>240</v>
      </c>
      <c r="J600" s="3">
        <v>265</v>
      </c>
      <c r="K600" s="4" t="e">
        <f t="array" aca="1" ref="K600">MAX(H600:J600*(1-strike(H600:J600)))</f>
        <v>#NAME?</v>
      </c>
      <c r="L600" s="3">
        <v>170</v>
      </c>
      <c r="M600" s="3">
        <v>182.5</v>
      </c>
      <c r="N600" s="1">
        <v>185</v>
      </c>
      <c r="O600" s="4" t="e">
        <f t="array" aca="1" ref="O600">MAX(L600:N600*(1-strike(L600:N600)))</f>
        <v>#NAME?</v>
      </c>
      <c r="P600" s="3">
        <v>245</v>
      </c>
      <c r="Q600" s="3">
        <v>275</v>
      </c>
      <c r="R600" s="3">
        <v>290</v>
      </c>
      <c r="S600" s="4" t="e">
        <f t="array" aca="1" ref="S600">MAX(P600:R600*(1-strike(P600:R600)))</f>
        <v>#NAME?</v>
      </c>
      <c r="T600" s="4" t="e">
        <f t="shared" si="9"/>
        <v>#NAME?</v>
      </c>
      <c r="U600" s="3">
        <v>737.5</v>
      </c>
      <c r="V600" s="3">
        <v>478.12</v>
      </c>
      <c r="W600" s="3">
        <v>1</v>
      </c>
      <c r="X600" s="5">
        <v>2013</v>
      </c>
      <c r="Y600" s="5" t="s">
        <v>29</v>
      </c>
      <c r="Z600" s="5" t="s">
        <v>171</v>
      </c>
      <c r="AA600" s="5">
        <v>878</v>
      </c>
    </row>
    <row r="601" spans="1:27">
      <c r="A601" s="3">
        <v>10</v>
      </c>
      <c r="B601" s="3" t="s">
        <v>573</v>
      </c>
      <c r="C601" s="3">
        <v>1985</v>
      </c>
      <c r="D601" s="3" t="s">
        <v>380</v>
      </c>
      <c r="E601" s="3">
        <v>101.36</v>
      </c>
      <c r="F601" s="3">
        <v>0.60540000000000005</v>
      </c>
      <c r="G601" s="3">
        <v>3</v>
      </c>
      <c r="H601" s="3">
        <v>310</v>
      </c>
      <c r="I601" s="3">
        <v>320</v>
      </c>
      <c r="J601" s="1">
        <v>322.5</v>
      </c>
      <c r="K601" s="4" t="e">
        <f t="array" aca="1" ref="K601">MAX(H601:J601*(1-strike(H601:J601)))</f>
        <v>#NAME?</v>
      </c>
      <c r="L601" s="3">
        <v>250</v>
      </c>
      <c r="M601" s="1">
        <v>262.5</v>
      </c>
      <c r="N601" s="1">
        <v>272.5</v>
      </c>
      <c r="O601" s="4" t="e">
        <f t="array" aca="1" ref="O601">MAX(L601:N601*(1-strike(L601:N601)))</f>
        <v>#NAME?</v>
      </c>
      <c r="P601" s="3">
        <v>240</v>
      </c>
      <c r="Q601" s="3">
        <v>255</v>
      </c>
      <c r="R601" s="1">
        <v>270</v>
      </c>
      <c r="S601" s="4" t="e">
        <f t="array" aca="1" ref="S601">MAX(P601:R601*(1-strike(P601:R601)))</f>
        <v>#NAME?</v>
      </c>
      <c r="T601" s="4" t="e">
        <f t="shared" si="9"/>
        <v>#NAME?</v>
      </c>
      <c r="U601" s="3">
        <v>825</v>
      </c>
      <c r="V601" s="3">
        <v>499.46</v>
      </c>
      <c r="W601" s="3">
        <v>1</v>
      </c>
      <c r="X601" s="5">
        <v>2013</v>
      </c>
      <c r="Y601" s="5" t="s">
        <v>29</v>
      </c>
      <c r="Z601" s="5" t="s">
        <v>171</v>
      </c>
      <c r="AA601" s="5">
        <v>891</v>
      </c>
    </row>
    <row r="602" spans="1:27">
      <c r="A602" s="4" t="s">
        <v>37</v>
      </c>
      <c r="B602" s="4" t="s">
        <v>573</v>
      </c>
      <c r="C602" s="4">
        <v>1985</v>
      </c>
      <c r="D602" s="4" t="s">
        <v>380</v>
      </c>
      <c r="E602" s="4">
        <v>97.41</v>
      </c>
      <c r="F602" s="4">
        <v>0.61519999999999997</v>
      </c>
      <c r="G602" s="4">
        <v>23</v>
      </c>
      <c r="H602" s="4">
        <v>200</v>
      </c>
      <c r="I602" s="4"/>
      <c r="J602" s="4"/>
      <c r="K602" s="4" t="e">
        <f t="array" aca="1" ref="K602">MAX(H602:J602*(1-strike(H602:J602)))</f>
        <v>#NAME?</v>
      </c>
      <c r="L602" s="6">
        <v>280</v>
      </c>
      <c r="M602" s="6">
        <v>280</v>
      </c>
      <c r="N602" s="6">
        <v>290</v>
      </c>
      <c r="O602" s="4" t="e">
        <f t="array" aca="1" ref="O602">MAX(L602:N602*(1-strike(L602:N602)))</f>
        <v>#NAME?</v>
      </c>
      <c r="P602" s="4"/>
      <c r="Q602" s="4"/>
      <c r="R602" s="4"/>
      <c r="S602" s="4" t="e">
        <f t="array" aca="1" ref="S602">MAX(P602:R602*(1-strike(P602:R602)))</f>
        <v>#NAME?</v>
      </c>
      <c r="T602" s="4" t="e">
        <f t="shared" si="9"/>
        <v>#NAME?</v>
      </c>
      <c r="U602" s="4" t="s">
        <v>187</v>
      </c>
      <c r="V602" s="4" t="s">
        <v>37</v>
      </c>
      <c r="W602" s="4" t="s">
        <v>37</v>
      </c>
      <c r="X602" s="5">
        <v>2015</v>
      </c>
      <c r="Y602" s="5" t="s">
        <v>29</v>
      </c>
      <c r="Z602" s="5" t="s">
        <v>171</v>
      </c>
      <c r="AA602" s="5">
        <v>93</v>
      </c>
    </row>
    <row r="603" spans="1:27">
      <c r="A603" s="3" t="s">
        <v>37</v>
      </c>
      <c r="B603" s="3" t="s">
        <v>574</v>
      </c>
      <c r="C603" s="3">
        <v>1985</v>
      </c>
      <c r="D603" s="3" t="s">
        <v>39</v>
      </c>
      <c r="E603" s="3">
        <v>133.94999999999999</v>
      </c>
      <c r="F603" s="3">
        <v>0.56269999999999998</v>
      </c>
      <c r="G603" s="3">
        <v>20</v>
      </c>
      <c r="H603" s="3">
        <v>315</v>
      </c>
      <c r="I603" s="3">
        <v>325</v>
      </c>
      <c r="J603" s="1">
        <v>335</v>
      </c>
      <c r="K603" s="4" t="e">
        <f t="array" aca="1" ref="K603">MAX(H603:J603*(1-strike(H603:J603)))</f>
        <v>#NAME?</v>
      </c>
      <c r="L603" s="3">
        <v>200</v>
      </c>
      <c r="M603" s="3">
        <v>210</v>
      </c>
      <c r="N603" s="3">
        <v>215</v>
      </c>
      <c r="O603" s="4" t="e">
        <f t="array" aca="1" ref="O603">MAX(L603:N603*(1-strike(L603:N603)))</f>
        <v>#NAME?</v>
      </c>
      <c r="P603" s="1">
        <v>355</v>
      </c>
      <c r="Q603" s="3">
        <v>355</v>
      </c>
      <c r="R603" s="1">
        <v>370</v>
      </c>
      <c r="S603" s="4" t="e">
        <f t="array" aca="1" ref="S603">MAX(P603:R603*(1-strike(P603:R603)))</f>
        <v>#NAME?</v>
      </c>
      <c r="T603" s="4" t="e">
        <f t="shared" si="9"/>
        <v>#NAME?</v>
      </c>
      <c r="U603" s="3" t="s">
        <v>361</v>
      </c>
      <c r="V603" s="3" t="s">
        <v>37</v>
      </c>
      <c r="W603" s="3" t="s">
        <v>37</v>
      </c>
      <c r="X603" s="5">
        <v>2013</v>
      </c>
      <c r="Y603" s="5" t="s">
        <v>29</v>
      </c>
      <c r="Z603" s="5" t="s">
        <v>30</v>
      </c>
      <c r="AA603" s="5">
        <v>1118</v>
      </c>
    </row>
    <row r="604" spans="1:27" ht="15" customHeight="1">
      <c r="A604" s="4">
        <v>7</v>
      </c>
      <c r="B604" s="4" t="s">
        <v>575</v>
      </c>
      <c r="C604" s="4">
        <v>1983</v>
      </c>
      <c r="D604" s="4" t="s">
        <v>576</v>
      </c>
      <c r="E604" s="4">
        <v>73.22</v>
      </c>
      <c r="F604" s="4">
        <v>0.7248</v>
      </c>
      <c r="G604" s="4">
        <v>1</v>
      </c>
      <c r="H604" s="4">
        <v>225</v>
      </c>
      <c r="I604" s="4">
        <v>237.5</v>
      </c>
      <c r="J604" s="4">
        <v>242.5</v>
      </c>
      <c r="K604" s="4" t="e">
        <f t="array" aca="1" ref="K604">MAX(H604:J604*(1-strike(H604:J604)))</f>
        <v>#NAME?</v>
      </c>
      <c r="L604" s="4">
        <v>135</v>
      </c>
      <c r="M604" s="6">
        <v>140</v>
      </c>
      <c r="N604" s="6">
        <v>140</v>
      </c>
      <c r="O604" s="4" t="e">
        <f t="array" aca="1" ref="O604">MAX(L604:N604*(1-strike(L604:N604)))</f>
        <v>#NAME?</v>
      </c>
      <c r="P604" s="4">
        <v>275</v>
      </c>
      <c r="Q604" s="4">
        <v>295</v>
      </c>
      <c r="R604" s="6">
        <v>302.5</v>
      </c>
      <c r="S604" s="4" t="e">
        <f t="array" aca="1" ref="S604">MAX(P604:R604*(1-strike(P604:R604)))</f>
        <v>#NAME?</v>
      </c>
      <c r="T604" s="4" t="e">
        <f t="shared" si="9"/>
        <v>#NAME?</v>
      </c>
      <c r="U604" s="4">
        <v>672.5</v>
      </c>
      <c r="V604" s="4">
        <v>487.43</v>
      </c>
      <c r="W604" s="4">
        <v>4</v>
      </c>
      <c r="X604" s="5">
        <v>2015</v>
      </c>
      <c r="Y604" s="5" t="s">
        <v>29</v>
      </c>
      <c r="Z604" s="5" t="s">
        <v>30</v>
      </c>
      <c r="AA604" s="5">
        <v>244</v>
      </c>
    </row>
    <row r="605" spans="1:27" ht="15" customHeight="1">
      <c r="A605" s="3">
        <v>4</v>
      </c>
      <c r="B605" s="3" t="s">
        <v>577</v>
      </c>
      <c r="C605" s="3">
        <v>1985</v>
      </c>
      <c r="D605" s="3" t="s">
        <v>578</v>
      </c>
      <c r="E605" s="3">
        <v>163.95</v>
      </c>
      <c r="F605" s="3">
        <v>0.54620000000000002</v>
      </c>
      <c r="G605" s="3">
        <v>24</v>
      </c>
      <c r="H605" s="3">
        <v>335</v>
      </c>
      <c r="I605" s="3">
        <v>345</v>
      </c>
      <c r="J605" s="1">
        <v>352.5</v>
      </c>
      <c r="K605" s="4" t="e">
        <f t="array" aca="1" ref="K605">MAX(H605:J605*(1-strike(H605:J605)))</f>
        <v>#NAME?</v>
      </c>
      <c r="L605" s="3">
        <v>195</v>
      </c>
      <c r="M605" s="3">
        <v>202.5</v>
      </c>
      <c r="N605" s="3">
        <v>207.5</v>
      </c>
      <c r="O605" s="4" t="e">
        <f t="array" aca="1" ref="O605">MAX(L605:N605*(1-strike(L605:N605)))</f>
        <v>#NAME?</v>
      </c>
      <c r="P605" s="3">
        <v>317.5</v>
      </c>
      <c r="Q605" s="3">
        <v>325</v>
      </c>
      <c r="R605" s="3">
        <v>332.5</v>
      </c>
      <c r="S605" s="4" t="e">
        <f t="array" aca="1" ref="S605">MAX(P605:R605*(1-strike(P605:R605)))</f>
        <v>#NAME?</v>
      </c>
      <c r="T605" s="4" t="e">
        <f t="shared" si="9"/>
        <v>#NAME?</v>
      </c>
      <c r="U605" s="3">
        <v>885</v>
      </c>
      <c r="V605" s="3">
        <v>483.39</v>
      </c>
      <c r="W605" s="3">
        <v>7</v>
      </c>
      <c r="X605" s="5">
        <v>2013</v>
      </c>
      <c r="Y605" s="5" t="s">
        <v>29</v>
      </c>
      <c r="Z605" s="5" t="s">
        <v>30</v>
      </c>
      <c r="AA605" s="5">
        <v>1112</v>
      </c>
    </row>
    <row r="606" spans="1:27" ht="15" customHeight="1">
      <c r="A606" s="4">
        <v>2</v>
      </c>
      <c r="B606" s="4" t="s">
        <v>577</v>
      </c>
      <c r="C606" s="4">
        <v>1985</v>
      </c>
      <c r="D606" s="4" t="s">
        <v>578</v>
      </c>
      <c r="E606" s="4">
        <v>160.85</v>
      </c>
      <c r="F606" s="4">
        <v>0.54779999999999995</v>
      </c>
      <c r="G606" s="4">
        <v>8</v>
      </c>
      <c r="H606" s="4">
        <v>325</v>
      </c>
      <c r="I606" s="4">
        <v>345</v>
      </c>
      <c r="J606" s="4">
        <v>357.5</v>
      </c>
      <c r="K606" s="4" t="e">
        <f t="array" aca="1" ref="K606">MAX(H606:J606*(1-strike(H606:J606)))</f>
        <v>#NAME?</v>
      </c>
      <c r="L606" s="4">
        <v>215</v>
      </c>
      <c r="M606" s="4">
        <v>220</v>
      </c>
      <c r="N606" s="6">
        <v>222.5</v>
      </c>
      <c r="O606" s="4" t="e">
        <f t="array" aca="1" ref="O606">MAX(L606:N606*(1-strike(L606:N606)))</f>
        <v>#NAME?</v>
      </c>
      <c r="P606" s="4">
        <v>320</v>
      </c>
      <c r="Q606" s="6">
        <v>337.5</v>
      </c>
      <c r="R606" s="4">
        <v>340</v>
      </c>
      <c r="S606" s="4" t="e">
        <f t="array" aca="1" ref="S606">MAX(P606:R606*(1-strike(P606:R606)))</f>
        <v>#NAME?</v>
      </c>
      <c r="T606" s="4" t="e">
        <f t="shared" si="9"/>
        <v>#NAME?</v>
      </c>
      <c r="U606" s="4">
        <v>917.5</v>
      </c>
      <c r="V606" s="4">
        <v>502.61</v>
      </c>
      <c r="W606" s="4">
        <v>9</v>
      </c>
      <c r="X606" s="5">
        <v>2014</v>
      </c>
      <c r="Y606" s="5" t="s">
        <v>29</v>
      </c>
      <c r="Z606" s="5" t="s">
        <v>30</v>
      </c>
      <c r="AA606" s="5">
        <v>736</v>
      </c>
    </row>
    <row r="607" spans="1:27">
      <c r="A607" s="4">
        <v>9</v>
      </c>
      <c r="B607" s="4" t="s">
        <v>579</v>
      </c>
      <c r="C607" s="4">
        <v>1979</v>
      </c>
      <c r="D607" s="4" t="s">
        <v>45</v>
      </c>
      <c r="E607" s="4">
        <v>92.65</v>
      </c>
      <c r="F607" s="4">
        <v>0.62929999999999997</v>
      </c>
      <c r="G607" s="4">
        <v>1</v>
      </c>
      <c r="H607" s="4">
        <v>320</v>
      </c>
      <c r="I607" s="6">
        <v>330</v>
      </c>
      <c r="J607" s="4">
        <v>330</v>
      </c>
      <c r="K607" s="4" t="e">
        <f t="array" aca="1" ref="K607">MAX(H607:J607*(1-strike(H607:J607)))</f>
        <v>#NAME?</v>
      </c>
      <c r="L607" s="4">
        <v>250</v>
      </c>
      <c r="M607" s="4">
        <v>255</v>
      </c>
      <c r="N607" s="6">
        <v>260</v>
      </c>
      <c r="O607" s="4" t="e">
        <f t="array" aca="1" ref="O607">MAX(L607:N607*(1-strike(L607:N607)))</f>
        <v>#NAME?</v>
      </c>
      <c r="P607" s="4">
        <v>280</v>
      </c>
      <c r="Q607" s="6">
        <v>292.5</v>
      </c>
      <c r="R607" s="6">
        <v>292.5</v>
      </c>
      <c r="S607" s="4" t="e">
        <f t="array" aca="1" ref="S607">MAX(P607:R607*(1-strike(P607:R607)))</f>
        <v>#NAME?</v>
      </c>
      <c r="T607" s="4" t="e">
        <f t="shared" si="9"/>
        <v>#NAME?</v>
      </c>
      <c r="U607" s="4">
        <v>865</v>
      </c>
      <c r="V607" s="4">
        <v>544.35</v>
      </c>
      <c r="W607" s="4">
        <v>2</v>
      </c>
      <c r="X607" s="5">
        <v>2015</v>
      </c>
      <c r="Y607" s="5" t="s">
        <v>29</v>
      </c>
      <c r="Z607" s="5" t="s">
        <v>171</v>
      </c>
      <c r="AA607" s="5">
        <v>63</v>
      </c>
    </row>
    <row r="608" spans="1:27">
      <c r="A608" s="4" t="s">
        <v>37</v>
      </c>
      <c r="B608" s="4" t="s">
        <v>580</v>
      </c>
      <c r="C608" s="4">
        <v>1975</v>
      </c>
      <c r="D608" s="4" t="s">
        <v>77</v>
      </c>
      <c r="E608" s="4">
        <v>82.42</v>
      </c>
      <c r="F608" s="4">
        <v>0.6704</v>
      </c>
      <c r="G608" s="4">
        <v>13</v>
      </c>
      <c r="H608" s="4">
        <v>295</v>
      </c>
      <c r="I608" s="6">
        <v>305</v>
      </c>
      <c r="J608" s="4">
        <v>305</v>
      </c>
      <c r="K608" s="4" t="e">
        <f t="array" aca="1" ref="K608">MAX(H608:J608*(1-strike(H608:J608)))</f>
        <v>#NAME?</v>
      </c>
      <c r="L608" s="6">
        <v>202.5</v>
      </c>
      <c r="M608" s="6">
        <v>202.5</v>
      </c>
      <c r="N608" s="6">
        <v>202.5</v>
      </c>
      <c r="O608" s="4" t="e">
        <f t="array" aca="1" ref="O608">MAX(L608:N608*(1-strike(L608:N608)))</f>
        <v>#NAME?</v>
      </c>
      <c r="P608" s="4">
        <v>270</v>
      </c>
      <c r="Q608" s="4">
        <v>280</v>
      </c>
      <c r="R608" s="4">
        <v>290</v>
      </c>
      <c r="S608" s="4" t="e">
        <f t="array" aca="1" ref="S608">MAX(P608:R608*(1-strike(P608:R608)))</f>
        <v>#NAME?</v>
      </c>
      <c r="T608" s="4" t="e">
        <f t="shared" si="9"/>
        <v>#NAME?</v>
      </c>
      <c r="U608" s="4" t="s">
        <v>187</v>
      </c>
      <c r="V608" s="4" t="s">
        <v>37</v>
      </c>
      <c r="W608" s="4" t="s">
        <v>37</v>
      </c>
      <c r="X608" s="5">
        <v>2014</v>
      </c>
      <c r="Y608" s="5" t="s">
        <v>29</v>
      </c>
      <c r="Z608" s="5" t="s">
        <v>171</v>
      </c>
      <c r="AA608" s="5">
        <v>488</v>
      </c>
    </row>
    <row r="609" spans="1:27">
      <c r="A609" s="4">
        <v>5</v>
      </c>
      <c r="B609" s="4" t="s">
        <v>580</v>
      </c>
      <c r="C609" s="4">
        <v>1975</v>
      </c>
      <c r="D609" s="4" t="s">
        <v>77</v>
      </c>
      <c r="E609" s="4">
        <v>82.2</v>
      </c>
      <c r="F609" s="4">
        <v>0.6714</v>
      </c>
      <c r="G609" s="4">
        <v>8</v>
      </c>
      <c r="H609" s="4">
        <v>302.5</v>
      </c>
      <c r="I609" s="4">
        <v>315</v>
      </c>
      <c r="J609" s="4">
        <v>322.5</v>
      </c>
      <c r="K609" s="4" t="e">
        <f t="array" aca="1" ref="K609">MAX(H609:J609*(1-strike(H609:J609)))</f>
        <v>#NAME?</v>
      </c>
      <c r="L609" s="4">
        <v>207.5</v>
      </c>
      <c r="M609" s="6">
        <v>217.5</v>
      </c>
      <c r="N609" s="6">
        <v>217.5</v>
      </c>
      <c r="O609" s="4" t="e">
        <f t="array" aca="1" ref="O609">MAX(L609:N609*(1-strike(L609:N609)))</f>
        <v>#NAME?</v>
      </c>
      <c r="P609" s="4">
        <v>280</v>
      </c>
      <c r="Q609" s="4">
        <v>290</v>
      </c>
      <c r="R609" s="6">
        <v>295</v>
      </c>
      <c r="S609" s="4" t="e">
        <f t="array" aca="1" ref="S609">MAX(P609:R609*(1-strike(P609:R609)))</f>
        <v>#NAME?</v>
      </c>
      <c r="T609" s="4" t="e">
        <f t="shared" si="9"/>
        <v>#NAME?</v>
      </c>
      <c r="U609" s="4">
        <v>820</v>
      </c>
      <c r="V609" s="4">
        <v>550.54999999999995</v>
      </c>
      <c r="W609" s="4">
        <v>6</v>
      </c>
      <c r="X609" s="5">
        <v>2015</v>
      </c>
      <c r="Y609" s="5" t="s">
        <v>29</v>
      </c>
      <c r="Z609" s="5" t="s">
        <v>171</v>
      </c>
      <c r="AA609" s="5">
        <v>45</v>
      </c>
    </row>
    <row r="610" spans="1:27">
      <c r="A610" s="4">
        <v>8</v>
      </c>
      <c r="B610" s="4" t="s">
        <v>581</v>
      </c>
      <c r="C610" s="4">
        <v>1979</v>
      </c>
      <c r="D610" s="4" t="s">
        <v>125</v>
      </c>
      <c r="E610" s="4">
        <v>160.80000000000001</v>
      </c>
      <c r="F610" s="4">
        <v>0.54779999999999995</v>
      </c>
      <c r="G610" s="4">
        <v>2</v>
      </c>
      <c r="H610" s="4">
        <v>345</v>
      </c>
      <c r="I610" s="4">
        <v>360</v>
      </c>
      <c r="J610" s="4">
        <v>370</v>
      </c>
      <c r="K610" s="4" t="e">
        <f t="array" aca="1" ref="K610">MAX(H610:J610*(1-strike(H610:J610)))</f>
        <v>#NAME?</v>
      </c>
      <c r="L610" s="4">
        <v>325</v>
      </c>
      <c r="M610" s="4">
        <v>340</v>
      </c>
      <c r="N610" s="4">
        <v>352.5</v>
      </c>
      <c r="O610" s="4" t="e">
        <f t="array" aca="1" ref="O610">MAX(L610:N610*(1-strike(L610:N610)))</f>
        <v>#NAME?</v>
      </c>
      <c r="P610" s="4">
        <v>280</v>
      </c>
      <c r="Q610" s="4">
        <v>290</v>
      </c>
      <c r="R610" s="6">
        <v>297.5</v>
      </c>
      <c r="S610" s="4" t="e">
        <f t="array" aca="1" ref="S610">MAX(P610:R610*(1-strike(P610:R610)))</f>
        <v>#NAME?</v>
      </c>
      <c r="T610" s="4" t="e">
        <f t="shared" si="9"/>
        <v>#NAME?</v>
      </c>
      <c r="U610" s="4">
        <v>1012.5</v>
      </c>
      <c r="V610" s="4">
        <v>554.65</v>
      </c>
      <c r="W610" s="4">
        <v>3</v>
      </c>
      <c r="X610" s="5">
        <v>2015</v>
      </c>
      <c r="Y610" s="5" t="s">
        <v>29</v>
      </c>
      <c r="Z610" s="5" t="s">
        <v>171</v>
      </c>
      <c r="AA610" s="5">
        <v>120</v>
      </c>
    </row>
    <row r="611" spans="1:27">
      <c r="A611" s="4">
        <v>16</v>
      </c>
      <c r="B611" s="4" t="s">
        <v>582</v>
      </c>
      <c r="C611" s="4">
        <v>1985</v>
      </c>
      <c r="D611" s="4" t="s">
        <v>365</v>
      </c>
      <c r="E611" s="4">
        <v>73.63</v>
      </c>
      <c r="F611" s="4">
        <v>0.72189999999999999</v>
      </c>
      <c r="G611" s="4">
        <v>8</v>
      </c>
      <c r="H611" s="6">
        <v>165</v>
      </c>
      <c r="I611" s="4">
        <v>165</v>
      </c>
      <c r="J611" s="4">
        <v>175</v>
      </c>
      <c r="K611" s="4" t="e">
        <f t="array" aca="1" ref="K611">MAX(H611:J611*(1-strike(H611:J611)))</f>
        <v>#NAME?</v>
      </c>
      <c r="L611" s="4">
        <v>155</v>
      </c>
      <c r="M611" s="6">
        <v>160</v>
      </c>
      <c r="N611" s="6">
        <v>160</v>
      </c>
      <c r="O611" s="4" t="e">
        <f t="array" aca="1" ref="O611">MAX(L611:N611*(1-strike(L611:N611)))</f>
        <v>#NAME?</v>
      </c>
      <c r="P611" s="4">
        <v>165</v>
      </c>
      <c r="Q611" s="4">
        <v>175</v>
      </c>
      <c r="R611" s="4">
        <v>185</v>
      </c>
      <c r="S611" s="4" t="e">
        <f t="array" aca="1" ref="S611">MAX(P611:R611*(1-strike(P611:R611)))</f>
        <v>#NAME?</v>
      </c>
      <c r="T611" s="4" t="e">
        <f t="shared" si="9"/>
        <v>#NAME?</v>
      </c>
      <c r="U611" s="4">
        <v>515</v>
      </c>
      <c r="V611" s="4">
        <v>371.78</v>
      </c>
      <c r="W611" s="4">
        <v>1</v>
      </c>
      <c r="X611" s="5">
        <v>2015</v>
      </c>
      <c r="Y611" s="5" t="s">
        <v>29</v>
      </c>
      <c r="Z611" s="5" t="s">
        <v>30</v>
      </c>
      <c r="AA611" s="5">
        <v>253</v>
      </c>
    </row>
    <row r="612" spans="1:27">
      <c r="A612" s="4">
        <v>2</v>
      </c>
      <c r="B612" s="4" t="s">
        <v>583</v>
      </c>
      <c r="C612" s="4">
        <v>1987</v>
      </c>
      <c r="D612" s="4" t="s">
        <v>28</v>
      </c>
      <c r="E612" s="4">
        <v>58.62</v>
      </c>
      <c r="F612" s="4">
        <v>0.87139999999999995</v>
      </c>
      <c r="G612" s="4">
        <v>4</v>
      </c>
      <c r="H612" s="4">
        <v>200</v>
      </c>
      <c r="I612" s="4">
        <v>210</v>
      </c>
      <c r="J612" s="6">
        <v>215</v>
      </c>
      <c r="K612" s="4" t="e">
        <f t="array" aca="1" ref="K612">MAX(H612:J612*(1-strike(H612:J612)))</f>
        <v>#NAME?</v>
      </c>
      <c r="L612" s="4">
        <v>135</v>
      </c>
      <c r="M612" s="4">
        <v>142.5</v>
      </c>
      <c r="N612" s="6">
        <v>145</v>
      </c>
      <c r="O612" s="4" t="e">
        <f t="array" aca="1" ref="O612">MAX(L612:N612*(1-strike(L612:N612)))</f>
        <v>#NAME?</v>
      </c>
      <c r="P612" s="4">
        <v>240</v>
      </c>
      <c r="Q612" s="4">
        <v>250</v>
      </c>
      <c r="R612" s="6">
        <v>255</v>
      </c>
      <c r="S612" s="4" t="e">
        <f t="array" aca="1" ref="S612">MAX(P612:R612*(1-strike(P612:R612)))</f>
        <v>#NAME?</v>
      </c>
      <c r="T612" s="4" t="e">
        <f t="shared" si="9"/>
        <v>#NAME?</v>
      </c>
      <c r="U612" s="4">
        <v>602.5</v>
      </c>
      <c r="V612" s="4">
        <v>525.02</v>
      </c>
      <c r="W612" s="4">
        <v>9</v>
      </c>
      <c r="X612" s="5">
        <v>2015</v>
      </c>
      <c r="Y612" s="5" t="s">
        <v>29</v>
      </c>
      <c r="Z612" s="5" t="s">
        <v>30</v>
      </c>
      <c r="AA612" s="5">
        <v>220</v>
      </c>
    </row>
    <row r="613" spans="1:27">
      <c r="A613" s="3">
        <v>9</v>
      </c>
      <c r="B613" s="3" t="s">
        <v>584</v>
      </c>
      <c r="C613" s="3">
        <v>1983</v>
      </c>
      <c r="D613" s="3" t="s">
        <v>125</v>
      </c>
      <c r="E613" s="3">
        <v>144.65</v>
      </c>
      <c r="F613" s="3">
        <v>0.55620000000000003</v>
      </c>
      <c r="G613" s="3">
        <v>16</v>
      </c>
      <c r="H613" s="3">
        <v>345</v>
      </c>
      <c r="I613" s="3">
        <v>365</v>
      </c>
      <c r="J613" s="3">
        <v>375</v>
      </c>
      <c r="K613" s="4" t="e">
        <f t="array" aca="1" ref="K613">MAX(H613:J613*(1-strike(H613:J613)))</f>
        <v>#NAME?</v>
      </c>
      <c r="L613" s="1">
        <v>245</v>
      </c>
      <c r="M613" s="3">
        <v>250</v>
      </c>
      <c r="N613" s="3">
        <v>265</v>
      </c>
      <c r="O613" s="4" t="e">
        <f t="array" aca="1" ref="O613">MAX(L613:N613*(1-strike(L613:N613)))</f>
        <v>#NAME?</v>
      </c>
      <c r="P613" s="3">
        <v>305</v>
      </c>
      <c r="Q613" s="3">
        <v>320</v>
      </c>
      <c r="R613" s="3">
        <v>345</v>
      </c>
      <c r="S613" s="4" t="e">
        <f t="array" aca="1" ref="S613">MAX(P613:R613*(1-strike(P613:R613)))</f>
        <v>#NAME?</v>
      </c>
      <c r="T613" s="4" t="e">
        <f t="shared" si="9"/>
        <v>#NAME?</v>
      </c>
      <c r="U613" s="3">
        <v>985</v>
      </c>
      <c r="V613" s="3">
        <v>547.79999999999995</v>
      </c>
      <c r="W613" s="3">
        <v>2</v>
      </c>
      <c r="X613" s="5">
        <v>2012</v>
      </c>
      <c r="Y613" s="5" t="s">
        <v>29</v>
      </c>
      <c r="Z613" s="5" t="s">
        <v>171</v>
      </c>
      <c r="AA613" s="5">
        <v>1324</v>
      </c>
    </row>
    <row r="614" spans="1:27" ht="15" customHeight="1">
      <c r="A614" s="3">
        <v>17</v>
      </c>
      <c r="B614" s="3" t="s">
        <v>584</v>
      </c>
      <c r="C614" s="3">
        <v>1983</v>
      </c>
      <c r="D614" s="3" t="s">
        <v>125</v>
      </c>
      <c r="E614" s="3">
        <v>142.9</v>
      </c>
      <c r="F614" s="3">
        <v>0.55710000000000004</v>
      </c>
      <c r="G614" s="3">
        <v>10</v>
      </c>
      <c r="H614" s="3">
        <v>345</v>
      </c>
      <c r="I614" s="1">
        <v>365</v>
      </c>
      <c r="J614" s="1">
        <v>365</v>
      </c>
      <c r="K614" s="4" t="e">
        <f t="array" aca="1" ref="K614">MAX(H614:J614*(1-strike(H614:J614)))</f>
        <v>#NAME?</v>
      </c>
      <c r="L614" s="3">
        <v>125</v>
      </c>
      <c r="M614" s="3"/>
      <c r="N614" s="3"/>
      <c r="O614" s="4" t="e">
        <f t="array" aca="1" ref="O614">MAX(L614:N614*(1-strike(L614:N614)))</f>
        <v>#NAME?</v>
      </c>
      <c r="P614" s="3">
        <v>315</v>
      </c>
      <c r="Q614" s="3">
        <v>335</v>
      </c>
      <c r="R614" s="1">
        <v>365</v>
      </c>
      <c r="S614" s="4" t="e">
        <f t="array" aca="1" ref="S614">MAX(P614:R614*(1-strike(P614:R614)))</f>
        <v>#NAME?</v>
      </c>
      <c r="T614" s="4" t="e">
        <f t="shared" si="9"/>
        <v>#NAME?</v>
      </c>
      <c r="U614" s="3">
        <v>805</v>
      </c>
      <c r="V614" s="3">
        <v>448.47</v>
      </c>
      <c r="W614" s="3">
        <v>1</v>
      </c>
      <c r="X614" s="5">
        <v>2013</v>
      </c>
      <c r="Y614" s="5" t="s">
        <v>29</v>
      </c>
      <c r="Z614" s="5" t="s">
        <v>171</v>
      </c>
      <c r="AA614" s="5">
        <v>928</v>
      </c>
    </row>
    <row r="615" spans="1:27">
      <c r="A615" s="4">
        <v>6</v>
      </c>
      <c r="B615" s="4" t="s">
        <v>584</v>
      </c>
      <c r="C615" s="4">
        <v>1983</v>
      </c>
      <c r="D615" s="4" t="s">
        <v>125</v>
      </c>
      <c r="E615" s="4">
        <v>140.26</v>
      </c>
      <c r="F615" s="4">
        <v>0.55859999999999999</v>
      </c>
      <c r="G615" s="4">
        <v>2</v>
      </c>
      <c r="H615" s="4">
        <v>350</v>
      </c>
      <c r="I615" s="6">
        <v>365</v>
      </c>
      <c r="J615" s="6">
        <v>365</v>
      </c>
      <c r="K615" s="4" t="e">
        <f t="array" aca="1" ref="K615">MAX(H615:J615*(1-strike(H615:J615)))</f>
        <v>#NAME?</v>
      </c>
      <c r="L615" s="4">
        <v>247.5</v>
      </c>
      <c r="M615" s="4">
        <v>257.5</v>
      </c>
      <c r="N615" s="4">
        <v>267.5</v>
      </c>
      <c r="O615" s="4" t="e">
        <f t="array" aca="1" ref="O615">MAX(L615:N615*(1-strike(L615:N615)))</f>
        <v>#NAME?</v>
      </c>
      <c r="P615" s="4">
        <v>315</v>
      </c>
      <c r="Q615" s="4">
        <v>332.5</v>
      </c>
      <c r="R615" s="6">
        <v>337.5</v>
      </c>
      <c r="S615" s="4" t="e">
        <f t="array" aca="1" ref="S615">MAX(P615:R615*(1-strike(P615:R615)))</f>
        <v>#NAME?</v>
      </c>
      <c r="T615" s="4" t="e">
        <f t="shared" si="9"/>
        <v>#NAME?</v>
      </c>
      <c r="U615" s="4">
        <v>950</v>
      </c>
      <c r="V615" s="4">
        <v>530.66999999999996</v>
      </c>
      <c r="W615" s="4">
        <v>5</v>
      </c>
      <c r="X615" s="5">
        <v>2014</v>
      </c>
      <c r="Y615" s="5" t="s">
        <v>29</v>
      </c>
      <c r="Z615" s="5" t="s">
        <v>171</v>
      </c>
      <c r="AA615" s="5">
        <v>559</v>
      </c>
    </row>
    <row r="616" spans="1:27">
      <c r="A616" s="4">
        <v>9</v>
      </c>
      <c r="B616" s="4" t="s">
        <v>584</v>
      </c>
      <c r="C616" s="4">
        <v>1983</v>
      </c>
      <c r="D616" s="4" t="s">
        <v>125</v>
      </c>
      <c r="E616" s="4">
        <v>143.30000000000001</v>
      </c>
      <c r="F616" s="4">
        <v>0.55689999999999995</v>
      </c>
      <c r="G616" s="4">
        <v>11</v>
      </c>
      <c r="H616" s="4">
        <v>355</v>
      </c>
      <c r="I616" s="4">
        <v>362.5</v>
      </c>
      <c r="J616" s="6">
        <v>375</v>
      </c>
      <c r="K616" s="4" t="e">
        <f t="array" aca="1" ref="K616">MAX(H616:J616*(1-strike(H616:J616)))</f>
        <v>#NAME?</v>
      </c>
      <c r="L616" s="4">
        <v>265</v>
      </c>
      <c r="M616" s="6">
        <v>275</v>
      </c>
      <c r="N616" s="4">
        <v>277.5</v>
      </c>
      <c r="O616" s="4" t="e">
        <f t="array" aca="1" ref="O616">MAX(L616:N616*(1-strike(L616:N616)))</f>
        <v>#NAME?</v>
      </c>
      <c r="P616" s="4">
        <v>315</v>
      </c>
      <c r="Q616" s="4">
        <v>340</v>
      </c>
      <c r="R616" s="6">
        <v>350</v>
      </c>
      <c r="S616" s="4" t="e">
        <f t="array" aca="1" ref="S616">MAX(P616:R616*(1-strike(P616:R616)))</f>
        <v>#NAME?</v>
      </c>
      <c r="T616" s="4" t="e">
        <f t="shared" si="9"/>
        <v>#NAME?</v>
      </c>
      <c r="U616" s="4">
        <v>980</v>
      </c>
      <c r="V616" s="4">
        <v>545.76</v>
      </c>
      <c r="W616" s="4">
        <v>2</v>
      </c>
      <c r="X616" s="5">
        <v>2015</v>
      </c>
      <c r="Y616" s="5" t="s">
        <v>29</v>
      </c>
      <c r="Z616" s="5" t="s">
        <v>171</v>
      </c>
      <c r="AA616" s="5">
        <v>121</v>
      </c>
    </row>
    <row r="617" spans="1:27">
      <c r="A617" s="4">
        <v>11</v>
      </c>
      <c r="B617" s="4" t="s">
        <v>585</v>
      </c>
      <c r="C617" s="4">
        <v>1981</v>
      </c>
      <c r="D617" s="4" t="s">
        <v>77</v>
      </c>
      <c r="E617" s="4">
        <v>82.3</v>
      </c>
      <c r="F617" s="4">
        <v>0.67090000000000005</v>
      </c>
      <c r="G617" s="4">
        <v>20</v>
      </c>
      <c r="H617" s="4">
        <v>197.5</v>
      </c>
      <c r="I617" s="4">
        <v>207.5</v>
      </c>
      <c r="J617" s="6">
        <v>212.5</v>
      </c>
      <c r="K617" s="4" t="e">
        <f t="array" aca="1" ref="K617">MAX(H617:J617*(1-strike(H617:J617)))</f>
        <v>#NAME?</v>
      </c>
      <c r="L617" s="4">
        <v>140</v>
      </c>
      <c r="M617" s="4">
        <v>150</v>
      </c>
      <c r="N617" s="6">
        <v>155</v>
      </c>
      <c r="O617" s="4" t="e">
        <f t="array" aca="1" ref="O617">MAX(L617:N617*(1-strike(L617:N617)))</f>
        <v>#NAME?</v>
      </c>
      <c r="P617" s="4">
        <v>235</v>
      </c>
      <c r="Q617" s="4">
        <v>245</v>
      </c>
      <c r="R617" s="6">
        <v>257.5</v>
      </c>
      <c r="S617" s="4" t="e">
        <f t="array" aca="1" ref="S617">MAX(P617:R617*(1-strike(P617:R617)))</f>
        <v>#NAME?</v>
      </c>
      <c r="T617" s="4" t="e">
        <f t="shared" si="9"/>
        <v>#NAME?</v>
      </c>
      <c r="U617" s="4">
        <v>602.5</v>
      </c>
      <c r="V617" s="4">
        <v>404.22</v>
      </c>
      <c r="W617" s="4">
        <v>1</v>
      </c>
      <c r="X617" s="5">
        <v>2014</v>
      </c>
      <c r="Y617" s="5" t="s">
        <v>29</v>
      </c>
      <c r="Z617" s="5" t="s">
        <v>30</v>
      </c>
      <c r="AA617" s="5">
        <v>693</v>
      </c>
    </row>
    <row r="618" spans="1:27">
      <c r="A618" s="3">
        <v>2</v>
      </c>
      <c r="B618" s="3" t="s">
        <v>586</v>
      </c>
      <c r="C618" s="3">
        <v>1986</v>
      </c>
      <c r="D618" s="3" t="s">
        <v>28</v>
      </c>
      <c r="E618" s="3">
        <v>162.44999999999999</v>
      </c>
      <c r="F618" s="3">
        <v>0.54700000000000004</v>
      </c>
      <c r="G618" s="3">
        <v>1</v>
      </c>
      <c r="H618" s="3">
        <v>440</v>
      </c>
      <c r="I618" s="3">
        <v>455</v>
      </c>
      <c r="J618" s="3">
        <v>460</v>
      </c>
      <c r="K618" s="4" t="e">
        <f t="array" aca="1" ref="K618">MAX(H618:J618*(1-strike(H618:J618)))</f>
        <v>#NAME?</v>
      </c>
      <c r="L618" s="3">
        <v>325</v>
      </c>
      <c r="M618" s="3">
        <v>335</v>
      </c>
      <c r="N618" s="3">
        <v>340</v>
      </c>
      <c r="O618" s="4" t="e">
        <f t="array" aca="1" ref="O618">MAX(L618:N618*(1-strike(L618:N618)))</f>
        <v>#NAME?</v>
      </c>
      <c r="P618" s="3">
        <v>335</v>
      </c>
      <c r="Q618" s="3">
        <v>345</v>
      </c>
      <c r="R618" s="1">
        <v>355</v>
      </c>
      <c r="S618" s="4" t="e">
        <f t="array" aca="1" ref="S618">MAX(P618:R618*(1-strike(P618:R618)))</f>
        <v>#NAME?</v>
      </c>
      <c r="T618" s="4" t="e">
        <f t="shared" si="9"/>
        <v>#NAME?</v>
      </c>
      <c r="U618" s="3" t="s">
        <v>587</v>
      </c>
      <c r="V618" s="3">
        <v>626.25</v>
      </c>
      <c r="W618" s="3">
        <v>9</v>
      </c>
      <c r="X618" s="5">
        <v>2012</v>
      </c>
      <c r="Y618" s="5" t="s">
        <v>29</v>
      </c>
      <c r="Z618" s="5" t="s">
        <v>171</v>
      </c>
      <c r="AA618" s="5">
        <v>1317</v>
      </c>
    </row>
    <row r="619" spans="1:27">
      <c r="A619" s="3">
        <v>1</v>
      </c>
      <c r="B619" s="3" t="s">
        <v>586</v>
      </c>
      <c r="C619" s="3">
        <v>1986</v>
      </c>
      <c r="D619" s="3" t="s">
        <v>28</v>
      </c>
      <c r="E619" s="3">
        <v>162</v>
      </c>
      <c r="F619" s="3">
        <v>0.54720000000000002</v>
      </c>
      <c r="G619" s="3">
        <v>17</v>
      </c>
      <c r="H619" s="3">
        <v>455</v>
      </c>
      <c r="I619" s="1">
        <v>467.5</v>
      </c>
      <c r="J619" s="3">
        <v>467.5</v>
      </c>
      <c r="K619" s="4" t="e">
        <f t="array" aca="1" ref="K619">MAX(H619:J619*(1-strike(H619:J619)))</f>
        <v>#NAME?</v>
      </c>
      <c r="L619" s="3">
        <v>342.5</v>
      </c>
      <c r="M619" s="1">
        <v>355</v>
      </c>
      <c r="N619" s="3">
        <v>355</v>
      </c>
      <c r="O619" s="4" t="e">
        <f t="array" aca="1" ref="O619">MAX(L619:N619*(1-strike(L619:N619)))</f>
        <v>#NAME?</v>
      </c>
      <c r="P619" s="3">
        <v>345</v>
      </c>
      <c r="Q619" s="3">
        <v>355</v>
      </c>
      <c r="R619" s="3">
        <v>365</v>
      </c>
      <c r="S619" s="4" t="e">
        <f t="array" aca="1" ref="S619">MAX(P619:R619*(1-strike(P619:R619)))</f>
        <v>#NAME?</v>
      </c>
      <c r="T619" s="4" t="e">
        <f t="shared" si="9"/>
        <v>#NAME?</v>
      </c>
      <c r="U619" s="3" t="s">
        <v>588</v>
      </c>
      <c r="V619" s="3">
        <v>649.79999999999995</v>
      </c>
      <c r="W619" s="3">
        <v>12</v>
      </c>
      <c r="X619" s="5">
        <v>2013</v>
      </c>
      <c r="Y619" s="5" t="s">
        <v>29</v>
      </c>
      <c r="Z619" s="5" t="s">
        <v>171</v>
      </c>
      <c r="AA619" s="5">
        <v>912</v>
      </c>
    </row>
    <row r="620" spans="1:27">
      <c r="A620" s="4">
        <v>1</v>
      </c>
      <c r="B620" s="4" t="s">
        <v>586</v>
      </c>
      <c r="C620" s="4">
        <v>1986</v>
      </c>
      <c r="D620" s="4" t="s">
        <v>28</v>
      </c>
      <c r="E620" s="4">
        <v>160.94999999999999</v>
      </c>
      <c r="F620" s="4">
        <v>0.54769999999999996</v>
      </c>
      <c r="G620" s="4">
        <v>5</v>
      </c>
      <c r="H620" s="6">
        <v>457.5</v>
      </c>
      <c r="I620" s="4">
        <v>457.5</v>
      </c>
      <c r="J620" s="4">
        <v>470</v>
      </c>
      <c r="K620" s="4" t="e">
        <f t="array" aca="1" ref="K620">MAX(H620:J620*(1-strike(H620:J620)))</f>
        <v>#NAME?</v>
      </c>
      <c r="L620" s="4">
        <v>357.5</v>
      </c>
      <c r="M620" s="6">
        <v>365</v>
      </c>
      <c r="N620" s="6">
        <v>365</v>
      </c>
      <c r="O620" s="4" t="e">
        <f t="array" aca="1" ref="O620">MAX(L620:N620*(1-strike(L620:N620)))</f>
        <v>#NAME?</v>
      </c>
      <c r="P620" s="4">
        <v>335</v>
      </c>
      <c r="Q620" s="4">
        <v>350</v>
      </c>
      <c r="R620" s="6">
        <v>367.5</v>
      </c>
      <c r="S620" s="4" t="e">
        <f t="array" aca="1" ref="S620">MAX(P620:R620*(1-strike(P620:R620)))</f>
        <v>#NAME?</v>
      </c>
      <c r="T620" s="4" t="e">
        <f t="shared" si="9"/>
        <v>#NAME?</v>
      </c>
      <c r="U620" s="4">
        <v>1177.5</v>
      </c>
      <c r="V620" s="4">
        <v>644.91999999999996</v>
      </c>
      <c r="W620" s="4">
        <v>12</v>
      </c>
      <c r="X620" s="5">
        <v>2015</v>
      </c>
      <c r="Y620" s="5" t="s">
        <v>29</v>
      </c>
      <c r="Z620" s="5" t="s">
        <v>171</v>
      </c>
      <c r="AA620" s="5">
        <v>113</v>
      </c>
    </row>
    <row r="621" spans="1:27">
      <c r="A621" s="3">
        <v>10</v>
      </c>
      <c r="B621" s="3" t="s">
        <v>589</v>
      </c>
      <c r="C621" s="3">
        <v>1989</v>
      </c>
      <c r="D621" s="3" t="s">
        <v>359</v>
      </c>
      <c r="E621" s="3">
        <v>82.7</v>
      </c>
      <c r="F621" s="3">
        <v>0.66890000000000005</v>
      </c>
      <c r="G621" s="3">
        <v>11</v>
      </c>
      <c r="H621" s="3">
        <v>190</v>
      </c>
      <c r="I621" s="3">
        <v>205</v>
      </c>
      <c r="J621" s="1">
        <v>215</v>
      </c>
      <c r="K621" s="4" t="e">
        <f t="array" aca="1" ref="K621">MAX(H621:J621*(1-strike(H621:J621)))</f>
        <v>#NAME?</v>
      </c>
      <c r="L621" s="3">
        <v>130</v>
      </c>
      <c r="M621" s="3">
        <v>137.5</v>
      </c>
      <c r="N621" s="3">
        <v>142.5</v>
      </c>
      <c r="O621" s="4" t="e">
        <f t="array" aca="1" ref="O621">MAX(L621:N621*(1-strike(L621:N621)))</f>
        <v>#NAME?</v>
      </c>
      <c r="P621" s="3">
        <v>250</v>
      </c>
      <c r="Q621" s="1">
        <v>265</v>
      </c>
      <c r="R621" s="1">
        <v>265</v>
      </c>
      <c r="S621" s="4" t="e">
        <f t="array" aca="1" ref="S621">MAX(P621:R621*(1-strike(P621:R621)))</f>
        <v>#NAME?</v>
      </c>
      <c r="T621" s="4" t="e">
        <f t="shared" si="9"/>
        <v>#NAME?</v>
      </c>
      <c r="U621" s="3">
        <v>597.5</v>
      </c>
      <c r="V621" s="3">
        <v>399.67</v>
      </c>
      <c r="W621" s="3">
        <v>1</v>
      </c>
      <c r="X621" s="5">
        <v>2013</v>
      </c>
      <c r="Y621" s="5" t="s">
        <v>29</v>
      </c>
      <c r="Z621" s="5" t="s">
        <v>30</v>
      </c>
      <c r="AA621" s="5">
        <v>1053</v>
      </c>
    </row>
    <row r="622" spans="1:27" ht="15" customHeight="1">
      <c r="A622" s="3">
        <v>4</v>
      </c>
      <c r="B622" s="3" t="s">
        <v>590</v>
      </c>
      <c r="C622" s="3">
        <v>1988</v>
      </c>
      <c r="D622" s="3" t="s">
        <v>28</v>
      </c>
      <c r="E622" s="3">
        <v>65.150000000000006</v>
      </c>
      <c r="F622" s="3">
        <v>0.79369999999999996</v>
      </c>
      <c r="G622" s="3">
        <v>3</v>
      </c>
      <c r="H622" s="3">
        <v>215</v>
      </c>
      <c r="I622" s="1">
        <v>225</v>
      </c>
      <c r="J622" s="3">
        <v>225</v>
      </c>
      <c r="K622" s="4" t="e">
        <f t="array" aca="1" ref="K622">MAX(H622:J622*(1-strike(H622:J622)))</f>
        <v>#NAME?</v>
      </c>
      <c r="L622" s="3">
        <v>130</v>
      </c>
      <c r="M622" s="1">
        <v>135</v>
      </c>
      <c r="N622" s="1">
        <v>135</v>
      </c>
      <c r="O622" s="4" t="e">
        <f t="array" aca="1" ref="O622">MAX(L622:N622*(1-strike(L622:N622)))</f>
        <v>#NAME?</v>
      </c>
      <c r="P622" s="3">
        <v>237.5</v>
      </c>
      <c r="Q622" s="3">
        <v>242.5</v>
      </c>
      <c r="R622" s="1">
        <v>245</v>
      </c>
      <c r="S622" s="4" t="e">
        <f t="array" aca="1" ref="S622">MAX(P622:R622*(1-strike(P622:R622)))</f>
        <v>#NAME?</v>
      </c>
      <c r="T622" s="4" t="e">
        <f t="shared" si="9"/>
        <v>#NAME?</v>
      </c>
      <c r="U622" s="3">
        <v>597.5</v>
      </c>
      <c r="V622" s="3">
        <v>474.24</v>
      </c>
      <c r="W622" s="3">
        <v>7</v>
      </c>
      <c r="X622" s="5">
        <v>2013</v>
      </c>
      <c r="Y622" s="5" t="s">
        <v>29</v>
      </c>
      <c r="Z622" s="5" t="s">
        <v>30</v>
      </c>
      <c r="AA622" s="5">
        <v>1026</v>
      </c>
    </row>
    <row r="623" spans="1:27">
      <c r="A623" s="4">
        <v>4</v>
      </c>
      <c r="B623" s="4" t="s">
        <v>98</v>
      </c>
      <c r="C623" s="4">
        <v>1982</v>
      </c>
      <c r="D623" s="4" t="s">
        <v>28</v>
      </c>
      <c r="E623" s="4">
        <v>137.15</v>
      </c>
      <c r="F623" s="4">
        <v>0.5605</v>
      </c>
      <c r="G623" s="4">
        <v>7</v>
      </c>
      <c r="H623" s="4">
        <v>325</v>
      </c>
      <c r="I623" s="4">
        <v>342.5</v>
      </c>
      <c r="J623" s="6">
        <v>347.5</v>
      </c>
      <c r="K623" s="4" t="e">
        <f t="array" aca="1" ref="K623">MAX(H623:J623*(1-strike(H623:J623)))</f>
        <v>#NAME?</v>
      </c>
      <c r="L623" s="4">
        <v>190</v>
      </c>
      <c r="M623" s="4">
        <v>197.5</v>
      </c>
      <c r="N623" s="4">
        <v>202.5</v>
      </c>
      <c r="O623" s="4" t="e">
        <f t="array" aca="1" ref="O623">MAX(L623:N623*(1-strike(L623:N623)))</f>
        <v>#NAME?</v>
      </c>
      <c r="P623" s="4">
        <v>320</v>
      </c>
      <c r="Q623" s="4">
        <v>337.5</v>
      </c>
      <c r="R623" s="6">
        <v>342.5</v>
      </c>
      <c r="S623" s="4" t="e">
        <f t="array" aca="1" ref="S623">MAX(P623:R623*(1-strike(P623:R623)))</f>
        <v>#NAME?</v>
      </c>
      <c r="T623" s="4" t="e">
        <f t="shared" si="9"/>
        <v>#NAME?</v>
      </c>
      <c r="U623" s="4">
        <v>882.5</v>
      </c>
      <c r="V623" s="4">
        <v>494.69</v>
      </c>
      <c r="W623" s="4">
        <v>7</v>
      </c>
      <c r="X623" s="5">
        <v>2014</v>
      </c>
      <c r="Y623" s="5" t="s">
        <v>29</v>
      </c>
      <c r="Z623" s="5" t="s">
        <v>30</v>
      </c>
      <c r="AA623" s="5">
        <v>738</v>
      </c>
    </row>
    <row r="624" spans="1:27">
      <c r="A624" s="4">
        <v>6</v>
      </c>
      <c r="B624" s="4" t="s">
        <v>98</v>
      </c>
      <c r="C624" s="4">
        <v>1982</v>
      </c>
      <c r="D624" s="4" t="s">
        <v>28</v>
      </c>
      <c r="E624" s="4">
        <v>142.29</v>
      </c>
      <c r="F624" s="4">
        <v>0.5575</v>
      </c>
      <c r="G624" s="4">
        <v>3</v>
      </c>
      <c r="H624" s="4">
        <v>340</v>
      </c>
      <c r="I624" s="4">
        <v>357.5</v>
      </c>
      <c r="J624" s="4">
        <v>365</v>
      </c>
      <c r="K624" s="4" t="e">
        <f t="array" aca="1" ref="K624">MAX(H624:J624*(1-strike(H624:J624)))</f>
        <v>#NAME?</v>
      </c>
      <c r="L624" s="4">
        <v>195</v>
      </c>
      <c r="M624" s="4">
        <v>202.5</v>
      </c>
      <c r="N624" s="4">
        <v>205</v>
      </c>
      <c r="O624" s="4" t="e">
        <f t="array" aca="1" ref="O624">MAX(L624:N624*(1-strike(L624:N624)))</f>
        <v>#NAME?</v>
      </c>
      <c r="P624" s="4">
        <v>330</v>
      </c>
      <c r="Q624" s="4">
        <v>350</v>
      </c>
      <c r="R624" s="4">
        <v>362.5</v>
      </c>
      <c r="S624" s="4" t="e">
        <f t="array" aca="1" ref="S624">MAX(P624:R624*(1-strike(P624:R624)))</f>
        <v>#NAME?</v>
      </c>
      <c r="T624" s="4" t="e">
        <f t="shared" si="9"/>
        <v>#NAME?</v>
      </c>
      <c r="U624" s="4">
        <v>932.5</v>
      </c>
      <c r="V624" s="4">
        <v>519.87</v>
      </c>
      <c r="W624" s="4">
        <v>5</v>
      </c>
      <c r="X624" s="5">
        <v>2015</v>
      </c>
      <c r="Y624" s="5" t="s">
        <v>29</v>
      </c>
      <c r="Z624" s="5" t="s">
        <v>30</v>
      </c>
      <c r="AA624" s="5">
        <v>328</v>
      </c>
    </row>
    <row r="625" spans="1:27">
      <c r="A625" s="3" t="s">
        <v>37</v>
      </c>
      <c r="B625" s="3" t="s">
        <v>591</v>
      </c>
      <c r="C625" s="3">
        <v>1987</v>
      </c>
      <c r="D625" s="3" t="s">
        <v>142</v>
      </c>
      <c r="E625" s="3">
        <v>114.57</v>
      </c>
      <c r="F625" s="3">
        <v>0.58160000000000001</v>
      </c>
      <c r="G625" s="3">
        <v>12</v>
      </c>
      <c r="H625" s="3"/>
      <c r="I625" s="3"/>
      <c r="J625" s="3"/>
      <c r="K625" s="4" t="e">
        <f t="array" aca="1" ref="K625">MAX(H625:J625*(1-strike(H625:J625)))</f>
        <v>#NAME?</v>
      </c>
      <c r="L625" s="3"/>
      <c r="M625" s="3"/>
      <c r="N625" s="3"/>
      <c r="O625" s="4" t="e">
        <f t="array" aca="1" ref="O625">MAX(L625:N625*(1-strike(L625:N625)))</f>
        <v>#NAME?</v>
      </c>
      <c r="P625" s="3"/>
      <c r="Q625" s="3"/>
      <c r="R625" s="3"/>
      <c r="S625" s="4" t="e">
        <f t="array" aca="1" ref="S625">MAX(P625:R625*(1-strike(P625:R625)))</f>
        <v>#NAME?</v>
      </c>
      <c r="T625" s="4" t="e">
        <f t="shared" si="9"/>
        <v>#NAME?</v>
      </c>
      <c r="U625" s="3" t="s">
        <v>40</v>
      </c>
      <c r="V625" s="3" t="s">
        <v>37</v>
      </c>
      <c r="W625" s="3" t="s">
        <v>37</v>
      </c>
      <c r="X625" s="5">
        <v>2013</v>
      </c>
      <c r="Y625" s="5" t="s">
        <v>29</v>
      </c>
      <c r="Z625" s="5" t="s">
        <v>171</v>
      </c>
      <c r="AA625" s="5">
        <v>910</v>
      </c>
    </row>
    <row r="626" spans="1:27">
      <c r="A626" s="3">
        <v>11</v>
      </c>
      <c r="B626" s="3" t="s">
        <v>592</v>
      </c>
      <c r="C626" s="3">
        <v>1974</v>
      </c>
      <c r="D626" s="3" t="s">
        <v>72</v>
      </c>
      <c r="E626" s="3">
        <v>118.86</v>
      </c>
      <c r="F626" s="3">
        <v>0.57620000000000005</v>
      </c>
      <c r="G626" s="3">
        <v>33</v>
      </c>
      <c r="H626" s="3">
        <v>330</v>
      </c>
      <c r="I626" s="1">
        <v>340</v>
      </c>
      <c r="J626" s="3">
        <v>340</v>
      </c>
      <c r="K626" s="4" t="e">
        <f t="array" aca="1" ref="K626">MAX(H626:J626*(1-strike(H626:J626)))</f>
        <v>#NAME?</v>
      </c>
      <c r="L626" s="3">
        <v>275</v>
      </c>
      <c r="M626" s="1">
        <v>285</v>
      </c>
      <c r="N626" s="1">
        <v>285</v>
      </c>
      <c r="O626" s="4" t="e">
        <f t="array" aca="1" ref="O626">MAX(L626:N626*(1-strike(L626:N626)))</f>
        <v>#NAME?</v>
      </c>
      <c r="P626" s="3">
        <v>285</v>
      </c>
      <c r="Q626" s="1">
        <v>295</v>
      </c>
      <c r="R626" s="1">
        <v>295</v>
      </c>
      <c r="S626" s="4" t="e">
        <f t="array" aca="1" ref="S626">MAX(P626:R626*(1-strike(P626:R626)))</f>
        <v>#NAME?</v>
      </c>
      <c r="T626" s="4" t="e">
        <f t="shared" si="9"/>
        <v>#NAME?</v>
      </c>
      <c r="U626" s="3">
        <v>900</v>
      </c>
      <c r="V626" s="3">
        <v>518.61</v>
      </c>
      <c r="W626" s="3">
        <v>1</v>
      </c>
      <c r="X626" s="5">
        <v>2012</v>
      </c>
      <c r="Y626" s="5" t="s">
        <v>29</v>
      </c>
      <c r="Z626" s="5" t="s">
        <v>171</v>
      </c>
      <c r="AA626" s="5">
        <v>1309</v>
      </c>
    </row>
    <row r="627" spans="1:27">
      <c r="A627" s="3">
        <v>7</v>
      </c>
      <c r="B627" s="3" t="s">
        <v>592</v>
      </c>
      <c r="C627" s="3">
        <v>1974</v>
      </c>
      <c r="D627" s="3" t="s">
        <v>72</v>
      </c>
      <c r="E627" s="3">
        <v>119.33</v>
      </c>
      <c r="F627" s="3">
        <v>0.57569999999999999</v>
      </c>
      <c r="G627" s="3">
        <v>7</v>
      </c>
      <c r="H627" s="3">
        <v>315</v>
      </c>
      <c r="I627" s="1">
        <v>330</v>
      </c>
      <c r="J627" s="3">
        <v>330</v>
      </c>
      <c r="K627" s="4" t="e">
        <f t="array" aca="1" ref="K627">MAX(H627:J627*(1-strike(H627:J627)))</f>
        <v>#NAME?</v>
      </c>
      <c r="L627" s="3">
        <v>290</v>
      </c>
      <c r="M627" s="1">
        <v>297.5</v>
      </c>
      <c r="N627" s="3">
        <v>297.5</v>
      </c>
      <c r="O627" s="4" t="e">
        <f t="array" aca="1" ref="O627">MAX(L627:N627*(1-strike(L627:N627)))</f>
        <v>#NAME?</v>
      </c>
      <c r="P627" s="3">
        <v>270</v>
      </c>
      <c r="Q627" s="3">
        <v>280</v>
      </c>
      <c r="R627" s="1">
        <v>287.5</v>
      </c>
      <c r="S627" s="4" t="e">
        <f t="array" aca="1" ref="S627">MAX(P627:R627*(1-strike(P627:R627)))</f>
        <v>#NAME?</v>
      </c>
      <c r="T627" s="4" t="e">
        <f t="shared" si="9"/>
        <v>#NAME?</v>
      </c>
      <c r="U627" s="3">
        <v>907.5</v>
      </c>
      <c r="V627" s="3">
        <v>522.45000000000005</v>
      </c>
      <c r="W627" s="3">
        <v>4</v>
      </c>
      <c r="X627" s="5">
        <v>2013</v>
      </c>
      <c r="Y627" s="5" t="s">
        <v>29</v>
      </c>
      <c r="Z627" s="5" t="s">
        <v>171</v>
      </c>
      <c r="AA627" s="5">
        <v>901</v>
      </c>
    </row>
    <row r="628" spans="1:27">
      <c r="A628" s="3">
        <v>9</v>
      </c>
      <c r="B628" s="3" t="s">
        <v>593</v>
      </c>
      <c r="C628" s="3">
        <v>1985</v>
      </c>
      <c r="D628" s="3" t="s">
        <v>54</v>
      </c>
      <c r="E628" s="3">
        <v>119.66</v>
      </c>
      <c r="F628" s="3">
        <v>0.57530000000000003</v>
      </c>
      <c r="G628" s="3">
        <v>8</v>
      </c>
      <c r="H628" s="3">
        <v>330</v>
      </c>
      <c r="I628" s="3">
        <v>340</v>
      </c>
      <c r="J628" s="1">
        <v>345</v>
      </c>
      <c r="K628" s="4" t="e">
        <f t="array" aca="1" ref="K628">MAX(H628:J628*(1-strike(H628:J628)))</f>
        <v>#NAME?</v>
      </c>
      <c r="L628" s="3">
        <v>237.5</v>
      </c>
      <c r="M628" s="3">
        <v>245</v>
      </c>
      <c r="N628" s="3">
        <v>250</v>
      </c>
      <c r="O628" s="4" t="e">
        <f t="array" aca="1" ref="O628">MAX(L628:N628*(1-strike(L628:N628)))</f>
        <v>#NAME?</v>
      </c>
      <c r="P628" s="3">
        <v>300</v>
      </c>
      <c r="Q628" s="3">
        <v>315</v>
      </c>
      <c r="R628" s="1">
        <v>322.5</v>
      </c>
      <c r="S628" s="4" t="e">
        <f t="array" aca="1" ref="S628">MAX(P628:R628*(1-strike(P628:R628)))</f>
        <v>#NAME?</v>
      </c>
      <c r="T628" s="4" t="e">
        <f t="shared" si="9"/>
        <v>#NAME?</v>
      </c>
      <c r="U628" s="3">
        <v>905</v>
      </c>
      <c r="V628" s="3">
        <v>520.65</v>
      </c>
      <c r="W628" s="3">
        <v>2</v>
      </c>
      <c r="X628" s="5">
        <v>2013</v>
      </c>
      <c r="Y628" s="5" t="s">
        <v>29</v>
      </c>
      <c r="Z628" s="5" t="s">
        <v>171</v>
      </c>
      <c r="AA628" s="5">
        <v>903</v>
      </c>
    </row>
    <row r="629" spans="1:27">
      <c r="A629" s="4">
        <v>14</v>
      </c>
      <c r="B629" s="4" t="s">
        <v>594</v>
      </c>
      <c r="C629" s="4">
        <v>1985</v>
      </c>
      <c r="D629" s="4" t="s">
        <v>54</v>
      </c>
      <c r="E629" s="4">
        <v>119.64</v>
      </c>
      <c r="F629" s="4">
        <v>0.57540000000000002</v>
      </c>
      <c r="G629" s="4">
        <v>5</v>
      </c>
      <c r="H629" s="4">
        <v>340</v>
      </c>
      <c r="I629" s="4">
        <v>352.5</v>
      </c>
      <c r="J629" s="4">
        <v>362.5</v>
      </c>
      <c r="K629" s="4" t="e">
        <f t="array" aca="1" ref="K629">MAX(H629:J629*(1-strike(H629:J629)))</f>
        <v>#NAME?</v>
      </c>
      <c r="L629" s="4">
        <v>245</v>
      </c>
      <c r="M629" s="4">
        <v>252.5</v>
      </c>
      <c r="N629" s="4">
        <v>257.5</v>
      </c>
      <c r="O629" s="4" t="e">
        <f t="array" aca="1" ref="O629">MAX(L629:N629*(1-strike(L629:N629)))</f>
        <v>#NAME?</v>
      </c>
      <c r="P629" s="4">
        <v>295</v>
      </c>
      <c r="Q629" s="6">
        <v>302.5</v>
      </c>
      <c r="R629" s="6">
        <v>302.5</v>
      </c>
      <c r="S629" s="4" t="e">
        <f t="array" aca="1" ref="S629">MAX(P629:R629*(1-strike(P629:R629)))</f>
        <v>#NAME?</v>
      </c>
      <c r="T629" s="4" t="e">
        <f t="shared" si="9"/>
        <v>#NAME?</v>
      </c>
      <c r="U629" s="4">
        <v>915</v>
      </c>
      <c r="V629" s="4">
        <v>526.49</v>
      </c>
      <c r="W629" s="4">
        <v>1</v>
      </c>
      <c r="X629" s="5">
        <v>2014</v>
      </c>
      <c r="Y629" s="5" t="s">
        <v>29</v>
      </c>
      <c r="Z629" s="5" t="s">
        <v>171</v>
      </c>
      <c r="AA629" s="5">
        <v>546</v>
      </c>
    </row>
    <row r="630" spans="1:27">
      <c r="A630" s="3">
        <v>2</v>
      </c>
      <c r="B630" s="3" t="s">
        <v>99</v>
      </c>
      <c r="C630" s="3">
        <v>1988</v>
      </c>
      <c r="D630" s="3" t="s">
        <v>100</v>
      </c>
      <c r="E630" s="3">
        <v>142.94999999999999</v>
      </c>
      <c r="F630" s="3">
        <v>0.55710000000000004</v>
      </c>
      <c r="G630" s="3">
        <v>22</v>
      </c>
      <c r="H630" s="3">
        <v>320</v>
      </c>
      <c r="I630" s="3">
        <v>335</v>
      </c>
      <c r="J630" s="3">
        <v>345</v>
      </c>
      <c r="K630" s="4" t="e">
        <f t="array" aca="1" ref="K630">MAX(H630:J630*(1-strike(H630:J630)))</f>
        <v>#NAME?</v>
      </c>
      <c r="L630" s="3">
        <v>200</v>
      </c>
      <c r="M630" s="3">
        <v>210</v>
      </c>
      <c r="N630" s="3">
        <v>215</v>
      </c>
      <c r="O630" s="4" t="e">
        <f t="array" aca="1" ref="O630">MAX(L630:N630*(1-strike(L630:N630)))</f>
        <v>#NAME?</v>
      </c>
      <c r="P630" s="3">
        <v>300</v>
      </c>
      <c r="Q630" s="3">
        <v>315</v>
      </c>
      <c r="R630" s="3">
        <v>332.5</v>
      </c>
      <c r="S630" s="4" t="e">
        <f t="array" aca="1" ref="S630">MAX(P630:R630*(1-strike(P630:R630)))</f>
        <v>#NAME?</v>
      </c>
      <c r="T630" s="4" t="e">
        <f t="shared" si="9"/>
        <v>#NAME?</v>
      </c>
      <c r="U630" s="3">
        <v>892.5</v>
      </c>
      <c r="V630" s="3">
        <v>497.21</v>
      </c>
      <c r="W630" s="3">
        <v>9</v>
      </c>
      <c r="X630" s="5">
        <v>2013</v>
      </c>
      <c r="Y630" s="5" t="s">
        <v>29</v>
      </c>
      <c r="Z630" s="5" t="s">
        <v>30</v>
      </c>
      <c r="AA630" s="5">
        <v>1110</v>
      </c>
    </row>
    <row r="631" spans="1:27">
      <c r="A631" s="4">
        <v>3</v>
      </c>
      <c r="B631" s="4" t="s">
        <v>99</v>
      </c>
      <c r="C631" s="4">
        <v>1988</v>
      </c>
      <c r="D631" s="4" t="s">
        <v>100</v>
      </c>
      <c r="E631" s="4">
        <v>152.9</v>
      </c>
      <c r="F631" s="4">
        <v>0.55179999999999996</v>
      </c>
      <c r="G631" s="4">
        <v>3</v>
      </c>
      <c r="H631" s="4">
        <v>345</v>
      </c>
      <c r="I631" s="4">
        <v>360</v>
      </c>
      <c r="J631" s="4">
        <v>370</v>
      </c>
      <c r="K631" s="4" t="e">
        <f t="array" aca="1" ref="K631">MAX(H631:J631*(1-strike(H631:J631)))</f>
        <v>#NAME?</v>
      </c>
      <c r="L631" s="4">
        <v>205</v>
      </c>
      <c r="M631" s="4">
        <v>212.5</v>
      </c>
      <c r="N631" s="4">
        <v>217.5</v>
      </c>
      <c r="O631" s="4" t="e">
        <f t="array" aca="1" ref="O631">MAX(L631:N631*(1-strike(L631:N631)))</f>
        <v>#NAME?</v>
      </c>
      <c r="P631" s="4">
        <v>315</v>
      </c>
      <c r="Q631" s="6">
        <v>327.5</v>
      </c>
      <c r="R631" s="4">
        <v>327.5</v>
      </c>
      <c r="S631" s="4" t="e">
        <f t="array" aca="1" ref="S631">MAX(P631:R631*(1-strike(P631:R631)))</f>
        <v>#NAME?</v>
      </c>
      <c r="T631" s="4" t="e">
        <f t="shared" si="9"/>
        <v>#NAME?</v>
      </c>
      <c r="U631" s="4">
        <v>915</v>
      </c>
      <c r="V631" s="4">
        <v>504.9</v>
      </c>
      <c r="W631" s="4">
        <v>8</v>
      </c>
      <c r="X631" s="5">
        <v>2014</v>
      </c>
      <c r="Y631" s="5" t="s">
        <v>29</v>
      </c>
      <c r="Z631" s="5" t="s">
        <v>30</v>
      </c>
      <c r="AA631" s="5">
        <v>737</v>
      </c>
    </row>
    <row r="632" spans="1:27">
      <c r="A632" s="4">
        <v>5</v>
      </c>
      <c r="B632" s="4" t="s">
        <v>99</v>
      </c>
      <c r="C632" s="4">
        <v>1988</v>
      </c>
      <c r="D632" s="4" t="s">
        <v>100</v>
      </c>
      <c r="E632" s="4">
        <v>156.15</v>
      </c>
      <c r="F632" s="4">
        <v>0.55020000000000002</v>
      </c>
      <c r="G632" s="4">
        <v>17</v>
      </c>
      <c r="H632" s="4">
        <v>367.5</v>
      </c>
      <c r="I632" s="4">
        <v>380</v>
      </c>
      <c r="J632" s="4">
        <v>390</v>
      </c>
      <c r="K632" s="4" t="e">
        <f t="array" aca="1" ref="K632">MAX(H632:J632*(1-strike(H632:J632)))</f>
        <v>#NAME?</v>
      </c>
      <c r="L632" s="4">
        <v>215</v>
      </c>
      <c r="M632" s="4">
        <v>222.5</v>
      </c>
      <c r="N632" s="6">
        <v>227.5</v>
      </c>
      <c r="O632" s="4" t="e">
        <f t="array" aca="1" ref="O632">MAX(L632:N632*(1-strike(L632:N632)))</f>
        <v>#NAME?</v>
      </c>
      <c r="P632" s="4">
        <v>320</v>
      </c>
      <c r="Q632" s="4">
        <v>332.5</v>
      </c>
      <c r="R632" s="4">
        <v>337.5</v>
      </c>
      <c r="S632" s="4" t="e">
        <f t="array" aca="1" ref="S632">MAX(P632:R632*(1-strike(P632:R632)))</f>
        <v>#NAME?</v>
      </c>
      <c r="T632" s="4" t="e">
        <f t="shared" si="9"/>
        <v>#NAME?</v>
      </c>
      <c r="U632" s="4" t="s">
        <v>595</v>
      </c>
      <c r="V632" s="4">
        <v>522.69000000000005</v>
      </c>
      <c r="W632" s="4">
        <v>6</v>
      </c>
      <c r="X632" s="5">
        <v>2015</v>
      </c>
      <c r="Y632" s="5" t="s">
        <v>29</v>
      </c>
      <c r="Z632" s="5" t="s">
        <v>30</v>
      </c>
      <c r="AA632" s="5">
        <v>327</v>
      </c>
    </row>
    <row r="633" spans="1:27">
      <c r="A633" s="3">
        <v>7</v>
      </c>
      <c r="B633" s="3" t="s">
        <v>596</v>
      </c>
      <c r="C633" s="3">
        <v>1982</v>
      </c>
      <c r="D633" s="3" t="s">
        <v>74</v>
      </c>
      <c r="E633" s="3">
        <v>72.39</v>
      </c>
      <c r="F633" s="3">
        <v>0.73080000000000001</v>
      </c>
      <c r="G633" s="3">
        <v>6</v>
      </c>
      <c r="H633" s="3">
        <v>265</v>
      </c>
      <c r="I633" s="1">
        <v>275</v>
      </c>
      <c r="J633" s="1">
        <v>275</v>
      </c>
      <c r="K633" s="4" t="e">
        <f t="array" aca="1" ref="K633">MAX(H633:J633*(1-strike(H633:J633)))</f>
        <v>#NAME?</v>
      </c>
      <c r="L633" s="3">
        <v>165</v>
      </c>
      <c r="M633" s="1">
        <v>170</v>
      </c>
      <c r="N633" s="3"/>
      <c r="O633" s="4" t="e">
        <f t="array" aca="1" ref="O633">MAX(L633:N633*(1-strike(L633:N633)))</f>
        <v>#NAME?</v>
      </c>
      <c r="P633" s="3">
        <v>295</v>
      </c>
      <c r="Q633" s="3">
        <v>302.5</v>
      </c>
      <c r="R633" s="3">
        <v>305</v>
      </c>
      <c r="S633" s="4" t="e">
        <f t="array" aca="1" ref="S633">MAX(P633:R633*(1-strike(P633:R633)))</f>
        <v>#NAME?</v>
      </c>
      <c r="T633" s="4" t="e">
        <f t="shared" si="9"/>
        <v>#NAME?</v>
      </c>
      <c r="U633" s="3">
        <v>735</v>
      </c>
      <c r="V633" s="3">
        <v>537.12</v>
      </c>
      <c r="W633" s="3">
        <v>4</v>
      </c>
      <c r="X633" s="5">
        <v>2012</v>
      </c>
      <c r="Y633" s="5" t="s">
        <v>29</v>
      </c>
      <c r="Z633" s="5" t="s">
        <v>171</v>
      </c>
      <c r="AA633" s="5">
        <v>1223</v>
      </c>
    </row>
    <row r="634" spans="1:27">
      <c r="A634" s="4">
        <v>10</v>
      </c>
      <c r="B634" s="4" t="s">
        <v>596</v>
      </c>
      <c r="C634" s="4">
        <v>1982</v>
      </c>
      <c r="D634" s="4" t="s">
        <v>74</v>
      </c>
      <c r="E634" s="4">
        <v>79.599999999999994</v>
      </c>
      <c r="F634" s="4">
        <v>0.68489999999999995</v>
      </c>
      <c r="G634" s="4">
        <v>16</v>
      </c>
      <c r="H634" s="4">
        <v>250</v>
      </c>
      <c r="I634" s="4">
        <v>260</v>
      </c>
      <c r="J634" s="4"/>
      <c r="K634" s="4" t="e">
        <f t="array" aca="1" ref="K634">MAX(H634:J634*(1-strike(H634:J634)))</f>
        <v>#NAME?</v>
      </c>
      <c r="L634" s="4">
        <v>170</v>
      </c>
      <c r="M634" s="4">
        <v>175</v>
      </c>
      <c r="N634" s="4">
        <v>180</v>
      </c>
      <c r="O634" s="4" t="e">
        <f t="array" aca="1" ref="O634">MAX(L634:N634*(1-strike(L634:N634)))</f>
        <v>#NAME?</v>
      </c>
      <c r="P634" s="4">
        <v>290</v>
      </c>
      <c r="Q634" s="6">
        <v>310</v>
      </c>
      <c r="R634" s="4">
        <v>310</v>
      </c>
      <c r="S634" s="4" t="e">
        <f t="array" aca="1" ref="S634">MAX(P634:R634*(1-strike(P634:R634)))</f>
        <v>#NAME?</v>
      </c>
      <c r="T634" s="4" t="e">
        <f t="shared" si="9"/>
        <v>#NAME?</v>
      </c>
      <c r="U634" s="4">
        <v>750</v>
      </c>
      <c r="V634" s="4">
        <v>513.66999999999996</v>
      </c>
      <c r="W634" s="4">
        <v>1</v>
      </c>
      <c r="X634" s="5">
        <v>2014</v>
      </c>
      <c r="Y634" s="5" t="s">
        <v>29</v>
      </c>
      <c r="Z634" s="5" t="s">
        <v>171</v>
      </c>
      <c r="AA634" s="5">
        <v>485</v>
      </c>
    </row>
    <row r="635" spans="1:27">
      <c r="A635" s="3">
        <v>12</v>
      </c>
      <c r="B635" s="3" t="s">
        <v>101</v>
      </c>
      <c r="C635" s="3">
        <v>1987</v>
      </c>
      <c r="D635" s="3" t="s">
        <v>77</v>
      </c>
      <c r="E635" s="3">
        <v>92.72</v>
      </c>
      <c r="F635" s="3">
        <v>0.62909999999999999</v>
      </c>
      <c r="G635" s="3">
        <v>11</v>
      </c>
      <c r="H635" s="3">
        <v>330</v>
      </c>
      <c r="I635" s="3">
        <v>345</v>
      </c>
      <c r="J635" s="3">
        <v>355</v>
      </c>
      <c r="K635" s="4" t="e">
        <f t="array" aca="1" ref="K635">MAX(H635:J635*(1-strike(H635:J635)))</f>
        <v>#NAME?</v>
      </c>
      <c r="L635" s="3">
        <v>190</v>
      </c>
      <c r="M635" s="3">
        <v>205</v>
      </c>
      <c r="N635" s="3">
        <v>215</v>
      </c>
      <c r="O635" s="4" t="e">
        <f t="array" aca="1" ref="O635">MAX(L635:N635*(1-strike(L635:N635)))</f>
        <v>#NAME?</v>
      </c>
      <c r="P635" s="3">
        <v>220</v>
      </c>
      <c r="Q635" s="3">
        <v>235</v>
      </c>
      <c r="R635" s="1">
        <v>257.5</v>
      </c>
      <c r="S635" s="4" t="e">
        <f t="array" aca="1" ref="S635">MAX(P635:R635*(1-strike(P635:R635)))</f>
        <v>#NAME?</v>
      </c>
      <c r="T635" s="4" t="e">
        <f t="shared" si="9"/>
        <v>#NAME?</v>
      </c>
      <c r="U635" s="3">
        <v>805</v>
      </c>
      <c r="V635" s="3">
        <v>506.44</v>
      </c>
      <c r="W635" s="3">
        <v>1</v>
      </c>
      <c r="X635" s="5">
        <v>2012</v>
      </c>
      <c r="Y635" s="5" t="s">
        <v>29</v>
      </c>
      <c r="Z635" s="5" t="s">
        <v>171</v>
      </c>
      <c r="AA635" s="5">
        <v>1267</v>
      </c>
    </row>
    <row r="636" spans="1:27">
      <c r="A636" s="4">
        <v>10</v>
      </c>
      <c r="B636" s="4" t="s">
        <v>101</v>
      </c>
      <c r="C636" s="4">
        <v>1987</v>
      </c>
      <c r="D636" s="4" t="s">
        <v>77</v>
      </c>
      <c r="E636" s="4">
        <v>93</v>
      </c>
      <c r="F636" s="4">
        <v>0.62819999999999998</v>
      </c>
      <c r="G636" s="4">
        <v>14</v>
      </c>
      <c r="H636" s="6">
        <v>330</v>
      </c>
      <c r="I636" s="4">
        <v>340</v>
      </c>
      <c r="J636" s="6">
        <v>357.5</v>
      </c>
      <c r="K636" s="4" t="e">
        <f t="array" aca="1" ref="K636">MAX(H636:J636*(1-strike(H636:J636)))</f>
        <v>#NAME?</v>
      </c>
      <c r="L636" s="4">
        <v>260</v>
      </c>
      <c r="M636" s="4">
        <v>270</v>
      </c>
      <c r="N636" s="6">
        <v>275</v>
      </c>
      <c r="O636" s="4" t="e">
        <f t="array" aca="1" ref="O636">MAX(L636:N636*(1-strike(L636:N636)))</f>
        <v>#NAME?</v>
      </c>
      <c r="P636" s="4">
        <v>235</v>
      </c>
      <c r="Q636" s="4">
        <v>245</v>
      </c>
      <c r="R636" s="4">
        <v>252.5</v>
      </c>
      <c r="S636" s="4" t="e">
        <f t="array" aca="1" ref="S636">MAX(P636:R636*(1-strike(P636:R636)))</f>
        <v>#NAME?</v>
      </c>
      <c r="T636" s="4" t="e">
        <f t="shared" si="9"/>
        <v>#NAME?</v>
      </c>
      <c r="U636" s="4">
        <v>862.5</v>
      </c>
      <c r="V636" s="4">
        <v>541.82000000000005</v>
      </c>
      <c r="W636" s="4">
        <v>1</v>
      </c>
      <c r="X636" s="5">
        <v>2015</v>
      </c>
      <c r="Y636" s="5" t="s">
        <v>29</v>
      </c>
      <c r="Z636" s="5" t="s">
        <v>171</v>
      </c>
      <c r="AA636" s="5">
        <v>64</v>
      </c>
    </row>
    <row r="637" spans="1:27">
      <c r="A637" s="3">
        <v>3</v>
      </c>
      <c r="B637" s="3" t="s">
        <v>597</v>
      </c>
      <c r="C637" s="3">
        <v>1988</v>
      </c>
      <c r="D637" s="3" t="s">
        <v>28</v>
      </c>
      <c r="E637" s="3">
        <v>119.75</v>
      </c>
      <c r="F637" s="3">
        <v>0.57520000000000004</v>
      </c>
      <c r="G637" s="3">
        <v>1</v>
      </c>
      <c r="H637" s="3">
        <v>315</v>
      </c>
      <c r="I637" s="3">
        <v>327.5</v>
      </c>
      <c r="J637" s="1">
        <v>335</v>
      </c>
      <c r="K637" s="4" t="e">
        <f t="array" aca="1" ref="K637">MAX(H637:J637*(1-strike(H637:J637)))</f>
        <v>#NAME?</v>
      </c>
      <c r="L637" s="3">
        <v>215</v>
      </c>
      <c r="M637" s="3">
        <v>222.5</v>
      </c>
      <c r="N637" s="1">
        <v>227.5</v>
      </c>
      <c r="O637" s="4" t="e">
        <f t="array" aca="1" ref="O637">MAX(L637:N637*(1-strike(L637:N637)))</f>
        <v>#NAME?</v>
      </c>
      <c r="P637" s="3">
        <v>325</v>
      </c>
      <c r="Q637" s="3">
        <v>337.5</v>
      </c>
      <c r="R637" s="1">
        <v>352.5</v>
      </c>
      <c r="S637" s="4" t="e">
        <f t="array" aca="1" ref="S637">MAX(P637:R637*(1-strike(P637:R637)))</f>
        <v>#NAME?</v>
      </c>
      <c r="T637" s="4" t="e">
        <f t="shared" si="9"/>
        <v>#NAME?</v>
      </c>
      <c r="U637" s="3">
        <v>887.5</v>
      </c>
      <c r="V637" s="3">
        <v>510.49</v>
      </c>
      <c r="W637" s="3">
        <v>8</v>
      </c>
      <c r="X637" s="5">
        <v>2013</v>
      </c>
      <c r="Y637" s="5" t="s">
        <v>29</v>
      </c>
      <c r="Z637" s="5" t="s">
        <v>30</v>
      </c>
      <c r="AA637" s="5">
        <v>1093</v>
      </c>
    </row>
    <row r="638" spans="1:27" ht="15" customHeight="1">
      <c r="A638" s="4">
        <v>3</v>
      </c>
      <c r="B638" s="4" t="s">
        <v>597</v>
      </c>
      <c r="C638" s="4">
        <v>1988</v>
      </c>
      <c r="D638" s="4" t="s">
        <v>28</v>
      </c>
      <c r="E638" s="4">
        <v>118.55</v>
      </c>
      <c r="F638" s="4">
        <v>0.5766</v>
      </c>
      <c r="G638" s="4">
        <v>11</v>
      </c>
      <c r="H638" s="4">
        <v>305</v>
      </c>
      <c r="I638" s="4">
        <v>317.5</v>
      </c>
      <c r="J638" s="4">
        <v>322.5</v>
      </c>
      <c r="K638" s="4" t="e">
        <f t="array" aca="1" ref="K638">MAX(H638:J638*(1-strike(H638:J638)))</f>
        <v>#NAME?</v>
      </c>
      <c r="L638" s="4">
        <v>210</v>
      </c>
      <c r="M638" s="4">
        <v>217.5</v>
      </c>
      <c r="N638" s="4">
        <v>220</v>
      </c>
      <c r="O638" s="4" t="e">
        <f t="array" aca="1" ref="O638">MAX(L638:N638*(1-strike(L638:N638)))</f>
        <v>#NAME?</v>
      </c>
      <c r="P638" s="4">
        <v>300</v>
      </c>
      <c r="Q638" s="4">
        <v>320</v>
      </c>
      <c r="R638" s="4">
        <v>345</v>
      </c>
      <c r="S638" s="4" t="e">
        <f t="array" aca="1" ref="S638">MAX(P638:R638*(1-strike(P638:R638)))</f>
        <v>#NAME?</v>
      </c>
      <c r="T638" s="4" t="e">
        <f t="shared" si="9"/>
        <v>#NAME?</v>
      </c>
      <c r="U638" s="4">
        <v>887.5</v>
      </c>
      <c r="V638" s="4">
        <v>511.69</v>
      </c>
      <c r="W638" s="4">
        <v>8</v>
      </c>
      <c r="X638" s="5">
        <v>2014</v>
      </c>
      <c r="Y638" s="5" t="s">
        <v>29</v>
      </c>
      <c r="Z638" s="5" t="s">
        <v>30</v>
      </c>
      <c r="AA638" s="5">
        <v>726</v>
      </c>
    </row>
    <row r="639" spans="1:27">
      <c r="A639" s="3">
        <v>2</v>
      </c>
      <c r="B639" s="3" t="s">
        <v>103</v>
      </c>
      <c r="C639" s="3">
        <v>1966</v>
      </c>
      <c r="D639" s="3" t="s">
        <v>62</v>
      </c>
      <c r="E639" s="3">
        <v>58.75</v>
      </c>
      <c r="F639" s="3">
        <v>0.86960000000000004</v>
      </c>
      <c r="G639" s="3">
        <v>8</v>
      </c>
      <c r="H639" s="3">
        <v>175</v>
      </c>
      <c r="I639" s="3">
        <v>187.5</v>
      </c>
      <c r="J639" s="3">
        <v>192.5</v>
      </c>
      <c r="K639" s="4" t="e">
        <f t="array" aca="1" ref="K639">MAX(H639:J639*(1-strike(H639:J639)))</f>
        <v>#NAME?</v>
      </c>
      <c r="L639" s="3">
        <v>92.5</v>
      </c>
      <c r="M639" s="3">
        <v>97.5</v>
      </c>
      <c r="N639" s="3">
        <v>100</v>
      </c>
      <c r="O639" s="4" t="e">
        <f t="array" aca="1" ref="O639">MAX(L639:N639*(1-strike(L639:N639)))</f>
        <v>#NAME?</v>
      </c>
      <c r="P639" s="3">
        <v>230</v>
      </c>
      <c r="Q639" s="1">
        <v>247.5</v>
      </c>
      <c r="R639" s="1">
        <v>247.5</v>
      </c>
      <c r="S639" s="4" t="e">
        <f t="array" aca="1" ref="S639">MAX(P639:R639*(1-strike(P639:R639)))</f>
        <v>#NAME?</v>
      </c>
      <c r="T639" s="4" t="e">
        <f t="shared" si="9"/>
        <v>#NAME?</v>
      </c>
      <c r="U639" s="3">
        <v>522.5</v>
      </c>
      <c r="V639" s="3">
        <v>454.37</v>
      </c>
      <c r="W639" s="3">
        <v>9</v>
      </c>
      <c r="X639" s="5">
        <v>2013</v>
      </c>
      <c r="Y639" s="5" t="s">
        <v>29</v>
      </c>
      <c r="Z639" s="5" t="s">
        <v>30</v>
      </c>
      <c r="AA639" s="5">
        <v>1019</v>
      </c>
    </row>
    <row r="640" spans="1:27">
      <c r="A640" s="4">
        <v>7</v>
      </c>
      <c r="B640" s="4" t="s">
        <v>103</v>
      </c>
      <c r="C640" s="4">
        <v>1966</v>
      </c>
      <c r="D640" s="4" t="s">
        <v>62</v>
      </c>
      <c r="E640" s="4">
        <v>58.55</v>
      </c>
      <c r="F640" s="4">
        <v>0.87239999999999995</v>
      </c>
      <c r="G640" s="4">
        <v>3</v>
      </c>
      <c r="H640" s="6">
        <v>172.5</v>
      </c>
      <c r="I640" s="6">
        <v>172.5</v>
      </c>
      <c r="J640" s="4">
        <v>172.5</v>
      </c>
      <c r="K640" s="4" t="e">
        <f t="array" aca="1" ref="K640">MAX(H640:J640*(1-strike(H640:J640)))</f>
        <v>#NAME?</v>
      </c>
      <c r="L640" s="4">
        <v>70</v>
      </c>
      <c r="M640" s="4">
        <v>75</v>
      </c>
      <c r="N640" s="6">
        <v>80</v>
      </c>
      <c r="O640" s="4" t="e">
        <f t="array" aca="1" ref="O640">MAX(L640:N640*(1-strike(L640:N640)))</f>
        <v>#NAME?</v>
      </c>
      <c r="P640" s="4">
        <v>225</v>
      </c>
      <c r="Q640" s="4">
        <v>235</v>
      </c>
      <c r="R640" s="6">
        <v>252.5</v>
      </c>
      <c r="S640" s="4" t="e">
        <f t="array" aca="1" ref="S640">MAX(P640:R640*(1-strike(P640:R640)))</f>
        <v>#NAME?</v>
      </c>
      <c r="T640" s="4" t="e">
        <f t="shared" si="9"/>
        <v>#NAME?</v>
      </c>
      <c r="U640" s="4">
        <v>482.5</v>
      </c>
      <c r="V640" s="4">
        <v>420.93</v>
      </c>
      <c r="W640" s="4">
        <v>4</v>
      </c>
      <c r="X640" s="5">
        <v>2014</v>
      </c>
      <c r="Y640" s="5" t="s">
        <v>29</v>
      </c>
      <c r="Z640" s="5" t="s">
        <v>30</v>
      </c>
      <c r="AA640" s="5">
        <v>654</v>
      </c>
    </row>
    <row r="641" spans="1:27">
      <c r="A641" s="4">
        <v>5</v>
      </c>
      <c r="B641" s="4" t="s">
        <v>598</v>
      </c>
      <c r="C641" s="4">
        <v>1986</v>
      </c>
      <c r="D641" s="4" t="s">
        <v>39</v>
      </c>
      <c r="E641" s="4">
        <v>65.66</v>
      </c>
      <c r="F641" s="4">
        <v>0.78849999999999998</v>
      </c>
      <c r="G641" s="4">
        <v>16</v>
      </c>
      <c r="H641" s="4">
        <v>215</v>
      </c>
      <c r="I641" s="4">
        <v>222.5</v>
      </c>
      <c r="J641" s="4">
        <v>225</v>
      </c>
      <c r="K641" s="4" t="e">
        <f t="array" aca="1" ref="K641">MAX(H641:J641*(1-strike(H641:J641)))</f>
        <v>#NAME?</v>
      </c>
      <c r="L641" s="4">
        <v>135</v>
      </c>
      <c r="M641" s="4">
        <v>142.5</v>
      </c>
      <c r="N641" s="4">
        <v>145</v>
      </c>
      <c r="O641" s="4" t="e">
        <f t="array" aca="1" ref="O641">MAX(L641:N641*(1-strike(L641:N641)))</f>
        <v>#NAME?</v>
      </c>
      <c r="P641" s="4">
        <v>240</v>
      </c>
      <c r="Q641" s="6">
        <v>252.5</v>
      </c>
      <c r="R641" s="6">
        <v>252.5</v>
      </c>
      <c r="S641" s="4" t="e">
        <f t="array" aca="1" ref="S641">MAX(P641:R641*(1-strike(P641:R641)))</f>
        <v>#NAME?</v>
      </c>
      <c r="T641" s="4" t="e">
        <f t="shared" si="9"/>
        <v>#NAME?</v>
      </c>
      <c r="U641" s="4">
        <v>610</v>
      </c>
      <c r="V641" s="4">
        <v>480.99</v>
      </c>
      <c r="W641" s="4">
        <v>6</v>
      </c>
      <c r="X641" s="5">
        <v>2015</v>
      </c>
      <c r="Y641" s="5" t="s">
        <v>29</v>
      </c>
      <c r="Z641" s="5" t="s">
        <v>30</v>
      </c>
      <c r="AA641" s="5">
        <v>231</v>
      </c>
    </row>
    <row r="642" spans="1:27">
      <c r="A642" s="4">
        <v>9</v>
      </c>
      <c r="B642" s="4" t="s">
        <v>599</v>
      </c>
      <c r="C642" s="4">
        <v>1990</v>
      </c>
      <c r="D642" s="4" t="s">
        <v>142</v>
      </c>
      <c r="E642" s="4">
        <v>79.95</v>
      </c>
      <c r="F642" s="4">
        <v>0.68300000000000005</v>
      </c>
      <c r="G642" s="4">
        <v>5</v>
      </c>
      <c r="H642" s="4">
        <v>220</v>
      </c>
      <c r="I642" s="4">
        <v>230</v>
      </c>
      <c r="J642" s="6">
        <v>235</v>
      </c>
      <c r="K642" s="4" t="e">
        <f t="array" aca="1" ref="K642">MAX(H642:J642*(1-strike(H642:J642)))</f>
        <v>#NAME?</v>
      </c>
      <c r="L642" s="4">
        <v>165</v>
      </c>
      <c r="M642" s="6">
        <v>172.5</v>
      </c>
      <c r="N642" s="6">
        <v>172.5</v>
      </c>
      <c r="O642" s="4" t="e">
        <f t="array" aca="1" ref="O642">MAX(L642:N642*(1-strike(L642:N642)))</f>
        <v>#NAME?</v>
      </c>
      <c r="P642" s="4">
        <v>260</v>
      </c>
      <c r="Q642" s="6">
        <v>270</v>
      </c>
      <c r="R642" s="4"/>
      <c r="S642" s="4" t="e">
        <f t="array" aca="1" ref="S642">MAX(P642:R642*(1-strike(P642:R642)))</f>
        <v>#NAME?</v>
      </c>
      <c r="T642" s="4" t="e">
        <f t="shared" ref="T642:T705" si="10">IF(AND(K642&lt;&gt;0,O642&lt;&gt;0,S642&lt;&gt;0),K642+O642+S642,0)</f>
        <v>#NAME?</v>
      </c>
      <c r="U642" s="4">
        <v>655</v>
      </c>
      <c r="V642" s="4">
        <v>447.37</v>
      </c>
      <c r="W642" s="4">
        <v>2</v>
      </c>
      <c r="X642" s="5">
        <v>2015</v>
      </c>
      <c r="Y642" s="5" t="s">
        <v>29</v>
      </c>
      <c r="Z642" s="5" t="s">
        <v>30</v>
      </c>
      <c r="AA642" s="5">
        <v>264</v>
      </c>
    </row>
    <row r="643" spans="1:27">
      <c r="A643" s="3" t="s">
        <v>37</v>
      </c>
      <c r="B643" s="3" t="s">
        <v>104</v>
      </c>
      <c r="C643" s="3">
        <v>1986</v>
      </c>
      <c r="D643" s="3" t="s">
        <v>39</v>
      </c>
      <c r="E643" s="3">
        <v>104.65</v>
      </c>
      <c r="F643" s="3">
        <v>0.59830000000000005</v>
      </c>
      <c r="G643" s="3">
        <v>1</v>
      </c>
      <c r="H643" s="3">
        <v>290</v>
      </c>
      <c r="I643" s="3">
        <v>300</v>
      </c>
      <c r="J643" s="3">
        <v>310</v>
      </c>
      <c r="K643" s="4" t="e">
        <f t="array" aca="1" ref="K643">MAX(H643:J643*(1-strike(H643:J643)))</f>
        <v>#NAME?</v>
      </c>
      <c r="L643" s="3">
        <v>205</v>
      </c>
      <c r="M643" s="3">
        <v>212.5</v>
      </c>
      <c r="N643" s="1">
        <v>215</v>
      </c>
      <c r="O643" s="4" t="e">
        <f t="array" aca="1" ref="O643">MAX(L643:N643*(1-strike(L643:N643)))</f>
        <v>#NAME?</v>
      </c>
      <c r="P643" s="3">
        <v>315</v>
      </c>
      <c r="Q643" s="3">
        <v>325</v>
      </c>
      <c r="R643" s="3">
        <v>332.5</v>
      </c>
      <c r="S643" s="4" t="e">
        <f t="array" aca="1" ref="S643">MAX(P643:R643*(1-strike(P643:R643)))</f>
        <v>#NAME?</v>
      </c>
      <c r="T643" s="4" t="e">
        <f t="shared" si="10"/>
        <v>#NAME?</v>
      </c>
      <c r="U643" s="3" t="s">
        <v>361</v>
      </c>
      <c r="V643" s="3" t="s">
        <v>37</v>
      </c>
      <c r="W643" s="3" t="s">
        <v>37</v>
      </c>
      <c r="X643" s="5">
        <v>2013</v>
      </c>
      <c r="Y643" s="5" t="s">
        <v>29</v>
      </c>
      <c r="Z643" s="5" t="s">
        <v>30</v>
      </c>
      <c r="AA643" s="5">
        <v>1089</v>
      </c>
    </row>
    <row r="644" spans="1:27">
      <c r="A644" s="4">
        <v>4</v>
      </c>
      <c r="B644" s="4" t="s">
        <v>104</v>
      </c>
      <c r="C644" s="4">
        <v>1986</v>
      </c>
      <c r="D644" s="4" t="s">
        <v>39</v>
      </c>
      <c r="E644" s="4">
        <v>103.65</v>
      </c>
      <c r="F644" s="4">
        <v>0.60029999999999994</v>
      </c>
      <c r="G644" s="4">
        <v>16</v>
      </c>
      <c r="H644" s="6">
        <v>380</v>
      </c>
      <c r="I644" s="6">
        <v>380</v>
      </c>
      <c r="J644" s="4">
        <v>380</v>
      </c>
      <c r="K644" s="4" t="e">
        <f t="array" aca="1" ref="K644">MAX(H644:J644*(1-strike(H644:J644)))</f>
        <v>#NAME?</v>
      </c>
      <c r="L644" s="4">
        <v>260</v>
      </c>
      <c r="M644" s="4">
        <v>270</v>
      </c>
      <c r="N644" s="4">
        <v>277.5</v>
      </c>
      <c r="O644" s="4" t="e">
        <f t="array" aca="1" ref="O644">MAX(L644:N644*(1-strike(L644:N644)))</f>
        <v>#NAME?</v>
      </c>
      <c r="P644" s="4">
        <v>310</v>
      </c>
      <c r="Q644" s="4">
        <v>325</v>
      </c>
      <c r="R644" s="6">
        <v>347.5</v>
      </c>
      <c r="S644" s="4" t="e">
        <f t="array" aca="1" ref="S644">MAX(P644:R644*(1-strike(P644:R644)))</f>
        <v>#NAME?</v>
      </c>
      <c r="T644" s="4" t="e">
        <f t="shared" si="10"/>
        <v>#NAME?</v>
      </c>
      <c r="U644" s="4">
        <v>982.5</v>
      </c>
      <c r="V644" s="4">
        <v>589.79</v>
      </c>
      <c r="W644" s="4">
        <v>7</v>
      </c>
      <c r="X644" s="5">
        <v>2015</v>
      </c>
      <c r="Y644" s="5" t="s">
        <v>29</v>
      </c>
      <c r="Z644" s="5" t="s">
        <v>171</v>
      </c>
      <c r="AA644" s="5">
        <v>76</v>
      </c>
    </row>
    <row r="645" spans="1:27">
      <c r="A645" s="3">
        <v>1</v>
      </c>
      <c r="B645" s="3" t="s">
        <v>105</v>
      </c>
      <c r="C645" s="3">
        <v>1982</v>
      </c>
      <c r="D645" s="3" t="s">
        <v>28</v>
      </c>
      <c r="E645" s="3">
        <v>81.849999999999994</v>
      </c>
      <c r="F645" s="3">
        <v>0.67320000000000002</v>
      </c>
      <c r="G645" s="3">
        <v>24</v>
      </c>
      <c r="H645" s="3">
        <v>260</v>
      </c>
      <c r="I645" s="3">
        <v>265</v>
      </c>
      <c r="J645" s="1">
        <v>270</v>
      </c>
      <c r="K645" s="4" t="e">
        <f t="array" aca="1" ref="K645">MAX(H645:J645*(1-strike(H645:J645)))</f>
        <v>#NAME?</v>
      </c>
      <c r="L645" s="3">
        <v>175</v>
      </c>
      <c r="M645" s="3">
        <v>180</v>
      </c>
      <c r="N645" s="3">
        <v>182.5</v>
      </c>
      <c r="O645" s="4" t="e">
        <f t="array" aca="1" ref="O645">MAX(L645:N645*(1-strike(L645:N645)))</f>
        <v>#NAME?</v>
      </c>
      <c r="P645" s="3">
        <v>290</v>
      </c>
      <c r="Q645" s="3">
        <v>300</v>
      </c>
      <c r="R645" s="3">
        <v>312.5</v>
      </c>
      <c r="S645" s="4" t="e">
        <f t="array" aca="1" ref="S645">MAX(P645:R645*(1-strike(P645:R645)))</f>
        <v>#NAME?</v>
      </c>
      <c r="T645" s="4" t="e">
        <f t="shared" si="10"/>
        <v>#NAME?</v>
      </c>
      <c r="U645" s="3" t="s">
        <v>600</v>
      </c>
      <c r="V645" s="3">
        <v>511.59</v>
      </c>
      <c r="W645" s="3">
        <v>12</v>
      </c>
      <c r="X645" s="5">
        <v>2013</v>
      </c>
      <c r="Y645" s="5" t="s">
        <v>29</v>
      </c>
      <c r="Z645" s="5" t="s">
        <v>30</v>
      </c>
      <c r="AA645" s="5">
        <v>1044</v>
      </c>
    </row>
    <row r="646" spans="1:27">
      <c r="A646" s="4">
        <v>2</v>
      </c>
      <c r="B646" s="4" t="s">
        <v>105</v>
      </c>
      <c r="C646" s="4">
        <v>1982</v>
      </c>
      <c r="D646" s="4" t="s">
        <v>28</v>
      </c>
      <c r="E646" s="4">
        <v>82.3</v>
      </c>
      <c r="F646" s="4">
        <v>0.67090000000000005</v>
      </c>
      <c r="G646" s="4">
        <v>17</v>
      </c>
      <c r="H646" s="4">
        <v>267.5</v>
      </c>
      <c r="I646" s="6">
        <v>275</v>
      </c>
      <c r="J646" s="6">
        <v>275</v>
      </c>
      <c r="K646" s="4" t="e">
        <f t="array" aca="1" ref="K646">MAX(H646:J646*(1-strike(H646:J646)))</f>
        <v>#NAME?</v>
      </c>
      <c r="L646" s="4">
        <v>177.5</v>
      </c>
      <c r="M646" s="4">
        <v>182.5</v>
      </c>
      <c r="N646" s="6">
        <v>187.5</v>
      </c>
      <c r="O646" s="4" t="e">
        <f t="array" aca="1" ref="O646">MAX(L646:N646*(1-strike(L646:N646)))</f>
        <v>#NAME?</v>
      </c>
      <c r="P646" s="4">
        <v>290</v>
      </c>
      <c r="Q646" s="4">
        <v>305</v>
      </c>
      <c r="R646" s="6">
        <v>320</v>
      </c>
      <c r="S646" s="4" t="e">
        <f t="array" aca="1" ref="S646">MAX(P646:R646*(1-strike(P646:R646)))</f>
        <v>#NAME?</v>
      </c>
      <c r="T646" s="4" t="e">
        <f t="shared" si="10"/>
        <v>#NAME?</v>
      </c>
      <c r="U646" s="4">
        <v>755</v>
      </c>
      <c r="V646" s="4">
        <v>506.53</v>
      </c>
      <c r="W646" s="4">
        <v>9</v>
      </c>
      <c r="X646" s="5">
        <v>2014</v>
      </c>
      <c r="Y646" s="5" t="s">
        <v>29</v>
      </c>
      <c r="Z646" s="5" t="s">
        <v>30</v>
      </c>
      <c r="AA646" s="5">
        <v>684</v>
      </c>
    </row>
    <row r="647" spans="1:27">
      <c r="A647" s="4" t="s">
        <v>37</v>
      </c>
      <c r="B647" s="4" t="s">
        <v>105</v>
      </c>
      <c r="C647" s="4">
        <v>1982</v>
      </c>
      <c r="D647" s="4" t="s">
        <v>28</v>
      </c>
      <c r="E647" s="4">
        <v>82.04</v>
      </c>
      <c r="F647" s="4">
        <v>0.67220000000000002</v>
      </c>
      <c r="G647" s="4">
        <v>1</v>
      </c>
      <c r="H647" s="6">
        <v>267.5</v>
      </c>
      <c r="I647" s="6">
        <v>267.5</v>
      </c>
      <c r="J647" s="6">
        <v>267.5</v>
      </c>
      <c r="K647" s="4" t="e">
        <f t="array" aca="1" ref="K647">MAX(H647:J647*(1-strike(H647:J647)))</f>
        <v>#NAME?</v>
      </c>
      <c r="L647" s="4">
        <v>175</v>
      </c>
      <c r="M647" s="4">
        <v>177.5</v>
      </c>
      <c r="N647" s="4"/>
      <c r="O647" s="4" t="e">
        <f t="array" aca="1" ref="O647">MAX(L647:N647*(1-strike(L647:N647)))</f>
        <v>#NAME?</v>
      </c>
      <c r="P647" s="4">
        <v>285</v>
      </c>
      <c r="Q647" s="4">
        <v>302.5</v>
      </c>
      <c r="R647" s="6">
        <v>307.5</v>
      </c>
      <c r="S647" s="4" t="e">
        <f t="array" aca="1" ref="S647">MAX(P647:R647*(1-strike(P647:R647)))</f>
        <v>#NAME?</v>
      </c>
      <c r="T647" s="4" t="e">
        <f t="shared" si="10"/>
        <v>#NAME?</v>
      </c>
      <c r="U647" s="4" t="s">
        <v>187</v>
      </c>
      <c r="V647" s="4" t="s">
        <v>37</v>
      </c>
      <c r="W647" s="4" t="s">
        <v>37</v>
      </c>
      <c r="X647" s="5">
        <v>2015</v>
      </c>
      <c r="Y647" s="5" t="s">
        <v>29</v>
      </c>
      <c r="Z647" s="5" t="s">
        <v>30</v>
      </c>
      <c r="AA647" s="5">
        <v>270</v>
      </c>
    </row>
    <row r="648" spans="1:27">
      <c r="A648" s="3">
        <v>4</v>
      </c>
      <c r="B648" s="3" t="s">
        <v>601</v>
      </c>
      <c r="C648" s="3">
        <v>1985</v>
      </c>
      <c r="D648" s="3" t="s">
        <v>464</v>
      </c>
      <c r="E648" s="3">
        <v>65.94</v>
      </c>
      <c r="F648" s="3">
        <v>0.78580000000000005</v>
      </c>
      <c r="G648" s="3">
        <v>23</v>
      </c>
      <c r="H648" s="3">
        <v>260</v>
      </c>
      <c r="I648" s="3">
        <v>272.5</v>
      </c>
      <c r="J648" s="1">
        <v>280</v>
      </c>
      <c r="K648" s="4" t="e">
        <f t="array" aca="1" ref="K648">MAX(H648:J648*(1-strike(H648:J648)))</f>
        <v>#NAME?</v>
      </c>
      <c r="L648" s="1">
        <v>177.5</v>
      </c>
      <c r="M648" s="3">
        <v>177.5</v>
      </c>
      <c r="N648" s="3">
        <v>182.5</v>
      </c>
      <c r="O648" s="4" t="e">
        <f t="array" aca="1" ref="O648">MAX(L648:N648*(1-strike(L648:N648)))</f>
        <v>#NAME?</v>
      </c>
      <c r="P648" s="3">
        <v>260</v>
      </c>
      <c r="Q648" s="3">
        <v>272.5</v>
      </c>
      <c r="R648" s="3">
        <v>277.5</v>
      </c>
      <c r="S648" s="4" t="e">
        <f t="array" aca="1" ref="S648">MAX(P648:R648*(1-strike(P648:R648)))</f>
        <v>#NAME?</v>
      </c>
      <c r="T648" s="4" t="e">
        <f t="shared" si="10"/>
        <v>#NAME?</v>
      </c>
      <c r="U648" s="3">
        <v>732.5</v>
      </c>
      <c r="V648" s="3">
        <v>575.59</v>
      </c>
      <c r="W648" s="3">
        <v>7</v>
      </c>
      <c r="X648" s="5">
        <v>2012</v>
      </c>
      <c r="Y648" s="5" t="s">
        <v>29</v>
      </c>
      <c r="Z648" s="5" t="s">
        <v>171</v>
      </c>
      <c r="AA648" s="5">
        <v>1206</v>
      </c>
    </row>
    <row r="649" spans="1:27">
      <c r="A649" s="3">
        <v>13</v>
      </c>
      <c r="B649" s="3" t="s">
        <v>602</v>
      </c>
      <c r="C649" s="3">
        <v>1989</v>
      </c>
      <c r="D649" s="3" t="s">
        <v>336</v>
      </c>
      <c r="E649" s="3">
        <v>73.680000000000007</v>
      </c>
      <c r="F649" s="3">
        <v>0.72150000000000003</v>
      </c>
      <c r="G649" s="3">
        <v>3</v>
      </c>
      <c r="H649" s="3">
        <v>180</v>
      </c>
      <c r="I649" s="3">
        <v>190</v>
      </c>
      <c r="J649" s="1">
        <v>195</v>
      </c>
      <c r="K649" s="4" t="e">
        <f t="array" aca="1" ref="K649">MAX(H649:J649*(1-strike(H649:J649)))</f>
        <v>#NAME?</v>
      </c>
      <c r="L649" s="3">
        <v>122.5</v>
      </c>
      <c r="M649" s="1">
        <v>130</v>
      </c>
      <c r="N649" s="1">
        <v>130</v>
      </c>
      <c r="O649" s="4" t="e">
        <f t="array" aca="1" ref="O649">MAX(L649:N649*(1-strike(L649:N649)))</f>
        <v>#NAME?</v>
      </c>
      <c r="P649" s="3">
        <v>215</v>
      </c>
      <c r="Q649" s="3">
        <v>232.5</v>
      </c>
      <c r="R649" s="1">
        <v>242.5</v>
      </c>
      <c r="S649" s="4" t="e">
        <f t="array" aca="1" ref="S649">MAX(P649:R649*(1-strike(P649:R649)))</f>
        <v>#NAME?</v>
      </c>
      <c r="T649" s="4" t="e">
        <f t="shared" si="10"/>
        <v>#NAME?</v>
      </c>
      <c r="U649" s="3">
        <v>545</v>
      </c>
      <c r="V649" s="3">
        <v>393.23</v>
      </c>
      <c r="W649" s="3">
        <v>1</v>
      </c>
      <c r="X649" s="5">
        <v>2012</v>
      </c>
      <c r="Y649" s="5" t="s">
        <v>29</v>
      </c>
      <c r="Z649" s="5" t="s">
        <v>171</v>
      </c>
      <c r="AA649" s="5">
        <v>1229</v>
      </c>
    </row>
    <row r="650" spans="1:27" ht="15" customHeight="1">
      <c r="A650" s="3" t="s">
        <v>37</v>
      </c>
      <c r="B650" s="3" t="s">
        <v>107</v>
      </c>
      <c r="C650" s="3">
        <v>1982</v>
      </c>
      <c r="D650" s="3" t="s">
        <v>42</v>
      </c>
      <c r="E650" s="3">
        <v>58.25</v>
      </c>
      <c r="F650" s="3">
        <v>0.87660000000000005</v>
      </c>
      <c r="G650" s="3">
        <v>5</v>
      </c>
      <c r="H650" s="3">
        <v>185</v>
      </c>
      <c r="I650" s="3">
        <v>200</v>
      </c>
      <c r="J650" s="1">
        <v>207.5</v>
      </c>
      <c r="K650" s="4" t="e">
        <f t="array" aca="1" ref="K650">MAX(H650:J650*(1-strike(H650:J650)))</f>
        <v>#NAME?</v>
      </c>
      <c r="L650" s="3">
        <v>105</v>
      </c>
      <c r="M650" s="1">
        <v>112.5</v>
      </c>
      <c r="N650" s="1">
        <v>112.5</v>
      </c>
      <c r="O650" s="4" t="e">
        <f t="array" aca="1" ref="O650">MAX(L650:N650*(1-strike(L650:N650)))</f>
        <v>#NAME?</v>
      </c>
      <c r="P650" s="1">
        <v>205</v>
      </c>
      <c r="Q650" s="1">
        <v>210</v>
      </c>
      <c r="R650" s="1">
        <v>210</v>
      </c>
      <c r="S650" s="4" t="e">
        <f t="array" aca="1" ref="S650">MAX(P650:R650*(1-strike(P650:R650)))</f>
        <v>#NAME?</v>
      </c>
      <c r="T650" s="4" t="e">
        <f t="shared" si="10"/>
        <v>#NAME?</v>
      </c>
      <c r="U650" s="3" t="s">
        <v>40</v>
      </c>
      <c r="V650" s="3" t="s">
        <v>37</v>
      </c>
      <c r="W650" s="3" t="s">
        <v>37</v>
      </c>
      <c r="X650" s="5">
        <v>2013</v>
      </c>
      <c r="Y650" s="5" t="s">
        <v>29</v>
      </c>
      <c r="Z650" s="5" t="s">
        <v>30</v>
      </c>
      <c r="AA650" s="5">
        <v>1021</v>
      </c>
    </row>
    <row r="651" spans="1:27">
      <c r="A651" s="4">
        <v>5</v>
      </c>
      <c r="B651" s="4" t="s">
        <v>107</v>
      </c>
      <c r="C651" s="4">
        <v>1982</v>
      </c>
      <c r="D651" s="4" t="s">
        <v>42</v>
      </c>
      <c r="E651" s="4">
        <v>58.5</v>
      </c>
      <c r="F651" s="4">
        <v>0.87309999999999999</v>
      </c>
      <c r="G651" s="4">
        <v>1</v>
      </c>
      <c r="H651" s="4">
        <v>195</v>
      </c>
      <c r="I651" s="4">
        <v>210</v>
      </c>
      <c r="J651" s="6">
        <v>215</v>
      </c>
      <c r="K651" s="4" t="e">
        <f t="array" aca="1" ref="K651">MAX(H651:J651*(1-strike(H651:J651)))</f>
        <v>#NAME?</v>
      </c>
      <c r="L651" s="4">
        <v>105</v>
      </c>
      <c r="M651" s="4">
        <v>110</v>
      </c>
      <c r="N651" s="6">
        <v>112.5</v>
      </c>
      <c r="O651" s="4" t="e">
        <f t="array" aca="1" ref="O651">MAX(L651:N651*(1-strike(L651:N651)))</f>
        <v>#NAME?</v>
      </c>
      <c r="P651" s="4">
        <v>200</v>
      </c>
      <c r="Q651" s="4">
        <v>215</v>
      </c>
      <c r="R651" s="6">
        <v>220</v>
      </c>
      <c r="S651" s="4" t="e">
        <f t="array" aca="1" ref="S651">MAX(P651:R651*(1-strike(P651:R651)))</f>
        <v>#NAME?</v>
      </c>
      <c r="T651" s="4" t="e">
        <f t="shared" si="10"/>
        <v>#NAME?</v>
      </c>
      <c r="U651" s="4">
        <v>535</v>
      </c>
      <c r="V651" s="4">
        <v>467.11</v>
      </c>
      <c r="W651" s="4">
        <v>6</v>
      </c>
      <c r="X651" s="5">
        <v>2014</v>
      </c>
      <c r="Y651" s="5" t="s">
        <v>29</v>
      </c>
      <c r="Z651" s="5" t="s">
        <v>30</v>
      </c>
      <c r="AA651" s="5">
        <v>652</v>
      </c>
    </row>
    <row r="652" spans="1:27">
      <c r="A652" s="4" t="s">
        <v>37</v>
      </c>
      <c r="B652" s="4" t="s">
        <v>107</v>
      </c>
      <c r="C652" s="4">
        <v>1982</v>
      </c>
      <c r="D652" s="4" t="s">
        <v>42</v>
      </c>
      <c r="E652" s="4">
        <v>58.85</v>
      </c>
      <c r="F652" s="4">
        <v>0.86819999999999997</v>
      </c>
      <c r="G652" s="4">
        <v>1</v>
      </c>
      <c r="H652" s="4">
        <v>210</v>
      </c>
      <c r="I652" s="4">
        <v>220</v>
      </c>
      <c r="J652" s="6">
        <v>222.5</v>
      </c>
      <c r="K652" s="4" t="e">
        <f t="array" aca="1" ref="K652">MAX(H652:J652*(1-strike(H652:J652)))</f>
        <v>#NAME?</v>
      </c>
      <c r="L652" s="6">
        <v>110</v>
      </c>
      <c r="M652" s="6">
        <v>117.5</v>
      </c>
      <c r="N652" s="6">
        <v>117.5</v>
      </c>
      <c r="O652" s="4" t="e">
        <f t="array" aca="1" ref="O652">MAX(L652:N652*(1-strike(L652:N652)))</f>
        <v>#NAME?</v>
      </c>
      <c r="P652" s="4">
        <v>225</v>
      </c>
      <c r="Q652" s="6">
        <v>235</v>
      </c>
      <c r="R652" s="6">
        <v>237.5</v>
      </c>
      <c r="S652" s="4" t="e">
        <f t="array" aca="1" ref="S652">MAX(P652:R652*(1-strike(P652:R652)))</f>
        <v>#NAME?</v>
      </c>
      <c r="T652" s="4" t="e">
        <f t="shared" si="10"/>
        <v>#NAME?</v>
      </c>
      <c r="U652" s="4" t="s">
        <v>187</v>
      </c>
      <c r="V652" s="4" t="s">
        <v>37</v>
      </c>
      <c r="W652" s="4" t="s">
        <v>37</v>
      </c>
      <c r="X652" s="5">
        <v>2015</v>
      </c>
      <c r="Y652" s="5" t="s">
        <v>29</v>
      </c>
      <c r="Z652" s="5" t="s">
        <v>30</v>
      </c>
      <c r="AA652" s="5">
        <v>225</v>
      </c>
    </row>
    <row r="653" spans="1:27">
      <c r="A653" s="4">
        <v>8</v>
      </c>
      <c r="B653" s="4" t="s">
        <v>603</v>
      </c>
      <c r="C653" s="4">
        <v>1987</v>
      </c>
      <c r="D653" s="4" t="s">
        <v>125</v>
      </c>
      <c r="E653" s="4">
        <v>104.34</v>
      </c>
      <c r="F653" s="4">
        <v>0.59899999999999998</v>
      </c>
      <c r="G653" s="4">
        <v>8</v>
      </c>
      <c r="H653" s="4">
        <v>325</v>
      </c>
      <c r="I653" s="4">
        <v>347.5</v>
      </c>
      <c r="J653" s="6">
        <v>360</v>
      </c>
      <c r="K653" s="4" t="e">
        <f t="array" aca="1" ref="K653">MAX(H653:J653*(1-strike(H653:J653)))</f>
        <v>#NAME?</v>
      </c>
      <c r="L653" s="4">
        <v>215</v>
      </c>
      <c r="M653" s="4">
        <v>222.5</v>
      </c>
      <c r="N653" s="4">
        <v>230</v>
      </c>
      <c r="O653" s="4" t="e">
        <f t="array" aca="1" ref="O653">MAX(L653:N653*(1-strike(L653:N653)))</f>
        <v>#NAME?</v>
      </c>
      <c r="P653" s="4">
        <v>285</v>
      </c>
      <c r="Q653" s="4">
        <v>300</v>
      </c>
      <c r="R653" s="4">
        <v>317.5</v>
      </c>
      <c r="S653" s="4" t="e">
        <f t="array" aca="1" ref="S653">MAX(P653:R653*(1-strike(P653:R653)))</f>
        <v>#NAME?</v>
      </c>
      <c r="T653" s="4" t="e">
        <f t="shared" si="10"/>
        <v>#NAME?</v>
      </c>
      <c r="U653" s="4">
        <v>895</v>
      </c>
      <c r="V653" s="4">
        <v>536.11</v>
      </c>
      <c r="W653" s="4">
        <v>3</v>
      </c>
      <c r="X653" s="5">
        <v>2014</v>
      </c>
      <c r="Y653" s="5" t="s">
        <v>29</v>
      </c>
      <c r="Z653" s="5" t="s">
        <v>171</v>
      </c>
      <c r="AA653" s="5">
        <v>520</v>
      </c>
    </row>
    <row r="654" spans="1:27">
      <c r="A654" s="4">
        <v>10</v>
      </c>
      <c r="B654" s="4" t="s">
        <v>603</v>
      </c>
      <c r="C654" s="4">
        <v>1987</v>
      </c>
      <c r="D654" s="4" t="s">
        <v>125</v>
      </c>
      <c r="E654" s="4">
        <v>104.23</v>
      </c>
      <c r="F654" s="4">
        <v>0.59909999999999997</v>
      </c>
      <c r="G654" s="4">
        <v>22</v>
      </c>
      <c r="H654" s="4">
        <v>335</v>
      </c>
      <c r="I654" s="4">
        <v>350</v>
      </c>
      <c r="J654" s="4">
        <v>357.5</v>
      </c>
      <c r="K654" s="4" t="e">
        <f t="array" aca="1" ref="K654">MAX(H654:J654*(1-strike(H654:J654)))</f>
        <v>#NAME?</v>
      </c>
      <c r="L654" s="4">
        <v>235</v>
      </c>
      <c r="M654" s="4">
        <v>245</v>
      </c>
      <c r="N654" s="4">
        <v>252.5</v>
      </c>
      <c r="O654" s="4" t="e">
        <f t="array" aca="1" ref="O654">MAX(L654:N654*(1-strike(L654:N654)))</f>
        <v>#NAME?</v>
      </c>
      <c r="P654" s="4">
        <v>285</v>
      </c>
      <c r="Q654" s="4">
        <v>305</v>
      </c>
      <c r="R654" s="6">
        <v>312.5</v>
      </c>
      <c r="S654" s="4" t="e">
        <f t="array" aca="1" ref="S654">MAX(P654:R654*(1-strike(P654:R654)))</f>
        <v>#NAME?</v>
      </c>
      <c r="T654" s="4" t="e">
        <f t="shared" si="10"/>
        <v>#NAME?</v>
      </c>
      <c r="U654" s="4">
        <v>915</v>
      </c>
      <c r="V654" s="4">
        <v>548.17999999999995</v>
      </c>
      <c r="W654" s="4">
        <v>1</v>
      </c>
      <c r="X654" s="5">
        <v>2015</v>
      </c>
      <c r="Y654" s="5" t="s">
        <v>29</v>
      </c>
      <c r="Z654" s="5" t="s">
        <v>171</v>
      </c>
      <c r="AA654" s="5">
        <v>82</v>
      </c>
    </row>
    <row r="655" spans="1:27">
      <c r="A655" s="4">
        <v>12</v>
      </c>
      <c r="B655" s="4" t="s">
        <v>604</v>
      </c>
      <c r="C655" s="4">
        <v>1988</v>
      </c>
      <c r="D655" s="4" t="s">
        <v>113</v>
      </c>
      <c r="E655" s="4">
        <v>118.66</v>
      </c>
      <c r="F655" s="4">
        <v>0.57650000000000001</v>
      </c>
      <c r="G655" s="4">
        <v>10</v>
      </c>
      <c r="H655" s="4">
        <v>257.5</v>
      </c>
      <c r="I655" s="4">
        <v>270</v>
      </c>
      <c r="J655" s="6">
        <v>275</v>
      </c>
      <c r="K655" s="4" t="e">
        <f t="array" aca="1" ref="K655">MAX(H655:J655*(1-strike(H655:J655)))</f>
        <v>#NAME?</v>
      </c>
      <c r="L655" s="4">
        <v>185</v>
      </c>
      <c r="M655" s="4">
        <v>195</v>
      </c>
      <c r="N655" s="6">
        <v>200</v>
      </c>
      <c r="O655" s="4" t="e">
        <f t="array" aca="1" ref="O655">MAX(L655:N655*(1-strike(L655:N655)))</f>
        <v>#NAME?</v>
      </c>
      <c r="P655" s="4">
        <v>302.5</v>
      </c>
      <c r="Q655" s="6">
        <v>322.5</v>
      </c>
      <c r="R655" s="4">
        <v>322.5</v>
      </c>
      <c r="S655" s="4" t="e">
        <f t="array" aca="1" ref="S655">MAX(P655:R655*(1-strike(P655:R655)))</f>
        <v>#NAME?</v>
      </c>
      <c r="T655" s="4" t="e">
        <f t="shared" si="10"/>
        <v>#NAME?</v>
      </c>
      <c r="U655" s="4">
        <v>787.5</v>
      </c>
      <c r="V655" s="4">
        <v>453.99</v>
      </c>
      <c r="W655" s="4">
        <v>1</v>
      </c>
      <c r="X655" s="5">
        <v>2015</v>
      </c>
      <c r="Y655" s="5" t="s">
        <v>29</v>
      </c>
      <c r="Z655" s="5" t="s">
        <v>30</v>
      </c>
      <c r="AA655" s="5">
        <v>318</v>
      </c>
    </row>
    <row r="656" spans="1:27">
      <c r="A656" s="3">
        <v>2</v>
      </c>
      <c r="B656" s="3" t="s">
        <v>605</v>
      </c>
      <c r="C656" s="3">
        <v>1981</v>
      </c>
      <c r="D656" s="3" t="s">
        <v>28</v>
      </c>
      <c r="E656" s="3">
        <v>104.74</v>
      </c>
      <c r="F656" s="3">
        <v>0.59809999999999997</v>
      </c>
      <c r="G656" s="3">
        <v>7</v>
      </c>
      <c r="H656" s="3">
        <v>385</v>
      </c>
      <c r="I656" s="1">
        <v>400</v>
      </c>
      <c r="J656" s="3">
        <v>400</v>
      </c>
      <c r="K656" s="4" t="e">
        <f t="array" aca="1" ref="K656">MAX(H656:J656*(1-strike(H656:J656)))</f>
        <v>#NAME?</v>
      </c>
      <c r="L656" s="3">
        <v>280</v>
      </c>
      <c r="M656" s="3">
        <v>290</v>
      </c>
      <c r="N656" s="3">
        <v>295</v>
      </c>
      <c r="O656" s="4" t="e">
        <f t="array" aca="1" ref="O656">MAX(L656:N656*(1-strike(L656:N656)))</f>
        <v>#NAME?</v>
      </c>
      <c r="P656" s="1">
        <v>345</v>
      </c>
      <c r="Q656" s="3">
        <v>345</v>
      </c>
      <c r="R656" s="3">
        <v>352.5</v>
      </c>
      <c r="S656" s="4" t="e">
        <f t="array" aca="1" ref="S656">MAX(P656:R656*(1-strike(P656:R656)))</f>
        <v>#NAME?</v>
      </c>
      <c r="T656" s="4" t="e">
        <f t="shared" si="10"/>
        <v>#NAME?</v>
      </c>
      <c r="U656" s="3" t="s">
        <v>432</v>
      </c>
      <c r="V656" s="3">
        <v>626.53</v>
      </c>
      <c r="W656" s="3">
        <v>9</v>
      </c>
      <c r="X656" s="5">
        <v>2012</v>
      </c>
      <c r="Y656" s="5" t="s">
        <v>29</v>
      </c>
      <c r="Z656" s="5" t="s">
        <v>171</v>
      </c>
      <c r="AA656" s="5">
        <v>1279</v>
      </c>
    </row>
    <row r="657" spans="1:27">
      <c r="A657" s="3">
        <v>2</v>
      </c>
      <c r="B657" s="3" t="s">
        <v>605</v>
      </c>
      <c r="C657" s="3">
        <v>1981</v>
      </c>
      <c r="D657" s="3" t="s">
        <v>28</v>
      </c>
      <c r="E657" s="3">
        <v>103.62</v>
      </c>
      <c r="F657" s="3">
        <v>0.60040000000000004</v>
      </c>
      <c r="G657" s="3">
        <v>1</v>
      </c>
      <c r="H657" s="3">
        <v>375</v>
      </c>
      <c r="I657" s="3">
        <v>390</v>
      </c>
      <c r="J657" s="3">
        <v>405</v>
      </c>
      <c r="K657" s="4" t="e">
        <f t="array" aca="1" ref="K657">MAX(H657:J657*(1-strike(H657:J657)))</f>
        <v>#NAME?</v>
      </c>
      <c r="L657" s="3">
        <v>275</v>
      </c>
      <c r="M657" s="3">
        <v>285</v>
      </c>
      <c r="N657" s="1">
        <v>295</v>
      </c>
      <c r="O657" s="4" t="e">
        <f t="array" aca="1" ref="O657">MAX(L657:N657*(1-strike(L657:N657)))</f>
        <v>#NAME?</v>
      </c>
      <c r="P657" s="3">
        <v>335</v>
      </c>
      <c r="Q657" s="3">
        <v>347.5</v>
      </c>
      <c r="R657" s="1">
        <v>362.5</v>
      </c>
      <c r="S657" s="4" t="e">
        <f t="array" aca="1" ref="S657">MAX(P657:R657*(1-strike(P657:R657)))</f>
        <v>#NAME?</v>
      </c>
      <c r="T657" s="4" t="e">
        <f t="shared" si="10"/>
        <v>#NAME?</v>
      </c>
      <c r="U657" s="3">
        <v>1037.5</v>
      </c>
      <c r="V657" s="3">
        <v>622.91999999999996</v>
      </c>
      <c r="W657" s="3">
        <v>9</v>
      </c>
      <c r="X657" s="5">
        <v>2013</v>
      </c>
      <c r="Y657" s="5" t="s">
        <v>29</v>
      </c>
      <c r="Z657" s="5" t="s">
        <v>171</v>
      </c>
      <c r="AA657" s="5">
        <v>883</v>
      </c>
    </row>
    <row r="658" spans="1:27">
      <c r="A658" s="4">
        <v>3</v>
      </c>
      <c r="B658" s="4" t="s">
        <v>605</v>
      </c>
      <c r="C658" s="4">
        <v>1981</v>
      </c>
      <c r="D658" s="4" t="s">
        <v>28</v>
      </c>
      <c r="E658" s="4">
        <v>104.14</v>
      </c>
      <c r="F658" s="4">
        <v>0.59940000000000004</v>
      </c>
      <c r="G658" s="4">
        <v>9</v>
      </c>
      <c r="H658" s="6">
        <v>380</v>
      </c>
      <c r="I658" s="4">
        <v>380</v>
      </c>
      <c r="J658" s="4">
        <v>395</v>
      </c>
      <c r="K658" s="4" t="e">
        <f t="array" aca="1" ref="K658">MAX(H658:J658*(1-strike(H658:J658)))</f>
        <v>#NAME?</v>
      </c>
      <c r="L658" s="4">
        <v>275</v>
      </c>
      <c r="M658" s="4">
        <v>282.5</v>
      </c>
      <c r="N658" s="4">
        <v>290</v>
      </c>
      <c r="O658" s="4" t="e">
        <f t="array" aca="1" ref="O658">MAX(L658:N658*(1-strike(L658:N658)))</f>
        <v>#NAME?</v>
      </c>
      <c r="P658" s="4">
        <v>330</v>
      </c>
      <c r="Q658" s="4">
        <v>342.5</v>
      </c>
      <c r="R658" s="4">
        <v>347.5</v>
      </c>
      <c r="S658" s="4" t="e">
        <f t="array" aca="1" ref="S658">MAX(P658:R658*(1-strike(P658:R658)))</f>
        <v>#NAME?</v>
      </c>
      <c r="T658" s="4" t="e">
        <f t="shared" si="10"/>
        <v>#NAME?</v>
      </c>
      <c r="U658" s="4">
        <v>1032.5</v>
      </c>
      <c r="V658" s="4">
        <v>618.88</v>
      </c>
      <c r="W658" s="4">
        <v>8</v>
      </c>
      <c r="X658" s="5">
        <v>2014</v>
      </c>
      <c r="Y658" s="5" t="s">
        <v>29</v>
      </c>
      <c r="Z658" s="5" t="s">
        <v>171</v>
      </c>
      <c r="AA658" s="5">
        <v>515</v>
      </c>
    </row>
    <row r="659" spans="1:27">
      <c r="A659" s="3">
        <v>12</v>
      </c>
      <c r="B659" s="3" t="s">
        <v>108</v>
      </c>
      <c r="C659" s="3">
        <v>1969</v>
      </c>
      <c r="D659" s="3" t="s">
        <v>109</v>
      </c>
      <c r="E659" s="3">
        <v>113.45</v>
      </c>
      <c r="F659" s="3">
        <v>0.58320000000000005</v>
      </c>
      <c r="G659" s="3">
        <v>36</v>
      </c>
      <c r="H659" s="3">
        <v>345</v>
      </c>
      <c r="I659" s="1">
        <v>360</v>
      </c>
      <c r="J659" s="1">
        <v>360</v>
      </c>
      <c r="K659" s="4" t="e">
        <f t="array" aca="1" ref="K659">MAX(H659:J659*(1-strike(H659:J659)))</f>
        <v>#NAME?</v>
      </c>
      <c r="L659" s="3">
        <v>210</v>
      </c>
      <c r="M659" s="1">
        <v>230</v>
      </c>
      <c r="N659" s="1">
        <v>230</v>
      </c>
      <c r="O659" s="4" t="e">
        <f t="array" aca="1" ref="O659">MAX(L659:N659*(1-strike(L659:N659)))</f>
        <v>#NAME?</v>
      </c>
      <c r="P659" s="3">
        <v>295</v>
      </c>
      <c r="Q659" s="3">
        <v>310</v>
      </c>
      <c r="R659" s="1">
        <v>317.5</v>
      </c>
      <c r="S659" s="4" t="e">
        <f t="array" aca="1" ref="S659">MAX(P659:R659*(1-strike(P659:R659)))</f>
        <v>#NAME?</v>
      </c>
      <c r="T659" s="4" t="e">
        <f t="shared" si="10"/>
        <v>#NAME?</v>
      </c>
      <c r="U659" s="3">
        <v>865</v>
      </c>
      <c r="V659" s="3">
        <v>504.46</v>
      </c>
      <c r="W659" s="3">
        <v>1</v>
      </c>
      <c r="X659" s="5">
        <v>2012</v>
      </c>
      <c r="Y659" s="5" t="s">
        <v>29</v>
      </c>
      <c r="Z659" s="5" t="s">
        <v>171</v>
      </c>
      <c r="AA659" s="5">
        <v>1310</v>
      </c>
    </row>
    <row r="660" spans="1:27" ht="15" customHeight="1">
      <c r="A660" s="4">
        <v>15</v>
      </c>
      <c r="B660" s="4" t="s">
        <v>606</v>
      </c>
      <c r="C660" s="4">
        <v>1989</v>
      </c>
      <c r="D660" s="4" t="s">
        <v>47</v>
      </c>
      <c r="E660" s="4">
        <v>89.17</v>
      </c>
      <c r="F660" s="4">
        <v>0.64139999999999997</v>
      </c>
      <c r="G660" s="4">
        <v>16</v>
      </c>
      <c r="H660" s="4">
        <v>220</v>
      </c>
      <c r="I660" s="4">
        <v>232.5</v>
      </c>
      <c r="J660" s="6">
        <v>240</v>
      </c>
      <c r="K660" s="4" t="e">
        <f t="array" aca="1" ref="K660">MAX(H660:J660*(1-strike(H660:J660)))</f>
        <v>#NAME?</v>
      </c>
      <c r="L660" s="4">
        <v>140</v>
      </c>
      <c r="M660" s="4">
        <v>150</v>
      </c>
      <c r="N660" s="4">
        <v>155</v>
      </c>
      <c r="O660" s="4" t="e">
        <f t="array" aca="1" ref="O660">MAX(L660:N660*(1-strike(L660:N660)))</f>
        <v>#NAME?</v>
      </c>
      <c r="P660" s="4">
        <v>260</v>
      </c>
      <c r="Q660" s="4">
        <v>270</v>
      </c>
      <c r="R660" s="4">
        <v>280</v>
      </c>
      <c r="S660" s="4" t="e">
        <f t="array" aca="1" ref="S660">MAX(P660:R660*(1-strike(P660:R660)))</f>
        <v>#NAME?</v>
      </c>
      <c r="T660" s="4" t="e">
        <f t="shared" si="10"/>
        <v>#NAME?</v>
      </c>
      <c r="U660" s="4">
        <v>667.5</v>
      </c>
      <c r="V660" s="4">
        <v>428.13</v>
      </c>
      <c r="W660" s="4">
        <v>1</v>
      </c>
      <c r="X660" s="5">
        <v>2015</v>
      </c>
      <c r="Y660" s="5" t="s">
        <v>29</v>
      </c>
      <c r="Z660" s="5" t="s">
        <v>171</v>
      </c>
      <c r="AA660" s="5">
        <v>69</v>
      </c>
    </row>
    <row r="661" spans="1:27">
      <c r="A661" s="3">
        <v>4</v>
      </c>
      <c r="B661" s="3" t="s">
        <v>607</v>
      </c>
      <c r="C661" s="3">
        <v>1983</v>
      </c>
      <c r="D661" s="3" t="s">
        <v>282</v>
      </c>
      <c r="E661" s="3">
        <v>58.8</v>
      </c>
      <c r="F661" s="3">
        <v>0.86890000000000001</v>
      </c>
      <c r="G661" s="3">
        <v>7</v>
      </c>
      <c r="H661" s="3">
        <v>240</v>
      </c>
      <c r="I661" s="3">
        <v>252.5</v>
      </c>
      <c r="J661" s="3">
        <v>260</v>
      </c>
      <c r="K661" s="4" t="e">
        <f t="array" aca="1" ref="K661">MAX(H661:J661*(1-strike(H661:J661)))</f>
        <v>#NAME?</v>
      </c>
      <c r="L661" s="3">
        <v>160</v>
      </c>
      <c r="M661" s="3">
        <v>167.5</v>
      </c>
      <c r="N661" s="1">
        <v>170</v>
      </c>
      <c r="O661" s="4" t="e">
        <f t="array" aca="1" ref="O661">MAX(L661:N661*(1-strike(L661:N661)))</f>
        <v>#NAME?</v>
      </c>
      <c r="P661" s="3">
        <v>215</v>
      </c>
      <c r="Q661" s="3">
        <v>227.5</v>
      </c>
      <c r="R661" s="1">
        <v>230</v>
      </c>
      <c r="S661" s="4" t="e">
        <f t="array" aca="1" ref="S661">MAX(P661:R661*(1-strike(P661:R661)))</f>
        <v>#NAME?</v>
      </c>
      <c r="T661" s="4" t="e">
        <f t="shared" si="10"/>
        <v>#NAME?</v>
      </c>
      <c r="U661" s="3">
        <v>655</v>
      </c>
      <c r="V661" s="3">
        <v>569.12</v>
      </c>
      <c r="W661" s="3">
        <v>7</v>
      </c>
      <c r="X661" s="5">
        <v>2012</v>
      </c>
      <c r="Y661" s="5" t="s">
        <v>29</v>
      </c>
      <c r="Z661" s="5" t="s">
        <v>171</v>
      </c>
      <c r="AA661" s="5">
        <v>1195</v>
      </c>
    </row>
    <row r="662" spans="1:27">
      <c r="A662" s="4">
        <v>3</v>
      </c>
      <c r="B662" s="4" t="s">
        <v>607</v>
      </c>
      <c r="C662" s="4">
        <v>1983</v>
      </c>
      <c r="D662" s="4" t="s">
        <v>282</v>
      </c>
      <c r="E662" s="4">
        <v>58.45</v>
      </c>
      <c r="F662" s="4">
        <v>0.87380000000000002</v>
      </c>
      <c r="G662" s="4">
        <v>2</v>
      </c>
      <c r="H662" s="4">
        <v>180</v>
      </c>
      <c r="I662" s="4">
        <v>192.5</v>
      </c>
      <c r="J662" s="4">
        <v>200</v>
      </c>
      <c r="K662" s="4" t="e">
        <f t="array" aca="1" ref="K662">MAX(H662:J662*(1-strike(H662:J662)))</f>
        <v>#NAME?</v>
      </c>
      <c r="L662" s="4">
        <v>130</v>
      </c>
      <c r="M662" s="4">
        <v>140</v>
      </c>
      <c r="N662" s="6">
        <v>145</v>
      </c>
      <c r="O662" s="4" t="e">
        <f t="array" aca="1" ref="O662">MAX(L662:N662*(1-strike(L662:N662)))</f>
        <v>#NAME?</v>
      </c>
      <c r="P662" s="4">
        <v>210</v>
      </c>
      <c r="Q662" s="4">
        <v>220</v>
      </c>
      <c r="R662" s="6">
        <v>235</v>
      </c>
      <c r="S662" s="4" t="e">
        <f t="array" aca="1" ref="S662">MAX(P662:R662*(1-strike(P662:R662)))</f>
        <v>#NAME?</v>
      </c>
      <c r="T662" s="4" t="e">
        <f t="shared" si="10"/>
        <v>#NAME?</v>
      </c>
      <c r="U662" s="4">
        <v>560</v>
      </c>
      <c r="V662" s="4">
        <v>489.33</v>
      </c>
      <c r="W662" s="4">
        <v>8</v>
      </c>
      <c r="X662" s="5">
        <v>2014</v>
      </c>
      <c r="Y662" s="5" t="s">
        <v>29</v>
      </c>
      <c r="Z662" s="5" t="s">
        <v>30</v>
      </c>
      <c r="AA662" s="5">
        <v>650</v>
      </c>
    </row>
    <row r="663" spans="1:27">
      <c r="A663" s="4">
        <v>2</v>
      </c>
      <c r="B663" s="4" t="s">
        <v>607</v>
      </c>
      <c r="C663" s="4">
        <v>1983</v>
      </c>
      <c r="D663" s="4" t="s">
        <v>282</v>
      </c>
      <c r="E663" s="4">
        <v>58.32</v>
      </c>
      <c r="F663" s="4">
        <v>0.87590000000000001</v>
      </c>
      <c r="G663" s="4">
        <v>8</v>
      </c>
      <c r="H663" s="4">
        <v>260</v>
      </c>
      <c r="I663" s="4">
        <v>270</v>
      </c>
      <c r="J663" s="6">
        <v>275</v>
      </c>
      <c r="K663" s="4" t="e">
        <f t="array" aca="1" ref="K663">MAX(H663:J663*(1-strike(H663:J663)))</f>
        <v>#NAME?</v>
      </c>
      <c r="L663" s="4">
        <v>165</v>
      </c>
      <c r="M663" s="4">
        <v>172.5</v>
      </c>
      <c r="N663" s="6">
        <v>177.5</v>
      </c>
      <c r="O663" s="4" t="e">
        <f t="array" aca="1" ref="O663">MAX(L663:N663*(1-strike(L663:N663)))</f>
        <v>#NAME?</v>
      </c>
      <c r="P663" s="4">
        <v>225</v>
      </c>
      <c r="Q663" s="4">
        <v>237.5</v>
      </c>
      <c r="R663" s="6">
        <v>245</v>
      </c>
      <c r="S663" s="4" t="e">
        <f t="array" aca="1" ref="S663">MAX(P663:R663*(1-strike(P663:R663)))</f>
        <v>#NAME?</v>
      </c>
      <c r="T663" s="4" t="e">
        <f t="shared" si="10"/>
        <v>#NAME?</v>
      </c>
      <c r="U663" s="4">
        <v>680</v>
      </c>
      <c r="V663" s="4">
        <v>595.61</v>
      </c>
      <c r="W663" s="4">
        <v>9</v>
      </c>
      <c r="X663" s="5">
        <v>2014</v>
      </c>
      <c r="Y663" s="5" t="s">
        <v>29</v>
      </c>
      <c r="Z663" s="5" t="s">
        <v>171</v>
      </c>
      <c r="AA663" s="5">
        <v>441</v>
      </c>
    </row>
    <row r="664" spans="1:27">
      <c r="A664" s="4">
        <v>2</v>
      </c>
      <c r="B664" s="4" t="s">
        <v>607</v>
      </c>
      <c r="C664" s="4">
        <v>1983</v>
      </c>
      <c r="D664" s="4" t="s">
        <v>282</v>
      </c>
      <c r="E664" s="4">
        <v>58.6</v>
      </c>
      <c r="F664" s="4">
        <v>0.87170000000000003</v>
      </c>
      <c r="G664" s="4">
        <v>4</v>
      </c>
      <c r="H664" s="4">
        <v>255</v>
      </c>
      <c r="I664" s="4">
        <v>265</v>
      </c>
      <c r="J664" s="4">
        <v>272.5</v>
      </c>
      <c r="K664" s="4" t="e">
        <f t="array" aca="1" ref="K664">MAX(H664:J664*(1-strike(H664:J664)))</f>
        <v>#NAME?</v>
      </c>
      <c r="L664" s="4">
        <v>162.5</v>
      </c>
      <c r="M664" s="4">
        <v>170</v>
      </c>
      <c r="N664" s="4">
        <v>175</v>
      </c>
      <c r="O664" s="4" t="e">
        <f t="array" aca="1" ref="O664">MAX(L664:N664*(1-strike(L664:N664)))</f>
        <v>#NAME?</v>
      </c>
      <c r="P664" s="4">
        <v>225</v>
      </c>
      <c r="Q664" s="4">
        <v>235</v>
      </c>
      <c r="R664" s="6">
        <v>240</v>
      </c>
      <c r="S664" s="4" t="e">
        <f t="array" aca="1" ref="S664">MAX(P664:R664*(1-strike(P664:R664)))</f>
        <v>#NAME?</v>
      </c>
      <c r="T664" s="4" t="e">
        <f t="shared" si="10"/>
        <v>#NAME?</v>
      </c>
      <c r="U664" s="4">
        <v>682.5</v>
      </c>
      <c r="V664" s="4">
        <v>594.92999999999995</v>
      </c>
      <c r="W664" s="4">
        <v>9</v>
      </c>
      <c r="X664" s="5">
        <v>2015</v>
      </c>
      <c r="Y664" s="5" t="s">
        <v>29</v>
      </c>
      <c r="Z664" s="5" t="s">
        <v>171</v>
      </c>
      <c r="AA664" s="5">
        <v>3</v>
      </c>
    </row>
    <row r="665" spans="1:27">
      <c r="A665" s="3">
        <v>2</v>
      </c>
      <c r="B665" s="3" t="s">
        <v>608</v>
      </c>
      <c r="C665" s="3">
        <v>1979</v>
      </c>
      <c r="D665" s="3" t="s">
        <v>28</v>
      </c>
      <c r="E665" s="3">
        <v>103.35</v>
      </c>
      <c r="F665" s="3">
        <v>0.60099999999999998</v>
      </c>
      <c r="G665" s="3">
        <v>12</v>
      </c>
      <c r="H665" s="3">
        <v>285</v>
      </c>
      <c r="I665" s="3">
        <v>300</v>
      </c>
      <c r="J665" s="3">
        <v>310</v>
      </c>
      <c r="K665" s="4" t="e">
        <f t="array" aca="1" ref="K665">MAX(H665:J665*(1-strike(H665:J665)))</f>
        <v>#NAME?</v>
      </c>
      <c r="L665" s="3">
        <v>195</v>
      </c>
      <c r="M665" s="3">
        <v>205</v>
      </c>
      <c r="N665" s="3">
        <v>212.5</v>
      </c>
      <c r="O665" s="4" t="e">
        <f t="array" aca="1" ref="O665">MAX(L665:N665*(1-strike(L665:N665)))</f>
        <v>#NAME?</v>
      </c>
      <c r="P665" s="3">
        <v>295</v>
      </c>
      <c r="Q665" s="3">
        <v>315</v>
      </c>
      <c r="R665" s="1">
        <v>330</v>
      </c>
      <c r="S665" s="4" t="e">
        <f t="array" aca="1" ref="S665">MAX(P665:R665*(1-strike(P665:R665)))</f>
        <v>#NAME?</v>
      </c>
      <c r="T665" s="4" t="e">
        <f t="shared" si="10"/>
        <v>#NAME?</v>
      </c>
      <c r="U665" s="3">
        <v>837.5</v>
      </c>
      <c r="V665" s="3">
        <v>503.34</v>
      </c>
      <c r="W665" s="3">
        <v>9</v>
      </c>
      <c r="X665" s="5">
        <v>2013</v>
      </c>
      <c r="Y665" s="5" t="s">
        <v>29</v>
      </c>
      <c r="Z665" s="5" t="s">
        <v>30</v>
      </c>
      <c r="AA665" s="5">
        <v>1072</v>
      </c>
    </row>
    <row r="666" spans="1:27">
      <c r="A666" s="4">
        <v>2</v>
      </c>
      <c r="B666" s="4" t="s">
        <v>608</v>
      </c>
      <c r="C666" s="4">
        <v>1979</v>
      </c>
      <c r="D666" s="4" t="s">
        <v>28</v>
      </c>
      <c r="E666" s="4">
        <v>103.1</v>
      </c>
      <c r="F666" s="4">
        <v>0.60150000000000003</v>
      </c>
      <c r="G666" s="4">
        <v>3</v>
      </c>
      <c r="H666" s="4">
        <v>295</v>
      </c>
      <c r="I666" s="4">
        <v>310</v>
      </c>
      <c r="J666" s="4">
        <v>317.5</v>
      </c>
      <c r="K666" s="4" t="e">
        <f t="array" aca="1" ref="K666">MAX(H666:J666*(1-strike(H666:J666)))</f>
        <v>#NAME?</v>
      </c>
      <c r="L666" s="4">
        <v>205</v>
      </c>
      <c r="M666" s="4">
        <v>215</v>
      </c>
      <c r="N666" s="4">
        <v>221</v>
      </c>
      <c r="O666" s="4" t="e">
        <f t="array" aca="1" ref="O666">MAX(L666:N666*(1-strike(L666:N666)))</f>
        <v>#NAME?</v>
      </c>
      <c r="P666" s="4">
        <v>305</v>
      </c>
      <c r="Q666" s="4">
        <v>310</v>
      </c>
      <c r="R666" s="4">
        <v>315</v>
      </c>
      <c r="S666" s="4" t="e">
        <f t="array" aca="1" ref="S666">MAX(P666:R666*(1-strike(P666:R666)))</f>
        <v>#NAME?</v>
      </c>
      <c r="T666" s="4" t="e">
        <f t="shared" si="10"/>
        <v>#NAME?</v>
      </c>
      <c r="U666" s="4">
        <v>853.5</v>
      </c>
      <c r="V666" s="4">
        <v>513.38</v>
      </c>
      <c r="W666" s="4">
        <v>9</v>
      </c>
      <c r="X666" s="5">
        <v>2014</v>
      </c>
      <c r="Y666" s="5" t="s">
        <v>29</v>
      </c>
      <c r="Z666" s="5" t="s">
        <v>30</v>
      </c>
      <c r="AA666" s="5">
        <v>711</v>
      </c>
    </row>
    <row r="667" spans="1:27" ht="15" customHeight="1">
      <c r="A667" s="3">
        <v>5</v>
      </c>
      <c r="B667" s="3" t="s">
        <v>609</v>
      </c>
      <c r="C667" s="3">
        <v>1985</v>
      </c>
      <c r="D667" s="3" t="s">
        <v>49</v>
      </c>
      <c r="E667" s="3">
        <v>64.930000000000007</v>
      </c>
      <c r="F667" s="3">
        <v>0.79590000000000005</v>
      </c>
      <c r="G667" s="3">
        <v>11</v>
      </c>
      <c r="H667" s="3">
        <v>250</v>
      </c>
      <c r="I667" s="3">
        <v>262.5</v>
      </c>
      <c r="J667" s="3">
        <v>267.5</v>
      </c>
      <c r="K667" s="4" t="e">
        <f t="array" aca="1" ref="K667">MAX(H667:J667*(1-strike(H667:J667)))</f>
        <v>#NAME?</v>
      </c>
      <c r="L667" s="3">
        <v>155</v>
      </c>
      <c r="M667" s="3">
        <v>160</v>
      </c>
      <c r="N667" s="1">
        <v>170</v>
      </c>
      <c r="O667" s="4" t="e">
        <f t="array" aca="1" ref="O667">MAX(L667:N667*(1-strike(L667:N667)))</f>
        <v>#NAME?</v>
      </c>
      <c r="P667" s="3">
        <v>260</v>
      </c>
      <c r="Q667" s="1">
        <v>270</v>
      </c>
      <c r="R667" s="1">
        <v>277.5</v>
      </c>
      <c r="S667" s="4" t="e">
        <f t="array" aca="1" ref="S667">MAX(P667:R667*(1-strike(P667:R667)))</f>
        <v>#NAME?</v>
      </c>
      <c r="T667" s="4" t="e">
        <f t="shared" si="10"/>
        <v>#NAME?</v>
      </c>
      <c r="U667" s="3">
        <v>687.5</v>
      </c>
      <c r="V667" s="3">
        <v>547.17999999999995</v>
      </c>
      <c r="W667" s="3">
        <v>6</v>
      </c>
      <c r="X667" s="5">
        <v>2013</v>
      </c>
      <c r="Y667" s="5" t="s">
        <v>29</v>
      </c>
      <c r="Z667" s="5" t="s">
        <v>171</v>
      </c>
      <c r="AA667" s="5">
        <v>829</v>
      </c>
    </row>
    <row r="668" spans="1:27">
      <c r="A668" s="4">
        <v>3</v>
      </c>
      <c r="B668" s="4" t="s">
        <v>609</v>
      </c>
      <c r="C668" s="4">
        <v>1985</v>
      </c>
      <c r="D668" s="4" t="s">
        <v>49</v>
      </c>
      <c r="E668" s="4">
        <v>58.6</v>
      </c>
      <c r="F668" s="4">
        <v>0.87170000000000003</v>
      </c>
      <c r="G668" s="4">
        <v>3</v>
      </c>
      <c r="H668" s="4">
        <v>240</v>
      </c>
      <c r="I668" s="6">
        <v>250</v>
      </c>
      <c r="J668" s="4">
        <v>250</v>
      </c>
      <c r="K668" s="4" t="e">
        <f t="array" aca="1" ref="K668">MAX(H668:J668*(1-strike(H668:J668)))</f>
        <v>#NAME?</v>
      </c>
      <c r="L668" s="4">
        <v>145</v>
      </c>
      <c r="M668" s="4">
        <v>152.5</v>
      </c>
      <c r="N668" s="4">
        <v>162.5</v>
      </c>
      <c r="O668" s="4" t="e">
        <f t="array" aca="1" ref="O668">MAX(L668:N668*(1-strike(L668:N668)))</f>
        <v>#NAME?</v>
      </c>
      <c r="P668" s="4">
        <v>245</v>
      </c>
      <c r="Q668" s="6">
        <v>255</v>
      </c>
      <c r="R668" s="4">
        <v>255</v>
      </c>
      <c r="S668" s="4" t="e">
        <f t="array" aca="1" ref="S668">MAX(P668:R668*(1-strike(P668:R668)))</f>
        <v>#NAME?</v>
      </c>
      <c r="T668" s="4" t="e">
        <f t="shared" si="10"/>
        <v>#NAME?</v>
      </c>
      <c r="U668" s="4">
        <v>667.5</v>
      </c>
      <c r="V668" s="4">
        <v>581.86</v>
      </c>
      <c r="W668" s="4">
        <v>8</v>
      </c>
      <c r="X668" s="5">
        <v>2014</v>
      </c>
      <c r="Y668" s="5" t="s">
        <v>29</v>
      </c>
      <c r="Z668" s="5" t="s">
        <v>171</v>
      </c>
      <c r="AA668" s="5">
        <v>442</v>
      </c>
    </row>
    <row r="669" spans="1:27">
      <c r="A669" s="3">
        <v>8</v>
      </c>
      <c r="B669" s="3" t="s">
        <v>610</v>
      </c>
      <c r="C669" s="3">
        <v>1983</v>
      </c>
      <c r="D669" s="3" t="s">
        <v>74</v>
      </c>
      <c r="E669" s="3">
        <v>64.88</v>
      </c>
      <c r="F669" s="3">
        <v>0.7964</v>
      </c>
      <c r="G669" s="3">
        <v>21</v>
      </c>
      <c r="H669" s="1">
        <v>230</v>
      </c>
      <c r="I669" s="3">
        <v>230</v>
      </c>
      <c r="J669" s="3">
        <v>245</v>
      </c>
      <c r="K669" s="4" t="e">
        <f t="array" aca="1" ref="K669">MAX(H669:J669*(1-strike(H669:J669)))</f>
        <v>#NAME?</v>
      </c>
      <c r="L669" s="3">
        <v>195</v>
      </c>
      <c r="M669" s="1">
        <v>200</v>
      </c>
      <c r="N669" s="1">
        <v>200</v>
      </c>
      <c r="O669" s="4" t="e">
        <f t="array" aca="1" ref="O669">MAX(L669:N669*(1-strike(L669:N669)))</f>
        <v>#NAME?</v>
      </c>
      <c r="P669" s="3">
        <v>200</v>
      </c>
      <c r="Q669" s="3">
        <v>210</v>
      </c>
      <c r="R669" s="3">
        <v>220</v>
      </c>
      <c r="S669" s="4" t="e">
        <f t="array" aca="1" ref="S669">MAX(P669:R669*(1-strike(P669:R669)))</f>
        <v>#NAME?</v>
      </c>
      <c r="T669" s="4" t="e">
        <f t="shared" si="10"/>
        <v>#NAME?</v>
      </c>
      <c r="U669" s="3">
        <v>660</v>
      </c>
      <c r="V669" s="3">
        <v>525.63</v>
      </c>
      <c r="W669" s="3">
        <v>3</v>
      </c>
      <c r="X669" s="5">
        <v>2012</v>
      </c>
      <c r="Y669" s="5" t="s">
        <v>29</v>
      </c>
      <c r="Z669" s="5" t="s">
        <v>171</v>
      </c>
      <c r="AA669" s="5">
        <v>1210</v>
      </c>
    </row>
    <row r="670" spans="1:27">
      <c r="A670" s="3">
        <v>5</v>
      </c>
      <c r="B670" s="3" t="s">
        <v>610</v>
      </c>
      <c r="C670" s="3">
        <v>1983</v>
      </c>
      <c r="D670" s="3" t="s">
        <v>74</v>
      </c>
      <c r="E670" s="3">
        <v>72.5</v>
      </c>
      <c r="F670" s="3">
        <v>0.73</v>
      </c>
      <c r="G670" s="3">
        <v>5</v>
      </c>
      <c r="H670" s="3">
        <v>215</v>
      </c>
      <c r="I670" s="3">
        <v>230</v>
      </c>
      <c r="J670" s="3">
        <v>237.5</v>
      </c>
      <c r="K670" s="4" t="e">
        <f t="array" aca="1" ref="K670">MAX(H670:J670*(1-strike(H670:J670)))</f>
        <v>#NAME?</v>
      </c>
      <c r="L670" s="3">
        <v>130</v>
      </c>
      <c r="M670" s="3">
        <v>140</v>
      </c>
      <c r="N670" s="3">
        <v>145</v>
      </c>
      <c r="O670" s="4" t="e">
        <f t="array" aca="1" ref="O670">MAX(L670:N670*(1-strike(L670:N670)))</f>
        <v>#NAME?</v>
      </c>
      <c r="P670" s="3">
        <v>210</v>
      </c>
      <c r="Q670" s="3">
        <v>240</v>
      </c>
      <c r="R670" s="3">
        <v>262.5</v>
      </c>
      <c r="S670" s="4" t="e">
        <f t="array" aca="1" ref="S670">MAX(P670:R670*(1-strike(P670:R670)))</f>
        <v>#NAME?</v>
      </c>
      <c r="T670" s="4" t="e">
        <f t="shared" si="10"/>
        <v>#NAME?</v>
      </c>
      <c r="U670" s="3">
        <v>645</v>
      </c>
      <c r="V670" s="3">
        <v>470.85</v>
      </c>
      <c r="W670" s="3">
        <v>6</v>
      </c>
      <c r="X670" s="5">
        <v>2013</v>
      </c>
      <c r="Y670" s="5" t="s">
        <v>29</v>
      </c>
      <c r="Z670" s="5" t="s">
        <v>30</v>
      </c>
      <c r="AA670" s="5">
        <v>1035</v>
      </c>
    </row>
    <row r="671" spans="1:27">
      <c r="A671" s="4">
        <v>8</v>
      </c>
      <c r="B671" s="4" t="s">
        <v>610</v>
      </c>
      <c r="C671" s="4">
        <v>1983</v>
      </c>
      <c r="D671" s="4" t="s">
        <v>74</v>
      </c>
      <c r="E671" s="4">
        <v>72.5</v>
      </c>
      <c r="F671" s="4">
        <v>0.73</v>
      </c>
      <c r="G671" s="4">
        <v>6</v>
      </c>
      <c r="H671" s="4">
        <v>232.5</v>
      </c>
      <c r="I671" s="4">
        <v>242.5</v>
      </c>
      <c r="J671" s="6">
        <v>250</v>
      </c>
      <c r="K671" s="4" t="e">
        <f t="array" aca="1" ref="K671">MAX(H671:J671*(1-strike(H671:J671)))</f>
        <v>#NAME?</v>
      </c>
      <c r="L671" s="4">
        <v>135</v>
      </c>
      <c r="M671" s="4">
        <v>142.5</v>
      </c>
      <c r="N671" s="4">
        <v>150</v>
      </c>
      <c r="O671" s="4" t="e">
        <f t="array" aca="1" ref="O671">MAX(L671:N671*(1-strike(L671:N671)))</f>
        <v>#NAME?</v>
      </c>
      <c r="P671" s="4">
        <v>245</v>
      </c>
      <c r="Q671" s="4"/>
      <c r="R671" s="4"/>
      <c r="S671" s="4" t="e">
        <f t="array" aca="1" ref="S671">MAX(P671:R671*(1-strike(P671:R671)))</f>
        <v>#NAME?</v>
      </c>
      <c r="T671" s="4" t="e">
        <f t="shared" si="10"/>
        <v>#NAME?</v>
      </c>
      <c r="U671" s="4">
        <v>637.5</v>
      </c>
      <c r="V671" s="4">
        <v>465.38</v>
      </c>
      <c r="W671" s="4">
        <v>3</v>
      </c>
      <c r="X671" s="5">
        <v>2014</v>
      </c>
      <c r="Y671" s="5" t="s">
        <v>29</v>
      </c>
      <c r="Z671" s="5" t="s">
        <v>30</v>
      </c>
      <c r="AA671" s="5">
        <v>675</v>
      </c>
    </row>
    <row r="672" spans="1:27">
      <c r="A672" s="4">
        <v>13</v>
      </c>
      <c r="B672" s="4" t="s">
        <v>610</v>
      </c>
      <c r="C672" s="4">
        <v>1983</v>
      </c>
      <c r="D672" s="4" t="s">
        <v>74</v>
      </c>
      <c r="E672" s="4">
        <v>72.180000000000007</v>
      </c>
      <c r="F672" s="4">
        <v>0.73240000000000005</v>
      </c>
      <c r="G672" s="4">
        <v>14</v>
      </c>
      <c r="H672" s="4">
        <v>210</v>
      </c>
      <c r="I672" s="6">
        <v>242.5</v>
      </c>
      <c r="J672" s="6">
        <v>242.5</v>
      </c>
      <c r="K672" s="4" t="e">
        <f t="array" aca="1" ref="K672">MAX(H672:J672*(1-strike(H672:J672)))</f>
        <v>#NAME?</v>
      </c>
      <c r="L672" s="4">
        <v>130</v>
      </c>
      <c r="M672" s="4">
        <v>140</v>
      </c>
      <c r="N672" s="4">
        <v>150</v>
      </c>
      <c r="O672" s="4" t="e">
        <f t="array" aca="1" ref="O672">MAX(L672:N672*(1-strike(L672:N672)))</f>
        <v>#NAME?</v>
      </c>
      <c r="P672" s="4">
        <v>210</v>
      </c>
      <c r="Q672" s="4">
        <v>220</v>
      </c>
      <c r="R672" s="4">
        <v>230</v>
      </c>
      <c r="S672" s="4" t="e">
        <f t="array" aca="1" ref="S672">MAX(P672:R672*(1-strike(P672:R672)))</f>
        <v>#NAME?</v>
      </c>
      <c r="T672" s="4" t="e">
        <f t="shared" si="10"/>
        <v>#NAME?</v>
      </c>
      <c r="U672" s="4">
        <v>590</v>
      </c>
      <c r="V672" s="4">
        <v>432.12</v>
      </c>
      <c r="W672" s="4">
        <v>1</v>
      </c>
      <c r="X672" s="5">
        <v>2015</v>
      </c>
      <c r="Y672" s="5" t="s">
        <v>29</v>
      </c>
      <c r="Z672" s="5" t="s">
        <v>30</v>
      </c>
      <c r="AA672" s="5">
        <v>250</v>
      </c>
    </row>
    <row r="673" spans="1:27">
      <c r="A673" s="4">
        <v>4</v>
      </c>
      <c r="B673" s="4" t="s">
        <v>611</v>
      </c>
      <c r="C673" s="4">
        <v>1994</v>
      </c>
      <c r="D673" s="4" t="s">
        <v>74</v>
      </c>
      <c r="E673" s="4">
        <v>58.5</v>
      </c>
      <c r="F673" s="4">
        <v>0.87309999999999999</v>
      </c>
      <c r="G673" s="4">
        <v>4</v>
      </c>
      <c r="H673" s="4">
        <v>230</v>
      </c>
      <c r="I673" s="4">
        <v>240</v>
      </c>
      <c r="J673" s="4">
        <v>245</v>
      </c>
      <c r="K673" s="4" t="e">
        <f t="array" aca="1" ref="K673">MAX(H673:J673*(1-strike(H673:J673)))</f>
        <v>#NAME?</v>
      </c>
      <c r="L673" s="4">
        <v>130</v>
      </c>
      <c r="M673" s="4">
        <v>145</v>
      </c>
      <c r="N673" s="4">
        <v>150</v>
      </c>
      <c r="O673" s="4" t="e">
        <f t="array" aca="1" ref="O673">MAX(L673:N673*(1-strike(L673:N673)))</f>
        <v>#NAME?</v>
      </c>
      <c r="P673" s="4">
        <v>235</v>
      </c>
      <c r="Q673" s="4">
        <v>250</v>
      </c>
      <c r="R673" s="4">
        <v>255</v>
      </c>
      <c r="S673" s="4" t="e">
        <f t="array" aca="1" ref="S673">MAX(P673:R673*(1-strike(P673:R673)))</f>
        <v>#NAME?</v>
      </c>
      <c r="T673" s="4" t="e">
        <f t="shared" si="10"/>
        <v>#NAME?</v>
      </c>
      <c r="U673" s="4">
        <v>650</v>
      </c>
      <c r="V673" s="4">
        <v>567.51</v>
      </c>
      <c r="W673" s="4">
        <v>7</v>
      </c>
      <c r="X673" s="5">
        <v>2014</v>
      </c>
      <c r="Y673" s="5" t="s">
        <v>29</v>
      </c>
      <c r="Z673" s="5" t="s">
        <v>171</v>
      </c>
      <c r="AA673" s="5">
        <v>443</v>
      </c>
    </row>
    <row r="674" spans="1:27">
      <c r="A674" s="4">
        <v>4</v>
      </c>
      <c r="B674" s="4" t="s">
        <v>611</v>
      </c>
      <c r="C674" s="4">
        <v>1994</v>
      </c>
      <c r="D674" s="4" t="s">
        <v>74</v>
      </c>
      <c r="E674" s="4">
        <v>58.29</v>
      </c>
      <c r="F674" s="4">
        <v>0.876</v>
      </c>
      <c r="G674" s="4">
        <v>1</v>
      </c>
      <c r="H674" s="4">
        <v>230</v>
      </c>
      <c r="I674" s="6">
        <v>242.5</v>
      </c>
      <c r="J674" s="4">
        <v>242.5</v>
      </c>
      <c r="K674" s="4" t="e">
        <f t="array" aca="1" ref="K674">MAX(H674:J674*(1-strike(H674:J674)))</f>
        <v>#NAME?</v>
      </c>
      <c r="L674" s="4">
        <v>135</v>
      </c>
      <c r="M674" s="4">
        <v>145</v>
      </c>
      <c r="N674" s="4">
        <v>150</v>
      </c>
      <c r="O674" s="4" t="e">
        <f t="array" aca="1" ref="O674">MAX(L674:N674*(1-strike(L674:N674)))</f>
        <v>#NAME?</v>
      </c>
      <c r="P674" s="4">
        <v>235</v>
      </c>
      <c r="Q674" s="4">
        <v>250</v>
      </c>
      <c r="R674" s="4">
        <v>257.5</v>
      </c>
      <c r="S674" s="4" t="e">
        <f t="array" aca="1" ref="S674">MAX(P674:R674*(1-strike(P674:R674)))</f>
        <v>#NAME?</v>
      </c>
      <c r="T674" s="4" t="e">
        <f t="shared" si="10"/>
        <v>#NAME?</v>
      </c>
      <c r="U674" s="4">
        <v>650</v>
      </c>
      <c r="V674" s="4">
        <v>569.4</v>
      </c>
      <c r="W674" s="4">
        <v>7</v>
      </c>
      <c r="X674" s="5">
        <v>2015</v>
      </c>
      <c r="Y674" s="5" t="s">
        <v>29</v>
      </c>
      <c r="Z674" s="5" t="s">
        <v>171</v>
      </c>
      <c r="AA674" s="5">
        <v>5</v>
      </c>
    </row>
    <row r="675" spans="1:27" ht="15" customHeight="1">
      <c r="A675" s="3">
        <v>6</v>
      </c>
      <c r="B675" s="3" t="s">
        <v>612</v>
      </c>
      <c r="C675" s="3">
        <v>1979</v>
      </c>
      <c r="D675" s="3" t="s">
        <v>137</v>
      </c>
      <c r="E675" s="3">
        <v>58.8</v>
      </c>
      <c r="F675" s="3">
        <v>0.86890000000000001</v>
      </c>
      <c r="G675" s="3">
        <v>18</v>
      </c>
      <c r="H675" s="1">
        <v>240</v>
      </c>
      <c r="I675" s="3">
        <v>240</v>
      </c>
      <c r="J675" s="1">
        <v>250</v>
      </c>
      <c r="K675" s="4" t="e">
        <f t="array" aca="1" ref="K675">MAX(H675:J675*(1-strike(H675:J675)))</f>
        <v>#NAME?</v>
      </c>
      <c r="L675" s="1">
        <v>145</v>
      </c>
      <c r="M675" s="1">
        <v>145</v>
      </c>
      <c r="N675" s="3">
        <v>145</v>
      </c>
      <c r="O675" s="4" t="e">
        <f t="array" aca="1" ref="O675">MAX(L675:N675*(1-strike(L675:N675)))</f>
        <v>#NAME?</v>
      </c>
      <c r="P675" s="3">
        <v>235</v>
      </c>
      <c r="Q675" s="3">
        <v>247.5</v>
      </c>
      <c r="R675" s="1">
        <v>252.5</v>
      </c>
      <c r="S675" s="4" t="e">
        <f t="array" aca="1" ref="S675">MAX(P675:R675*(1-strike(P675:R675)))</f>
        <v>#NAME?</v>
      </c>
      <c r="T675" s="4" t="e">
        <f t="shared" si="10"/>
        <v>#NAME?</v>
      </c>
      <c r="U675" s="3">
        <v>632.5</v>
      </c>
      <c r="V675" s="3">
        <v>549.57000000000005</v>
      </c>
      <c r="W675" s="3">
        <v>5</v>
      </c>
      <c r="X675" s="5">
        <v>2012</v>
      </c>
      <c r="Y675" s="5" t="s">
        <v>29</v>
      </c>
      <c r="Z675" s="5" t="s">
        <v>171</v>
      </c>
      <c r="AA675" s="5">
        <v>1197</v>
      </c>
    </row>
    <row r="676" spans="1:27" ht="15" customHeight="1">
      <c r="A676" s="4">
        <v>4</v>
      </c>
      <c r="B676" s="4" t="s">
        <v>612</v>
      </c>
      <c r="C676" s="4">
        <v>1979</v>
      </c>
      <c r="D676" s="4" t="s">
        <v>137</v>
      </c>
      <c r="E676" s="4">
        <v>58.48</v>
      </c>
      <c r="F676" s="4">
        <v>0.87339999999999995</v>
      </c>
      <c r="G676" s="4">
        <v>7</v>
      </c>
      <c r="H676" s="4">
        <v>195</v>
      </c>
      <c r="I676" s="6">
        <v>202.5</v>
      </c>
      <c r="J676" s="6">
        <v>202.5</v>
      </c>
      <c r="K676" s="4" t="e">
        <f t="array" aca="1" ref="K676">MAX(H676:J676*(1-strike(H676:J676)))</f>
        <v>#NAME?</v>
      </c>
      <c r="L676" s="4">
        <v>135</v>
      </c>
      <c r="M676" s="6">
        <v>140</v>
      </c>
      <c r="N676" s="6">
        <v>140</v>
      </c>
      <c r="O676" s="4" t="e">
        <f t="array" aca="1" ref="O676">MAX(L676:N676*(1-strike(L676:N676)))</f>
        <v>#NAME?</v>
      </c>
      <c r="P676" s="4">
        <v>225</v>
      </c>
      <c r="Q676" s="4">
        <v>235</v>
      </c>
      <c r="R676" s="6">
        <v>240</v>
      </c>
      <c r="S676" s="4" t="e">
        <f t="array" aca="1" ref="S676">MAX(P676:R676*(1-strike(P676:R676)))</f>
        <v>#NAME?</v>
      </c>
      <c r="T676" s="4" t="e">
        <f t="shared" si="10"/>
        <v>#NAME?</v>
      </c>
      <c r="U676" s="4">
        <v>565</v>
      </c>
      <c r="V676" s="4">
        <v>493.47</v>
      </c>
      <c r="W676" s="4">
        <v>7</v>
      </c>
      <c r="X676" s="5">
        <v>2015</v>
      </c>
      <c r="Y676" s="5" t="s">
        <v>29</v>
      </c>
      <c r="Z676" s="5" t="s">
        <v>30</v>
      </c>
      <c r="AA676" s="5">
        <v>222</v>
      </c>
    </row>
    <row r="677" spans="1:27">
      <c r="A677" s="4" t="s">
        <v>37</v>
      </c>
      <c r="B677" s="4" t="s">
        <v>613</v>
      </c>
      <c r="C677" s="4">
        <v>1981</v>
      </c>
      <c r="D677" s="4" t="s">
        <v>380</v>
      </c>
      <c r="E677" s="4">
        <v>73.760000000000005</v>
      </c>
      <c r="F677" s="4">
        <v>0.72099999999999997</v>
      </c>
      <c r="G677" s="4">
        <v>17</v>
      </c>
      <c r="H677" s="4">
        <v>170</v>
      </c>
      <c r="I677" s="4">
        <v>190</v>
      </c>
      <c r="J677" s="4"/>
      <c r="K677" s="4" t="e">
        <f t="array" aca="1" ref="K677">MAX(H677:J677*(1-strike(H677:J677)))</f>
        <v>#NAME?</v>
      </c>
      <c r="L677" s="6">
        <v>205</v>
      </c>
      <c r="M677" s="6">
        <v>212.5</v>
      </c>
      <c r="N677" s="6">
        <v>217.5</v>
      </c>
      <c r="O677" s="4" t="e">
        <f t="array" aca="1" ref="O677">MAX(L677:N677*(1-strike(L677:N677)))</f>
        <v>#NAME?</v>
      </c>
      <c r="P677" s="4">
        <v>190</v>
      </c>
      <c r="Q677" s="4">
        <v>215</v>
      </c>
      <c r="R677" s="6">
        <v>225</v>
      </c>
      <c r="S677" s="4" t="e">
        <f t="array" aca="1" ref="S677">MAX(P677:R677*(1-strike(P677:R677)))</f>
        <v>#NAME?</v>
      </c>
      <c r="T677" s="4" t="e">
        <f t="shared" si="10"/>
        <v>#NAME?</v>
      </c>
      <c r="U677" s="4" t="s">
        <v>187</v>
      </c>
      <c r="V677" s="4" t="s">
        <v>37</v>
      </c>
      <c r="W677" s="4" t="s">
        <v>37</v>
      </c>
      <c r="X677" s="5">
        <v>2015</v>
      </c>
      <c r="Y677" s="5" t="s">
        <v>29</v>
      </c>
      <c r="Z677" s="5" t="s">
        <v>171</v>
      </c>
      <c r="AA677" s="5">
        <v>39</v>
      </c>
    </row>
    <row r="678" spans="1:27">
      <c r="A678" s="4">
        <v>15</v>
      </c>
      <c r="B678" s="4" t="s">
        <v>614</v>
      </c>
      <c r="C678" s="4">
        <v>1990</v>
      </c>
      <c r="D678" s="4" t="s">
        <v>380</v>
      </c>
      <c r="E678" s="4">
        <v>72.8</v>
      </c>
      <c r="F678" s="4">
        <v>0.7278</v>
      </c>
      <c r="G678" s="4">
        <v>6</v>
      </c>
      <c r="H678" s="4">
        <v>200</v>
      </c>
      <c r="I678" s="4">
        <v>230</v>
      </c>
      <c r="J678" s="4"/>
      <c r="K678" s="4" t="e">
        <f t="array" aca="1" ref="K678">MAX(H678:J678*(1-strike(H678:J678)))</f>
        <v>#NAME?</v>
      </c>
      <c r="L678" s="4">
        <v>205</v>
      </c>
      <c r="M678" s="6">
        <v>212.5</v>
      </c>
      <c r="N678" s="6">
        <v>215</v>
      </c>
      <c r="O678" s="4" t="e">
        <f t="array" aca="1" ref="O678">MAX(L678:N678*(1-strike(L678:N678)))</f>
        <v>#NAME?</v>
      </c>
      <c r="P678" s="4">
        <v>230</v>
      </c>
      <c r="Q678" s="6">
        <v>245</v>
      </c>
      <c r="R678" s="4"/>
      <c r="S678" s="4" t="e">
        <f t="array" aca="1" ref="S678">MAX(P678:R678*(1-strike(P678:R678)))</f>
        <v>#NAME?</v>
      </c>
      <c r="T678" s="4" t="e">
        <f t="shared" si="10"/>
        <v>#NAME?</v>
      </c>
      <c r="U678" s="4">
        <v>665</v>
      </c>
      <c r="V678" s="4">
        <v>483.99</v>
      </c>
      <c r="W678" s="4">
        <v>1</v>
      </c>
      <c r="X678" s="5">
        <v>2015</v>
      </c>
      <c r="Y678" s="5" t="s">
        <v>29</v>
      </c>
      <c r="Z678" s="5" t="s">
        <v>171</v>
      </c>
      <c r="AA678" s="5">
        <v>37</v>
      </c>
    </row>
    <row r="679" spans="1:27">
      <c r="A679" s="4">
        <v>13</v>
      </c>
      <c r="B679" s="4" t="s">
        <v>615</v>
      </c>
      <c r="C679" s="4">
        <v>1986</v>
      </c>
      <c r="D679" s="4" t="s">
        <v>125</v>
      </c>
      <c r="E679" s="4">
        <v>104.25</v>
      </c>
      <c r="F679" s="4">
        <v>0.59909999999999997</v>
      </c>
      <c r="G679" s="4">
        <v>9</v>
      </c>
      <c r="H679" s="4">
        <v>225</v>
      </c>
      <c r="I679" s="4">
        <v>235</v>
      </c>
      <c r="J679" s="6">
        <v>240</v>
      </c>
      <c r="K679" s="4" t="e">
        <f t="array" aca="1" ref="K679">MAX(H679:J679*(1-strike(H679:J679)))</f>
        <v>#NAME?</v>
      </c>
      <c r="L679" s="4">
        <v>155</v>
      </c>
      <c r="M679" s="4">
        <v>165</v>
      </c>
      <c r="N679" s="6">
        <v>170</v>
      </c>
      <c r="O679" s="4" t="e">
        <f t="array" aca="1" ref="O679">MAX(L679:N679*(1-strike(L679:N679)))</f>
        <v>#NAME?</v>
      </c>
      <c r="P679" s="4">
        <v>280</v>
      </c>
      <c r="Q679" s="4">
        <v>295</v>
      </c>
      <c r="R679" s="6">
        <v>305</v>
      </c>
      <c r="S679" s="4" t="e">
        <f t="array" aca="1" ref="S679">MAX(P679:R679*(1-strike(P679:R679)))</f>
        <v>#NAME?</v>
      </c>
      <c r="T679" s="4" t="e">
        <f t="shared" si="10"/>
        <v>#NAME?</v>
      </c>
      <c r="U679" s="4">
        <v>695</v>
      </c>
      <c r="V679" s="4">
        <v>416.37</v>
      </c>
      <c r="W679" s="4">
        <v>1</v>
      </c>
      <c r="X679" s="5">
        <v>2014</v>
      </c>
      <c r="Y679" s="5" t="s">
        <v>29</v>
      </c>
      <c r="Z679" s="5" t="s">
        <v>30</v>
      </c>
      <c r="AA679" s="5">
        <v>722</v>
      </c>
    </row>
    <row r="680" spans="1:27">
      <c r="A680" s="3">
        <v>14</v>
      </c>
      <c r="B680" s="3" t="s">
        <v>616</v>
      </c>
      <c r="C680" s="3">
        <v>1986</v>
      </c>
      <c r="D680" s="3" t="s">
        <v>125</v>
      </c>
      <c r="E680" s="3">
        <v>104.75</v>
      </c>
      <c r="F680" s="3">
        <v>0.59809999999999997</v>
      </c>
      <c r="G680" s="3">
        <v>15</v>
      </c>
      <c r="H680" s="3">
        <v>222.5</v>
      </c>
      <c r="I680" s="3">
        <v>232.5</v>
      </c>
      <c r="J680" s="1">
        <v>240</v>
      </c>
      <c r="K680" s="4" t="e">
        <f t="array" aca="1" ref="K680">MAX(H680:J680*(1-strike(H680:J680)))</f>
        <v>#NAME?</v>
      </c>
      <c r="L680" s="3">
        <v>155</v>
      </c>
      <c r="M680" s="3">
        <v>160</v>
      </c>
      <c r="N680" s="3">
        <v>162.5</v>
      </c>
      <c r="O680" s="4" t="e">
        <f t="array" aca="1" ref="O680">MAX(L680:N680*(1-strike(L680:N680)))</f>
        <v>#NAME?</v>
      </c>
      <c r="P680" s="3">
        <v>270</v>
      </c>
      <c r="Q680" s="3">
        <v>285</v>
      </c>
      <c r="R680" s="3">
        <v>290</v>
      </c>
      <c r="S680" s="4" t="e">
        <f t="array" aca="1" ref="S680">MAX(P680:R680*(1-strike(P680:R680)))</f>
        <v>#NAME?</v>
      </c>
      <c r="T680" s="4" t="e">
        <f t="shared" si="10"/>
        <v>#NAME?</v>
      </c>
      <c r="U680" s="3">
        <v>685</v>
      </c>
      <c r="V680" s="3">
        <v>409.7</v>
      </c>
      <c r="W680" s="3">
        <v>1</v>
      </c>
      <c r="X680" s="5">
        <v>2013</v>
      </c>
      <c r="Y680" s="5" t="s">
        <v>29</v>
      </c>
      <c r="Z680" s="5" t="s">
        <v>30</v>
      </c>
      <c r="AA680" s="5">
        <v>1084</v>
      </c>
    </row>
    <row r="681" spans="1:27">
      <c r="A681" s="3">
        <v>13</v>
      </c>
      <c r="B681" s="3" t="s">
        <v>617</v>
      </c>
      <c r="C681" s="3">
        <v>1977</v>
      </c>
      <c r="D681" s="3" t="s">
        <v>51</v>
      </c>
      <c r="E681" s="3">
        <v>92.7</v>
      </c>
      <c r="F681" s="3">
        <v>0.62919999999999998</v>
      </c>
      <c r="G681" s="3">
        <v>13</v>
      </c>
      <c r="H681" s="3">
        <v>300</v>
      </c>
      <c r="I681" s="3">
        <v>317.5</v>
      </c>
      <c r="J681" s="3">
        <v>325</v>
      </c>
      <c r="K681" s="4" t="e">
        <f t="array" aca="1" ref="K681">MAX(H681:J681*(1-strike(H681:J681)))</f>
        <v>#NAME?</v>
      </c>
      <c r="L681" s="3">
        <v>170</v>
      </c>
      <c r="M681" s="3">
        <v>180</v>
      </c>
      <c r="N681" s="3">
        <v>187.5</v>
      </c>
      <c r="O681" s="4" t="e">
        <f t="array" aca="1" ref="O681">MAX(L681:N681*(1-strike(L681:N681)))</f>
        <v>#NAME?</v>
      </c>
      <c r="P681" s="3">
        <v>270</v>
      </c>
      <c r="Q681" s="3">
        <v>280</v>
      </c>
      <c r="R681" s="3">
        <v>287.5</v>
      </c>
      <c r="S681" s="4" t="e">
        <f t="array" aca="1" ref="S681">MAX(P681:R681*(1-strike(P681:R681)))</f>
        <v>#NAME?</v>
      </c>
      <c r="T681" s="4" t="e">
        <f t="shared" si="10"/>
        <v>#NAME?</v>
      </c>
      <c r="U681" s="3">
        <v>800</v>
      </c>
      <c r="V681" s="3">
        <v>503.36</v>
      </c>
      <c r="W681" s="3">
        <v>1</v>
      </c>
      <c r="X681" s="5">
        <v>2012</v>
      </c>
      <c r="Y681" s="5" t="s">
        <v>29</v>
      </c>
      <c r="Z681" s="5" t="s">
        <v>171</v>
      </c>
      <c r="AA681" s="5">
        <v>1268</v>
      </c>
    </row>
    <row r="682" spans="1:27">
      <c r="A682" s="4">
        <v>13</v>
      </c>
      <c r="B682" s="4" t="s">
        <v>617</v>
      </c>
      <c r="C682" s="4">
        <v>1977</v>
      </c>
      <c r="D682" s="4" t="s">
        <v>51</v>
      </c>
      <c r="E682" s="4">
        <v>91.66</v>
      </c>
      <c r="F682" s="4">
        <v>0.63260000000000005</v>
      </c>
      <c r="G682" s="4">
        <v>13</v>
      </c>
      <c r="H682" s="4">
        <v>300</v>
      </c>
      <c r="I682" s="4">
        <v>315</v>
      </c>
      <c r="J682" s="4">
        <v>322.5</v>
      </c>
      <c r="K682" s="4" t="e">
        <f t="array" aca="1" ref="K682">MAX(H682:J682*(1-strike(H682:J682)))</f>
        <v>#NAME?</v>
      </c>
      <c r="L682" s="4">
        <v>185</v>
      </c>
      <c r="M682" s="4">
        <v>192.5</v>
      </c>
      <c r="N682" s="6">
        <v>197.5</v>
      </c>
      <c r="O682" s="4" t="e">
        <f t="array" aca="1" ref="O682">MAX(L682:N682*(1-strike(L682:N682)))</f>
        <v>#NAME?</v>
      </c>
      <c r="P682" s="4">
        <v>270</v>
      </c>
      <c r="Q682" s="4">
        <v>290</v>
      </c>
      <c r="R682" s="6">
        <v>300</v>
      </c>
      <c r="S682" s="4" t="e">
        <f t="array" aca="1" ref="S682">MAX(P682:R682*(1-strike(P682:R682)))</f>
        <v>#NAME?</v>
      </c>
      <c r="T682" s="4" t="e">
        <f t="shared" si="10"/>
        <v>#NAME?</v>
      </c>
      <c r="U682" s="4">
        <v>805</v>
      </c>
      <c r="V682" s="4">
        <v>509.24</v>
      </c>
      <c r="W682" s="4">
        <v>1</v>
      </c>
      <c r="X682" s="5">
        <v>2015</v>
      </c>
      <c r="Y682" s="5" t="s">
        <v>29</v>
      </c>
      <c r="Z682" s="5" t="s">
        <v>171</v>
      </c>
      <c r="AA682" s="5">
        <v>67</v>
      </c>
    </row>
    <row r="683" spans="1:27">
      <c r="A683" s="4">
        <v>12</v>
      </c>
      <c r="B683" s="4" t="s">
        <v>618</v>
      </c>
      <c r="C683" s="4">
        <v>1989</v>
      </c>
      <c r="D683" s="4" t="s">
        <v>56</v>
      </c>
      <c r="E683" s="4">
        <v>73.8</v>
      </c>
      <c r="F683" s="4">
        <v>0.72070000000000001</v>
      </c>
      <c r="G683" s="4">
        <v>14</v>
      </c>
      <c r="H683" s="4">
        <v>205</v>
      </c>
      <c r="I683" s="4">
        <v>215</v>
      </c>
      <c r="J683" s="6">
        <v>220</v>
      </c>
      <c r="K683" s="4" t="e">
        <f t="array" aca="1" ref="K683">MAX(H683:J683*(1-strike(H683:J683)))</f>
        <v>#NAME?</v>
      </c>
      <c r="L683" s="4">
        <v>160</v>
      </c>
      <c r="M683" s="4">
        <v>165</v>
      </c>
      <c r="N683" s="6">
        <v>170</v>
      </c>
      <c r="O683" s="4" t="e">
        <f t="array" aca="1" ref="O683">MAX(L683:N683*(1-strike(L683:N683)))</f>
        <v>#NAME?</v>
      </c>
      <c r="P683" s="4">
        <v>240</v>
      </c>
      <c r="Q683" s="6">
        <v>250</v>
      </c>
      <c r="R683" s="6">
        <v>250</v>
      </c>
      <c r="S683" s="4" t="e">
        <f t="array" aca="1" ref="S683">MAX(P683:R683*(1-strike(P683:R683)))</f>
        <v>#NAME?</v>
      </c>
      <c r="T683" s="4" t="e">
        <f t="shared" si="10"/>
        <v>#NAME?</v>
      </c>
      <c r="U683" s="4">
        <v>620</v>
      </c>
      <c r="V683" s="4">
        <v>446.83</v>
      </c>
      <c r="W683" s="4">
        <v>1</v>
      </c>
      <c r="X683" s="5">
        <v>2014</v>
      </c>
      <c r="Y683" s="5" t="s">
        <v>29</v>
      </c>
      <c r="Z683" s="5" t="s">
        <v>30</v>
      </c>
      <c r="AA683" s="5">
        <v>679</v>
      </c>
    </row>
    <row r="684" spans="1:27" ht="15" customHeight="1">
      <c r="A684" s="3">
        <v>8</v>
      </c>
      <c r="B684" s="3" t="s">
        <v>619</v>
      </c>
      <c r="C684" s="3">
        <v>1991</v>
      </c>
      <c r="D684" s="3" t="s">
        <v>72</v>
      </c>
      <c r="E684" s="3">
        <v>138.19999999999999</v>
      </c>
      <c r="F684" s="3">
        <v>0.55989999999999995</v>
      </c>
      <c r="G684" s="3">
        <v>3</v>
      </c>
      <c r="H684" s="3">
        <v>400</v>
      </c>
      <c r="I684" s="3">
        <v>420</v>
      </c>
      <c r="J684" s="3">
        <v>425</v>
      </c>
      <c r="K684" s="4" t="e">
        <f t="array" aca="1" ref="K684">MAX(H684:J684*(1-strike(H684:J684)))</f>
        <v>#NAME?</v>
      </c>
      <c r="L684" s="3">
        <v>265</v>
      </c>
      <c r="M684" s="3">
        <v>275</v>
      </c>
      <c r="N684" s="3">
        <v>282.5</v>
      </c>
      <c r="O684" s="4" t="e">
        <f t="array" aca="1" ref="O684">MAX(L684:N684*(1-strike(L684:N684)))</f>
        <v>#NAME?</v>
      </c>
      <c r="P684" s="3">
        <v>300</v>
      </c>
      <c r="Q684" s="3">
        <v>315</v>
      </c>
      <c r="R684" s="3">
        <v>322.5</v>
      </c>
      <c r="S684" s="4" t="e">
        <f t="array" aca="1" ref="S684">MAX(P684:R684*(1-strike(P684:R684)))</f>
        <v>#NAME?</v>
      </c>
      <c r="T684" s="4" t="e">
        <f t="shared" si="10"/>
        <v>#NAME?</v>
      </c>
      <c r="U684" s="3">
        <v>1030</v>
      </c>
      <c r="V684" s="3">
        <v>576.70000000000005</v>
      </c>
      <c r="W684" s="3">
        <v>3</v>
      </c>
      <c r="X684" s="5">
        <v>2013</v>
      </c>
      <c r="Y684" s="5" t="s">
        <v>29</v>
      </c>
      <c r="Z684" s="5" t="s">
        <v>171</v>
      </c>
      <c r="AA684" s="5">
        <v>919</v>
      </c>
    </row>
    <row r="685" spans="1:27">
      <c r="A685" s="4" t="s">
        <v>37</v>
      </c>
      <c r="B685" s="4" t="s">
        <v>619</v>
      </c>
      <c r="C685" s="4">
        <v>1991</v>
      </c>
      <c r="D685" s="4" t="s">
        <v>72</v>
      </c>
      <c r="E685" s="4">
        <v>145.72999999999999</v>
      </c>
      <c r="F685" s="4">
        <v>0.55559999999999998</v>
      </c>
      <c r="G685" s="4">
        <v>8</v>
      </c>
      <c r="H685" s="6">
        <v>435</v>
      </c>
      <c r="I685" s="6">
        <v>435</v>
      </c>
      <c r="J685" s="6">
        <v>435</v>
      </c>
      <c r="K685" s="4" t="e">
        <f t="array" aca="1" ref="K685">MAX(H685:J685*(1-strike(H685:J685)))</f>
        <v>#NAME?</v>
      </c>
      <c r="L685" s="4">
        <v>300</v>
      </c>
      <c r="M685" s="6">
        <v>307.5</v>
      </c>
      <c r="N685" s="4">
        <v>307.5</v>
      </c>
      <c r="O685" s="4" t="e">
        <f t="array" aca="1" ref="O685">MAX(L685:N685*(1-strike(L685:N685)))</f>
        <v>#NAME?</v>
      </c>
      <c r="P685" s="4">
        <v>335</v>
      </c>
      <c r="Q685" s="4">
        <v>350</v>
      </c>
      <c r="R685" s="6">
        <v>360</v>
      </c>
      <c r="S685" s="4" t="e">
        <f t="array" aca="1" ref="S685">MAX(P685:R685*(1-strike(P685:R685)))</f>
        <v>#NAME?</v>
      </c>
      <c r="T685" s="4" t="e">
        <f t="shared" si="10"/>
        <v>#NAME?</v>
      </c>
      <c r="U685" s="4" t="s">
        <v>187</v>
      </c>
      <c r="V685" s="4" t="s">
        <v>37</v>
      </c>
      <c r="W685" s="4" t="s">
        <v>37</v>
      </c>
      <c r="X685" s="5">
        <v>2015</v>
      </c>
      <c r="Y685" s="5" t="s">
        <v>29</v>
      </c>
      <c r="Z685" s="5" t="s">
        <v>171</v>
      </c>
      <c r="AA685" s="5">
        <v>128</v>
      </c>
    </row>
    <row r="686" spans="1:27">
      <c r="A686" s="4">
        <v>5</v>
      </c>
      <c r="B686" s="4" t="s">
        <v>112</v>
      </c>
      <c r="C686" s="4">
        <v>1990</v>
      </c>
      <c r="D686" s="4" t="s">
        <v>113</v>
      </c>
      <c r="E686" s="4">
        <v>81.400000000000006</v>
      </c>
      <c r="F686" s="4">
        <v>0.6754</v>
      </c>
      <c r="G686" s="4">
        <v>25</v>
      </c>
      <c r="H686" s="4">
        <v>225</v>
      </c>
      <c r="I686" s="4">
        <v>242.5</v>
      </c>
      <c r="J686" s="6">
        <v>250</v>
      </c>
      <c r="K686" s="4" t="e">
        <f t="array" aca="1" ref="K686">MAX(H686:J686*(1-strike(H686:J686)))</f>
        <v>#NAME?</v>
      </c>
      <c r="L686" s="4">
        <v>185</v>
      </c>
      <c r="M686" s="6">
        <v>193.5</v>
      </c>
      <c r="N686" s="4">
        <v>193.5</v>
      </c>
      <c r="O686" s="4" t="e">
        <f t="array" aca="1" ref="O686">MAX(L686:N686*(1-strike(L686:N686)))</f>
        <v>#NAME?</v>
      </c>
      <c r="P686" s="4">
        <v>245</v>
      </c>
      <c r="Q686" s="4">
        <v>260</v>
      </c>
      <c r="R686" s="6">
        <v>275</v>
      </c>
      <c r="S686" s="4" t="e">
        <f t="array" aca="1" ref="S686">MAX(P686:R686*(1-strike(P686:R686)))</f>
        <v>#NAME?</v>
      </c>
      <c r="T686" s="4" t="e">
        <f t="shared" si="10"/>
        <v>#NAME?</v>
      </c>
      <c r="U686" s="4">
        <v>696</v>
      </c>
      <c r="V686" s="4">
        <v>470.08</v>
      </c>
      <c r="W686" s="4">
        <v>6</v>
      </c>
      <c r="X686" s="5">
        <v>2014</v>
      </c>
      <c r="Y686" s="5" t="s">
        <v>29</v>
      </c>
      <c r="Z686" s="5" t="s">
        <v>30</v>
      </c>
      <c r="AA686" s="5">
        <v>687</v>
      </c>
    </row>
    <row r="687" spans="1:27">
      <c r="A687" s="4">
        <v>14</v>
      </c>
      <c r="B687" s="4" t="s">
        <v>620</v>
      </c>
      <c r="C687" s="4">
        <v>1986</v>
      </c>
      <c r="D687" s="4" t="s">
        <v>113</v>
      </c>
      <c r="E687" s="4">
        <v>91.11</v>
      </c>
      <c r="F687" s="4">
        <v>0.63449999999999995</v>
      </c>
      <c r="G687" s="4">
        <v>16</v>
      </c>
      <c r="H687" s="4">
        <v>215</v>
      </c>
      <c r="I687" s="6">
        <v>230</v>
      </c>
      <c r="J687" s="4">
        <v>230</v>
      </c>
      <c r="K687" s="4" t="e">
        <f t="array" aca="1" ref="K687">MAX(H687:J687*(1-strike(H687:J687)))</f>
        <v>#NAME?</v>
      </c>
      <c r="L687" s="4">
        <v>142.5</v>
      </c>
      <c r="M687" s="4">
        <v>150</v>
      </c>
      <c r="N687" s="4">
        <v>155</v>
      </c>
      <c r="O687" s="4" t="e">
        <f t="array" aca="1" ref="O687">MAX(L687:N687*(1-strike(L687:N687)))</f>
        <v>#NAME?</v>
      </c>
      <c r="P687" s="4">
        <v>265</v>
      </c>
      <c r="Q687" s="4">
        <v>280</v>
      </c>
      <c r="R687" s="4">
        <v>290</v>
      </c>
      <c r="S687" s="4" t="e">
        <f t="array" aca="1" ref="S687">MAX(P687:R687*(1-strike(P687:R687)))</f>
        <v>#NAME?</v>
      </c>
      <c r="T687" s="4" t="e">
        <f t="shared" si="10"/>
        <v>#NAME?</v>
      </c>
      <c r="U687" s="4">
        <v>675</v>
      </c>
      <c r="V687" s="4">
        <v>428.29</v>
      </c>
      <c r="W687" s="4">
        <v>1</v>
      </c>
      <c r="X687" s="5">
        <v>2015</v>
      </c>
      <c r="Y687" s="5" t="s">
        <v>29</v>
      </c>
      <c r="Z687" s="5" t="s">
        <v>30</v>
      </c>
      <c r="AA687" s="5">
        <v>286</v>
      </c>
    </row>
    <row r="688" spans="1:27">
      <c r="A688" s="4">
        <v>9</v>
      </c>
      <c r="B688" s="4" t="s">
        <v>114</v>
      </c>
      <c r="C688" s="4">
        <v>1975</v>
      </c>
      <c r="D688" s="4" t="s">
        <v>56</v>
      </c>
      <c r="E688" s="4">
        <v>65.900000000000006</v>
      </c>
      <c r="F688" s="4">
        <v>0.78620000000000001</v>
      </c>
      <c r="G688" s="4">
        <v>9</v>
      </c>
      <c r="H688" s="4">
        <v>170</v>
      </c>
      <c r="I688" s="4">
        <v>180</v>
      </c>
      <c r="J688" s="6">
        <v>187.5</v>
      </c>
      <c r="K688" s="4" t="e">
        <f t="array" aca="1" ref="K688">MAX(H688:J688*(1-strike(H688:J688)))</f>
        <v>#NAME?</v>
      </c>
      <c r="L688" s="4">
        <v>92.5</v>
      </c>
      <c r="M688" s="4">
        <v>97.5</v>
      </c>
      <c r="N688" s="4">
        <v>100</v>
      </c>
      <c r="O688" s="4" t="e">
        <f t="array" aca="1" ref="O688">MAX(L688:N688*(1-strike(L688:N688)))</f>
        <v>#NAME?</v>
      </c>
      <c r="P688" s="4">
        <v>255</v>
      </c>
      <c r="Q688" s="6">
        <v>273.5</v>
      </c>
      <c r="R688" s="6">
        <v>273.5</v>
      </c>
      <c r="S688" s="4" t="e">
        <f t="array" aca="1" ref="S688">MAX(P688:R688*(1-strike(P688:R688)))</f>
        <v>#NAME?</v>
      </c>
      <c r="T688" s="4" t="e">
        <f t="shared" si="10"/>
        <v>#NAME?</v>
      </c>
      <c r="U688" s="4">
        <v>535</v>
      </c>
      <c r="V688" s="4">
        <v>420.62</v>
      </c>
      <c r="W688" s="4">
        <v>2</v>
      </c>
      <c r="X688" s="5">
        <v>2014</v>
      </c>
      <c r="Y688" s="5" t="s">
        <v>29</v>
      </c>
      <c r="Z688" s="5" t="s">
        <v>30</v>
      </c>
      <c r="AA688" s="5">
        <v>665</v>
      </c>
    </row>
    <row r="689" spans="1:27">
      <c r="A689" s="4">
        <v>15</v>
      </c>
      <c r="B689" s="4" t="s">
        <v>621</v>
      </c>
      <c r="C689" s="4">
        <v>1982</v>
      </c>
      <c r="D689" s="4" t="s">
        <v>80</v>
      </c>
      <c r="E689" s="4">
        <v>104.55</v>
      </c>
      <c r="F689" s="4">
        <v>0.59850000000000003</v>
      </c>
      <c r="G689" s="4">
        <v>1</v>
      </c>
      <c r="H689" s="6">
        <v>350</v>
      </c>
      <c r="I689" s="6">
        <v>350</v>
      </c>
      <c r="J689" s="4">
        <v>350</v>
      </c>
      <c r="K689" s="4" t="e">
        <f t="array" aca="1" ref="K689">MAX(H689:J689*(1-strike(H689:J689)))</f>
        <v>#NAME?</v>
      </c>
      <c r="L689" s="4">
        <v>235</v>
      </c>
      <c r="M689" s="6">
        <v>240</v>
      </c>
      <c r="N689" s="6">
        <v>240</v>
      </c>
      <c r="O689" s="4" t="e">
        <f t="array" aca="1" ref="O689">MAX(L689:N689*(1-strike(L689:N689)))</f>
        <v>#NAME?</v>
      </c>
      <c r="P689" s="6">
        <v>290</v>
      </c>
      <c r="Q689" s="4">
        <v>290</v>
      </c>
      <c r="R689" s="6">
        <v>302.5</v>
      </c>
      <c r="S689" s="4" t="e">
        <f t="array" aca="1" ref="S689">MAX(P689:R689*(1-strike(P689:R689)))</f>
        <v>#NAME?</v>
      </c>
      <c r="T689" s="4" t="e">
        <f t="shared" si="10"/>
        <v>#NAME?</v>
      </c>
      <c r="U689" s="4">
        <v>875</v>
      </c>
      <c r="V689" s="4">
        <v>523.69000000000005</v>
      </c>
      <c r="W689" s="4">
        <v>1</v>
      </c>
      <c r="X689" s="5">
        <v>2015</v>
      </c>
      <c r="Y689" s="5" t="s">
        <v>29</v>
      </c>
      <c r="Z689" s="5" t="s">
        <v>171</v>
      </c>
      <c r="AA689" s="5">
        <v>87</v>
      </c>
    </row>
    <row r="690" spans="1:27">
      <c r="A690" s="3">
        <v>10</v>
      </c>
      <c r="B690" s="3" t="s">
        <v>622</v>
      </c>
      <c r="C690" s="3">
        <v>1983</v>
      </c>
      <c r="D690" s="3" t="s">
        <v>113</v>
      </c>
      <c r="E690" s="3">
        <v>104.96</v>
      </c>
      <c r="F690" s="3">
        <v>0.59770000000000001</v>
      </c>
      <c r="G690" s="3">
        <v>20</v>
      </c>
      <c r="H690" s="3">
        <v>322.5</v>
      </c>
      <c r="I690" s="3">
        <v>332.5</v>
      </c>
      <c r="J690" s="3">
        <v>340</v>
      </c>
      <c r="K690" s="4" t="e">
        <f t="array" aca="1" ref="K690">MAX(H690:J690*(1-strike(H690:J690)))</f>
        <v>#NAME?</v>
      </c>
      <c r="L690" s="3">
        <v>225</v>
      </c>
      <c r="M690" s="1">
        <v>230</v>
      </c>
      <c r="N690" s="1">
        <v>230</v>
      </c>
      <c r="O690" s="4" t="e">
        <f t="array" aca="1" ref="O690">MAX(L690:N690*(1-strike(L690:N690)))</f>
        <v>#NAME?</v>
      </c>
      <c r="P690" s="3">
        <v>305</v>
      </c>
      <c r="Q690" s="3">
        <v>322.5</v>
      </c>
      <c r="R690" s="1">
        <v>340</v>
      </c>
      <c r="S690" s="4" t="e">
        <f t="array" aca="1" ref="S690">MAX(P690:R690*(1-strike(P690:R690)))</f>
        <v>#NAME?</v>
      </c>
      <c r="T690" s="4" t="e">
        <f t="shared" si="10"/>
        <v>#NAME?</v>
      </c>
      <c r="U690" s="3">
        <v>887.5</v>
      </c>
      <c r="V690" s="3">
        <v>530.44000000000005</v>
      </c>
      <c r="W690" s="3">
        <v>1</v>
      </c>
      <c r="X690" s="5">
        <v>2012</v>
      </c>
      <c r="Y690" s="5" t="s">
        <v>29</v>
      </c>
      <c r="Z690" s="5" t="s">
        <v>171</v>
      </c>
      <c r="AA690" s="5">
        <v>1287</v>
      </c>
    </row>
    <row r="691" spans="1:27">
      <c r="A691" s="4">
        <v>9</v>
      </c>
      <c r="B691" s="4" t="s">
        <v>622</v>
      </c>
      <c r="C691" s="4">
        <v>1983</v>
      </c>
      <c r="D691" s="4" t="s">
        <v>113</v>
      </c>
      <c r="E691" s="4">
        <v>118.68</v>
      </c>
      <c r="F691" s="4">
        <v>0.57640000000000002</v>
      </c>
      <c r="G691" s="4">
        <v>9</v>
      </c>
      <c r="H691" s="6">
        <v>365</v>
      </c>
      <c r="I691" s="4">
        <v>370</v>
      </c>
      <c r="J691" s="6">
        <v>387.5</v>
      </c>
      <c r="K691" s="4" t="e">
        <f t="array" aca="1" ref="K691">MAX(H691:J691*(1-strike(H691:J691)))</f>
        <v>#NAME?</v>
      </c>
      <c r="L691" s="4">
        <v>265</v>
      </c>
      <c r="M691" s="6">
        <v>280</v>
      </c>
      <c r="N691" s="4">
        <v>280</v>
      </c>
      <c r="O691" s="4" t="e">
        <f t="array" aca="1" ref="O691">MAX(L691:N691*(1-strike(L691:N691)))</f>
        <v>#NAME?</v>
      </c>
      <c r="P691" s="4">
        <v>295</v>
      </c>
      <c r="Q691" s="4">
        <v>307.5</v>
      </c>
      <c r="R691" s="4">
        <v>315</v>
      </c>
      <c r="S691" s="4" t="e">
        <f t="array" aca="1" ref="S691">MAX(P691:R691*(1-strike(P691:R691)))</f>
        <v>#NAME?</v>
      </c>
      <c r="T691" s="4" t="e">
        <f t="shared" si="10"/>
        <v>#NAME?</v>
      </c>
      <c r="U691" s="4">
        <v>965</v>
      </c>
      <c r="V691" s="4">
        <v>556.23</v>
      </c>
      <c r="W691" s="4">
        <v>2</v>
      </c>
      <c r="X691" s="5">
        <v>2014</v>
      </c>
      <c r="Y691" s="5" t="s">
        <v>29</v>
      </c>
      <c r="Z691" s="5" t="s">
        <v>171</v>
      </c>
      <c r="AA691" s="5">
        <v>541</v>
      </c>
    </row>
    <row r="692" spans="1:27">
      <c r="A692" s="3">
        <v>16</v>
      </c>
      <c r="B692" s="3" t="s">
        <v>623</v>
      </c>
      <c r="C692" s="3">
        <v>1971</v>
      </c>
      <c r="D692" s="3" t="s">
        <v>113</v>
      </c>
      <c r="E692" s="3">
        <v>101.75</v>
      </c>
      <c r="F692" s="3">
        <v>0.60450000000000004</v>
      </c>
      <c r="G692" s="3">
        <v>10</v>
      </c>
      <c r="H692" s="3">
        <v>217.5</v>
      </c>
      <c r="I692" s="3">
        <v>220</v>
      </c>
      <c r="J692" s="3">
        <v>227.5</v>
      </c>
      <c r="K692" s="4" t="e">
        <f t="array" aca="1" ref="K692">MAX(H692:J692*(1-strike(H692:J692)))</f>
        <v>#NAME?</v>
      </c>
      <c r="L692" s="3">
        <v>150</v>
      </c>
      <c r="M692" s="3">
        <v>157.5</v>
      </c>
      <c r="N692" s="3">
        <v>162.5</v>
      </c>
      <c r="O692" s="4" t="e">
        <f t="array" aca="1" ref="O692">MAX(L692:N692*(1-strike(L692:N692)))</f>
        <v>#NAME?</v>
      </c>
      <c r="P692" s="3">
        <v>255</v>
      </c>
      <c r="Q692" s="1">
        <v>257.5</v>
      </c>
      <c r="R692" s="3"/>
      <c r="S692" s="4" t="e">
        <f t="array" aca="1" ref="S692">MAX(P692:R692*(1-strike(P692:R692)))</f>
        <v>#NAME?</v>
      </c>
      <c r="T692" s="4" t="e">
        <f t="shared" si="10"/>
        <v>#NAME?</v>
      </c>
      <c r="U692" s="3">
        <v>645</v>
      </c>
      <c r="V692" s="3">
        <v>389.9</v>
      </c>
      <c r="W692" s="3">
        <v>1</v>
      </c>
      <c r="X692" s="5">
        <v>2013</v>
      </c>
      <c r="Y692" s="5" t="s">
        <v>29</v>
      </c>
      <c r="Z692" s="5" t="s">
        <v>30</v>
      </c>
      <c r="AA692" s="5">
        <v>1086</v>
      </c>
    </row>
    <row r="693" spans="1:27">
      <c r="A693" s="4">
        <v>6</v>
      </c>
      <c r="B693" s="4" t="s">
        <v>624</v>
      </c>
      <c r="C693" s="4">
        <v>1976</v>
      </c>
      <c r="D693" s="4" t="s">
        <v>163</v>
      </c>
      <c r="E693" s="4">
        <v>102.5</v>
      </c>
      <c r="F693" s="4">
        <v>0.6028</v>
      </c>
      <c r="G693" s="4">
        <v>2</v>
      </c>
      <c r="H693" s="4">
        <v>290</v>
      </c>
      <c r="I693" s="4">
        <v>307.5</v>
      </c>
      <c r="J693" s="4">
        <v>315</v>
      </c>
      <c r="K693" s="4" t="e">
        <f t="array" aca="1" ref="K693">MAX(H693:J693*(1-strike(H693:J693)))</f>
        <v>#NAME?</v>
      </c>
      <c r="L693" s="4">
        <v>155</v>
      </c>
      <c r="M693" s="4">
        <v>165</v>
      </c>
      <c r="N693" s="4">
        <v>170</v>
      </c>
      <c r="O693" s="4" t="e">
        <f t="array" aca="1" ref="O693">MAX(L693:N693*(1-strike(L693:N693)))</f>
        <v>#NAME?</v>
      </c>
      <c r="P693" s="4">
        <v>290</v>
      </c>
      <c r="Q693" s="6">
        <v>310</v>
      </c>
      <c r="R693" s="6">
        <v>310</v>
      </c>
      <c r="S693" s="4" t="e">
        <f t="array" aca="1" ref="S693">MAX(P693:R693*(1-strike(P693:R693)))</f>
        <v>#NAME?</v>
      </c>
      <c r="T693" s="4" t="e">
        <f t="shared" si="10"/>
        <v>#NAME?</v>
      </c>
      <c r="U693" s="4">
        <v>775</v>
      </c>
      <c r="V693" s="4">
        <v>467.17</v>
      </c>
      <c r="W693" s="4">
        <v>5</v>
      </c>
      <c r="X693" s="5">
        <v>2014</v>
      </c>
      <c r="Y693" s="5" t="s">
        <v>29</v>
      </c>
      <c r="Z693" s="5" t="s">
        <v>30</v>
      </c>
      <c r="AA693" s="5">
        <v>715</v>
      </c>
    </row>
    <row r="694" spans="1:27">
      <c r="A694" s="4">
        <v>9</v>
      </c>
      <c r="B694" s="4" t="s">
        <v>625</v>
      </c>
      <c r="C694" s="4">
        <v>1990</v>
      </c>
      <c r="D694" s="4" t="s">
        <v>119</v>
      </c>
      <c r="E694" s="4">
        <v>73.56</v>
      </c>
      <c r="F694" s="4">
        <v>0.72240000000000004</v>
      </c>
      <c r="G694" s="4">
        <v>5</v>
      </c>
      <c r="H694" s="4">
        <v>220</v>
      </c>
      <c r="I694" s="4">
        <v>230</v>
      </c>
      <c r="J694" s="4">
        <v>237.5</v>
      </c>
      <c r="K694" s="4" t="e">
        <f t="array" aca="1" ref="K694">MAX(H694:J694*(1-strike(H694:J694)))</f>
        <v>#NAME?</v>
      </c>
      <c r="L694" s="4">
        <v>130</v>
      </c>
      <c r="M694" s="4">
        <v>137.5</v>
      </c>
      <c r="N694" s="4">
        <v>140</v>
      </c>
      <c r="O694" s="4" t="e">
        <f t="array" aca="1" ref="O694">MAX(L694:N694*(1-strike(L694:N694)))</f>
        <v>#NAME?</v>
      </c>
      <c r="P694" s="4">
        <v>260</v>
      </c>
      <c r="Q694" s="4">
        <v>280</v>
      </c>
      <c r="R694" s="6">
        <v>290</v>
      </c>
      <c r="S694" s="4" t="e">
        <f t="array" aca="1" ref="S694">MAX(P694:R694*(1-strike(P694:R694)))</f>
        <v>#NAME?</v>
      </c>
      <c r="T694" s="4" t="e">
        <f t="shared" si="10"/>
        <v>#NAME?</v>
      </c>
      <c r="U694" s="4">
        <v>657.5</v>
      </c>
      <c r="V694" s="4">
        <v>474.98</v>
      </c>
      <c r="W694" s="4">
        <v>2</v>
      </c>
      <c r="X694" s="5">
        <v>2015</v>
      </c>
      <c r="Y694" s="5" t="s">
        <v>29</v>
      </c>
      <c r="Z694" s="5" t="s">
        <v>30</v>
      </c>
      <c r="AA694" s="5">
        <v>246</v>
      </c>
    </row>
    <row r="695" spans="1:27" ht="15" customHeight="1">
      <c r="A695" s="4">
        <v>7</v>
      </c>
      <c r="B695" s="4" t="s">
        <v>626</v>
      </c>
      <c r="C695" s="4">
        <v>1983</v>
      </c>
      <c r="D695" s="4" t="s">
        <v>445</v>
      </c>
      <c r="E695" s="4">
        <v>156.85</v>
      </c>
      <c r="F695" s="4">
        <v>0.54979999999999996</v>
      </c>
      <c r="G695" s="4">
        <v>2</v>
      </c>
      <c r="H695" s="4">
        <v>365</v>
      </c>
      <c r="I695" s="4">
        <v>380</v>
      </c>
      <c r="J695" s="4">
        <v>392.5</v>
      </c>
      <c r="K695" s="4" t="e">
        <f t="array" aca="1" ref="K695">MAX(H695:J695*(1-strike(H695:J695)))</f>
        <v>#NAME?</v>
      </c>
      <c r="L695" s="4">
        <v>210</v>
      </c>
      <c r="M695" s="4">
        <v>215</v>
      </c>
      <c r="N695" s="6">
        <v>220</v>
      </c>
      <c r="O695" s="4" t="e">
        <f t="array" aca="1" ref="O695">MAX(L695:N695*(1-strike(L695:N695)))</f>
        <v>#NAME?</v>
      </c>
      <c r="P695" s="4">
        <v>320</v>
      </c>
      <c r="Q695" s="6">
        <v>335</v>
      </c>
      <c r="R695" s="6">
        <v>335</v>
      </c>
      <c r="S695" s="4" t="e">
        <f t="array" aca="1" ref="S695">MAX(P695:R695*(1-strike(P695:R695)))</f>
        <v>#NAME?</v>
      </c>
      <c r="T695" s="4" t="e">
        <f t="shared" si="10"/>
        <v>#NAME?</v>
      </c>
      <c r="U695" s="4">
        <v>927.5</v>
      </c>
      <c r="V695" s="4">
        <v>509.94</v>
      </c>
      <c r="W695" s="4">
        <v>4</v>
      </c>
      <c r="X695" s="5">
        <v>2015</v>
      </c>
      <c r="Y695" s="5" t="s">
        <v>29</v>
      </c>
      <c r="Z695" s="5" t="s">
        <v>30</v>
      </c>
      <c r="AA695" s="5">
        <v>329</v>
      </c>
    </row>
    <row r="696" spans="1:27">
      <c r="A696" s="3">
        <v>6</v>
      </c>
      <c r="B696" s="3" t="s">
        <v>627</v>
      </c>
      <c r="C696" s="3">
        <v>1975</v>
      </c>
      <c r="D696" s="3" t="s">
        <v>62</v>
      </c>
      <c r="E696" s="3">
        <v>119.74</v>
      </c>
      <c r="F696" s="3">
        <v>0.57520000000000004</v>
      </c>
      <c r="G696" s="3">
        <v>38</v>
      </c>
      <c r="H696" s="3">
        <v>365</v>
      </c>
      <c r="I696" s="3">
        <v>382.5</v>
      </c>
      <c r="J696" s="3">
        <v>392.5</v>
      </c>
      <c r="K696" s="4" t="e">
        <f t="array" aca="1" ref="K696">MAX(H696:J696*(1-strike(H696:J696)))</f>
        <v>#NAME?</v>
      </c>
      <c r="L696" s="3">
        <v>272.5</v>
      </c>
      <c r="M696" s="1">
        <v>287.5</v>
      </c>
      <c r="N696" s="3">
        <v>287.5</v>
      </c>
      <c r="O696" s="4" t="e">
        <f t="array" aca="1" ref="O696">MAX(L696:N696*(1-strike(L696:N696)))</f>
        <v>#NAME?</v>
      </c>
      <c r="P696" s="3">
        <v>275</v>
      </c>
      <c r="Q696" s="3">
        <v>290</v>
      </c>
      <c r="R696" s="3">
        <v>305</v>
      </c>
      <c r="S696" s="4" t="e">
        <f t="array" aca="1" ref="S696">MAX(P696:R696*(1-strike(P696:R696)))</f>
        <v>#NAME?</v>
      </c>
      <c r="T696" s="4" t="e">
        <f t="shared" si="10"/>
        <v>#NAME?</v>
      </c>
      <c r="U696" s="3">
        <v>985</v>
      </c>
      <c r="V696" s="3">
        <v>566.59</v>
      </c>
      <c r="W696" s="3">
        <v>5</v>
      </c>
      <c r="X696" s="5">
        <v>2012</v>
      </c>
      <c r="Y696" s="5" t="s">
        <v>29</v>
      </c>
      <c r="Z696" s="5" t="s">
        <v>171</v>
      </c>
      <c r="AA696" s="5">
        <v>1304</v>
      </c>
    </row>
    <row r="697" spans="1:27">
      <c r="A697" s="3">
        <v>4</v>
      </c>
      <c r="B697" s="3" t="s">
        <v>627</v>
      </c>
      <c r="C697" s="3">
        <v>1975</v>
      </c>
      <c r="D697" s="3" t="s">
        <v>62</v>
      </c>
      <c r="E697" s="3">
        <v>119.55</v>
      </c>
      <c r="F697" s="3">
        <v>0.57540000000000002</v>
      </c>
      <c r="G697" s="3">
        <v>11</v>
      </c>
      <c r="H697" s="3">
        <v>367.5</v>
      </c>
      <c r="I697" s="3">
        <v>390</v>
      </c>
      <c r="J697" s="1">
        <v>405</v>
      </c>
      <c r="K697" s="4" t="e">
        <f t="array" aca="1" ref="K697">MAX(H697:J697*(1-strike(H697:J697)))</f>
        <v>#NAME?</v>
      </c>
      <c r="L697" s="3">
        <v>280</v>
      </c>
      <c r="M697" s="3">
        <v>295</v>
      </c>
      <c r="N697" s="1">
        <v>300</v>
      </c>
      <c r="O697" s="4" t="e">
        <f t="array" aca="1" ref="O697">MAX(L697:N697*(1-strike(L697:N697)))</f>
        <v>#NAME?</v>
      </c>
      <c r="P697" s="3">
        <v>277.5</v>
      </c>
      <c r="Q697" s="1">
        <v>297.5</v>
      </c>
      <c r="R697" s="3">
        <v>300</v>
      </c>
      <c r="S697" s="4" t="e">
        <f t="array" aca="1" ref="S697">MAX(P697:R697*(1-strike(P697:R697)))</f>
        <v>#NAME?</v>
      </c>
      <c r="T697" s="4" t="e">
        <f t="shared" si="10"/>
        <v>#NAME?</v>
      </c>
      <c r="U697" s="3">
        <v>985</v>
      </c>
      <c r="V697" s="3">
        <v>566.77</v>
      </c>
      <c r="W697" s="3">
        <v>7</v>
      </c>
      <c r="X697" s="5">
        <v>2013</v>
      </c>
      <c r="Y697" s="5" t="s">
        <v>29</v>
      </c>
      <c r="Z697" s="5" t="s">
        <v>171</v>
      </c>
      <c r="AA697" s="5">
        <v>898</v>
      </c>
    </row>
    <row r="698" spans="1:27">
      <c r="A698" s="3">
        <v>2</v>
      </c>
      <c r="B698" s="3" t="s">
        <v>628</v>
      </c>
      <c r="C698" s="3">
        <v>1988</v>
      </c>
      <c r="D698" s="3" t="s">
        <v>51</v>
      </c>
      <c r="E698" s="3">
        <v>92.95</v>
      </c>
      <c r="F698" s="3">
        <v>0.62829999999999997</v>
      </c>
      <c r="G698" s="3">
        <v>8</v>
      </c>
      <c r="H698" s="3">
        <v>255</v>
      </c>
      <c r="I698" s="3">
        <v>270</v>
      </c>
      <c r="J698" s="3">
        <v>280</v>
      </c>
      <c r="K698" s="4" t="e">
        <f t="array" aca="1" ref="K698">MAX(H698:J698*(1-strike(H698:J698)))</f>
        <v>#NAME?</v>
      </c>
      <c r="L698" s="3">
        <v>170</v>
      </c>
      <c r="M698" s="3">
        <v>180</v>
      </c>
      <c r="N698" s="3">
        <v>187.5</v>
      </c>
      <c r="O698" s="4" t="e">
        <f t="array" aca="1" ref="O698">MAX(L698:N698*(1-strike(L698:N698)))</f>
        <v>#NAME?</v>
      </c>
      <c r="P698" s="3">
        <v>290</v>
      </c>
      <c r="Q698" s="3">
        <v>305</v>
      </c>
      <c r="R698" s="1">
        <v>335</v>
      </c>
      <c r="S698" s="4" t="e">
        <f t="array" aca="1" ref="S698">MAX(P698:R698*(1-strike(P698:R698)))</f>
        <v>#NAME?</v>
      </c>
      <c r="T698" s="4" t="e">
        <f t="shared" si="10"/>
        <v>#NAME?</v>
      </c>
      <c r="U698" s="3">
        <v>772.5</v>
      </c>
      <c r="V698" s="3">
        <v>485.4</v>
      </c>
      <c r="W698" s="3">
        <v>9</v>
      </c>
      <c r="X698" s="5">
        <v>2013</v>
      </c>
      <c r="Y698" s="5" t="s">
        <v>29</v>
      </c>
      <c r="Z698" s="5" t="s">
        <v>30</v>
      </c>
      <c r="AA698" s="5">
        <v>1057</v>
      </c>
    </row>
    <row r="699" spans="1:27">
      <c r="A699" s="4">
        <v>3</v>
      </c>
      <c r="B699" s="4" t="s">
        <v>628</v>
      </c>
      <c r="C699" s="4">
        <v>1988</v>
      </c>
      <c r="D699" s="4" t="s">
        <v>51</v>
      </c>
      <c r="E699" s="4">
        <v>92.1</v>
      </c>
      <c r="F699" s="4">
        <v>0.63109999999999999</v>
      </c>
      <c r="G699" s="4">
        <v>11</v>
      </c>
      <c r="H699" s="4">
        <v>280</v>
      </c>
      <c r="I699" s="4">
        <v>290</v>
      </c>
      <c r="J699" s="6">
        <v>300</v>
      </c>
      <c r="K699" s="4" t="e">
        <f t="array" aca="1" ref="K699">MAX(H699:J699*(1-strike(H699:J699)))</f>
        <v>#NAME?</v>
      </c>
      <c r="L699" s="4">
        <v>185</v>
      </c>
      <c r="M699" s="4">
        <v>192.5</v>
      </c>
      <c r="N699" s="4"/>
      <c r="O699" s="4" t="e">
        <f t="array" aca="1" ref="O699">MAX(L699:N699*(1-strike(L699:N699)))</f>
        <v>#NAME?</v>
      </c>
      <c r="P699" s="4">
        <v>200</v>
      </c>
      <c r="Q699" s="4">
        <v>280</v>
      </c>
      <c r="R699" s="4">
        <v>302.5</v>
      </c>
      <c r="S699" s="4" t="e">
        <f t="array" aca="1" ref="S699">MAX(P699:R699*(1-strike(P699:R699)))</f>
        <v>#NAME?</v>
      </c>
      <c r="T699" s="4" t="e">
        <f t="shared" si="10"/>
        <v>#NAME?</v>
      </c>
      <c r="U699" s="4">
        <v>785</v>
      </c>
      <c r="V699" s="4">
        <v>495.41</v>
      </c>
      <c r="W699" s="4">
        <v>8</v>
      </c>
      <c r="X699" s="5">
        <v>2014</v>
      </c>
      <c r="Y699" s="5" t="s">
        <v>29</v>
      </c>
      <c r="Z699" s="5" t="s">
        <v>30</v>
      </c>
      <c r="AA699" s="5">
        <v>699</v>
      </c>
    </row>
    <row r="700" spans="1:27">
      <c r="A700" s="4">
        <v>3</v>
      </c>
      <c r="B700" s="4" t="s">
        <v>628</v>
      </c>
      <c r="C700" s="4">
        <v>1988</v>
      </c>
      <c r="D700" s="4" t="s">
        <v>51</v>
      </c>
      <c r="E700" s="4">
        <v>103</v>
      </c>
      <c r="F700" s="4">
        <v>0.60170000000000001</v>
      </c>
      <c r="G700" s="4">
        <v>12</v>
      </c>
      <c r="H700" s="4">
        <v>275</v>
      </c>
      <c r="I700" s="4">
        <v>290</v>
      </c>
      <c r="J700" s="4">
        <v>295</v>
      </c>
      <c r="K700" s="4" t="e">
        <f t="array" aca="1" ref="K700">MAX(H700:J700*(1-strike(H700:J700)))</f>
        <v>#NAME?</v>
      </c>
      <c r="L700" s="4">
        <v>190</v>
      </c>
      <c r="M700" s="4">
        <v>197.5</v>
      </c>
      <c r="N700" s="4">
        <v>200</v>
      </c>
      <c r="O700" s="4" t="e">
        <f t="array" aca="1" ref="O700">MAX(L700:N700*(1-strike(L700:N700)))</f>
        <v>#NAME?</v>
      </c>
      <c r="P700" s="4">
        <v>307.5</v>
      </c>
      <c r="Q700" s="6">
        <v>317.5</v>
      </c>
      <c r="R700" s="6">
        <v>317.5</v>
      </c>
      <c r="S700" s="4" t="e">
        <f t="array" aca="1" ref="S700">MAX(P700:R700*(1-strike(P700:R700)))</f>
        <v>#NAME?</v>
      </c>
      <c r="T700" s="4" t="e">
        <f t="shared" si="10"/>
        <v>#NAME?</v>
      </c>
      <c r="U700" s="4">
        <v>802.5</v>
      </c>
      <c r="V700" s="4">
        <v>482.86</v>
      </c>
      <c r="W700" s="4">
        <v>8</v>
      </c>
      <c r="X700" s="5">
        <v>2015</v>
      </c>
      <c r="Y700" s="5" t="s">
        <v>29</v>
      </c>
      <c r="Z700" s="5" t="s">
        <v>30</v>
      </c>
      <c r="AA700" s="5">
        <v>295</v>
      </c>
    </row>
    <row r="701" spans="1:27">
      <c r="A701" s="3">
        <v>6</v>
      </c>
      <c r="B701" s="3" t="s">
        <v>629</v>
      </c>
      <c r="C701" s="3">
        <v>1987</v>
      </c>
      <c r="D701" s="3" t="s">
        <v>119</v>
      </c>
      <c r="E701" s="3">
        <v>118.85</v>
      </c>
      <c r="F701" s="3">
        <v>0.57630000000000003</v>
      </c>
      <c r="G701" s="3">
        <v>3</v>
      </c>
      <c r="H701" s="3">
        <v>300</v>
      </c>
      <c r="I701" s="3">
        <v>317.5</v>
      </c>
      <c r="J701" s="3">
        <v>322.5</v>
      </c>
      <c r="K701" s="4" t="e">
        <f t="array" aca="1" ref="K701">MAX(H701:J701*(1-strike(H701:J701)))</f>
        <v>#NAME?</v>
      </c>
      <c r="L701" s="3">
        <v>190</v>
      </c>
      <c r="M701" s="1">
        <v>205</v>
      </c>
      <c r="N701" s="3"/>
      <c r="O701" s="4" t="e">
        <f t="array" aca="1" ref="O701">MAX(L701:N701*(1-strike(L701:N701)))</f>
        <v>#NAME?</v>
      </c>
      <c r="P701" s="3">
        <v>310</v>
      </c>
      <c r="Q701" s="3">
        <v>325</v>
      </c>
      <c r="R701" s="3">
        <v>340</v>
      </c>
      <c r="S701" s="4" t="e">
        <f t="array" aca="1" ref="S701">MAX(P701:R701*(1-strike(P701:R701)))</f>
        <v>#NAME?</v>
      </c>
      <c r="T701" s="4" t="e">
        <f t="shared" si="10"/>
        <v>#NAME?</v>
      </c>
      <c r="U701" s="3">
        <v>852.5</v>
      </c>
      <c r="V701" s="3">
        <v>491.25</v>
      </c>
      <c r="W701" s="3">
        <v>5</v>
      </c>
      <c r="X701" s="5">
        <v>2013</v>
      </c>
      <c r="Y701" s="5" t="s">
        <v>29</v>
      </c>
      <c r="Z701" s="5" t="s">
        <v>30</v>
      </c>
      <c r="AA701" s="5">
        <v>1096</v>
      </c>
    </row>
    <row r="702" spans="1:27">
      <c r="A702" s="4">
        <v>10</v>
      </c>
      <c r="B702" s="4" t="s">
        <v>630</v>
      </c>
      <c r="C702" s="4">
        <v>1975</v>
      </c>
      <c r="D702" s="4" t="s">
        <v>80</v>
      </c>
      <c r="E702" s="4">
        <v>144.65</v>
      </c>
      <c r="F702" s="4">
        <v>0.55610000000000004</v>
      </c>
      <c r="G702" s="4">
        <v>16</v>
      </c>
      <c r="H702" s="4">
        <v>365</v>
      </c>
      <c r="I702" s="6">
        <v>375</v>
      </c>
      <c r="J702" s="4">
        <v>375</v>
      </c>
      <c r="K702" s="4" t="e">
        <f t="array" aca="1" ref="K702">MAX(H702:J702*(1-strike(H702:J702)))</f>
        <v>#NAME?</v>
      </c>
      <c r="L702" s="4">
        <v>240</v>
      </c>
      <c r="M702" s="4">
        <v>250</v>
      </c>
      <c r="N702" s="6">
        <v>260</v>
      </c>
      <c r="O702" s="4" t="e">
        <f t="array" aca="1" ref="O702">MAX(L702:N702*(1-strike(L702:N702)))</f>
        <v>#NAME?</v>
      </c>
      <c r="P702" s="4">
        <v>320</v>
      </c>
      <c r="Q702" s="4">
        <v>340</v>
      </c>
      <c r="R702" s="4">
        <v>355</v>
      </c>
      <c r="S702" s="4" t="e">
        <f t="array" aca="1" ref="S702">MAX(P702:R702*(1-strike(P702:R702)))</f>
        <v>#NAME?</v>
      </c>
      <c r="T702" s="4" t="e">
        <f t="shared" si="10"/>
        <v>#NAME?</v>
      </c>
      <c r="U702" s="4">
        <v>980</v>
      </c>
      <c r="V702" s="4">
        <v>544.98</v>
      </c>
      <c r="W702" s="4">
        <v>1</v>
      </c>
      <c r="X702" s="5">
        <v>2015</v>
      </c>
      <c r="Y702" s="5" t="s">
        <v>29</v>
      </c>
      <c r="Z702" s="5" t="s">
        <v>171</v>
      </c>
      <c r="AA702" s="5">
        <v>122</v>
      </c>
    </row>
    <row r="703" spans="1:27">
      <c r="A703" s="4">
        <v>5</v>
      </c>
      <c r="B703" s="4" t="s">
        <v>631</v>
      </c>
      <c r="C703" s="4">
        <v>1989</v>
      </c>
      <c r="D703" s="4" t="s">
        <v>62</v>
      </c>
      <c r="E703" s="4">
        <v>118.75</v>
      </c>
      <c r="F703" s="4">
        <v>0.57630000000000003</v>
      </c>
      <c r="G703" s="4">
        <v>12</v>
      </c>
      <c r="H703" s="4">
        <v>312.5</v>
      </c>
      <c r="I703" s="4">
        <v>327.5</v>
      </c>
      <c r="J703" s="6">
        <v>340</v>
      </c>
      <c r="K703" s="4" t="e">
        <f t="array" aca="1" ref="K703">MAX(H703:J703*(1-strike(H703:J703)))</f>
        <v>#NAME?</v>
      </c>
      <c r="L703" s="4">
        <v>177.5</v>
      </c>
      <c r="M703" s="4">
        <v>187.5</v>
      </c>
      <c r="N703" s="4">
        <v>190</v>
      </c>
      <c r="O703" s="4" t="e">
        <f t="array" aca="1" ref="O703">MAX(L703:N703*(1-strike(L703:N703)))</f>
        <v>#NAME?</v>
      </c>
      <c r="P703" s="4">
        <v>317.5</v>
      </c>
      <c r="Q703" s="4">
        <v>330</v>
      </c>
      <c r="R703" s="4">
        <v>335</v>
      </c>
      <c r="S703" s="4" t="e">
        <f t="array" aca="1" ref="S703">MAX(P703:R703*(1-strike(P703:R703)))</f>
        <v>#NAME?</v>
      </c>
      <c r="T703" s="4" t="e">
        <f t="shared" si="10"/>
        <v>#NAME?</v>
      </c>
      <c r="U703" s="4">
        <v>852.5</v>
      </c>
      <c r="V703" s="4">
        <v>491.3</v>
      </c>
      <c r="W703" s="4">
        <v>6</v>
      </c>
      <c r="X703" s="5">
        <v>2015</v>
      </c>
      <c r="Y703" s="5" t="s">
        <v>29</v>
      </c>
      <c r="Z703" s="5" t="s">
        <v>30</v>
      </c>
      <c r="AA703" s="5">
        <v>311</v>
      </c>
    </row>
    <row r="704" spans="1:27">
      <c r="A704" s="4">
        <v>5</v>
      </c>
      <c r="B704" s="4" t="s">
        <v>632</v>
      </c>
      <c r="C704" s="4">
        <v>1987</v>
      </c>
      <c r="D704" s="4" t="s">
        <v>51</v>
      </c>
      <c r="E704" s="4">
        <v>92.8</v>
      </c>
      <c r="F704" s="4">
        <v>0.62880000000000003</v>
      </c>
      <c r="G704" s="4">
        <v>8</v>
      </c>
      <c r="H704" s="6">
        <v>255</v>
      </c>
      <c r="I704" s="4">
        <v>255</v>
      </c>
      <c r="J704" s="6">
        <v>270</v>
      </c>
      <c r="K704" s="4" t="e">
        <f t="array" aca="1" ref="K704">MAX(H704:J704*(1-strike(H704:J704)))</f>
        <v>#NAME?</v>
      </c>
      <c r="L704" s="4">
        <v>162.5</v>
      </c>
      <c r="M704" s="4">
        <v>170</v>
      </c>
      <c r="N704" s="4">
        <v>172.5</v>
      </c>
      <c r="O704" s="4" t="e">
        <f t="array" aca="1" ref="O704">MAX(L704:N704*(1-strike(L704:N704)))</f>
        <v>#NAME?</v>
      </c>
      <c r="P704" s="4">
        <v>325</v>
      </c>
      <c r="Q704" s="4">
        <v>345</v>
      </c>
      <c r="R704" s="6">
        <v>360</v>
      </c>
      <c r="S704" s="4" t="e">
        <f t="array" aca="1" ref="S704">MAX(P704:R704*(1-strike(P704:R704)))</f>
        <v>#NAME?</v>
      </c>
      <c r="T704" s="4" t="e">
        <f t="shared" si="10"/>
        <v>#NAME?</v>
      </c>
      <c r="U704" s="4">
        <v>772.5</v>
      </c>
      <c r="V704" s="4">
        <v>485.75</v>
      </c>
      <c r="W704" s="4">
        <v>6</v>
      </c>
      <c r="X704" s="5">
        <v>2014</v>
      </c>
      <c r="Y704" s="5" t="s">
        <v>29</v>
      </c>
      <c r="Z704" s="5" t="s">
        <v>30</v>
      </c>
      <c r="AA704" s="5">
        <v>701</v>
      </c>
    </row>
    <row r="705" spans="1:27">
      <c r="A705" s="4">
        <v>7</v>
      </c>
      <c r="B705" s="4" t="s">
        <v>633</v>
      </c>
      <c r="C705" s="4">
        <v>1987</v>
      </c>
      <c r="D705" s="4" t="s">
        <v>119</v>
      </c>
      <c r="E705" s="4">
        <v>118.96</v>
      </c>
      <c r="F705" s="4">
        <v>0.57609999999999995</v>
      </c>
      <c r="G705" s="4">
        <v>1</v>
      </c>
      <c r="H705" s="4">
        <v>307.5</v>
      </c>
      <c r="I705" s="4">
        <v>317.5</v>
      </c>
      <c r="J705" s="6">
        <v>322.5</v>
      </c>
      <c r="K705" s="4" t="e">
        <f t="array" aca="1" ref="K705">MAX(H705:J705*(1-strike(H705:J705)))</f>
        <v>#NAME?</v>
      </c>
      <c r="L705" s="4">
        <v>192.5</v>
      </c>
      <c r="M705" s="6">
        <v>202.5</v>
      </c>
      <c r="N705" s="6">
        <v>202.5</v>
      </c>
      <c r="O705" s="4" t="e">
        <f t="array" aca="1" ref="O705">MAX(L705:N705*(1-strike(L705:N705)))</f>
        <v>#NAME?</v>
      </c>
      <c r="P705" s="4">
        <v>315</v>
      </c>
      <c r="Q705" s="6">
        <v>335</v>
      </c>
      <c r="R705" s="6">
        <v>337.5</v>
      </c>
      <c r="S705" s="4" t="e">
        <f t="array" aca="1" ref="S705">MAX(P705:R705*(1-strike(P705:R705)))</f>
        <v>#NAME?</v>
      </c>
      <c r="T705" s="4" t="e">
        <f t="shared" si="10"/>
        <v>#NAME?</v>
      </c>
      <c r="U705" s="4">
        <v>825</v>
      </c>
      <c r="V705" s="4">
        <v>475.28</v>
      </c>
      <c r="W705" s="4">
        <v>4</v>
      </c>
      <c r="X705" s="5">
        <v>2015</v>
      </c>
      <c r="Y705" s="5" t="s">
        <v>29</v>
      </c>
      <c r="Z705" s="5" t="s">
        <v>30</v>
      </c>
      <c r="AA705" s="5">
        <v>313</v>
      </c>
    </row>
    <row r="706" spans="1:27">
      <c r="A706" s="4">
        <v>14</v>
      </c>
      <c r="B706" s="4" t="s">
        <v>634</v>
      </c>
      <c r="C706" s="4">
        <v>1978</v>
      </c>
      <c r="D706" s="4" t="s">
        <v>243</v>
      </c>
      <c r="E706" s="4">
        <v>92.53</v>
      </c>
      <c r="F706" s="4">
        <v>0.62970000000000004</v>
      </c>
      <c r="G706" s="4">
        <v>12</v>
      </c>
      <c r="H706" s="4">
        <v>220</v>
      </c>
      <c r="I706" s="4"/>
      <c r="J706" s="4"/>
      <c r="K706" s="4" t="e">
        <f t="array" aca="1" ref="K706">MAX(H706:J706*(1-strike(H706:J706)))</f>
        <v>#NAME?</v>
      </c>
      <c r="L706" s="6">
        <v>270</v>
      </c>
      <c r="M706" s="4">
        <v>270</v>
      </c>
      <c r="N706" s="6">
        <v>280</v>
      </c>
      <c r="O706" s="4" t="e">
        <f t="array" aca="1" ref="O706">MAX(L706:N706*(1-strike(L706:N706)))</f>
        <v>#NAME?</v>
      </c>
      <c r="P706" s="4">
        <v>200</v>
      </c>
      <c r="Q706" s="4">
        <v>215</v>
      </c>
      <c r="R706" s="6">
        <v>230</v>
      </c>
      <c r="S706" s="4" t="e">
        <f t="array" aca="1" ref="S706">MAX(P706:R706*(1-strike(P706:R706)))</f>
        <v>#NAME?</v>
      </c>
      <c r="T706" s="4" t="e">
        <f t="shared" ref="T706:T769" si="11">IF(AND(K706&lt;&gt;0,O706&lt;&gt;0,S706&lt;&gt;0),K706+O706+S706,0)</f>
        <v>#NAME?</v>
      </c>
      <c r="U706" s="4">
        <v>705</v>
      </c>
      <c r="V706" s="4">
        <v>443.94</v>
      </c>
      <c r="W706" s="4">
        <v>1</v>
      </c>
      <c r="X706" s="5">
        <v>2015</v>
      </c>
      <c r="Y706" s="5" t="s">
        <v>29</v>
      </c>
      <c r="Z706" s="5" t="s">
        <v>171</v>
      </c>
      <c r="AA706" s="5">
        <v>68</v>
      </c>
    </row>
    <row r="707" spans="1:27">
      <c r="A707" s="3">
        <v>3</v>
      </c>
      <c r="B707" s="3" t="s">
        <v>635</v>
      </c>
      <c r="C707" s="3">
        <v>1987</v>
      </c>
      <c r="D707" s="3" t="s">
        <v>28</v>
      </c>
      <c r="E707" s="3">
        <v>92.82</v>
      </c>
      <c r="F707" s="3">
        <v>0.62880000000000003</v>
      </c>
      <c r="G707" s="3">
        <v>12</v>
      </c>
      <c r="H707" s="3">
        <v>355</v>
      </c>
      <c r="I707" s="3">
        <v>365</v>
      </c>
      <c r="J707" s="3">
        <v>372.5</v>
      </c>
      <c r="K707" s="4" t="e">
        <f t="array" aca="1" ref="K707">MAX(H707:J707*(1-strike(H707:J707)))</f>
        <v>#NAME?</v>
      </c>
      <c r="L707" s="3">
        <v>240</v>
      </c>
      <c r="M707" s="3">
        <v>247.5</v>
      </c>
      <c r="N707" s="1">
        <v>252.5</v>
      </c>
      <c r="O707" s="4" t="e">
        <f t="array" aca="1" ref="O707">MAX(L707:N707*(1-strike(L707:N707)))</f>
        <v>#NAME?</v>
      </c>
      <c r="P707" s="3">
        <v>335</v>
      </c>
      <c r="Q707" s="1">
        <v>355</v>
      </c>
      <c r="R707" s="1">
        <v>365</v>
      </c>
      <c r="S707" s="4" t="e">
        <f t="array" aca="1" ref="S707">MAX(P707:R707*(1-strike(P707:R707)))</f>
        <v>#NAME?</v>
      </c>
      <c r="T707" s="4" t="e">
        <f t="shared" si="11"/>
        <v>#NAME?</v>
      </c>
      <c r="U707" s="3">
        <v>955</v>
      </c>
      <c r="V707" s="3">
        <v>600.5</v>
      </c>
      <c r="W707" s="3">
        <v>8</v>
      </c>
      <c r="X707" s="5">
        <v>2013</v>
      </c>
      <c r="Y707" s="5" t="s">
        <v>29</v>
      </c>
      <c r="Z707" s="5" t="s">
        <v>171</v>
      </c>
      <c r="AA707" s="5">
        <v>865</v>
      </c>
    </row>
    <row r="708" spans="1:27">
      <c r="A708" s="4">
        <v>6</v>
      </c>
      <c r="B708" s="4" t="s">
        <v>635</v>
      </c>
      <c r="C708" s="4">
        <v>1987</v>
      </c>
      <c r="D708" s="4" t="s">
        <v>28</v>
      </c>
      <c r="E708" s="4">
        <v>92.72</v>
      </c>
      <c r="F708" s="4">
        <v>0.62919999999999998</v>
      </c>
      <c r="G708" s="4">
        <v>21</v>
      </c>
      <c r="H708" s="4">
        <v>355</v>
      </c>
      <c r="I708" s="4">
        <v>365</v>
      </c>
      <c r="J708" s="6">
        <v>370</v>
      </c>
      <c r="K708" s="4" t="e">
        <f t="array" aca="1" ref="K708">MAX(H708:J708*(1-strike(H708:J708)))</f>
        <v>#NAME?</v>
      </c>
      <c r="L708" s="4">
        <v>240</v>
      </c>
      <c r="M708" s="4">
        <v>250</v>
      </c>
      <c r="N708" s="4">
        <v>260</v>
      </c>
      <c r="O708" s="4" t="e">
        <f t="array" aca="1" ref="O708">MAX(L708:N708*(1-strike(L708:N708)))</f>
        <v>#NAME?</v>
      </c>
      <c r="P708" s="4">
        <v>325</v>
      </c>
      <c r="Q708" s="6">
        <v>345</v>
      </c>
      <c r="R708" s="6">
        <v>352.5</v>
      </c>
      <c r="S708" s="4" t="e">
        <f t="array" aca="1" ref="S708">MAX(P708:R708*(1-strike(P708:R708)))</f>
        <v>#NAME?</v>
      </c>
      <c r="T708" s="4" t="e">
        <f t="shared" si="11"/>
        <v>#NAME?</v>
      </c>
      <c r="U708" s="4">
        <v>950</v>
      </c>
      <c r="V708" s="4">
        <v>597.74</v>
      </c>
      <c r="W708" s="4">
        <v>5</v>
      </c>
      <c r="X708" s="5">
        <v>2014</v>
      </c>
      <c r="Y708" s="5" t="s">
        <v>29</v>
      </c>
      <c r="Z708" s="5" t="s">
        <v>171</v>
      </c>
      <c r="AA708" s="5">
        <v>498</v>
      </c>
    </row>
    <row r="709" spans="1:27">
      <c r="A709" s="4" t="s">
        <v>37</v>
      </c>
      <c r="B709" s="4" t="s">
        <v>636</v>
      </c>
      <c r="C709" s="4">
        <v>1989</v>
      </c>
      <c r="D709" s="4" t="s">
        <v>39</v>
      </c>
      <c r="E709" s="4">
        <v>91.7</v>
      </c>
      <c r="F709" s="4">
        <v>0.63249999999999995</v>
      </c>
      <c r="G709" s="4">
        <v>18</v>
      </c>
      <c r="H709" s="6">
        <v>310</v>
      </c>
      <c r="I709" s="6">
        <v>310</v>
      </c>
      <c r="J709" s="6">
        <v>310</v>
      </c>
      <c r="K709" s="4" t="e">
        <f t="array" aca="1" ref="K709">MAX(H709:J709*(1-strike(H709:J709)))</f>
        <v>#NAME?</v>
      </c>
      <c r="L709" s="6">
        <v>240</v>
      </c>
      <c r="M709" s="4">
        <v>240</v>
      </c>
      <c r="N709" s="6">
        <v>250</v>
      </c>
      <c r="O709" s="4" t="e">
        <f t="array" aca="1" ref="O709">MAX(L709:N709*(1-strike(L709:N709)))</f>
        <v>#NAME?</v>
      </c>
      <c r="P709" s="4">
        <v>270</v>
      </c>
      <c r="Q709" s="6">
        <v>280</v>
      </c>
      <c r="R709" s="6">
        <v>280</v>
      </c>
      <c r="S709" s="4" t="e">
        <f t="array" aca="1" ref="S709">MAX(P709:R709*(1-strike(P709:R709)))</f>
        <v>#NAME?</v>
      </c>
      <c r="T709" s="4" t="e">
        <f t="shared" si="11"/>
        <v>#NAME?</v>
      </c>
      <c r="U709" s="4" t="s">
        <v>187</v>
      </c>
      <c r="V709" s="4" t="s">
        <v>37</v>
      </c>
      <c r="W709" s="4" t="s">
        <v>37</v>
      </c>
      <c r="X709" s="5">
        <v>2014</v>
      </c>
      <c r="Y709" s="5" t="s">
        <v>29</v>
      </c>
      <c r="Z709" s="5" t="s">
        <v>171</v>
      </c>
      <c r="AA709" s="5">
        <v>510</v>
      </c>
    </row>
    <row r="710" spans="1:27">
      <c r="A710" s="3">
        <v>8</v>
      </c>
      <c r="B710" s="3" t="s">
        <v>637</v>
      </c>
      <c r="C710" s="3">
        <v>1982</v>
      </c>
      <c r="D710" s="3" t="s">
        <v>137</v>
      </c>
      <c r="E710" s="3">
        <v>72.760000000000005</v>
      </c>
      <c r="F710" s="3">
        <v>0.72809999999999997</v>
      </c>
      <c r="G710" s="3">
        <v>14</v>
      </c>
      <c r="H710" s="3">
        <v>290</v>
      </c>
      <c r="I710" s="1">
        <v>300</v>
      </c>
      <c r="J710" s="1">
        <v>300</v>
      </c>
      <c r="K710" s="4" t="e">
        <f t="array" aca="1" ref="K710">MAX(H710:J710*(1-strike(H710:J710)))</f>
        <v>#NAME?</v>
      </c>
      <c r="L710" s="3">
        <v>185</v>
      </c>
      <c r="M710" s="3">
        <v>192.5</v>
      </c>
      <c r="N710" s="1">
        <v>197.5</v>
      </c>
      <c r="O710" s="4" t="e">
        <f t="array" aca="1" ref="O710">MAX(L710:N710*(1-strike(L710:N710)))</f>
        <v>#NAME?</v>
      </c>
      <c r="P710" s="3">
        <v>240</v>
      </c>
      <c r="Q710" s="1">
        <v>262.5</v>
      </c>
      <c r="R710" s="1">
        <v>262.5</v>
      </c>
      <c r="S710" s="4" t="e">
        <f t="array" aca="1" ref="S710">MAX(P710:R710*(1-strike(P710:R710)))</f>
        <v>#NAME?</v>
      </c>
      <c r="T710" s="4" t="e">
        <f t="shared" si="11"/>
        <v>#NAME?</v>
      </c>
      <c r="U710" s="3">
        <v>722.5</v>
      </c>
      <c r="V710" s="3">
        <v>526.03</v>
      </c>
      <c r="W710" s="3">
        <v>3</v>
      </c>
      <c r="X710" s="5">
        <v>2012</v>
      </c>
      <c r="Y710" s="5" t="s">
        <v>29</v>
      </c>
      <c r="Z710" s="5" t="s">
        <v>171</v>
      </c>
      <c r="AA710" s="5">
        <v>1224</v>
      </c>
    </row>
    <row r="711" spans="1:27" ht="15" customHeight="1">
      <c r="A711" s="4">
        <v>7</v>
      </c>
      <c r="B711" s="4" t="s">
        <v>637</v>
      </c>
      <c r="C711" s="4">
        <v>1982</v>
      </c>
      <c r="D711" s="4" t="s">
        <v>137</v>
      </c>
      <c r="E711" s="4">
        <v>73.09</v>
      </c>
      <c r="F711" s="4">
        <v>0.72570000000000001</v>
      </c>
      <c r="G711" s="4">
        <v>16</v>
      </c>
      <c r="H711" s="4">
        <v>275</v>
      </c>
      <c r="I711" s="4">
        <v>287.5</v>
      </c>
      <c r="J711" s="4">
        <v>295</v>
      </c>
      <c r="K711" s="4" t="e">
        <f t="array" aca="1" ref="K711">MAX(H711:J711*(1-strike(H711:J711)))</f>
        <v>#NAME?</v>
      </c>
      <c r="L711" s="4">
        <v>205</v>
      </c>
      <c r="M711" s="4">
        <v>212.5</v>
      </c>
      <c r="N711" s="4">
        <v>220</v>
      </c>
      <c r="O711" s="4" t="e">
        <f t="array" aca="1" ref="O711">MAX(L711:N711*(1-strike(L711:N711)))</f>
        <v>#NAME?</v>
      </c>
      <c r="P711" s="4">
        <v>245</v>
      </c>
      <c r="Q711" s="4">
        <v>255</v>
      </c>
      <c r="R711" s="6">
        <v>262.5</v>
      </c>
      <c r="S711" s="4" t="e">
        <f t="array" aca="1" ref="S711">MAX(P711:R711*(1-strike(P711:R711)))</f>
        <v>#NAME?</v>
      </c>
      <c r="T711" s="4" t="e">
        <f t="shared" si="11"/>
        <v>#NAME?</v>
      </c>
      <c r="U711" s="4">
        <v>770</v>
      </c>
      <c r="V711" s="4">
        <v>558.79</v>
      </c>
      <c r="W711" s="4">
        <v>4</v>
      </c>
      <c r="X711" s="5">
        <v>2015</v>
      </c>
      <c r="Y711" s="5" t="s">
        <v>29</v>
      </c>
      <c r="Z711" s="5" t="s">
        <v>171</v>
      </c>
      <c r="AA711" s="5">
        <v>29</v>
      </c>
    </row>
    <row r="712" spans="1:27">
      <c r="A712" s="4">
        <v>17</v>
      </c>
      <c r="B712" s="4" t="s">
        <v>638</v>
      </c>
      <c r="C712" s="4">
        <v>1984</v>
      </c>
      <c r="D712" s="4" t="s">
        <v>418</v>
      </c>
      <c r="E712" s="4">
        <v>91.4</v>
      </c>
      <c r="F712" s="4">
        <v>0.63349999999999995</v>
      </c>
      <c r="G712" s="4">
        <v>7</v>
      </c>
      <c r="H712" s="4">
        <v>230</v>
      </c>
      <c r="I712" s="6">
        <v>260</v>
      </c>
      <c r="J712" s="6">
        <v>260</v>
      </c>
      <c r="K712" s="4" t="e">
        <f t="array" aca="1" ref="K712">MAX(H712:J712*(1-strike(H712:J712)))</f>
        <v>#NAME?</v>
      </c>
      <c r="L712" s="4">
        <v>150</v>
      </c>
      <c r="M712" s="6">
        <v>160</v>
      </c>
      <c r="N712" s="4">
        <v>160</v>
      </c>
      <c r="O712" s="4" t="e">
        <f t="array" aca="1" ref="O712">MAX(L712:N712*(1-strike(L712:N712)))</f>
        <v>#NAME?</v>
      </c>
      <c r="P712" s="4">
        <v>215</v>
      </c>
      <c r="Q712" s="4">
        <v>230</v>
      </c>
      <c r="R712" s="4">
        <v>252.5</v>
      </c>
      <c r="S712" s="4" t="e">
        <f t="array" aca="1" ref="S712">MAX(P712:R712*(1-strike(P712:R712)))</f>
        <v>#NAME?</v>
      </c>
      <c r="T712" s="4" t="e">
        <f t="shared" si="11"/>
        <v>#NAME?</v>
      </c>
      <c r="U712" s="4">
        <v>642.5</v>
      </c>
      <c r="V712" s="4">
        <v>407.02</v>
      </c>
      <c r="W712" s="4">
        <v>1</v>
      </c>
      <c r="X712" s="5">
        <v>2014</v>
      </c>
      <c r="Y712" s="5" t="s">
        <v>29</v>
      </c>
      <c r="Z712" s="5" t="s">
        <v>171</v>
      </c>
      <c r="AA712" s="5">
        <v>509</v>
      </c>
    </row>
    <row r="713" spans="1:27">
      <c r="A713" s="3">
        <v>7</v>
      </c>
      <c r="B713" s="3" t="s">
        <v>639</v>
      </c>
      <c r="C713" s="3">
        <v>1975</v>
      </c>
      <c r="D713" s="3" t="s">
        <v>77</v>
      </c>
      <c r="E713" s="3">
        <v>64.7</v>
      </c>
      <c r="F713" s="3">
        <v>0.79830000000000001</v>
      </c>
      <c r="G713" s="3">
        <v>6</v>
      </c>
      <c r="H713" s="3">
        <v>170</v>
      </c>
      <c r="I713" s="3">
        <v>180</v>
      </c>
      <c r="J713" s="1">
        <v>185</v>
      </c>
      <c r="K713" s="4" t="e">
        <f t="array" aca="1" ref="K713">MAX(H713:J713*(1-strike(H713:J713)))</f>
        <v>#NAME?</v>
      </c>
      <c r="L713" s="3">
        <v>110</v>
      </c>
      <c r="M713" s="3">
        <v>120</v>
      </c>
      <c r="N713" s="1">
        <v>122.5</v>
      </c>
      <c r="O713" s="4" t="e">
        <f t="array" aca="1" ref="O713">MAX(L713:N713*(1-strike(L713:N713)))</f>
        <v>#NAME?</v>
      </c>
      <c r="P713" s="3">
        <v>210</v>
      </c>
      <c r="Q713" s="3">
        <v>230</v>
      </c>
      <c r="R713" s="1">
        <v>237.5</v>
      </c>
      <c r="S713" s="4" t="e">
        <f t="array" aca="1" ref="S713">MAX(P713:R713*(1-strike(P713:R713)))</f>
        <v>#NAME?</v>
      </c>
      <c r="T713" s="4" t="e">
        <f t="shared" si="11"/>
        <v>#NAME?</v>
      </c>
      <c r="U713" s="3">
        <v>530</v>
      </c>
      <c r="V713" s="3">
        <v>423.1</v>
      </c>
      <c r="W713" s="3">
        <v>4</v>
      </c>
      <c r="X713" s="5">
        <v>2013</v>
      </c>
      <c r="Y713" s="5" t="s">
        <v>29</v>
      </c>
      <c r="Z713" s="5" t="s">
        <v>30</v>
      </c>
      <c r="AA713" s="5">
        <v>1029</v>
      </c>
    </row>
    <row r="714" spans="1:27">
      <c r="A714" s="4">
        <v>6</v>
      </c>
      <c r="B714" s="4" t="s">
        <v>640</v>
      </c>
      <c r="C714" s="4">
        <v>1983</v>
      </c>
      <c r="D714" s="4" t="s">
        <v>85</v>
      </c>
      <c r="E714" s="4">
        <v>82.4</v>
      </c>
      <c r="F714" s="4">
        <v>0.6704</v>
      </c>
      <c r="G714" s="4">
        <v>24</v>
      </c>
      <c r="H714" s="4">
        <v>200</v>
      </c>
      <c r="I714" s="4">
        <v>212.5</v>
      </c>
      <c r="J714" s="4">
        <v>217.5</v>
      </c>
      <c r="K714" s="4" t="e">
        <f t="array" aca="1" ref="K714">MAX(H714:J714*(1-strike(H714:J714)))</f>
        <v>#NAME?</v>
      </c>
      <c r="L714" s="4">
        <v>145</v>
      </c>
      <c r="M714" s="4">
        <v>152.5</v>
      </c>
      <c r="N714" s="6">
        <v>155</v>
      </c>
      <c r="O714" s="4" t="e">
        <f t="array" aca="1" ref="O714">MAX(L714:N714*(1-strike(L714:N714)))</f>
        <v>#NAME?</v>
      </c>
      <c r="P714" s="4">
        <v>280</v>
      </c>
      <c r="Q714" s="4">
        <v>302.5</v>
      </c>
      <c r="R714" s="4">
        <v>315.5</v>
      </c>
      <c r="S714" s="4" t="e">
        <f t="array" aca="1" ref="S714">MAX(P714:R714*(1-strike(P714:R714)))</f>
        <v>#NAME?</v>
      </c>
      <c r="T714" s="4" t="e">
        <f t="shared" si="11"/>
        <v>#NAME?</v>
      </c>
      <c r="U714" s="4">
        <v>685.5</v>
      </c>
      <c r="V714" s="4">
        <v>459.56</v>
      </c>
      <c r="W714" s="4">
        <v>5</v>
      </c>
      <c r="X714" s="5">
        <v>2014</v>
      </c>
      <c r="Y714" s="5" t="s">
        <v>29</v>
      </c>
      <c r="Z714" s="5" t="s">
        <v>30</v>
      </c>
      <c r="AA714" s="5">
        <v>688</v>
      </c>
    </row>
    <row r="715" spans="1:27">
      <c r="A715" s="3">
        <v>9</v>
      </c>
      <c r="B715" s="3" t="s">
        <v>641</v>
      </c>
      <c r="C715" s="3">
        <v>1979</v>
      </c>
      <c r="D715" s="3" t="s">
        <v>51</v>
      </c>
      <c r="E715" s="3">
        <v>82.3</v>
      </c>
      <c r="F715" s="3">
        <v>0.67090000000000005</v>
      </c>
      <c r="G715" s="3">
        <v>15</v>
      </c>
      <c r="H715" s="3">
        <v>225</v>
      </c>
      <c r="I715" s="1">
        <v>235</v>
      </c>
      <c r="J715" s="3">
        <v>235</v>
      </c>
      <c r="K715" s="4" t="e">
        <f t="array" aca="1" ref="K715">MAX(H715:J715*(1-strike(H715:J715)))</f>
        <v>#NAME?</v>
      </c>
      <c r="L715" s="3">
        <v>135</v>
      </c>
      <c r="M715" s="1">
        <v>140</v>
      </c>
      <c r="N715" s="1">
        <v>140</v>
      </c>
      <c r="O715" s="4" t="e">
        <f t="array" aca="1" ref="O715">MAX(L715:N715*(1-strike(L715:N715)))</f>
        <v>#NAME?</v>
      </c>
      <c r="P715" s="3">
        <v>225</v>
      </c>
      <c r="Q715" s="3">
        <v>230</v>
      </c>
      <c r="R715" s="1">
        <v>235</v>
      </c>
      <c r="S715" s="4" t="e">
        <f t="array" aca="1" ref="S715">MAX(P715:R715*(1-strike(P715:R715)))</f>
        <v>#NAME?</v>
      </c>
      <c r="T715" s="4" t="e">
        <f t="shared" si="11"/>
        <v>#NAME?</v>
      </c>
      <c r="U715" s="3">
        <v>600</v>
      </c>
      <c r="V715" s="3">
        <v>402.54</v>
      </c>
      <c r="W715" s="3">
        <v>2</v>
      </c>
      <c r="X715" s="5">
        <v>2013</v>
      </c>
      <c r="Y715" s="5" t="s">
        <v>29</v>
      </c>
      <c r="Z715" s="5" t="s">
        <v>30</v>
      </c>
      <c r="AA715" s="5">
        <v>1052</v>
      </c>
    </row>
    <row r="716" spans="1:27">
      <c r="A716" s="4">
        <v>4</v>
      </c>
      <c r="B716" s="4" t="s">
        <v>642</v>
      </c>
      <c r="C716" s="4">
        <v>1978</v>
      </c>
      <c r="D716" s="4" t="s">
        <v>62</v>
      </c>
      <c r="E716" s="4">
        <v>92.25</v>
      </c>
      <c r="F716" s="4">
        <v>0.63060000000000005</v>
      </c>
      <c r="G716" s="4">
        <v>4</v>
      </c>
      <c r="H716" s="4">
        <v>245</v>
      </c>
      <c r="I716" s="4">
        <v>257.5</v>
      </c>
      <c r="J716" s="4">
        <v>267.5</v>
      </c>
      <c r="K716" s="4" t="e">
        <f t="array" aca="1" ref="K716">MAX(H716:J716*(1-strike(H716:J716)))</f>
        <v>#NAME?</v>
      </c>
      <c r="L716" s="4">
        <v>205</v>
      </c>
      <c r="M716" s="4">
        <v>212.5</v>
      </c>
      <c r="N716" s="6">
        <v>217.5</v>
      </c>
      <c r="O716" s="4" t="e">
        <f t="array" aca="1" ref="O716">MAX(L716:N716*(1-strike(L716:N716)))</f>
        <v>#NAME?</v>
      </c>
      <c r="P716" s="4">
        <v>285</v>
      </c>
      <c r="Q716" s="4">
        <v>292.5</v>
      </c>
      <c r="R716" s="6">
        <v>302.5</v>
      </c>
      <c r="S716" s="4" t="e">
        <f t="array" aca="1" ref="S716">MAX(P716:R716*(1-strike(P716:R716)))</f>
        <v>#NAME?</v>
      </c>
      <c r="T716" s="4" t="e">
        <f t="shared" si="11"/>
        <v>#NAME?</v>
      </c>
      <c r="U716" s="4">
        <v>772.5</v>
      </c>
      <c r="V716" s="4">
        <v>487.18</v>
      </c>
      <c r="W716" s="4">
        <v>7</v>
      </c>
      <c r="X716" s="5">
        <v>2014</v>
      </c>
      <c r="Y716" s="5" t="s">
        <v>29</v>
      </c>
      <c r="Z716" s="5" t="s">
        <v>30</v>
      </c>
      <c r="AA716" s="5">
        <v>700</v>
      </c>
    </row>
    <row r="717" spans="1:27">
      <c r="A717" s="4">
        <v>3</v>
      </c>
      <c r="B717" s="4" t="s">
        <v>642</v>
      </c>
      <c r="C717" s="4">
        <v>1978</v>
      </c>
      <c r="D717" s="4" t="s">
        <v>62</v>
      </c>
      <c r="E717" s="4">
        <v>92.48</v>
      </c>
      <c r="F717" s="4">
        <v>0.62990000000000002</v>
      </c>
      <c r="G717" s="4">
        <v>18</v>
      </c>
      <c r="H717" s="6">
        <v>250</v>
      </c>
      <c r="I717" s="4">
        <v>250</v>
      </c>
      <c r="J717" s="4">
        <v>265</v>
      </c>
      <c r="K717" s="4" t="e">
        <f t="array" aca="1" ref="K717">MAX(H717:J717*(1-strike(H717:J717)))</f>
        <v>#NAME?</v>
      </c>
      <c r="L717" s="4">
        <v>197.5</v>
      </c>
      <c r="M717" s="4">
        <v>207.5</v>
      </c>
      <c r="N717" s="4">
        <v>212.5</v>
      </c>
      <c r="O717" s="4" t="e">
        <f t="array" aca="1" ref="O717">MAX(L717:N717*(1-strike(L717:N717)))</f>
        <v>#NAME?</v>
      </c>
      <c r="P717" s="4">
        <v>277.5</v>
      </c>
      <c r="Q717" s="4">
        <v>292.5</v>
      </c>
      <c r="R717" s="4">
        <v>307.5</v>
      </c>
      <c r="S717" s="4" t="e">
        <f t="array" aca="1" ref="S717">MAX(P717:R717*(1-strike(P717:R717)))</f>
        <v>#NAME?</v>
      </c>
      <c r="T717" s="4" t="e">
        <f t="shared" si="11"/>
        <v>#NAME?</v>
      </c>
      <c r="U717" s="4">
        <v>785</v>
      </c>
      <c r="V717" s="4">
        <v>494.47</v>
      </c>
      <c r="W717" s="4">
        <v>8</v>
      </c>
      <c r="X717" s="5">
        <v>2015</v>
      </c>
      <c r="Y717" s="5" t="s">
        <v>29</v>
      </c>
      <c r="Z717" s="5" t="s">
        <v>30</v>
      </c>
      <c r="AA717" s="5">
        <v>275</v>
      </c>
    </row>
    <row r="718" spans="1:27">
      <c r="A718" s="4">
        <v>6</v>
      </c>
      <c r="B718" s="4" t="s">
        <v>643</v>
      </c>
      <c r="C718" s="4">
        <v>1993</v>
      </c>
      <c r="D718" s="4" t="s">
        <v>56</v>
      </c>
      <c r="E718" s="4">
        <v>119.78</v>
      </c>
      <c r="F718" s="4">
        <v>0.57520000000000004</v>
      </c>
      <c r="G718" s="4">
        <v>4</v>
      </c>
      <c r="H718" s="4">
        <v>287.5</v>
      </c>
      <c r="I718" s="4">
        <v>307.5</v>
      </c>
      <c r="J718" s="6">
        <v>315</v>
      </c>
      <c r="K718" s="4" t="e">
        <f t="array" aca="1" ref="K718">MAX(H718:J718*(1-strike(H718:J718)))</f>
        <v>#NAME?</v>
      </c>
      <c r="L718" s="4">
        <v>185</v>
      </c>
      <c r="M718" s="6">
        <v>195</v>
      </c>
      <c r="N718" s="4">
        <v>195</v>
      </c>
      <c r="O718" s="4" t="e">
        <f t="array" aca="1" ref="O718">MAX(L718:N718*(1-strike(L718:N718)))</f>
        <v>#NAME?</v>
      </c>
      <c r="P718" s="4">
        <v>300</v>
      </c>
      <c r="Q718" s="4">
        <v>330</v>
      </c>
      <c r="R718" s="4">
        <v>335</v>
      </c>
      <c r="S718" s="4" t="e">
        <f t="array" aca="1" ref="S718">MAX(P718:R718*(1-strike(P718:R718)))</f>
        <v>#NAME?</v>
      </c>
      <c r="T718" s="4" t="e">
        <f t="shared" si="11"/>
        <v>#NAME?</v>
      </c>
      <c r="U718" s="4">
        <v>837.5</v>
      </c>
      <c r="V718" s="4">
        <v>481.73</v>
      </c>
      <c r="W718" s="4">
        <v>5</v>
      </c>
      <c r="X718" s="5">
        <v>2015</v>
      </c>
      <c r="Y718" s="5" t="s">
        <v>29</v>
      </c>
      <c r="Z718" s="5" t="s">
        <v>30</v>
      </c>
      <c r="AA718" s="5">
        <v>312</v>
      </c>
    </row>
    <row r="719" spans="1:27">
      <c r="A719" s="3">
        <v>4</v>
      </c>
      <c r="B719" s="3" t="s">
        <v>644</v>
      </c>
      <c r="C719" s="3">
        <v>1978</v>
      </c>
      <c r="D719" s="3" t="s">
        <v>62</v>
      </c>
      <c r="E719" s="3">
        <v>91.65</v>
      </c>
      <c r="F719" s="3">
        <v>0.63260000000000005</v>
      </c>
      <c r="G719" s="3">
        <v>9</v>
      </c>
      <c r="H719" s="3">
        <v>227.5</v>
      </c>
      <c r="I719" s="3">
        <v>242.5</v>
      </c>
      <c r="J719" s="3">
        <v>252.5</v>
      </c>
      <c r="K719" s="4" t="e">
        <f t="array" aca="1" ref="K719">MAX(H719:J719*(1-strike(H719:J719)))</f>
        <v>#NAME?</v>
      </c>
      <c r="L719" s="3">
        <v>192.5</v>
      </c>
      <c r="M719" s="3">
        <v>205</v>
      </c>
      <c r="N719" s="1">
        <v>212.5</v>
      </c>
      <c r="O719" s="4" t="e">
        <f t="array" aca="1" ref="O719">MAX(L719:N719*(1-strike(L719:N719)))</f>
        <v>#NAME?</v>
      </c>
      <c r="P719" s="3">
        <v>272.5</v>
      </c>
      <c r="Q719" s="3">
        <v>290</v>
      </c>
      <c r="R719" s="1">
        <v>300</v>
      </c>
      <c r="S719" s="4" t="e">
        <f t="array" aca="1" ref="S719">MAX(P719:R719*(1-strike(P719:R719)))</f>
        <v>#NAME?</v>
      </c>
      <c r="T719" s="4" t="e">
        <f t="shared" si="11"/>
        <v>#NAME?</v>
      </c>
      <c r="U719" s="3">
        <v>747.5</v>
      </c>
      <c r="V719" s="3">
        <v>472.91</v>
      </c>
      <c r="W719" s="3">
        <v>7</v>
      </c>
      <c r="X719" s="5">
        <v>2013</v>
      </c>
      <c r="Y719" s="5" t="s">
        <v>29</v>
      </c>
      <c r="Z719" s="5" t="s">
        <v>30</v>
      </c>
      <c r="AA719" s="5">
        <v>1059</v>
      </c>
    </row>
    <row r="720" spans="1:27">
      <c r="A720" s="3">
        <v>5</v>
      </c>
      <c r="B720" s="3" t="s">
        <v>645</v>
      </c>
      <c r="C720" s="3">
        <v>1989</v>
      </c>
      <c r="D720" s="3" t="s">
        <v>280</v>
      </c>
      <c r="E720" s="3">
        <v>72.2</v>
      </c>
      <c r="F720" s="3">
        <v>0.73219999999999996</v>
      </c>
      <c r="G720" s="3">
        <v>13</v>
      </c>
      <c r="H720" s="3">
        <v>290</v>
      </c>
      <c r="I720" s="1">
        <v>300</v>
      </c>
      <c r="J720" s="3">
        <v>300</v>
      </c>
      <c r="K720" s="4" t="e">
        <f t="array" aca="1" ref="K720">MAX(H720:J720*(1-strike(H720:J720)))</f>
        <v>#NAME?</v>
      </c>
      <c r="L720" s="3">
        <v>140</v>
      </c>
      <c r="M720" s="3">
        <v>160</v>
      </c>
      <c r="N720" s="1">
        <v>170</v>
      </c>
      <c r="O720" s="4" t="e">
        <f t="array" aca="1" ref="O720">MAX(L720:N720*(1-strike(L720:N720)))</f>
        <v>#NAME?</v>
      </c>
      <c r="P720" s="3">
        <v>290</v>
      </c>
      <c r="Q720" s="3">
        <v>305</v>
      </c>
      <c r="R720" s="3">
        <v>320</v>
      </c>
      <c r="S720" s="4" t="e">
        <f t="array" aca="1" ref="S720">MAX(P720:R720*(1-strike(P720:R720)))</f>
        <v>#NAME?</v>
      </c>
      <c r="T720" s="4" t="e">
        <f t="shared" si="11"/>
        <v>#NAME?</v>
      </c>
      <c r="U720" s="3">
        <v>780</v>
      </c>
      <c r="V720" s="3">
        <v>571.12</v>
      </c>
      <c r="W720" s="3">
        <v>6</v>
      </c>
      <c r="X720" s="5">
        <v>2013</v>
      </c>
      <c r="Y720" s="5" t="s">
        <v>29</v>
      </c>
      <c r="Z720" s="5" t="s">
        <v>171</v>
      </c>
      <c r="AA720" s="5">
        <v>840</v>
      </c>
    </row>
    <row r="721" spans="1:27">
      <c r="A721" s="3">
        <v>12</v>
      </c>
      <c r="B721" s="3" t="s">
        <v>646</v>
      </c>
      <c r="C721" s="3">
        <v>1981</v>
      </c>
      <c r="D721" s="3" t="s">
        <v>418</v>
      </c>
      <c r="E721" s="3">
        <v>71.739999999999995</v>
      </c>
      <c r="F721" s="3">
        <v>0.73570000000000002</v>
      </c>
      <c r="G721" s="3">
        <v>1</v>
      </c>
      <c r="H721" s="3">
        <v>205</v>
      </c>
      <c r="I721" s="3">
        <v>212.5</v>
      </c>
      <c r="J721" s="3">
        <v>222.5</v>
      </c>
      <c r="K721" s="4" t="e">
        <f t="array" aca="1" ref="K721">MAX(H721:J721*(1-strike(H721:J721)))</f>
        <v>#NAME?</v>
      </c>
      <c r="L721" s="1">
        <v>145</v>
      </c>
      <c r="M721" s="3">
        <v>145</v>
      </c>
      <c r="N721" s="3">
        <v>150</v>
      </c>
      <c r="O721" s="4" t="e">
        <f t="array" aca="1" ref="O721">MAX(L721:N721*(1-strike(L721:N721)))</f>
        <v>#NAME?</v>
      </c>
      <c r="P721" s="3">
        <v>230</v>
      </c>
      <c r="Q721" s="1">
        <v>240</v>
      </c>
      <c r="R721" s="1">
        <v>240</v>
      </c>
      <c r="S721" s="4" t="e">
        <f t="array" aca="1" ref="S721">MAX(P721:R721*(1-strike(P721:R721)))</f>
        <v>#NAME?</v>
      </c>
      <c r="T721" s="4" t="e">
        <f t="shared" si="11"/>
        <v>#NAME?</v>
      </c>
      <c r="U721" s="3">
        <v>602.5</v>
      </c>
      <c r="V721" s="3">
        <v>443.24</v>
      </c>
      <c r="W721" s="3">
        <v>1</v>
      </c>
      <c r="X721" s="5">
        <v>2012</v>
      </c>
      <c r="Y721" s="5" t="s">
        <v>29</v>
      </c>
      <c r="Z721" s="5" t="s">
        <v>171</v>
      </c>
      <c r="AA721" s="5">
        <v>1228</v>
      </c>
    </row>
    <row r="722" spans="1:27" ht="15" customHeight="1">
      <c r="A722" s="4">
        <v>11</v>
      </c>
      <c r="B722" s="4" t="s">
        <v>646</v>
      </c>
      <c r="C722" s="4">
        <v>1981</v>
      </c>
      <c r="D722" s="4" t="s">
        <v>418</v>
      </c>
      <c r="E722" s="4">
        <v>72.62</v>
      </c>
      <c r="F722" s="4">
        <v>0.72929999999999995</v>
      </c>
      <c r="G722" s="4">
        <v>5</v>
      </c>
      <c r="H722" s="4">
        <v>220</v>
      </c>
      <c r="I722" s="4">
        <v>240</v>
      </c>
      <c r="J722" s="6">
        <v>250</v>
      </c>
      <c r="K722" s="4" t="e">
        <f t="array" aca="1" ref="K722">MAX(H722:J722*(1-strike(H722:J722)))</f>
        <v>#NAME?</v>
      </c>
      <c r="L722" s="4">
        <v>150</v>
      </c>
      <c r="M722" s="6">
        <v>162.5</v>
      </c>
      <c r="N722" s="6">
        <v>172.5</v>
      </c>
      <c r="O722" s="4" t="e">
        <f t="array" aca="1" ref="O722">MAX(L722:N722*(1-strike(L722:N722)))</f>
        <v>#NAME?</v>
      </c>
      <c r="P722" s="4">
        <v>240</v>
      </c>
      <c r="Q722" s="6">
        <v>255</v>
      </c>
      <c r="R722" s="6">
        <v>255</v>
      </c>
      <c r="S722" s="4" t="e">
        <f t="array" aca="1" ref="S722">MAX(P722:R722*(1-strike(P722:R722)))</f>
        <v>#NAME?</v>
      </c>
      <c r="T722" s="4" t="e">
        <f t="shared" si="11"/>
        <v>#NAME?</v>
      </c>
      <c r="U722" s="4">
        <v>630</v>
      </c>
      <c r="V722" s="4">
        <v>459.46</v>
      </c>
      <c r="W722" s="4">
        <v>1</v>
      </c>
      <c r="X722" s="5">
        <v>2014</v>
      </c>
      <c r="Y722" s="5" t="s">
        <v>29</v>
      </c>
      <c r="Z722" s="5" t="s">
        <v>171</v>
      </c>
      <c r="AA722" s="5">
        <v>471</v>
      </c>
    </row>
    <row r="723" spans="1:27">
      <c r="A723" s="3">
        <v>14</v>
      </c>
      <c r="B723" s="3" t="s">
        <v>647</v>
      </c>
      <c r="C723" s="3">
        <v>1983</v>
      </c>
      <c r="D723" s="3" t="s">
        <v>336</v>
      </c>
      <c r="E723" s="3">
        <v>73.8</v>
      </c>
      <c r="F723" s="3">
        <v>0.72070000000000001</v>
      </c>
      <c r="G723" s="3">
        <v>4</v>
      </c>
      <c r="H723" s="3">
        <v>240</v>
      </c>
      <c r="I723" s="3">
        <v>250</v>
      </c>
      <c r="J723" s="1">
        <v>260</v>
      </c>
      <c r="K723" s="4" t="e">
        <f t="array" aca="1" ref="K723">MAX(H723:J723*(1-strike(H723:J723)))</f>
        <v>#NAME?</v>
      </c>
      <c r="L723" s="1">
        <v>185</v>
      </c>
      <c r="M723" s="3">
        <v>187.5</v>
      </c>
      <c r="N723" s="3">
        <v>197.5</v>
      </c>
      <c r="O723" s="4" t="e">
        <f t="array" aca="1" ref="O723">MAX(L723:N723*(1-strike(L723:N723)))</f>
        <v>#NAME?</v>
      </c>
      <c r="P723" s="3">
        <v>207.5</v>
      </c>
      <c r="Q723" s="1">
        <v>222.5</v>
      </c>
      <c r="R723" s="1">
        <v>222.5</v>
      </c>
      <c r="S723" s="4" t="e">
        <f t="array" aca="1" ref="S723">MAX(P723:R723*(1-strike(P723:R723)))</f>
        <v>#NAME?</v>
      </c>
      <c r="T723" s="4" t="e">
        <f t="shared" si="11"/>
        <v>#NAME?</v>
      </c>
      <c r="U723" s="3">
        <v>655</v>
      </c>
      <c r="V723" s="3">
        <v>472.06</v>
      </c>
      <c r="W723" s="3">
        <v>1</v>
      </c>
      <c r="X723" s="5">
        <v>2013</v>
      </c>
      <c r="Y723" s="5" t="s">
        <v>29</v>
      </c>
      <c r="Z723" s="5" t="s">
        <v>171</v>
      </c>
      <c r="AA723" s="5">
        <v>849</v>
      </c>
    </row>
    <row r="724" spans="1:27">
      <c r="A724" s="3">
        <v>4</v>
      </c>
      <c r="B724" s="3" t="s">
        <v>648</v>
      </c>
      <c r="C724" s="3">
        <v>1987</v>
      </c>
      <c r="D724" s="3" t="s">
        <v>464</v>
      </c>
      <c r="E724" s="3">
        <v>103.93</v>
      </c>
      <c r="F724" s="3">
        <v>0.59970000000000001</v>
      </c>
      <c r="G724" s="3">
        <v>22</v>
      </c>
      <c r="H724" s="3">
        <v>347.5</v>
      </c>
      <c r="I724" s="3">
        <v>355</v>
      </c>
      <c r="J724" s="1">
        <v>360</v>
      </c>
      <c r="K724" s="4" t="e">
        <f t="array" aca="1" ref="K724">MAX(H724:J724*(1-strike(H724:J724)))</f>
        <v>#NAME?</v>
      </c>
      <c r="L724" s="3">
        <v>245</v>
      </c>
      <c r="M724" s="3">
        <v>252.5</v>
      </c>
      <c r="N724" s="1">
        <v>257.5</v>
      </c>
      <c r="O724" s="4" t="e">
        <f t="array" aca="1" ref="O724">MAX(L724:N724*(1-strike(L724:N724)))</f>
        <v>#NAME?</v>
      </c>
      <c r="P724" s="3">
        <v>325</v>
      </c>
      <c r="Q724" s="3">
        <v>332.5</v>
      </c>
      <c r="R724" s="1">
        <v>337.5</v>
      </c>
      <c r="S724" s="4" t="e">
        <f t="array" aca="1" ref="S724">MAX(P724:R724*(1-strike(P724:R724)))</f>
        <v>#NAME?</v>
      </c>
      <c r="T724" s="4" t="e">
        <f t="shared" si="11"/>
        <v>#NAME?</v>
      </c>
      <c r="U724" s="3">
        <v>940</v>
      </c>
      <c r="V724" s="3">
        <v>563.75</v>
      </c>
      <c r="W724" s="3">
        <v>7</v>
      </c>
      <c r="X724" s="5">
        <v>2012</v>
      </c>
      <c r="Y724" s="5" t="s">
        <v>29</v>
      </c>
      <c r="Z724" s="5" t="s">
        <v>171</v>
      </c>
      <c r="AA724" s="5">
        <v>1281</v>
      </c>
    </row>
    <row r="725" spans="1:27">
      <c r="A725" s="4">
        <v>8</v>
      </c>
      <c r="B725" s="4" t="s">
        <v>649</v>
      </c>
      <c r="C725" s="4">
        <v>1991</v>
      </c>
      <c r="D725" s="4" t="s">
        <v>62</v>
      </c>
      <c r="E725" s="4">
        <v>118.26</v>
      </c>
      <c r="F725" s="4">
        <v>0.57689999999999997</v>
      </c>
      <c r="G725" s="4">
        <v>5</v>
      </c>
      <c r="H725" s="4">
        <v>345</v>
      </c>
      <c r="I725" s="4">
        <v>360</v>
      </c>
      <c r="J725" s="4">
        <v>370</v>
      </c>
      <c r="K725" s="4" t="e">
        <f t="array" aca="1" ref="K725">MAX(H725:J725*(1-strike(H725:J725)))</f>
        <v>#NAME?</v>
      </c>
      <c r="L725" s="4">
        <v>250</v>
      </c>
      <c r="M725" s="4">
        <v>262.5</v>
      </c>
      <c r="N725" s="4">
        <v>272.5</v>
      </c>
      <c r="O725" s="4" t="e">
        <f t="array" aca="1" ref="O725">MAX(L725:N725*(1-strike(L725:N725)))</f>
        <v>#NAME?</v>
      </c>
      <c r="P725" s="4">
        <v>300</v>
      </c>
      <c r="Q725" s="4">
        <v>315</v>
      </c>
      <c r="R725" s="6">
        <v>320</v>
      </c>
      <c r="S725" s="4" t="e">
        <f t="array" aca="1" ref="S725">MAX(P725:R725*(1-strike(P725:R725)))</f>
        <v>#NAME?</v>
      </c>
      <c r="T725" s="4" t="e">
        <f t="shared" si="11"/>
        <v>#NAME?</v>
      </c>
      <c r="U725" s="4">
        <v>957.5</v>
      </c>
      <c r="V725" s="4">
        <v>552.38</v>
      </c>
      <c r="W725" s="4">
        <v>3</v>
      </c>
      <c r="X725" s="5">
        <v>2015</v>
      </c>
      <c r="Y725" s="5" t="s">
        <v>29</v>
      </c>
      <c r="Z725" s="5" t="s">
        <v>171</v>
      </c>
      <c r="AA725" s="5">
        <v>103</v>
      </c>
    </row>
    <row r="726" spans="1:27">
      <c r="A726" s="3" t="s">
        <v>37</v>
      </c>
      <c r="B726" s="3" t="s">
        <v>650</v>
      </c>
      <c r="C726" s="3">
        <v>1977</v>
      </c>
      <c r="D726" s="3" t="s">
        <v>352</v>
      </c>
      <c r="E726" s="3">
        <v>82.62</v>
      </c>
      <c r="F726" s="3">
        <v>0.66930000000000001</v>
      </c>
      <c r="G726" s="3">
        <v>15</v>
      </c>
      <c r="H726" s="1">
        <v>315</v>
      </c>
      <c r="I726" s="3">
        <v>315</v>
      </c>
      <c r="J726" s="1">
        <v>330</v>
      </c>
      <c r="K726" s="4" t="e">
        <f t="array" aca="1" ref="K726">MAX(H726:J726*(1-strike(H726:J726)))</f>
        <v>#NAME?</v>
      </c>
      <c r="L726" s="1">
        <v>225</v>
      </c>
      <c r="M726" s="1">
        <v>225</v>
      </c>
      <c r="N726" s="1">
        <v>225</v>
      </c>
      <c r="O726" s="4" t="e">
        <f t="array" aca="1" ref="O726">MAX(L726:N726*(1-strike(L726:N726)))</f>
        <v>#NAME?</v>
      </c>
      <c r="P726" s="3">
        <v>280</v>
      </c>
      <c r="Q726" s="1">
        <v>305</v>
      </c>
      <c r="R726" s="1">
        <v>322.5</v>
      </c>
      <c r="S726" s="4" t="e">
        <f t="array" aca="1" ref="S726">MAX(P726:R726*(1-strike(P726:R726)))</f>
        <v>#NAME?</v>
      </c>
      <c r="T726" s="4" t="e">
        <f t="shared" si="11"/>
        <v>#NAME?</v>
      </c>
      <c r="U726" s="3" t="s">
        <v>40</v>
      </c>
      <c r="V726" s="3" t="s">
        <v>37</v>
      </c>
      <c r="W726" s="3" t="s">
        <v>37</v>
      </c>
      <c r="X726" s="5">
        <v>2012</v>
      </c>
      <c r="Y726" s="5" t="s">
        <v>29</v>
      </c>
      <c r="Z726" s="5" t="s">
        <v>171</v>
      </c>
      <c r="AA726" s="5">
        <v>1253</v>
      </c>
    </row>
    <row r="727" spans="1:27">
      <c r="A727" s="4">
        <v>10</v>
      </c>
      <c r="B727" s="4" t="s">
        <v>651</v>
      </c>
      <c r="C727" s="4">
        <v>1985</v>
      </c>
      <c r="D727" s="4" t="s">
        <v>194</v>
      </c>
      <c r="E727" s="4">
        <v>82</v>
      </c>
      <c r="F727" s="4">
        <v>0.6724</v>
      </c>
      <c r="G727" s="4">
        <v>22</v>
      </c>
      <c r="H727" s="4">
        <v>185</v>
      </c>
      <c r="I727" s="4">
        <v>190</v>
      </c>
      <c r="J727" s="6">
        <v>195</v>
      </c>
      <c r="K727" s="4" t="e">
        <f t="array" aca="1" ref="K727">MAX(H727:J727*(1-strike(H727:J727)))</f>
        <v>#NAME?</v>
      </c>
      <c r="L727" s="4">
        <v>150</v>
      </c>
      <c r="M727" s="4">
        <v>157.5</v>
      </c>
      <c r="N727" s="4">
        <v>165</v>
      </c>
      <c r="O727" s="4" t="e">
        <f t="array" aca="1" ref="O727">MAX(L727:N727*(1-strike(L727:N727)))</f>
        <v>#NAME?</v>
      </c>
      <c r="P727" s="4">
        <v>250</v>
      </c>
      <c r="Q727" s="4">
        <v>255</v>
      </c>
      <c r="R727" s="6">
        <v>260</v>
      </c>
      <c r="S727" s="4" t="e">
        <f t="array" aca="1" ref="S727">MAX(P727:R727*(1-strike(P727:R727)))</f>
        <v>#NAME?</v>
      </c>
      <c r="T727" s="4" t="e">
        <f t="shared" si="11"/>
        <v>#NAME?</v>
      </c>
      <c r="U727" s="4">
        <v>610</v>
      </c>
      <c r="V727" s="4">
        <v>410.16</v>
      </c>
      <c r="W727" s="4">
        <v>1</v>
      </c>
      <c r="X727" s="5">
        <v>2014</v>
      </c>
      <c r="Y727" s="5" t="s">
        <v>29</v>
      </c>
      <c r="Z727" s="5" t="s">
        <v>30</v>
      </c>
      <c r="AA727" s="5">
        <v>692</v>
      </c>
    </row>
    <row r="728" spans="1:27">
      <c r="A728" s="3">
        <v>3</v>
      </c>
      <c r="B728" s="3" t="s">
        <v>121</v>
      </c>
      <c r="C728" s="3">
        <v>1967</v>
      </c>
      <c r="D728" s="3" t="s">
        <v>77</v>
      </c>
      <c r="E728" s="3">
        <v>58.5</v>
      </c>
      <c r="F728" s="3">
        <v>0.87309999999999999</v>
      </c>
      <c r="G728" s="3">
        <v>1</v>
      </c>
      <c r="H728" s="3">
        <v>155</v>
      </c>
      <c r="I728" s="3">
        <v>165</v>
      </c>
      <c r="J728" s="1">
        <v>170</v>
      </c>
      <c r="K728" s="4" t="e">
        <f t="array" aca="1" ref="K728">MAX(H728:J728*(1-strike(H728:J728)))</f>
        <v>#NAME?</v>
      </c>
      <c r="L728" s="3">
        <v>125</v>
      </c>
      <c r="M728" s="1">
        <v>130</v>
      </c>
      <c r="N728" s="3">
        <v>130</v>
      </c>
      <c r="O728" s="4" t="e">
        <f t="array" aca="1" ref="O728">MAX(L728:N728*(1-strike(L728:N728)))</f>
        <v>#NAME?</v>
      </c>
      <c r="P728" s="3">
        <v>200</v>
      </c>
      <c r="Q728" s="1">
        <v>210</v>
      </c>
      <c r="R728" s="1">
        <v>210</v>
      </c>
      <c r="S728" s="4" t="e">
        <f t="array" aca="1" ref="S728">MAX(P728:R728*(1-strike(P728:R728)))</f>
        <v>#NAME?</v>
      </c>
      <c r="T728" s="4" t="e">
        <f t="shared" si="11"/>
        <v>#NAME?</v>
      </c>
      <c r="U728" s="3">
        <v>495</v>
      </c>
      <c r="V728" s="3">
        <v>432.18</v>
      </c>
      <c r="W728" s="3">
        <v>8</v>
      </c>
      <c r="X728" s="5">
        <v>2013</v>
      </c>
      <c r="Y728" s="5" t="s">
        <v>29</v>
      </c>
      <c r="Z728" s="5" t="s">
        <v>30</v>
      </c>
      <c r="AA728" s="5">
        <v>1020</v>
      </c>
    </row>
    <row r="729" spans="1:27">
      <c r="A729" s="4">
        <v>8</v>
      </c>
      <c r="B729" s="4" t="s">
        <v>121</v>
      </c>
      <c r="C729" s="4">
        <v>1967</v>
      </c>
      <c r="D729" s="4" t="s">
        <v>77</v>
      </c>
      <c r="E729" s="4">
        <v>58.89</v>
      </c>
      <c r="F729" s="4">
        <v>0.86770000000000003</v>
      </c>
      <c r="G729" s="4">
        <v>6</v>
      </c>
      <c r="H729" s="4">
        <v>205</v>
      </c>
      <c r="I729" s="6">
        <v>215</v>
      </c>
      <c r="J729" s="6">
        <v>215</v>
      </c>
      <c r="K729" s="4" t="e">
        <f t="array" aca="1" ref="K729">MAX(H729:J729*(1-strike(H729:J729)))</f>
        <v>#NAME?</v>
      </c>
      <c r="L729" s="4">
        <v>170</v>
      </c>
      <c r="M729" s="6">
        <v>180</v>
      </c>
      <c r="N729" s="6">
        <v>180</v>
      </c>
      <c r="O729" s="4" t="e">
        <f t="array" aca="1" ref="O729">MAX(L729:N729*(1-strike(L729:N729)))</f>
        <v>#NAME?</v>
      </c>
      <c r="P729" s="6">
        <v>200</v>
      </c>
      <c r="Q729" s="4">
        <v>200</v>
      </c>
      <c r="R729" s="4">
        <v>210</v>
      </c>
      <c r="S729" s="4" t="e">
        <f t="array" aca="1" ref="S729">MAX(P729:R729*(1-strike(P729:R729)))</f>
        <v>#NAME?</v>
      </c>
      <c r="T729" s="4" t="e">
        <f t="shared" si="11"/>
        <v>#NAME?</v>
      </c>
      <c r="U729" s="4">
        <v>585</v>
      </c>
      <c r="V729" s="4">
        <v>507.61</v>
      </c>
      <c r="W729" s="4">
        <v>3</v>
      </c>
      <c r="X729" s="5">
        <v>2015</v>
      </c>
      <c r="Y729" s="5" t="s">
        <v>29</v>
      </c>
      <c r="Z729" s="5" t="s">
        <v>171</v>
      </c>
      <c r="AA729" s="5">
        <v>9</v>
      </c>
    </row>
    <row r="730" spans="1:27">
      <c r="A730" s="3">
        <v>8</v>
      </c>
      <c r="B730" s="3" t="s">
        <v>652</v>
      </c>
      <c r="C730" s="3">
        <v>1978</v>
      </c>
      <c r="D730" s="3" t="s">
        <v>653</v>
      </c>
      <c r="E730" s="3">
        <v>82.07</v>
      </c>
      <c r="F730" s="3">
        <v>0.67210000000000003</v>
      </c>
      <c r="G730" s="3">
        <v>8</v>
      </c>
      <c r="H730" s="3">
        <v>285</v>
      </c>
      <c r="I730" s="3">
        <v>300</v>
      </c>
      <c r="J730" s="1">
        <v>305</v>
      </c>
      <c r="K730" s="4" t="e">
        <f t="array" aca="1" ref="K730">MAX(H730:J730*(1-strike(H730:J730)))</f>
        <v>#NAME?</v>
      </c>
      <c r="L730" s="3">
        <v>195</v>
      </c>
      <c r="M730" s="3">
        <v>210</v>
      </c>
      <c r="N730" s="3">
        <v>220</v>
      </c>
      <c r="O730" s="4" t="e">
        <f t="array" aca="1" ref="O730">MAX(L730:N730*(1-strike(L730:N730)))</f>
        <v>#NAME?</v>
      </c>
      <c r="P730" s="3">
        <v>320</v>
      </c>
      <c r="Q730" s="3">
        <v>327.5</v>
      </c>
      <c r="R730" s="3">
        <v>330</v>
      </c>
      <c r="S730" s="4" t="e">
        <f t="array" aca="1" ref="S730">MAX(P730:R730*(1-strike(P730:R730)))</f>
        <v>#NAME?</v>
      </c>
      <c r="T730" s="4" t="e">
        <f t="shared" si="11"/>
        <v>#NAME?</v>
      </c>
      <c r="U730" s="3">
        <v>850</v>
      </c>
      <c r="V730" s="3">
        <v>571.24</v>
      </c>
      <c r="W730" s="3">
        <v>3</v>
      </c>
      <c r="X730" s="5">
        <v>2012</v>
      </c>
      <c r="Y730" s="5" t="s">
        <v>29</v>
      </c>
      <c r="Z730" s="5" t="s">
        <v>171</v>
      </c>
      <c r="AA730" s="5">
        <v>1241</v>
      </c>
    </row>
    <row r="731" spans="1:27">
      <c r="A731" s="3">
        <v>11</v>
      </c>
      <c r="B731" s="3" t="s">
        <v>654</v>
      </c>
      <c r="C731" s="3">
        <v>1972</v>
      </c>
      <c r="D731" s="3" t="s">
        <v>77</v>
      </c>
      <c r="E731" s="3">
        <v>82.53</v>
      </c>
      <c r="F731" s="3">
        <v>0.66979999999999995</v>
      </c>
      <c r="G731" s="3">
        <v>6</v>
      </c>
      <c r="H731" s="3">
        <v>285</v>
      </c>
      <c r="I731" s="3">
        <v>297.5</v>
      </c>
      <c r="J731" s="3">
        <v>305</v>
      </c>
      <c r="K731" s="4" t="e">
        <f t="array" aca="1" ref="K731">MAX(H731:J731*(1-strike(H731:J731)))</f>
        <v>#NAME?</v>
      </c>
      <c r="L731" s="3">
        <v>225</v>
      </c>
      <c r="M731" s="3">
        <v>237.5</v>
      </c>
      <c r="N731" s="1">
        <v>245</v>
      </c>
      <c r="O731" s="4" t="e">
        <f t="array" aca="1" ref="O731">MAX(L731:N731*(1-strike(L731:N731)))</f>
        <v>#NAME?</v>
      </c>
      <c r="P731" s="3">
        <v>270</v>
      </c>
      <c r="Q731" s="1">
        <v>280</v>
      </c>
      <c r="R731" s="1">
        <v>280</v>
      </c>
      <c r="S731" s="4" t="e">
        <f t="array" aca="1" ref="S731">MAX(P731:R731*(1-strike(P731:R731)))</f>
        <v>#NAME?</v>
      </c>
      <c r="T731" s="4" t="e">
        <f t="shared" si="11"/>
        <v>#NAME?</v>
      </c>
      <c r="U731" s="3">
        <v>812.5</v>
      </c>
      <c r="V731" s="3">
        <v>544.16999999999996</v>
      </c>
      <c r="W731" s="3">
        <v>1</v>
      </c>
      <c r="X731" s="5">
        <v>2012</v>
      </c>
      <c r="Y731" s="5" t="s">
        <v>29</v>
      </c>
      <c r="Z731" s="5" t="s">
        <v>171</v>
      </c>
      <c r="AA731" s="5">
        <v>1244</v>
      </c>
    </row>
    <row r="732" spans="1:27">
      <c r="A732" s="3">
        <v>6</v>
      </c>
      <c r="B732" s="3" t="s">
        <v>122</v>
      </c>
      <c r="C732" s="3">
        <v>1977</v>
      </c>
      <c r="D732" s="3" t="s">
        <v>77</v>
      </c>
      <c r="E732" s="3">
        <v>65.25</v>
      </c>
      <c r="F732" s="3">
        <v>0.79269999999999996</v>
      </c>
      <c r="G732" s="3">
        <v>7</v>
      </c>
      <c r="H732" s="3">
        <v>175</v>
      </c>
      <c r="I732" s="3">
        <v>182.5</v>
      </c>
      <c r="J732" s="3">
        <v>185</v>
      </c>
      <c r="K732" s="4" t="e">
        <f t="array" aca="1" ref="K732">MAX(H732:J732*(1-strike(H732:J732)))</f>
        <v>#NAME?</v>
      </c>
      <c r="L732" s="3">
        <v>120</v>
      </c>
      <c r="M732" s="3">
        <v>125</v>
      </c>
      <c r="N732" s="3">
        <v>127.5</v>
      </c>
      <c r="O732" s="4" t="e">
        <f t="array" aca="1" ref="O732">MAX(L732:N732*(1-strike(L732:N732)))</f>
        <v>#NAME?</v>
      </c>
      <c r="P732" s="3">
        <v>230</v>
      </c>
      <c r="Q732" s="3">
        <v>237.5</v>
      </c>
      <c r="R732" s="1">
        <v>242.5</v>
      </c>
      <c r="S732" s="4" t="e">
        <f t="array" aca="1" ref="S732">MAX(P732:R732*(1-strike(P732:R732)))</f>
        <v>#NAME?</v>
      </c>
      <c r="T732" s="4" t="e">
        <f t="shared" si="11"/>
        <v>#NAME?</v>
      </c>
      <c r="U732" s="3">
        <v>550</v>
      </c>
      <c r="V732" s="3">
        <v>435.98</v>
      </c>
      <c r="W732" s="3">
        <v>5</v>
      </c>
      <c r="X732" s="5">
        <v>2013</v>
      </c>
      <c r="Y732" s="5" t="s">
        <v>29</v>
      </c>
      <c r="Z732" s="5" t="s">
        <v>30</v>
      </c>
      <c r="AA732" s="5">
        <v>1028</v>
      </c>
    </row>
    <row r="733" spans="1:27">
      <c r="A733" s="4">
        <v>8</v>
      </c>
      <c r="B733" s="4" t="s">
        <v>655</v>
      </c>
      <c r="C733" s="4">
        <v>1988</v>
      </c>
      <c r="D733" s="4" t="s">
        <v>445</v>
      </c>
      <c r="E733" s="4">
        <v>101.25</v>
      </c>
      <c r="F733" s="4">
        <v>0.60560000000000003</v>
      </c>
      <c r="G733" s="4">
        <v>4</v>
      </c>
      <c r="H733" s="4">
        <v>255</v>
      </c>
      <c r="I733" s="4">
        <v>265</v>
      </c>
      <c r="J733" s="4">
        <v>275</v>
      </c>
      <c r="K733" s="4" t="e">
        <f t="array" aca="1" ref="K733">MAX(H733:J733*(1-strike(H733:J733)))</f>
        <v>#NAME?</v>
      </c>
      <c r="L733" s="4">
        <v>160</v>
      </c>
      <c r="M733" s="6">
        <v>167.5</v>
      </c>
      <c r="N733" s="4">
        <v>167.5</v>
      </c>
      <c r="O733" s="4" t="e">
        <f t="array" aca="1" ref="O733">MAX(L733:N733*(1-strike(L733:N733)))</f>
        <v>#NAME?</v>
      </c>
      <c r="P733" s="4">
        <v>310</v>
      </c>
      <c r="Q733" s="4">
        <v>325</v>
      </c>
      <c r="R733" s="4">
        <v>330</v>
      </c>
      <c r="S733" s="4" t="e">
        <f t="array" aca="1" ref="S733">MAX(P733:R733*(1-strike(P733:R733)))</f>
        <v>#NAME?</v>
      </c>
      <c r="T733" s="4" t="e">
        <f t="shared" si="11"/>
        <v>#NAME?</v>
      </c>
      <c r="U733" s="4">
        <v>772.5</v>
      </c>
      <c r="V733" s="4">
        <v>467.83</v>
      </c>
      <c r="W733" s="4">
        <v>3</v>
      </c>
      <c r="X733" s="5">
        <v>2015</v>
      </c>
      <c r="Y733" s="5" t="s">
        <v>29</v>
      </c>
      <c r="Z733" s="5" t="s">
        <v>30</v>
      </c>
      <c r="AA733" s="5">
        <v>300</v>
      </c>
    </row>
    <row r="734" spans="1:27">
      <c r="A734" s="3">
        <v>3</v>
      </c>
      <c r="B734" s="3" t="s">
        <v>123</v>
      </c>
      <c r="C734" s="3">
        <v>1983</v>
      </c>
      <c r="D734" s="3" t="s">
        <v>80</v>
      </c>
      <c r="E734" s="3">
        <v>104.45</v>
      </c>
      <c r="F734" s="3">
        <v>0.59870000000000001</v>
      </c>
      <c r="G734" s="3">
        <v>13</v>
      </c>
      <c r="H734" s="3">
        <v>280</v>
      </c>
      <c r="I734" s="3">
        <v>292.5</v>
      </c>
      <c r="J734" s="3">
        <v>300</v>
      </c>
      <c r="K734" s="4" t="e">
        <f t="array" aca="1" ref="K734">MAX(H734:J734*(1-strike(H734:J734)))</f>
        <v>#NAME?</v>
      </c>
      <c r="L734" s="3">
        <v>190</v>
      </c>
      <c r="M734" s="3">
        <v>197.5</v>
      </c>
      <c r="N734" s="3">
        <v>200</v>
      </c>
      <c r="O734" s="4" t="e">
        <f t="array" aca="1" ref="O734">MAX(L734:N734*(1-strike(L734:N734)))</f>
        <v>#NAME?</v>
      </c>
      <c r="P734" s="3">
        <v>285</v>
      </c>
      <c r="Q734" s="3">
        <v>300</v>
      </c>
      <c r="R734" s="3">
        <v>305</v>
      </c>
      <c r="S734" s="4" t="e">
        <f t="array" aca="1" ref="S734">MAX(P734:R734*(1-strike(P734:R734)))</f>
        <v>#NAME?</v>
      </c>
      <c r="T734" s="4" t="e">
        <f t="shared" si="11"/>
        <v>#NAME?</v>
      </c>
      <c r="U734" s="3">
        <v>805</v>
      </c>
      <c r="V734" s="3">
        <v>481.95</v>
      </c>
      <c r="W734" s="3">
        <v>8</v>
      </c>
      <c r="X734" s="5">
        <v>2013</v>
      </c>
      <c r="Y734" s="5" t="s">
        <v>29</v>
      </c>
      <c r="Z734" s="5" t="s">
        <v>30</v>
      </c>
      <c r="AA734" s="5">
        <v>1073</v>
      </c>
    </row>
    <row r="735" spans="1:27">
      <c r="A735" s="4">
        <v>13</v>
      </c>
      <c r="B735" s="4" t="s">
        <v>656</v>
      </c>
      <c r="C735" s="4">
        <v>1985</v>
      </c>
      <c r="D735" s="4" t="s">
        <v>485</v>
      </c>
      <c r="E735" s="4">
        <v>101.5</v>
      </c>
      <c r="F735" s="4">
        <v>0.60499999999999998</v>
      </c>
      <c r="G735" s="4">
        <v>3</v>
      </c>
      <c r="H735" s="4">
        <v>250</v>
      </c>
      <c r="I735" s="6">
        <v>265</v>
      </c>
      <c r="J735" s="4">
        <v>270</v>
      </c>
      <c r="K735" s="4" t="e">
        <f t="array" aca="1" ref="K735">MAX(H735:J735*(1-strike(H735:J735)))</f>
        <v>#NAME?</v>
      </c>
      <c r="L735" s="6">
        <v>160</v>
      </c>
      <c r="M735" s="6">
        <v>160</v>
      </c>
      <c r="N735" s="4">
        <v>170</v>
      </c>
      <c r="O735" s="4" t="e">
        <f t="array" aca="1" ref="O735">MAX(L735:N735*(1-strike(L735:N735)))</f>
        <v>#NAME?</v>
      </c>
      <c r="P735" s="4">
        <v>245</v>
      </c>
      <c r="Q735" s="4">
        <v>255</v>
      </c>
      <c r="R735" s="6">
        <v>260</v>
      </c>
      <c r="S735" s="4" t="e">
        <f t="array" aca="1" ref="S735">MAX(P735:R735*(1-strike(P735:R735)))</f>
        <v>#NAME?</v>
      </c>
      <c r="T735" s="4" t="e">
        <f t="shared" si="11"/>
        <v>#NAME?</v>
      </c>
      <c r="U735" s="4">
        <v>695</v>
      </c>
      <c r="V735" s="4">
        <v>420.47</v>
      </c>
      <c r="W735" s="4">
        <v>1</v>
      </c>
      <c r="X735" s="5">
        <v>2014</v>
      </c>
      <c r="Y735" s="5" t="s">
        <v>29</v>
      </c>
      <c r="Z735" s="5" t="s">
        <v>171</v>
      </c>
      <c r="AA735" s="5">
        <v>525</v>
      </c>
    </row>
    <row r="736" spans="1:27">
      <c r="A736" s="4">
        <v>16</v>
      </c>
      <c r="B736" s="4" t="s">
        <v>657</v>
      </c>
      <c r="C736" s="4">
        <v>1981</v>
      </c>
      <c r="D736" s="4" t="s">
        <v>51</v>
      </c>
      <c r="E736" s="4">
        <v>72.45</v>
      </c>
      <c r="F736" s="4">
        <v>0.73040000000000005</v>
      </c>
      <c r="G736" s="4">
        <v>8</v>
      </c>
      <c r="H736" s="6">
        <v>215</v>
      </c>
      <c r="I736" s="4">
        <v>215</v>
      </c>
      <c r="J736" s="4">
        <v>225</v>
      </c>
      <c r="K736" s="4" t="e">
        <f t="array" aca="1" ref="K736">MAX(H736:J736*(1-strike(H736:J736)))</f>
        <v>#NAME?</v>
      </c>
      <c r="L736" s="4">
        <v>152.5</v>
      </c>
      <c r="M736" s="4">
        <v>160</v>
      </c>
      <c r="N736" s="4">
        <v>165</v>
      </c>
      <c r="O736" s="4" t="e">
        <f t="array" aca="1" ref="O736">MAX(L736:N736*(1-strike(L736:N736)))</f>
        <v>#NAME?</v>
      </c>
      <c r="P736" s="4">
        <v>205</v>
      </c>
      <c r="Q736" s="4">
        <v>215</v>
      </c>
      <c r="R736" s="6">
        <v>220</v>
      </c>
      <c r="S736" s="4" t="e">
        <f t="array" aca="1" ref="S736">MAX(P736:R736*(1-strike(P736:R736)))</f>
        <v>#NAME?</v>
      </c>
      <c r="T736" s="4" t="e">
        <f t="shared" si="11"/>
        <v>#NAME?</v>
      </c>
      <c r="U736" s="4">
        <v>605</v>
      </c>
      <c r="V736" s="4">
        <v>441.89</v>
      </c>
      <c r="W736" s="4">
        <v>1</v>
      </c>
      <c r="X736" s="5">
        <v>2015</v>
      </c>
      <c r="Y736" s="5" t="s">
        <v>29</v>
      </c>
      <c r="Z736" s="5" t="s">
        <v>171</v>
      </c>
      <c r="AA736" s="5">
        <v>38</v>
      </c>
    </row>
    <row r="737" spans="1:27">
      <c r="A737" s="4">
        <v>14</v>
      </c>
      <c r="B737" s="4" t="s">
        <v>658</v>
      </c>
      <c r="C737" s="4">
        <v>1981</v>
      </c>
      <c r="D737" s="4" t="s">
        <v>56</v>
      </c>
      <c r="E737" s="4">
        <v>118.94</v>
      </c>
      <c r="F737" s="4">
        <v>0.57609999999999995</v>
      </c>
      <c r="G737" s="4">
        <v>17</v>
      </c>
      <c r="H737" s="4">
        <v>270</v>
      </c>
      <c r="I737" s="6">
        <v>280</v>
      </c>
      <c r="J737" s="6">
        <v>280</v>
      </c>
      <c r="K737" s="4" t="e">
        <f t="array" aca="1" ref="K737">MAX(H737:J737*(1-strike(H737:J737)))</f>
        <v>#NAME?</v>
      </c>
      <c r="L737" s="4">
        <v>160</v>
      </c>
      <c r="M737" s="4">
        <v>165</v>
      </c>
      <c r="N737" s="6">
        <v>170</v>
      </c>
      <c r="O737" s="4" t="e">
        <f t="array" aca="1" ref="O737">MAX(L737:N737*(1-strike(L737:N737)))</f>
        <v>#NAME?</v>
      </c>
      <c r="P737" s="4">
        <v>250</v>
      </c>
      <c r="Q737" s="4">
        <v>265</v>
      </c>
      <c r="R737" s="4">
        <v>275</v>
      </c>
      <c r="S737" s="4" t="e">
        <f t="array" aca="1" ref="S737">MAX(P737:R737*(1-strike(P737:R737)))</f>
        <v>#NAME?</v>
      </c>
      <c r="T737" s="4" t="e">
        <f t="shared" si="11"/>
        <v>#NAME?</v>
      </c>
      <c r="U737" s="4">
        <v>710</v>
      </c>
      <c r="V737" s="4">
        <v>409.03</v>
      </c>
      <c r="W737" s="4">
        <v>1</v>
      </c>
      <c r="X737" s="5">
        <v>2015</v>
      </c>
      <c r="Y737" s="5" t="s">
        <v>29</v>
      </c>
      <c r="Z737" s="5" t="s">
        <v>30</v>
      </c>
      <c r="AA737" s="5">
        <v>320</v>
      </c>
    </row>
    <row r="738" spans="1:27">
      <c r="A738" s="4">
        <v>10</v>
      </c>
      <c r="B738" s="4" t="s">
        <v>659</v>
      </c>
      <c r="C738" s="4">
        <v>1988</v>
      </c>
      <c r="D738" s="4" t="s">
        <v>80</v>
      </c>
      <c r="E738" s="4">
        <v>104.09</v>
      </c>
      <c r="F738" s="4">
        <v>0.59940000000000004</v>
      </c>
      <c r="G738" s="4">
        <v>7</v>
      </c>
      <c r="H738" s="4">
        <v>265</v>
      </c>
      <c r="I738" s="4">
        <v>275</v>
      </c>
      <c r="J738" s="6">
        <v>280</v>
      </c>
      <c r="K738" s="4" t="e">
        <f t="array" aca="1" ref="K738">MAX(H738:J738*(1-strike(H738:J738)))</f>
        <v>#NAME?</v>
      </c>
      <c r="L738" s="4">
        <v>165</v>
      </c>
      <c r="M738" s="4">
        <v>172.5</v>
      </c>
      <c r="N738" s="6">
        <v>175</v>
      </c>
      <c r="O738" s="4" t="e">
        <f t="array" aca="1" ref="O738">MAX(L738:N738*(1-strike(L738:N738)))</f>
        <v>#NAME?</v>
      </c>
      <c r="P738" s="4">
        <v>290</v>
      </c>
      <c r="Q738" s="4">
        <v>312.5</v>
      </c>
      <c r="R738" s="6">
        <v>315</v>
      </c>
      <c r="S738" s="4" t="e">
        <f t="array" aca="1" ref="S738">MAX(P738:R738*(1-strike(P738:R738)))</f>
        <v>#NAME?</v>
      </c>
      <c r="T738" s="4" t="e">
        <f t="shared" si="11"/>
        <v>#NAME?</v>
      </c>
      <c r="U738" s="4">
        <v>760</v>
      </c>
      <c r="V738" s="4">
        <v>455.54</v>
      </c>
      <c r="W738" s="4">
        <v>1</v>
      </c>
      <c r="X738" s="5">
        <v>2015</v>
      </c>
      <c r="Y738" s="5" t="s">
        <v>29</v>
      </c>
      <c r="Z738" s="5" t="s">
        <v>30</v>
      </c>
      <c r="AA738" s="5">
        <v>302</v>
      </c>
    </row>
    <row r="739" spans="1:27">
      <c r="A739" s="3">
        <v>6</v>
      </c>
      <c r="B739" s="3" t="s">
        <v>126</v>
      </c>
      <c r="C739" s="3">
        <v>1987</v>
      </c>
      <c r="D739" s="3" t="s">
        <v>80</v>
      </c>
      <c r="E739" s="3">
        <v>92.45</v>
      </c>
      <c r="F739" s="3">
        <v>0.63</v>
      </c>
      <c r="G739" s="3">
        <v>7</v>
      </c>
      <c r="H739" s="3">
        <v>235</v>
      </c>
      <c r="I739" s="1">
        <v>245</v>
      </c>
      <c r="J739" s="1">
        <v>245</v>
      </c>
      <c r="K739" s="4" t="e">
        <f t="array" aca="1" ref="K739">MAX(H739:J739*(1-strike(H739:J739)))</f>
        <v>#NAME?</v>
      </c>
      <c r="L739" s="3">
        <v>175</v>
      </c>
      <c r="M739" s="3">
        <v>180</v>
      </c>
      <c r="N739" s="1">
        <v>182.5</v>
      </c>
      <c r="O739" s="4" t="e">
        <f t="array" aca="1" ref="O739">MAX(L739:N739*(1-strike(L739:N739)))</f>
        <v>#NAME?</v>
      </c>
      <c r="P739" s="3">
        <v>295</v>
      </c>
      <c r="Q739" s="1">
        <v>302.5</v>
      </c>
      <c r="R739" s="1">
        <v>302.5</v>
      </c>
      <c r="S739" s="4" t="e">
        <f t="array" aca="1" ref="S739">MAX(P739:R739*(1-strike(P739:R739)))</f>
        <v>#NAME?</v>
      </c>
      <c r="T739" s="4" t="e">
        <f t="shared" si="11"/>
        <v>#NAME?</v>
      </c>
      <c r="U739" s="3">
        <v>710</v>
      </c>
      <c r="V739" s="3">
        <v>447.26</v>
      </c>
      <c r="W739" s="3">
        <v>5</v>
      </c>
      <c r="X739" s="5">
        <v>2013</v>
      </c>
      <c r="Y739" s="5" t="s">
        <v>29</v>
      </c>
      <c r="Z739" s="5" t="s">
        <v>30</v>
      </c>
      <c r="AA739" s="5">
        <v>1061</v>
      </c>
    </row>
    <row r="740" spans="1:27">
      <c r="A740" s="4">
        <v>9</v>
      </c>
      <c r="B740" s="4" t="s">
        <v>126</v>
      </c>
      <c r="C740" s="4">
        <v>1987</v>
      </c>
      <c r="D740" s="4" t="s">
        <v>80</v>
      </c>
      <c r="E740" s="4">
        <v>91.33</v>
      </c>
      <c r="F740" s="4">
        <v>0.63370000000000004</v>
      </c>
      <c r="G740" s="4">
        <v>6</v>
      </c>
      <c r="H740" s="4">
        <v>250</v>
      </c>
      <c r="I740" s="4">
        <v>257.5</v>
      </c>
      <c r="J740" s="6">
        <v>262.5</v>
      </c>
      <c r="K740" s="4" t="e">
        <f t="array" aca="1" ref="K740">MAX(H740:J740*(1-strike(H740:J740)))</f>
        <v>#NAME?</v>
      </c>
      <c r="L740" s="4">
        <v>175</v>
      </c>
      <c r="M740" s="6">
        <v>177.5</v>
      </c>
      <c r="N740" s="6">
        <v>177.5</v>
      </c>
      <c r="O740" s="4" t="e">
        <f t="array" aca="1" ref="O740">MAX(L740:N740*(1-strike(L740:N740)))</f>
        <v>#NAME?</v>
      </c>
      <c r="P740" s="4">
        <v>285</v>
      </c>
      <c r="Q740" s="6">
        <v>300</v>
      </c>
      <c r="R740" s="6">
        <v>300</v>
      </c>
      <c r="S740" s="4" t="e">
        <f t="array" aca="1" ref="S740">MAX(P740:R740*(1-strike(P740:R740)))</f>
        <v>#NAME?</v>
      </c>
      <c r="T740" s="4" t="e">
        <f t="shared" si="11"/>
        <v>#NAME?</v>
      </c>
      <c r="U740" s="4">
        <v>717.5</v>
      </c>
      <c r="V740" s="4">
        <v>454.68</v>
      </c>
      <c r="W740" s="4">
        <v>2</v>
      </c>
      <c r="X740" s="5">
        <v>2015</v>
      </c>
      <c r="Y740" s="5" t="s">
        <v>29</v>
      </c>
      <c r="Z740" s="5" t="s">
        <v>30</v>
      </c>
      <c r="AA740" s="5">
        <v>281</v>
      </c>
    </row>
    <row r="741" spans="1:27" ht="15" customHeight="1">
      <c r="A741" s="4">
        <v>9</v>
      </c>
      <c r="B741" s="4" t="s">
        <v>660</v>
      </c>
      <c r="C741" s="4">
        <v>1988</v>
      </c>
      <c r="D741" s="4" t="s">
        <v>380</v>
      </c>
      <c r="E741" s="4">
        <v>82.88</v>
      </c>
      <c r="F741" s="4">
        <v>0.66800000000000004</v>
      </c>
      <c r="G741" s="4">
        <v>5</v>
      </c>
      <c r="H741" s="6">
        <v>300</v>
      </c>
      <c r="I741" s="4">
        <v>300</v>
      </c>
      <c r="J741" s="6">
        <v>315</v>
      </c>
      <c r="K741" s="4" t="e">
        <f t="array" aca="1" ref="K741">MAX(H741:J741*(1-strike(H741:J741)))</f>
        <v>#NAME?</v>
      </c>
      <c r="L741" s="6">
        <v>180</v>
      </c>
      <c r="M741" s="6">
        <v>190</v>
      </c>
      <c r="N741" s="4">
        <v>190</v>
      </c>
      <c r="O741" s="4" t="e">
        <f t="array" aca="1" ref="O741">MAX(L741:N741*(1-strike(L741:N741)))</f>
        <v>#NAME?</v>
      </c>
      <c r="P741" s="4">
        <v>260</v>
      </c>
      <c r="Q741" s="4">
        <v>267.5</v>
      </c>
      <c r="R741" s="6">
        <v>270</v>
      </c>
      <c r="S741" s="4" t="e">
        <f t="array" aca="1" ref="S741">MAX(P741:R741*(1-strike(P741:R741)))</f>
        <v>#NAME?</v>
      </c>
      <c r="T741" s="4" t="e">
        <f t="shared" si="11"/>
        <v>#NAME?</v>
      </c>
      <c r="U741" s="4">
        <v>757.5</v>
      </c>
      <c r="V741" s="4">
        <v>506.01</v>
      </c>
      <c r="W741" s="4">
        <v>2</v>
      </c>
      <c r="X741" s="5">
        <v>2014</v>
      </c>
      <c r="Y741" s="5" t="s">
        <v>29</v>
      </c>
      <c r="Z741" s="5" t="s">
        <v>171</v>
      </c>
      <c r="AA741" s="5">
        <v>484</v>
      </c>
    </row>
    <row r="742" spans="1:27">
      <c r="A742" s="4" t="s">
        <v>37</v>
      </c>
      <c r="B742" s="4" t="s">
        <v>660</v>
      </c>
      <c r="C742" s="4">
        <v>1988</v>
      </c>
      <c r="D742" s="4" t="s">
        <v>380</v>
      </c>
      <c r="E742" s="4">
        <v>82.72</v>
      </c>
      <c r="F742" s="4">
        <v>0.66879999999999995</v>
      </c>
      <c r="G742" s="4">
        <v>12</v>
      </c>
      <c r="H742" s="6">
        <v>337.5</v>
      </c>
      <c r="I742" s="6">
        <v>337.5</v>
      </c>
      <c r="J742" s="6">
        <v>337.5</v>
      </c>
      <c r="K742" s="4" t="e">
        <f t="array" aca="1" ref="K742">MAX(H742:J742*(1-strike(H742:J742)))</f>
        <v>#NAME?</v>
      </c>
      <c r="L742" s="6">
        <v>200</v>
      </c>
      <c r="M742" s="4">
        <v>200</v>
      </c>
      <c r="N742" s="4">
        <v>217.5</v>
      </c>
      <c r="O742" s="4" t="e">
        <f t="array" aca="1" ref="O742">MAX(L742:N742*(1-strike(L742:N742)))</f>
        <v>#NAME?</v>
      </c>
      <c r="P742" s="4">
        <v>280</v>
      </c>
      <c r="Q742" s="6">
        <v>295</v>
      </c>
      <c r="R742" s="6">
        <v>300</v>
      </c>
      <c r="S742" s="4" t="e">
        <f t="array" aca="1" ref="S742">MAX(P742:R742*(1-strike(P742:R742)))</f>
        <v>#NAME?</v>
      </c>
      <c r="T742" s="4" t="e">
        <f t="shared" si="11"/>
        <v>#NAME?</v>
      </c>
      <c r="U742" s="4" t="s">
        <v>187</v>
      </c>
      <c r="V742" s="4" t="s">
        <v>37</v>
      </c>
      <c r="W742" s="4" t="s">
        <v>37</v>
      </c>
      <c r="X742" s="5">
        <v>2015</v>
      </c>
      <c r="Y742" s="5" t="s">
        <v>29</v>
      </c>
      <c r="Z742" s="5" t="s">
        <v>171</v>
      </c>
      <c r="AA742" s="5">
        <v>52</v>
      </c>
    </row>
    <row r="743" spans="1:27">
      <c r="A743" s="4">
        <v>6</v>
      </c>
      <c r="B743" s="4" t="s">
        <v>661</v>
      </c>
      <c r="C743" s="4">
        <v>1986</v>
      </c>
      <c r="D743" s="4" t="s">
        <v>62</v>
      </c>
      <c r="E743" s="4">
        <v>58.29</v>
      </c>
      <c r="F743" s="4">
        <v>0.876</v>
      </c>
      <c r="G743" s="4">
        <v>2</v>
      </c>
      <c r="H743" s="4">
        <v>172.5</v>
      </c>
      <c r="I743" s="4">
        <v>182.5</v>
      </c>
      <c r="J743" s="6">
        <v>187.5</v>
      </c>
      <c r="K743" s="4" t="e">
        <f t="array" aca="1" ref="K743">MAX(H743:J743*(1-strike(H743:J743)))</f>
        <v>#NAME?</v>
      </c>
      <c r="L743" s="4">
        <v>122.5</v>
      </c>
      <c r="M743" s="4">
        <v>127.5</v>
      </c>
      <c r="N743" s="6">
        <v>132.5</v>
      </c>
      <c r="O743" s="4" t="e">
        <f t="array" aca="1" ref="O743">MAX(L743:N743*(1-strike(L743:N743)))</f>
        <v>#NAME?</v>
      </c>
      <c r="P743" s="4">
        <v>192.5</v>
      </c>
      <c r="Q743" s="4">
        <v>202.5</v>
      </c>
      <c r="R743" s="6">
        <v>207.5</v>
      </c>
      <c r="S743" s="4" t="e">
        <f t="array" aca="1" ref="S743">MAX(P743:R743*(1-strike(P743:R743)))</f>
        <v>#NAME?</v>
      </c>
      <c r="T743" s="4" t="e">
        <f t="shared" si="11"/>
        <v>#NAME?</v>
      </c>
      <c r="U743" s="4">
        <v>512.5</v>
      </c>
      <c r="V743" s="4">
        <v>448.95</v>
      </c>
      <c r="W743" s="4">
        <v>5</v>
      </c>
      <c r="X743" s="5">
        <v>2015</v>
      </c>
      <c r="Y743" s="5" t="s">
        <v>29</v>
      </c>
      <c r="Z743" s="5" t="s">
        <v>30</v>
      </c>
      <c r="AA743" s="5">
        <v>224</v>
      </c>
    </row>
    <row r="744" spans="1:27">
      <c r="A744" s="4">
        <v>18</v>
      </c>
      <c r="B744" s="4" t="s">
        <v>127</v>
      </c>
      <c r="C744" s="4">
        <v>1978</v>
      </c>
      <c r="D744" s="4" t="s">
        <v>49</v>
      </c>
      <c r="E744" s="4">
        <v>136.33000000000001</v>
      </c>
      <c r="F744" s="4">
        <v>0.56110000000000004</v>
      </c>
      <c r="G744" s="4">
        <v>24</v>
      </c>
      <c r="H744" s="4">
        <v>275</v>
      </c>
      <c r="I744" s="4">
        <v>287.5</v>
      </c>
      <c r="J744" s="4">
        <v>295</v>
      </c>
      <c r="K744" s="4" t="e">
        <f t="array" aca="1" ref="K744">MAX(H744:J744*(1-strike(H744:J744)))</f>
        <v>#NAME?</v>
      </c>
      <c r="L744" s="4">
        <v>205</v>
      </c>
      <c r="M744" s="4">
        <v>212.5</v>
      </c>
      <c r="N744" s="6">
        <v>215</v>
      </c>
      <c r="O744" s="4" t="e">
        <f t="array" aca="1" ref="O744">MAX(L744:N744*(1-strike(L744:N744)))</f>
        <v>#NAME?</v>
      </c>
      <c r="P744" s="4">
        <v>275</v>
      </c>
      <c r="Q744" s="4">
        <v>290</v>
      </c>
      <c r="R744" s="6">
        <v>302.5</v>
      </c>
      <c r="S744" s="4" t="e">
        <f t="array" aca="1" ref="S744">MAX(P744:R744*(1-strike(P744:R744)))</f>
        <v>#NAME?</v>
      </c>
      <c r="T744" s="4" t="e">
        <f t="shared" si="11"/>
        <v>#NAME?</v>
      </c>
      <c r="U744" s="4">
        <v>797.5</v>
      </c>
      <c r="V744" s="4">
        <v>447.48</v>
      </c>
      <c r="W744" s="4">
        <v>1</v>
      </c>
      <c r="X744" s="5">
        <v>2015</v>
      </c>
      <c r="Y744" s="5" t="s">
        <v>29</v>
      </c>
      <c r="Z744" s="5" t="s">
        <v>30</v>
      </c>
      <c r="AA744" s="5">
        <v>340</v>
      </c>
    </row>
    <row r="745" spans="1:27">
      <c r="A745" s="4">
        <v>15</v>
      </c>
      <c r="B745" s="4" t="s">
        <v>662</v>
      </c>
      <c r="C745" s="4">
        <v>1981</v>
      </c>
      <c r="D745" s="4" t="s">
        <v>77</v>
      </c>
      <c r="E745" s="4">
        <v>73.77</v>
      </c>
      <c r="F745" s="4">
        <v>0.72089999999999999</v>
      </c>
      <c r="G745" s="4">
        <v>15</v>
      </c>
      <c r="H745" s="4">
        <v>182.5</v>
      </c>
      <c r="I745" s="6">
        <v>187.5</v>
      </c>
      <c r="J745" s="6">
        <v>187.5</v>
      </c>
      <c r="K745" s="4" t="e">
        <f t="array" aca="1" ref="K745">MAX(H745:J745*(1-strike(H745:J745)))</f>
        <v>#NAME?</v>
      </c>
      <c r="L745" s="4">
        <v>152.5</v>
      </c>
      <c r="M745" s="4">
        <v>160</v>
      </c>
      <c r="N745" s="6">
        <v>162.5</v>
      </c>
      <c r="O745" s="4" t="e">
        <f t="array" aca="1" ref="O745">MAX(L745:N745*(1-strike(L745:N745)))</f>
        <v>#NAME?</v>
      </c>
      <c r="P745" s="4">
        <v>195</v>
      </c>
      <c r="Q745" s="4">
        <v>210</v>
      </c>
      <c r="R745" s="4">
        <v>220</v>
      </c>
      <c r="S745" s="4" t="e">
        <f t="array" aca="1" ref="S745">MAX(P745:R745*(1-strike(P745:R745)))</f>
        <v>#NAME?</v>
      </c>
      <c r="T745" s="4" t="e">
        <f t="shared" si="11"/>
        <v>#NAME?</v>
      </c>
      <c r="U745" s="4">
        <v>562.5</v>
      </c>
      <c r="V745" s="4">
        <v>405.51</v>
      </c>
      <c r="W745" s="4">
        <v>1</v>
      </c>
      <c r="X745" s="5">
        <v>2015</v>
      </c>
      <c r="Y745" s="5" t="s">
        <v>29</v>
      </c>
      <c r="Z745" s="5" t="s">
        <v>30</v>
      </c>
      <c r="AA745" s="5">
        <v>252</v>
      </c>
    </row>
    <row r="746" spans="1:27">
      <c r="A746" s="3">
        <v>16</v>
      </c>
      <c r="B746" s="3" t="s">
        <v>663</v>
      </c>
      <c r="C746" s="3">
        <v>1979</v>
      </c>
      <c r="D746" s="3" t="s">
        <v>56</v>
      </c>
      <c r="E746" s="3">
        <v>119.65</v>
      </c>
      <c r="F746" s="3">
        <v>0.57540000000000002</v>
      </c>
      <c r="G746" s="3">
        <v>12</v>
      </c>
      <c r="H746" s="3">
        <v>220</v>
      </c>
      <c r="I746" s="3">
        <v>235</v>
      </c>
      <c r="J746" s="1">
        <v>245</v>
      </c>
      <c r="K746" s="4" t="e">
        <f t="array" aca="1" ref="K746">MAX(H746:J746*(1-strike(H746:J746)))</f>
        <v>#NAME?</v>
      </c>
      <c r="L746" s="3">
        <v>172.5</v>
      </c>
      <c r="M746" s="3">
        <v>180</v>
      </c>
      <c r="N746" s="1">
        <v>185</v>
      </c>
      <c r="O746" s="4" t="e">
        <f t="array" aca="1" ref="O746">MAX(L746:N746*(1-strike(L746:N746)))</f>
        <v>#NAME?</v>
      </c>
      <c r="P746" s="3">
        <v>260</v>
      </c>
      <c r="Q746" s="3">
        <v>272.5</v>
      </c>
      <c r="R746" s="1">
        <v>280</v>
      </c>
      <c r="S746" s="4" t="e">
        <f t="array" aca="1" ref="S746">MAX(P746:R746*(1-strike(P746:R746)))</f>
        <v>#NAME?</v>
      </c>
      <c r="T746" s="4" t="e">
        <f t="shared" si="11"/>
        <v>#NAME?</v>
      </c>
      <c r="U746" s="3">
        <v>687.5</v>
      </c>
      <c r="V746" s="3">
        <v>395.55</v>
      </c>
      <c r="W746" s="3">
        <v>1</v>
      </c>
      <c r="X746" s="5">
        <v>2013</v>
      </c>
      <c r="Y746" s="5" t="s">
        <v>29</v>
      </c>
      <c r="Z746" s="5" t="s">
        <v>30</v>
      </c>
      <c r="AA746" s="5">
        <v>1106</v>
      </c>
    </row>
    <row r="747" spans="1:27">
      <c r="A747" s="3">
        <v>2</v>
      </c>
      <c r="B747" s="3" t="s">
        <v>664</v>
      </c>
      <c r="C747" s="3">
        <v>1984</v>
      </c>
      <c r="D747" s="3" t="s">
        <v>119</v>
      </c>
      <c r="E747" s="3">
        <v>82.32</v>
      </c>
      <c r="F747" s="3">
        <v>0.67079999999999995</v>
      </c>
      <c r="G747" s="3">
        <v>20</v>
      </c>
      <c r="H747" s="1">
        <v>345</v>
      </c>
      <c r="I747" s="3">
        <v>345</v>
      </c>
      <c r="J747" s="3">
        <v>360</v>
      </c>
      <c r="K747" s="4" t="e">
        <f t="array" aca="1" ref="K747">MAX(H747:J747*(1-strike(H747:J747)))</f>
        <v>#NAME?</v>
      </c>
      <c r="L747" s="3">
        <v>230</v>
      </c>
      <c r="M747" s="3">
        <v>240</v>
      </c>
      <c r="N747" s="3">
        <v>247.5</v>
      </c>
      <c r="O747" s="4" t="e">
        <f t="array" aca="1" ref="O747">MAX(L747:N747*(1-strike(L747:N747)))</f>
        <v>#NAME?</v>
      </c>
      <c r="P747" s="3">
        <v>300</v>
      </c>
      <c r="Q747" s="3">
        <v>307.5</v>
      </c>
      <c r="R747" s="1">
        <v>312.5</v>
      </c>
      <c r="S747" s="4" t="e">
        <f t="array" aca="1" ref="S747">MAX(P747:R747*(1-strike(P747:R747)))</f>
        <v>#NAME?</v>
      </c>
      <c r="T747" s="4" t="e">
        <f t="shared" si="11"/>
        <v>#NAME?</v>
      </c>
      <c r="U747" s="3" t="s">
        <v>665</v>
      </c>
      <c r="V747" s="3">
        <v>613.78</v>
      </c>
      <c r="W747" s="3">
        <v>9</v>
      </c>
      <c r="X747" s="5">
        <v>2012</v>
      </c>
      <c r="Y747" s="5" t="s">
        <v>29</v>
      </c>
      <c r="Z747" s="5" t="s">
        <v>171</v>
      </c>
      <c r="AA747" s="5">
        <v>1235</v>
      </c>
    </row>
    <row r="748" spans="1:27">
      <c r="A748" s="3">
        <v>3</v>
      </c>
      <c r="B748" s="3" t="s">
        <v>664</v>
      </c>
      <c r="C748" s="3">
        <v>1984</v>
      </c>
      <c r="D748" s="3" t="s">
        <v>119</v>
      </c>
      <c r="E748" s="3">
        <v>82.7</v>
      </c>
      <c r="F748" s="3">
        <v>0.66890000000000005</v>
      </c>
      <c r="G748" s="3">
        <v>10</v>
      </c>
      <c r="H748" s="3">
        <v>335</v>
      </c>
      <c r="I748" s="1">
        <v>345</v>
      </c>
      <c r="J748" s="3">
        <v>345</v>
      </c>
      <c r="K748" s="4" t="e">
        <f t="array" aca="1" ref="K748">MAX(H748:J748*(1-strike(H748:J748)))</f>
        <v>#NAME?</v>
      </c>
      <c r="L748" s="3">
        <v>240</v>
      </c>
      <c r="M748" s="3">
        <v>250</v>
      </c>
      <c r="N748" s="3">
        <v>260.5</v>
      </c>
      <c r="O748" s="4" t="e">
        <f t="array" aca="1" ref="O748">MAX(L748:N748*(1-strike(L748:N748)))</f>
        <v>#NAME?</v>
      </c>
      <c r="P748" s="3">
        <v>302.5</v>
      </c>
      <c r="Q748" s="1">
        <v>310</v>
      </c>
      <c r="R748" s="1">
        <v>310</v>
      </c>
      <c r="S748" s="4" t="e">
        <f t="array" aca="1" ref="S748">MAX(P748:R748*(1-strike(P748:R748)))</f>
        <v>#NAME?</v>
      </c>
      <c r="T748" s="4" t="e">
        <f t="shared" si="11"/>
        <v>#NAME?</v>
      </c>
      <c r="U748" s="3">
        <v>908</v>
      </c>
      <c r="V748" s="3">
        <v>607.36</v>
      </c>
      <c r="W748" s="3">
        <v>8</v>
      </c>
      <c r="X748" s="5">
        <v>2013</v>
      </c>
      <c r="Y748" s="5" t="s">
        <v>29</v>
      </c>
      <c r="Z748" s="5" t="s">
        <v>171</v>
      </c>
      <c r="AA748" s="5">
        <v>854</v>
      </c>
    </row>
    <row r="749" spans="1:27">
      <c r="A749" s="4">
        <v>3</v>
      </c>
      <c r="B749" s="4" t="s">
        <v>664</v>
      </c>
      <c r="C749" s="4">
        <v>1984</v>
      </c>
      <c r="D749" s="4" t="s">
        <v>119</v>
      </c>
      <c r="E749" s="4">
        <v>82.4</v>
      </c>
      <c r="F749" s="4">
        <v>0.6704</v>
      </c>
      <c r="G749" s="4">
        <v>1</v>
      </c>
      <c r="H749" s="6">
        <v>335</v>
      </c>
      <c r="I749" s="4">
        <v>335</v>
      </c>
      <c r="J749" s="6">
        <v>345</v>
      </c>
      <c r="K749" s="4" t="e">
        <f t="array" aca="1" ref="K749">MAX(H749:J749*(1-strike(H749:J749)))</f>
        <v>#NAME?</v>
      </c>
      <c r="L749" s="4">
        <v>250</v>
      </c>
      <c r="M749" s="4">
        <v>260</v>
      </c>
      <c r="N749" s="6">
        <v>270</v>
      </c>
      <c r="O749" s="4" t="e">
        <f t="array" aca="1" ref="O749">MAX(L749:N749*(1-strike(L749:N749)))</f>
        <v>#NAME?</v>
      </c>
      <c r="P749" s="4">
        <v>300</v>
      </c>
      <c r="Q749" s="4">
        <v>310</v>
      </c>
      <c r="R749" s="6">
        <v>322.5</v>
      </c>
      <c r="S749" s="4" t="e">
        <f t="array" aca="1" ref="S749">MAX(P749:R749*(1-strike(P749:R749)))</f>
        <v>#NAME?</v>
      </c>
      <c r="T749" s="4" t="e">
        <f t="shared" si="11"/>
        <v>#NAME?</v>
      </c>
      <c r="U749" s="4">
        <v>905</v>
      </c>
      <c r="V749" s="4">
        <v>606.71</v>
      </c>
      <c r="W749" s="4">
        <v>8</v>
      </c>
      <c r="X749" s="5">
        <v>2014</v>
      </c>
      <c r="Y749" s="5" t="s">
        <v>29</v>
      </c>
      <c r="Z749" s="5" t="s">
        <v>171</v>
      </c>
      <c r="AA749" s="5">
        <v>478</v>
      </c>
    </row>
    <row r="750" spans="1:27">
      <c r="A750" s="4">
        <v>1</v>
      </c>
      <c r="B750" s="4" t="s">
        <v>664</v>
      </c>
      <c r="C750" s="4">
        <v>1984</v>
      </c>
      <c r="D750" s="4" t="s">
        <v>119</v>
      </c>
      <c r="E750" s="4">
        <v>82.58</v>
      </c>
      <c r="F750" s="4">
        <v>0.66949999999999998</v>
      </c>
      <c r="G750" s="4">
        <v>10</v>
      </c>
      <c r="H750" s="4">
        <v>337.5</v>
      </c>
      <c r="I750" s="4">
        <v>350</v>
      </c>
      <c r="J750" s="4">
        <v>357.5</v>
      </c>
      <c r="K750" s="4" t="e">
        <f t="array" aca="1" ref="K750">MAX(H750:J750*(1-strike(H750:J750)))</f>
        <v>#NAME?</v>
      </c>
      <c r="L750" s="4">
        <v>250</v>
      </c>
      <c r="M750" s="4">
        <v>261.5</v>
      </c>
      <c r="N750" s="4">
        <v>265</v>
      </c>
      <c r="O750" s="4" t="e">
        <f t="array" aca="1" ref="O750">MAX(L750:N750*(1-strike(L750:N750)))</f>
        <v>#NAME?</v>
      </c>
      <c r="P750" s="4">
        <v>300</v>
      </c>
      <c r="Q750" s="4">
        <v>312.5</v>
      </c>
      <c r="R750" s="4">
        <v>317.5</v>
      </c>
      <c r="S750" s="4" t="e">
        <f t="array" aca="1" ref="S750">MAX(P750:R750*(1-strike(P750:R750)))</f>
        <v>#NAME?</v>
      </c>
      <c r="T750" s="4" t="e">
        <f t="shared" si="11"/>
        <v>#NAME?</v>
      </c>
      <c r="U750" s="4">
        <v>940</v>
      </c>
      <c r="V750" s="4">
        <v>629.33000000000004</v>
      </c>
      <c r="W750" s="4">
        <v>12</v>
      </c>
      <c r="X750" s="5">
        <v>2015</v>
      </c>
      <c r="Y750" s="5" t="s">
        <v>29</v>
      </c>
      <c r="Z750" s="5" t="s">
        <v>171</v>
      </c>
      <c r="AA750" s="5">
        <v>41</v>
      </c>
    </row>
    <row r="751" spans="1:27">
      <c r="A751" s="4">
        <v>19</v>
      </c>
      <c r="B751" s="4" t="s">
        <v>666</v>
      </c>
      <c r="C751" s="4">
        <v>1987</v>
      </c>
      <c r="D751" s="4" t="s">
        <v>56</v>
      </c>
      <c r="E751" s="4">
        <v>125.69</v>
      </c>
      <c r="F751" s="4">
        <v>0.56920000000000004</v>
      </c>
      <c r="G751" s="4">
        <v>16</v>
      </c>
      <c r="H751" s="4">
        <v>280</v>
      </c>
      <c r="I751" s="4">
        <v>300</v>
      </c>
      <c r="J751" s="6">
        <v>305</v>
      </c>
      <c r="K751" s="4" t="e">
        <f t="array" aca="1" ref="K751">MAX(H751:J751*(1-strike(H751:J751)))</f>
        <v>#NAME?</v>
      </c>
      <c r="L751" s="4">
        <v>155</v>
      </c>
      <c r="M751" s="4">
        <v>165</v>
      </c>
      <c r="N751" s="6">
        <v>167.5</v>
      </c>
      <c r="O751" s="4" t="e">
        <f t="array" aca="1" ref="O751">MAX(L751:N751*(1-strike(L751:N751)))</f>
        <v>#NAME?</v>
      </c>
      <c r="P751" s="4">
        <v>300</v>
      </c>
      <c r="Q751" s="4">
        <v>320</v>
      </c>
      <c r="R751" s="6">
        <v>335</v>
      </c>
      <c r="S751" s="4" t="e">
        <f t="array" aca="1" ref="S751">MAX(P751:R751*(1-strike(P751:R751)))</f>
        <v>#NAME?</v>
      </c>
      <c r="T751" s="4" t="e">
        <f t="shared" si="11"/>
        <v>#NAME?</v>
      </c>
      <c r="U751" s="4">
        <v>785</v>
      </c>
      <c r="V751" s="4">
        <v>446.82</v>
      </c>
      <c r="W751" s="4">
        <v>1</v>
      </c>
      <c r="X751" s="5">
        <v>2015</v>
      </c>
      <c r="Y751" s="5" t="s">
        <v>29</v>
      </c>
      <c r="Z751" s="5" t="s">
        <v>30</v>
      </c>
      <c r="AA751" s="5">
        <v>341</v>
      </c>
    </row>
    <row r="752" spans="1:27">
      <c r="A752" s="4">
        <v>17</v>
      </c>
      <c r="B752" s="4" t="s">
        <v>667</v>
      </c>
      <c r="C752" s="4">
        <v>1970</v>
      </c>
      <c r="D752" s="4" t="s">
        <v>49</v>
      </c>
      <c r="E752" s="4">
        <v>119.14</v>
      </c>
      <c r="F752" s="4">
        <v>0.57589999999999997</v>
      </c>
      <c r="G752" s="4">
        <v>8</v>
      </c>
      <c r="H752" s="4">
        <v>345</v>
      </c>
      <c r="I752" s="4">
        <v>355</v>
      </c>
      <c r="J752" s="6">
        <v>362.5</v>
      </c>
      <c r="K752" s="4" t="e">
        <f t="array" aca="1" ref="K752">MAX(H752:J752*(1-strike(H752:J752)))</f>
        <v>#NAME?</v>
      </c>
      <c r="L752" s="4">
        <v>180</v>
      </c>
      <c r="M752" s="4">
        <v>190</v>
      </c>
      <c r="N752" s="6">
        <v>195</v>
      </c>
      <c r="O752" s="4" t="e">
        <f t="array" aca="1" ref="O752">MAX(L752:N752*(1-strike(L752:N752)))</f>
        <v>#NAME?</v>
      </c>
      <c r="P752" s="4">
        <v>270</v>
      </c>
      <c r="Q752" s="4">
        <v>290</v>
      </c>
      <c r="R752" s="4">
        <v>300</v>
      </c>
      <c r="S752" s="4" t="e">
        <f t="array" aca="1" ref="S752">MAX(P752:R752*(1-strike(P752:R752)))</f>
        <v>#NAME?</v>
      </c>
      <c r="T752" s="4" t="e">
        <f t="shared" si="11"/>
        <v>#NAME?</v>
      </c>
      <c r="U752" s="4">
        <v>845</v>
      </c>
      <c r="V752" s="4">
        <v>486.64</v>
      </c>
      <c r="W752" s="4">
        <v>1</v>
      </c>
      <c r="X752" s="5">
        <v>2014</v>
      </c>
      <c r="Y752" s="5" t="s">
        <v>29</v>
      </c>
      <c r="Z752" s="5" t="s">
        <v>171</v>
      </c>
      <c r="AA752" s="5">
        <v>549</v>
      </c>
    </row>
    <row r="753" spans="1:27">
      <c r="A753" s="4" t="s">
        <v>37</v>
      </c>
      <c r="B753" s="4" t="s">
        <v>668</v>
      </c>
      <c r="C753" s="4">
        <v>1989</v>
      </c>
      <c r="D753" s="4" t="s">
        <v>39</v>
      </c>
      <c r="E753" s="4">
        <v>82.22</v>
      </c>
      <c r="F753" s="4">
        <v>0.6714</v>
      </c>
      <c r="G753" s="4">
        <v>2</v>
      </c>
      <c r="H753" s="4">
        <v>320</v>
      </c>
      <c r="I753" s="6">
        <v>335</v>
      </c>
      <c r="J753" s="6">
        <v>335</v>
      </c>
      <c r="K753" s="4" t="e">
        <f t="array" aca="1" ref="K753">MAX(H753:J753*(1-strike(H753:J753)))</f>
        <v>#NAME?</v>
      </c>
      <c r="L753" s="6">
        <v>290</v>
      </c>
      <c r="M753" s="6">
        <v>290</v>
      </c>
      <c r="N753" s="6">
        <v>290</v>
      </c>
      <c r="O753" s="4" t="e">
        <f t="array" aca="1" ref="O753">MAX(L753:N753*(1-strike(L753:N753)))</f>
        <v>#NAME?</v>
      </c>
      <c r="P753" s="4">
        <v>250</v>
      </c>
      <c r="Q753" s="4"/>
      <c r="R753" s="4"/>
      <c r="S753" s="4" t="e">
        <f t="array" aca="1" ref="S753">MAX(P753:R753*(1-strike(P753:R753)))</f>
        <v>#NAME?</v>
      </c>
      <c r="T753" s="4" t="e">
        <f t="shared" si="11"/>
        <v>#NAME?</v>
      </c>
      <c r="U753" s="4" t="s">
        <v>361</v>
      </c>
      <c r="V753" s="4" t="s">
        <v>37</v>
      </c>
      <c r="W753" s="4" t="s">
        <v>37</v>
      </c>
      <c r="X753" s="5">
        <v>2014</v>
      </c>
      <c r="Y753" s="5" t="s">
        <v>29</v>
      </c>
      <c r="Z753" s="5" t="s">
        <v>171</v>
      </c>
      <c r="AA753" s="5">
        <v>490</v>
      </c>
    </row>
    <row r="754" spans="1:27" ht="15" customHeight="1">
      <c r="A754" s="3" t="s">
        <v>37</v>
      </c>
      <c r="B754" s="3" t="s">
        <v>669</v>
      </c>
      <c r="C754" s="3">
        <v>1978</v>
      </c>
      <c r="D754" s="3" t="s">
        <v>39</v>
      </c>
      <c r="E754" s="3">
        <v>115.7</v>
      </c>
      <c r="F754" s="3">
        <v>0.58009999999999995</v>
      </c>
      <c r="G754" s="3">
        <v>8</v>
      </c>
      <c r="H754" s="3">
        <v>180</v>
      </c>
      <c r="I754" s="3"/>
      <c r="J754" s="3"/>
      <c r="K754" s="4" t="e">
        <f t="array" aca="1" ref="K754">MAX(H754:J754*(1-strike(H754:J754)))</f>
        <v>#NAME?</v>
      </c>
      <c r="L754" s="3">
        <v>240</v>
      </c>
      <c r="M754" s="3">
        <v>245</v>
      </c>
      <c r="N754" s="1">
        <v>250</v>
      </c>
      <c r="O754" s="4" t="e">
        <f t="array" aca="1" ref="O754">MAX(L754:N754*(1-strike(L754:N754)))</f>
        <v>#NAME?</v>
      </c>
      <c r="P754" s="3">
        <v>200</v>
      </c>
      <c r="Q754" s="3">
        <v>220</v>
      </c>
      <c r="R754" s="3">
        <v>240</v>
      </c>
      <c r="S754" s="4" t="e">
        <f t="array" aca="1" ref="S754">MAX(P754:R754*(1-strike(P754:R754)))</f>
        <v>#NAME?</v>
      </c>
      <c r="T754" s="4" t="e">
        <f t="shared" si="11"/>
        <v>#NAME?</v>
      </c>
      <c r="U754" s="3" t="s">
        <v>361</v>
      </c>
      <c r="V754" s="3" t="s">
        <v>37</v>
      </c>
      <c r="W754" s="3" t="s">
        <v>37</v>
      </c>
      <c r="X754" s="5">
        <v>2013</v>
      </c>
      <c r="Y754" s="5" t="s">
        <v>29</v>
      </c>
      <c r="Z754" s="5" t="s">
        <v>30</v>
      </c>
      <c r="AA754" s="5">
        <v>1107</v>
      </c>
    </row>
    <row r="755" spans="1:27">
      <c r="A755" s="3">
        <v>10</v>
      </c>
      <c r="B755" s="3" t="s">
        <v>128</v>
      </c>
      <c r="C755" s="3">
        <v>1979</v>
      </c>
      <c r="D755" s="3" t="s">
        <v>289</v>
      </c>
      <c r="E755" s="3">
        <v>103.05</v>
      </c>
      <c r="F755" s="3">
        <v>0.60160000000000002</v>
      </c>
      <c r="G755" s="3">
        <v>11</v>
      </c>
      <c r="H755" s="1">
        <v>270</v>
      </c>
      <c r="I755" s="3">
        <v>270</v>
      </c>
      <c r="J755" s="1">
        <v>280</v>
      </c>
      <c r="K755" s="4" t="e">
        <f t="array" aca="1" ref="K755">MAX(H755:J755*(1-strike(H755:J755)))</f>
        <v>#NAME?</v>
      </c>
      <c r="L755" s="3">
        <v>160</v>
      </c>
      <c r="M755" s="3"/>
      <c r="N755" s="3"/>
      <c r="O755" s="4" t="e">
        <f t="array" aca="1" ref="O755">MAX(L755:N755*(1-strike(L755:N755)))</f>
        <v>#NAME?</v>
      </c>
      <c r="P755" s="3">
        <v>305</v>
      </c>
      <c r="Q755" s="3">
        <v>312.5</v>
      </c>
      <c r="R755" s="1">
        <v>317.5</v>
      </c>
      <c r="S755" s="4" t="e">
        <f t="array" aca="1" ref="S755">MAX(P755:R755*(1-strike(P755:R755)))</f>
        <v>#NAME?</v>
      </c>
      <c r="T755" s="4" t="e">
        <f t="shared" si="11"/>
        <v>#NAME?</v>
      </c>
      <c r="U755" s="3">
        <v>742.5</v>
      </c>
      <c r="V755" s="3">
        <v>446.69</v>
      </c>
      <c r="W755" s="3">
        <v>1</v>
      </c>
      <c r="X755" s="5">
        <v>2013</v>
      </c>
      <c r="Y755" s="5" t="s">
        <v>29</v>
      </c>
      <c r="Z755" s="5" t="s">
        <v>30</v>
      </c>
      <c r="AA755" s="5">
        <v>1080</v>
      </c>
    </row>
    <row r="756" spans="1:27">
      <c r="A756" s="4">
        <v>7</v>
      </c>
      <c r="B756" s="4" t="s">
        <v>670</v>
      </c>
      <c r="C756" s="4">
        <v>1979</v>
      </c>
      <c r="D756" s="4" t="s">
        <v>289</v>
      </c>
      <c r="E756" s="4">
        <v>103.1</v>
      </c>
      <c r="F756" s="4">
        <v>0.60150000000000003</v>
      </c>
      <c r="G756" s="4">
        <v>11</v>
      </c>
      <c r="H756" s="4">
        <v>250</v>
      </c>
      <c r="I756" s="4">
        <v>260</v>
      </c>
      <c r="J756" s="4">
        <v>270</v>
      </c>
      <c r="K756" s="4" t="e">
        <f t="array" aca="1" ref="K756">MAX(H756:J756*(1-strike(H756:J756)))</f>
        <v>#NAME?</v>
      </c>
      <c r="L756" s="4">
        <v>160</v>
      </c>
      <c r="M756" s="4">
        <v>165</v>
      </c>
      <c r="N756" s="4">
        <v>170</v>
      </c>
      <c r="O756" s="4" t="e">
        <f t="array" aca="1" ref="O756">MAX(L756:N756*(1-strike(L756:N756)))</f>
        <v>#NAME?</v>
      </c>
      <c r="P756" s="4">
        <v>300</v>
      </c>
      <c r="Q756" s="4">
        <v>315</v>
      </c>
      <c r="R756" s="6">
        <v>330</v>
      </c>
      <c r="S756" s="4" t="e">
        <f t="array" aca="1" ref="S756">MAX(P756:R756*(1-strike(P756:R756)))</f>
        <v>#NAME?</v>
      </c>
      <c r="T756" s="4" t="e">
        <f t="shared" si="11"/>
        <v>#NAME?</v>
      </c>
      <c r="U756" s="4">
        <v>755</v>
      </c>
      <c r="V756" s="4">
        <v>454.13</v>
      </c>
      <c r="W756" s="4">
        <v>4</v>
      </c>
      <c r="X756" s="5">
        <v>2014</v>
      </c>
      <c r="Y756" s="5" t="s">
        <v>29</v>
      </c>
      <c r="Z756" s="5" t="s">
        <v>30</v>
      </c>
      <c r="AA756" s="5">
        <v>716</v>
      </c>
    </row>
    <row r="757" spans="1:27">
      <c r="A757" s="3">
        <v>4</v>
      </c>
      <c r="B757" s="3" t="s">
        <v>671</v>
      </c>
      <c r="C757" s="3">
        <v>1975</v>
      </c>
      <c r="D757" s="3" t="s">
        <v>62</v>
      </c>
      <c r="E757" s="3">
        <v>73.849999999999994</v>
      </c>
      <c r="F757" s="3">
        <v>0.72040000000000004</v>
      </c>
      <c r="G757" s="3">
        <v>2</v>
      </c>
      <c r="H757" s="3">
        <v>255</v>
      </c>
      <c r="I757" s="3">
        <v>272.5</v>
      </c>
      <c r="J757" s="3">
        <v>285</v>
      </c>
      <c r="K757" s="4" t="e">
        <f t="array" aca="1" ref="K757">MAX(H757:J757*(1-strike(H757:J757)))</f>
        <v>#NAME?</v>
      </c>
      <c r="L757" s="3">
        <v>182.5</v>
      </c>
      <c r="M757" s="1">
        <v>187.5</v>
      </c>
      <c r="N757" s="1">
        <v>212.5</v>
      </c>
      <c r="O757" s="4" t="e">
        <f t="array" aca="1" ref="O757">MAX(L757:N757*(1-strike(L757:N757)))</f>
        <v>#NAME?</v>
      </c>
      <c r="P757" s="3">
        <v>292.5</v>
      </c>
      <c r="Q757" s="3">
        <v>307.5</v>
      </c>
      <c r="R757" s="1">
        <v>320.5</v>
      </c>
      <c r="S757" s="4" t="e">
        <f t="array" aca="1" ref="S757">MAX(P757:R757*(1-strike(P757:R757)))</f>
        <v>#NAME?</v>
      </c>
      <c r="T757" s="4" t="e">
        <f t="shared" si="11"/>
        <v>#NAME?</v>
      </c>
      <c r="U757" s="3">
        <v>775</v>
      </c>
      <c r="V757" s="3">
        <v>558.27</v>
      </c>
      <c r="W757" s="3">
        <v>7</v>
      </c>
      <c r="X757" s="5">
        <v>2012</v>
      </c>
      <c r="Y757" s="5" t="s">
        <v>29</v>
      </c>
      <c r="Z757" s="5" t="s">
        <v>171</v>
      </c>
      <c r="AA757" s="5">
        <v>1220</v>
      </c>
    </row>
    <row r="758" spans="1:27">
      <c r="A758" s="3">
        <v>11</v>
      </c>
      <c r="B758" s="3" t="s">
        <v>672</v>
      </c>
      <c r="C758" s="3">
        <v>1984</v>
      </c>
      <c r="D758" s="3" t="s">
        <v>54</v>
      </c>
      <c r="E758" s="3">
        <v>92.2</v>
      </c>
      <c r="F758" s="3">
        <v>0.63080000000000003</v>
      </c>
      <c r="G758" s="3">
        <v>4</v>
      </c>
      <c r="H758" s="3">
        <v>315</v>
      </c>
      <c r="I758" s="3">
        <v>330</v>
      </c>
      <c r="J758" s="1">
        <v>335</v>
      </c>
      <c r="K758" s="4" t="e">
        <f t="array" aca="1" ref="K758">MAX(H758:J758*(1-strike(H758:J758)))</f>
        <v>#NAME?</v>
      </c>
      <c r="L758" s="3">
        <v>205</v>
      </c>
      <c r="M758" s="1">
        <v>212.5</v>
      </c>
      <c r="N758" s="3">
        <v>212.5</v>
      </c>
      <c r="O758" s="4" t="e">
        <f t="array" aca="1" ref="O758">MAX(L758:N758*(1-strike(L758:N758)))</f>
        <v>#NAME?</v>
      </c>
      <c r="P758" s="3">
        <v>265</v>
      </c>
      <c r="Q758" s="3">
        <v>277.5</v>
      </c>
      <c r="R758" s="3">
        <v>282.5</v>
      </c>
      <c r="S758" s="4" t="e">
        <f t="array" aca="1" ref="S758">MAX(P758:R758*(1-strike(P758:R758)))</f>
        <v>#NAME?</v>
      </c>
      <c r="T758" s="4" t="e">
        <f t="shared" si="11"/>
        <v>#NAME?</v>
      </c>
      <c r="U758" s="3">
        <v>825</v>
      </c>
      <c r="V758" s="3">
        <v>520.41</v>
      </c>
      <c r="W758" s="3">
        <v>1</v>
      </c>
      <c r="X758" s="5">
        <v>2012</v>
      </c>
      <c r="Y758" s="5" t="s">
        <v>29</v>
      </c>
      <c r="Z758" s="5" t="s">
        <v>171</v>
      </c>
      <c r="AA758" s="5">
        <v>1266</v>
      </c>
    </row>
    <row r="759" spans="1:27">
      <c r="A759" s="3">
        <v>4</v>
      </c>
      <c r="B759" s="3" t="s">
        <v>130</v>
      </c>
      <c r="C759" s="3">
        <v>1975</v>
      </c>
      <c r="D759" s="3" t="s">
        <v>80</v>
      </c>
      <c r="E759" s="3">
        <v>73.650000000000006</v>
      </c>
      <c r="F759" s="3">
        <v>0.7218</v>
      </c>
      <c r="G759" s="3">
        <v>19</v>
      </c>
      <c r="H759" s="3">
        <v>215</v>
      </c>
      <c r="I759" s="1">
        <v>225</v>
      </c>
      <c r="J759" s="3">
        <v>225</v>
      </c>
      <c r="K759" s="4" t="e">
        <f t="array" aca="1" ref="K759">MAX(H759:J759*(1-strike(H759:J759)))</f>
        <v>#NAME?</v>
      </c>
      <c r="L759" s="3">
        <v>145</v>
      </c>
      <c r="M759" s="3">
        <v>150</v>
      </c>
      <c r="N759" s="1">
        <v>152.5</v>
      </c>
      <c r="O759" s="4" t="e">
        <f t="array" aca="1" ref="O759">MAX(L759:N759*(1-strike(L759:N759)))</f>
        <v>#NAME?</v>
      </c>
      <c r="P759" s="3">
        <v>265</v>
      </c>
      <c r="Q759" s="3">
        <v>277.5</v>
      </c>
      <c r="R759" s="1">
        <v>295.5</v>
      </c>
      <c r="S759" s="4" t="e">
        <f t="array" aca="1" ref="S759">MAX(P759:R759*(1-strike(P759:R759)))</f>
        <v>#NAME?</v>
      </c>
      <c r="T759" s="4" t="e">
        <f t="shared" si="11"/>
        <v>#NAME?</v>
      </c>
      <c r="U759" s="3">
        <v>652.5</v>
      </c>
      <c r="V759" s="3">
        <v>470.94</v>
      </c>
      <c r="W759" s="3">
        <v>7</v>
      </c>
      <c r="X759" s="5">
        <v>2013</v>
      </c>
      <c r="Y759" s="5" t="s">
        <v>29</v>
      </c>
      <c r="Z759" s="5" t="s">
        <v>30</v>
      </c>
      <c r="AA759" s="5">
        <v>1034</v>
      </c>
    </row>
    <row r="760" spans="1:27">
      <c r="A760" s="4">
        <v>6</v>
      </c>
      <c r="B760" s="4" t="s">
        <v>130</v>
      </c>
      <c r="C760" s="4">
        <v>1975</v>
      </c>
      <c r="D760" s="4" t="s">
        <v>80</v>
      </c>
      <c r="E760" s="4">
        <v>73.760000000000005</v>
      </c>
      <c r="F760" s="4">
        <v>0.72099999999999997</v>
      </c>
      <c r="G760" s="4">
        <v>16</v>
      </c>
      <c r="H760" s="4">
        <v>230</v>
      </c>
      <c r="I760" s="6">
        <v>242.5</v>
      </c>
      <c r="J760" s="6">
        <v>242.5</v>
      </c>
      <c r="K760" s="4" t="e">
        <f t="array" aca="1" ref="K760">MAX(H760:J760*(1-strike(H760:J760)))</f>
        <v>#NAME?</v>
      </c>
      <c r="L760" s="4">
        <v>147.5</v>
      </c>
      <c r="M760" s="4">
        <v>152.5</v>
      </c>
      <c r="N760" s="6">
        <v>155</v>
      </c>
      <c r="O760" s="4" t="e">
        <f t="array" aca="1" ref="O760">MAX(L760:N760*(1-strike(L760:N760)))</f>
        <v>#NAME?</v>
      </c>
      <c r="P760" s="4">
        <v>275</v>
      </c>
      <c r="Q760" s="4">
        <v>292.5</v>
      </c>
      <c r="R760" s="6">
        <v>311</v>
      </c>
      <c r="S760" s="4" t="e">
        <f t="array" aca="1" ref="S760">MAX(P760:R760*(1-strike(P760:R760)))</f>
        <v>#NAME?</v>
      </c>
      <c r="T760" s="4" t="e">
        <f t="shared" si="11"/>
        <v>#NAME?</v>
      </c>
      <c r="U760" s="4">
        <v>675</v>
      </c>
      <c r="V760" s="4">
        <v>486.68</v>
      </c>
      <c r="W760" s="4">
        <v>5</v>
      </c>
      <c r="X760" s="5">
        <v>2015</v>
      </c>
      <c r="Y760" s="5" t="s">
        <v>29</v>
      </c>
      <c r="Z760" s="5" t="s">
        <v>30</v>
      </c>
      <c r="AA760" s="5">
        <v>243</v>
      </c>
    </row>
    <row r="761" spans="1:27">
      <c r="A761" s="3">
        <v>13</v>
      </c>
      <c r="B761" s="3" t="s">
        <v>673</v>
      </c>
      <c r="C761" s="3">
        <v>1977</v>
      </c>
      <c r="D761" s="3" t="s">
        <v>336</v>
      </c>
      <c r="E761" s="3">
        <v>126.98</v>
      </c>
      <c r="F761" s="3">
        <v>0.56810000000000005</v>
      </c>
      <c r="G761" s="3">
        <v>9</v>
      </c>
      <c r="H761" s="1">
        <v>305</v>
      </c>
      <c r="I761" s="1">
        <v>317.5</v>
      </c>
      <c r="J761" s="3">
        <v>317.5</v>
      </c>
      <c r="K761" s="4" t="e">
        <f t="array" aca="1" ref="K761">MAX(H761:J761*(1-strike(H761:J761)))</f>
        <v>#NAME?</v>
      </c>
      <c r="L761" s="1">
        <v>210</v>
      </c>
      <c r="M761" s="3">
        <v>225</v>
      </c>
      <c r="N761" s="3">
        <v>235</v>
      </c>
      <c r="O761" s="4" t="e">
        <f t="array" aca="1" ref="O761">MAX(L761:N761*(1-strike(L761:N761)))</f>
        <v>#NAME?</v>
      </c>
      <c r="P761" s="3">
        <v>300</v>
      </c>
      <c r="Q761" s="3">
        <v>317.5</v>
      </c>
      <c r="R761" s="1">
        <v>325</v>
      </c>
      <c r="S761" s="4" t="e">
        <f t="array" aca="1" ref="S761">MAX(P761:R761*(1-strike(P761:R761)))</f>
        <v>#NAME?</v>
      </c>
      <c r="T761" s="4" t="e">
        <f t="shared" si="11"/>
        <v>#NAME?</v>
      </c>
      <c r="U761" s="3">
        <v>870</v>
      </c>
      <c r="V761" s="3">
        <v>494.24</v>
      </c>
      <c r="W761" s="3">
        <v>1</v>
      </c>
      <c r="X761" s="5">
        <v>2012</v>
      </c>
      <c r="Y761" s="5" t="s">
        <v>29</v>
      </c>
      <c r="Z761" s="5" t="s">
        <v>171</v>
      </c>
      <c r="AA761" s="5">
        <v>1328</v>
      </c>
    </row>
    <row r="762" spans="1:27">
      <c r="A762" s="3">
        <v>14</v>
      </c>
      <c r="B762" s="3" t="s">
        <v>673</v>
      </c>
      <c r="C762" s="3">
        <v>1977</v>
      </c>
      <c r="D762" s="3" t="s">
        <v>336</v>
      </c>
      <c r="E762" s="3">
        <v>125.2</v>
      </c>
      <c r="F762" s="3">
        <v>0.56969999999999998</v>
      </c>
      <c r="G762" s="3">
        <v>11</v>
      </c>
      <c r="H762" s="3">
        <v>320</v>
      </c>
      <c r="I762" s="3">
        <v>332.5</v>
      </c>
      <c r="J762" s="3">
        <v>337.5</v>
      </c>
      <c r="K762" s="4" t="e">
        <f t="array" aca="1" ref="K762">MAX(H762:J762*(1-strike(H762:J762)))</f>
        <v>#NAME?</v>
      </c>
      <c r="L762" s="3">
        <v>240</v>
      </c>
      <c r="M762" s="1">
        <v>250</v>
      </c>
      <c r="N762" s="1">
        <v>250</v>
      </c>
      <c r="O762" s="4" t="e">
        <f t="array" aca="1" ref="O762">MAX(L762:N762*(1-strike(L762:N762)))</f>
        <v>#NAME?</v>
      </c>
      <c r="P762" s="1">
        <v>310</v>
      </c>
      <c r="Q762" s="1">
        <v>310</v>
      </c>
      <c r="R762" s="3">
        <v>310</v>
      </c>
      <c r="S762" s="4" t="e">
        <f t="array" aca="1" ref="S762">MAX(P762:R762*(1-strike(P762:R762)))</f>
        <v>#NAME?</v>
      </c>
      <c r="T762" s="4" t="e">
        <f t="shared" si="11"/>
        <v>#NAME?</v>
      </c>
      <c r="U762" s="3">
        <v>887.5</v>
      </c>
      <c r="V762" s="3">
        <v>505.61</v>
      </c>
      <c r="W762" s="3">
        <v>1</v>
      </c>
      <c r="X762" s="5">
        <v>2013</v>
      </c>
      <c r="Y762" s="5" t="s">
        <v>29</v>
      </c>
      <c r="Z762" s="5" t="s">
        <v>171</v>
      </c>
      <c r="AA762" s="5">
        <v>925</v>
      </c>
    </row>
    <row r="763" spans="1:27">
      <c r="A763" s="4">
        <v>5</v>
      </c>
      <c r="B763" s="4" t="s">
        <v>673</v>
      </c>
      <c r="C763" s="4">
        <v>1977</v>
      </c>
      <c r="D763" s="4" t="s">
        <v>336</v>
      </c>
      <c r="E763" s="4">
        <v>130.4</v>
      </c>
      <c r="F763" s="4">
        <v>0.56530000000000002</v>
      </c>
      <c r="G763" s="4">
        <v>5</v>
      </c>
      <c r="H763" s="6">
        <v>340</v>
      </c>
      <c r="I763" s="4">
        <v>347.5</v>
      </c>
      <c r="J763" s="4">
        <v>357.5</v>
      </c>
      <c r="K763" s="4" t="e">
        <f t="array" aca="1" ref="K763">MAX(H763:J763*(1-strike(H763:J763)))</f>
        <v>#NAME?</v>
      </c>
      <c r="L763" s="4">
        <v>257.5</v>
      </c>
      <c r="M763" s="4">
        <v>270</v>
      </c>
      <c r="N763" s="4">
        <v>277.5</v>
      </c>
      <c r="O763" s="4" t="e">
        <f t="array" aca="1" ref="O763">MAX(L763:N763*(1-strike(L763:N763)))</f>
        <v>#NAME?</v>
      </c>
      <c r="P763" s="4">
        <v>315</v>
      </c>
      <c r="Q763" s="4">
        <v>330</v>
      </c>
      <c r="R763" s="4">
        <v>335</v>
      </c>
      <c r="S763" s="4" t="e">
        <f t="array" aca="1" ref="S763">MAX(P763:R763*(1-strike(P763:R763)))</f>
        <v>#NAME?</v>
      </c>
      <c r="T763" s="4" t="e">
        <f t="shared" si="11"/>
        <v>#NAME?</v>
      </c>
      <c r="U763" s="4">
        <v>970</v>
      </c>
      <c r="V763" s="4">
        <v>548.34</v>
      </c>
      <c r="W763" s="4">
        <v>6</v>
      </c>
      <c r="X763" s="5">
        <v>2014</v>
      </c>
      <c r="Y763" s="5" t="s">
        <v>29</v>
      </c>
      <c r="Z763" s="5" t="s">
        <v>171</v>
      </c>
      <c r="AA763" s="5">
        <v>558</v>
      </c>
    </row>
    <row r="764" spans="1:27">
      <c r="A764" s="4">
        <v>15</v>
      </c>
      <c r="B764" s="4" t="s">
        <v>674</v>
      </c>
      <c r="C764" s="4">
        <v>1990</v>
      </c>
      <c r="D764" s="4" t="s">
        <v>252</v>
      </c>
      <c r="E764" s="4">
        <v>127.88</v>
      </c>
      <c r="F764" s="4">
        <v>0.56730000000000003</v>
      </c>
      <c r="G764" s="4">
        <v>14</v>
      </c>
      <c r="H764" s="4">
        <v>250</v>
      </c>
      <c r="I764" s="4">
        <v>290</v>
      </c>
      <c r="J764" s="6">
        <v>310</v>
      </c>
      <c r="K764" s="4" t="e">
        <f t="array" aca="1" ref="K764">MAX(H764:J764*(1-strike(H764:J764)))</f>
        <v>#NAME?</v>
      </c>
      <c r="L764" s="4">
        <v>140</v>
      </c>
      <c r="M764" s="4"/>
      <c r="N764" s="4"/>
      <c r="O764" s="4" t="e">
        <f t="array" aca="1" ref="O764">MAX(L764:N764*(1-strike(L764:N764)))</f>
        <v>#NAME?</v>
      </c>
      <c r="P764" s="4">
        <v>220</v>
      </c>
      <c r="Q764" s="4">
        <v>230</v>
      </c>
      <c r="R764" s="4">
        <v>245</v>
      </c>
      <c r="S764" s="4" t="e">
        <f t="array" aca="1" ref="S764">MAX(P764:R764*(1-strike(P764:R764)))</f>
        <v>#NAME?</v>
      </c>
      <c r="T764" s="4" t="e">
        <f t="shared" si="11"/>
        <v>#NAME?</v>
      </c>
      <c r="U764" s="4">
        <v>675</v>
      </c>
      <c r="V764" s="4">
        <v>382.93</v>
      </c>
      <c r="W764" s="4">
        <v>1</v>
      </c>
      <c r="X764" s="5">
        <v>2015</v>
      </c>
      <c r="Y764" s="5" t="s">
        <v>29</v>
      </c>
      <c r="Z764" s="5" t="s">
        <v>171</v>
      </c>
      <c r="AA764" s="5">
        <v>127</v>
      </c>
    </row>
    <row r="765" spans="1:27">
      <c r="A765" s="3">
        <v>7</v>
      </c>
      <c r="B765" s="3" t="s">
        <v>675</v>
      </c>
      <c r="C765" s="3">
        <v>1990</v>
      </c>
      <c r="D765" s="3" t="s">
        <v>77</v>
      </c>
      <c r="E765" s="3">
        <v>65.930000000000007</v>
      </c>
      <c r="F765" s="3">
        <v>0.78590000000000004</v>
      </c>
      <c r="G765" s="3">
        <v>16</v>
      </c>
      <c r="H765" s="1">
        <v>260</v>
      </c>
      <c r="I765" s="1">
        <v>260</v>
      </c>
      <c r="J765" s="3">
        <v>260</v>
      </c>
      <c r="K765" s="4" t="e">
        <f t="array" aca="1" ref="K765">MAX(H765:J765*(1-strike(H765:J765)))</f>
        <v>#NAME?</v>
      </c>
      <c r="L765" s="3">
        <v>170</v>
      </c>
      <c r="M765" s="1">
        <v>192.5</v>
      </c>
      <c r="N765" s="1">
        <v>192.5</v>
      </c>
      <c r="O765" s="4" t="e">
        <f t="array" aca="1" ref="O765">MAX(L765:N765*(1-strike(L765:N765)))</f>
        <v>#NAME?</v>
      </c>
      <c r="P765" s="3">
        <v>235</v>
      </c>
      <c r="Q765" s="3">
        <v>245</v>
      </c>
      <c r="R765" s="1">
        <v>252.5</v>
      </c>
      <c r="S765" s="4" t="e">
        <f t="array" aca="1" ref="S765">MAX(P765:R765*(1-strike(P765:R765)))</f>
        <v>#NAME?</v>
      </c>
      <c r="T765" s="4" t="e">
        <f t="shared" si="11"/>
        <v>#NAME?</v>
      </c>
      <c r="U765" s="3">
        <v>675</v>
      </c>
      <c r="V765" s="3">
        <v>530.48</v>
      </c>
      <c r="W765" s="3">
        <v>4</v>
      </c>
      <c r="X765" s="5">
        <v>2013</v>
      </c>
      <c r="Y765" s="5" t="s">
        <v>29</v>
      </c>
      <c r="Z765" s="5" t="s">
        <v>171</v>
      </c>
      <c r="AA765" s="5">
        <v>831</v>
      </c>
    </row>
    <row r="766" spans="1:27">
      <c r="A766" s="4">
        <v>2</v>
      </c>
      <c r="B766" s="4" t="s">
        <v>675</v>
      </c>
      <c r="C766" s="4">
        <v>1990</v>
      </c>
      <c r="D766" s="4" t="s">
        <v>77</v>
      </c>
      <c r="E766" s="4">
        <v>65.86</v>
      </c>
      <c r="F766" s="4">
        <v>0.78620000000000001</v>
      </c>
      <c r="G766" s="4">
        <v>18</v>
      </c>
      <c r="H766" s="4">
        <v>265</v>
      </c>
      <c r="I766" s="4">
        <v>280</v>
      </c>
      <c r="J766" s="4">
        <v>290</v>
      </c>
      <c r="K766" s="4" t="e">
        <f t="array" aca="1" ref="K766">MAX(H766:J766*(1-strike(H766:J766)))</f>
        <v>#NAME?</v>
      </c>
      <c r="L766" s="4">
        <v>185</v>
      </c>
      <c r="M766" s="4">
        <v>190</v>
      </c>
      <c r="N766" s="4">
        <v>195</v>
      </c>
      <c r="O766" s="4" t="e">
        <f t="array" aca="1" ref="O766">MAX(L766:N766*(1-strike(L766:N766)))</f>
        <v>#NAME?</v>
      </c>
      <c r="P766" s="4">
        <v>245</v>
      </c>
      <c r="Q766" s="4">
        <v>260</v>
      </c>
      <c r="R766" s="4">
        <v>270</v>
      </c>
      <c r="S766" s="4" t="e">
        <f t="array" aca="1" ref="S766">MAX(P766:R766*(1-strike(P766:R766)))</f>
        <v>#NAME?</v>
      </c>
      <c r="T766" s="4" t="e">
        <f t="shared" si="11"/>
        <v>#NAME?</v>
      </c>
      <c r="U766" s="4">
        <v>755</v>
      </c>
      <c r="V766" s="4">
        <v>593.58000000000004</v>
      </c>
      <c r="W766" s="4">
        <v>9</v>
      </c>
      <c r="X766" s="5">
        <v>2014</v>
      </c>
      <c r="Y766" s="5" t="s">
        <v>29</v>
      </c>
      <c r="Z766" s="5" t="s">
        <v>171</v>
      </c>
      <c r="AA766" s="5">
        <v>453</v>
      </c>
    </row>
    <row r="767" spans="1:27">
      <c r="A767" s="4">
        <v>20</v>
      </c>
      <c r="B767" s="4" t="s">
        <v>676</v>
      </c>
      <c r="C767" s="4">
        <v>1990</v>
      </c>
      <c r="D767" s="4" t="s">
        <v>194</v>
      </c>
      <c r="E767" s="4">
        <v>126</v>
      </c>
      <c r="F767" s="4">
        <v>0.56889999999999996</v>
      </c>
      <c r="G767" s="4">
        <v>13</v>
      </c>
      <c r="H767" s="4">
        <v>230</v>
      </c>
      <c r="I767" s="4">
        <v>250</v>
      </c>
      <c r="J767" s="4">
        <v>260</v>
      </c>
      <c r="K767" s="4" t="e">
        <f t="array" aca="1" ref="K767">MAX(H767:J767*(1-strike(H767:J767)))</f>
        <v>#NAME?</v>
      </c>
      <c r="L767" s="4">
        <v>170</v>
      </c>
      <c r="M767" s="4">
        <v>175</v>
      </c>
      <c r="N767" s="4">
        <v>180</v>
      </c>
      <c r="O767" s="4" t="e">
        <f t="array" aca="1" ref="O767">MAX(L767:N767*(1-strike(L767:N767)))</f>
        <v>#NAME?</v>
      </c>
      <c r="P767" s="4">
        <v>300</v>
      </c>
      <c r="Q767" s="4">
        <v>325</v>
      </c>
      <c r="R767" s="6">
        <v>342.5</v>
      </c>
      <c r="S767" s="4" t="e">
        <f t="array" aca="1" ref="S767">MAX(P767:R767*(1-strike(P767:R767)))</f>
        <v>#NAME?</v>
      </c>
      <c r="T767" s="4" t="e">
        <f t="shared" si="11"/>
        <v>#NAME?</v>
      </c>
      <c r="U767" s="4">
        <v>765</v>
      </c>
      <c r="V767" s="4">
        <v>435.21</v>
      </c>
      <c r="W767" s="4">
        <v>1</v>
      </c>
      <c r="X767" s="5">
        <v>2015</v>
      </c>
      <c r="Y767" s="5" t="s">
        <v>29</v>
      </c>
      <c r="Z767" s="5" t="s">
        <v>30</v>
      </c>
      <c r="AA767" s="5">
        <v>342</v>
      </c>
    </row>
    <row r="768" spans="1:27">
      <c r="A768" s="3">
        <v>10</v>
      </c>
      <c r="B768" s="3" t="s">
        <v>677</v>
      </c>
      <c r="C768" s="3">
        <v>1970</v>
      </c>
      <c r="D768" s="3" t="s">
        <v>113</v>
      </c>
      <c r="E768" s="3">
        <v>65.959999999999994</v>
      </c>
      <c r="F768" s="3">
        <v>0.78559999999999997</v>
      </c>
      <c r="G768" s="3">
        <v>24</v>
      </c>
      <c r="H768" s="3">
        <v>220</v>
      </c>
      <c r="I768" s="3">
        <v>230</v>
      </c>
      <c r="J768" s="1">
        <v>242.5</v>
      </c>
      <c r="K768" s="4" t="e">
        <f t="array" aca="1" ref="K768">MAX(H768:J768*(1-strike(H768:J768)))</f>
        <v>#NAME?</v>
      </c>
      <c r="L768" s="3">
        <v>142.5</v>
      </c>
      <c r="M768" s="3">
        <v>147.5</v>
      </c>
      <c r="N768" s="1">
        <v>150</v>
      </c>
      <c r="O768" s="4" t="e">
        <f t="array" aca="1" ref="O768">MAX(L768:N768*(1-strike(L768:N768)))</f>
        <v>#NAME?</v>
      </c>
      <c r="P768" s="3">
        <v>250</v>
      </c>
      <c r="Q768" s="3">
        <v>270</v>
      </c>
      <c r="R768" s="3">
        <v>275</v>
      </c>
      <c r="S768" s="4" t="e">
        <f t="array" aca="1" ref="S768">MAX(P768:R768*(1-strike(P768:R768)))</f>
        <v>#NAME?</v>
      </c>
      <c r="T768" s="4" t="e">
        <f t="shared" si="11"/>
        <v>#NAME?</v>
      </c>
      <c r="U768" s="3">
        <v>652.5</v>
      </c>
      <c r="V768" s="3">
        <v>512.6</v>
      </c>
      <c r="W768" s="3">
        <v>1</v>
      </c>
      <c r="X768" s="5">
        <v>2012</v>
      </c>
      <c r="Y768" s="5" t="s">
        <v>29</v>
      </c>
      <c r="Z768" s="5" t="s">
        <v>171</v>
      </c>
      <c r="AA768" s="5">
        <v>1212</v>
      </c>
    </row>
    <row r="769" spans="1:27">
      <c r="A769" s="4">
        <v>2</v>
      </c>
      <c r="B769" s="4" t="s">
        <v>678</v>
      </c>
      <c r="C769" s="4">
        <v>1981</v>
      </c>
      <c r="D769" s="4" t="s">
        <v>62</v>
      </c>
      <c r="E769" s="4">
        <v>91.48</v>
      </c>
      <c r="F769" s="4">
        <v>0.63319999999999999</v>
      </c>
      <c r="G769" s="4">
        <v>21</v>
      </c>
      <c r="H769" s="4">
        <v>275</v>
      </c>
      <c r="I769" s="4">
        <v>287.5</v>
      </c>
      <c r="J769" s="4">
        <v>303</v>
      </c>
      <c r="K769" s="4" t="e">
        <f t="array" aca="1" ref="K769">MAX(H769:J769*(1-strike(H769:J769)))</f>
        <v>#NAME?</v>
      </c>
      <c r="L769" s="4">
        <v>162.5</v>
      </c>
      <c r="M769" s="4">
        <v>170</v>
      </c>
      <c r="N769" s="4">
        <v>172.5</v>
      </c>
      <c r="O769" s="4" t="e">
        <f t="array" aca="1" ref="O769">MAX(L769:N769*(1-strike(L769:N769)))</f>
        <v>#NAME?</v>
      </c>
      <c r="P769" s="4">
        <v>295</v>
      </c>
      <c r="Q769" s="4">
        <v>310</v>
      </c>
      <c r="R769" s="4">
        <v>322.5</v>
      </c>
      <c r="S769" s="4" t="e">
        <f t="array" aca="1" ref="S769">MAX(P769:R769*(1-strike(P769:R769)))</f>
        <v>#NAME?</v>
      </c>
      <c r="T769" s="4" t="e">
        <f t="shared" si="11"/>
        <v>#NAME?</v>
      </c>
      <c r="U769" s="4">
        <v>798</v>
      </c>
      <c r="V769" s="4">
        <v>505.29</v>
      </c>
      <c r="W769" s="4">
        <v>9</v>
      </c>
      <c r="X769" s="5">
        <v>2015</v>
      </c>
      <c r="Y769" s="5" t="s">
        <v>29</v>
      </c>
      <c r="Z769" s="5" t="s">
        <v>30</v>
      </c>
      <c r="AA769" s="5">
        <v>274</v>
      </c>
    </row>
    <row r="770" spans="1:27">
      <c r="A770" s="3">
        <v>9</v>
      </c>
      <c r="B770" s="3" t="s">
        <v>679</v>
      </c>
      <c r="C770" s="3">
        <v>1976</v>
      </c>
      <c r="D770" s="3" t="s">
        <v>480</v>
      </c>
      <c r="E770" s="3">
        <v>73.349999999999994</v>
      </c>
      <c r="F770" s="3">
        <v>0.7238</v>
      </c>
      <c r="G770" s="3">
        <v>16</v>
      </c>
      <c r="H770" s="3">
        <v>200</v>
      </c>
      <c r="I770" s="3"/>
      <c r="J770" s="3"/>
      <c r="K770" s="4" t="e">
        <f t="array" aca="1" ref="K770">MAX(H770:J770*(1-strike(H770:J770)))</f>
        <v>#NAME?</v>
      </c>
      <c r="L770" s="3">
        <v>212.5</v>
      </c>
      <c r="M770" s="3">
        <v>217.5</v>
      </c>
      <c r="N770" s="3">
        <v>222.5</v>
      </c>
      <c r="O770" s="4" t="e">
        <f t="array" aca="1" ref="O770">MAX(L770:N770*(1-strike(L770:N770)))</f>
        <v>#NAME?</v>
      </c>
      <c r="P770" s="3">
        <v>220</v>
      </c>
      <c r="Q770" s="3">
        <v>240</v>
      </c>
      <c r="R770" s="3"/>
      <c r="S770" s="4" t="e">
        <f t="array" aca="1" ref="S770">MAX(P770:R770*(1-strike(P770:R770)))</f>
        <v>#NAME?</v>
      </c>
      <c r="T770" s="4" t="e">
        <f t="shared" ref="T770:T833" si="12">IF(AND(K770&lt;&gt;0,O770&lt;&gt;0,S770&lt;&gt;0),K770+O770+S770,0)</f>
        <v>#NAME?</v>
      </c>
      <c r="U770" s="3">
        <v>662.5</v>
      </c>
      <c r="V770" s="3">
        <v>479.55</v>
      </c>
      <c r="W770" s="3">
        <v>2</v>
      </c>
      <c r="X770" s="5">
        <v>2012</v>
      </c>
      <c r="Y770" s="5" t="s">
        <v>29</v>
      </c>
      <c r="Z770" s="5" t="s">
        <v>171</v>
      </c>
      <c r="AA770" s="5">
        <v>1225</v>
      </c>
    </row>
    <row r="771" spans="1:27" ht="15" customHeight="1">
      <c r="A771" s="3">
        <v>8</v>
      </c>
      <c r="B771" s="3" t="s">
        <v>680</v>
      </c>
      <c r="C771" s="3">
        <v>1990</v>
      </c>
      <c r="D771" s="3" t="s">
        <v>282</v>
      </c>
      <c r="E771" s="3">
        <v>65.44</v>
      </c>
      <c r="F771" s="3">
        <v>0.79069999999999996</v>
      </c>
      <c r="G771" s="3">
        <v>14</v>
      </c>
      <c r="H771" s="3">
        <v>245</v>
      </c>
      <c r="I771" s="1">
        <v>257.5</v>
      </c>
      <c r="J771" s="3">
        <v>265</v>
      </c>
      <c r="K771" s="4" t="e">
        <f t="array" aca="1" ref="K771">MAX(H771:J771*(1-strike(H771:J771)))</f>
        <v>#NAME?</v>
      </c>
      <c r="L771" s="3">
        <v>150</v>
      </c>
      <c r="M771" s="3">
        <v>157.5</v>
      </c>
      <c r="N771" s="1">
        <v>162.5</v>
      </c>
      <c r="O771" s="4" t="e">
        <f t="array" aca="1" ref="O771">MAX(L771:N771*(1-strike(L771:N771)))</f>
        <v>#NAME?</v>
      </c>
      <c r="P771" s="3">
        <v>235</v>
      </c>
      <c r="Q771" s="1">
        <v>250</v>
      </c>
      <c r="R771" s="1">
        <v>250</v>
      </c>
      <c r="S771" s="4" t="e">
        <f t="array" aca="1" ref="S771">MAX(P771:R771*(1-strike(P771:R771)))</f>
        <v>#NAME?</v>
      </c>
      <c r="T771" s="4" t="e">
        <f t="shared" si="12"/>
        <v>#NAME?</v>
      </c>
      <c r="U771" s="3">
        <v>657.5</v>
      </c>
      <c r="V771" s="3">
        <v>519.89</v>
      </c>
      <c r="W771" s="3">
        <v>3</v>
      </c>
      <c r="X771" s="5">
        <v>2013</v>
      </c>
      <c r="Y771" s="5" t="s">
        <v>29</v>
      </c>
      <c r="Z771" s="5" t="s">
        <v>171</v>
      </c>
      <c r="AA771" s="5">
        <v>832</v>
      </c>
    </row>
    <row r="772" spans="1:27">
      <c r="A772" s="4">
        <v>6</v>
      </c>
      <c r="B772" s="4" t="s">
        <v>680</v>
      </c>
      <c r="C772" s="4">
        <v>1990</v>
      </c>
      <c r="D772" s="4" t="s">
        <v>282</v>
      </c>
      <c r="E772" s="4">
        <v>65.45</v>
      </c>
      <c r="F772" s="4">
        <v>0.79059999999999997</v>
      </c>
      <c r="G772" s="4">
        <v>15</v>
      </c>
      <c r="H772" s="4">
        <v>190</v>
      </c>
      <c r="I772" s="4">
        <v>202.5</v>
      </c>
      <c r="J772" s="4">
        <v>210</v>
      </c>
      <c r="K772" s="4" t="e">
        <f t="array" aca="1" ref="K772">MAX(H772:J772*(1-strike(H772:J772)))</f>
        <v>#NAME?</v>
      </c>
      <c r="L772" s="4">
        <v>125</v>
      </c>
      <c r="M772" s="4">
        <v>132.5</v>
      </c>
      <c r="N772" s="6">
        <v>137.5</v>
      </c>
      <c r="O772" s="4" t="e">
        <f t="array" aca="1" ref="O772">MAX(L772:N772*(1-strike(L772:N772)))</f>
        <v>#NAME?</v>
      </c>
      <c r="P772" s="4">
        <v>230</v>
      </c>
      <c r="Q772" s="4">
        <v>240</v>
      </c>
      <c r="R772" s="6">
        <v>252.5</v>
      </c>
      <c r="S772" s="4" t="e">
        <f t="array" aca="1" ref="S772">MAX(P772:R772*(1-strike(P772:R772)))</f>
        <v>#NAME?</v>
      </c>
      <c r="T772" s="4" t="e">
        <f t="shared" si="12"/>
        <v>#NAME?</v>
      </c>
      <c r="U772" s="4">
        <v>582.5</v>
      </c>
      <c r="V772" s="4">
        <v>460.52</v>
      </c>
      <c r="W772" s="4">
        <v>5</v>
      </c>
      <c r="X772" s="5">
        <v>2014</v>
      </c>
      <c r="Y772" s="5" t="s">
        <v>29</v>
      </c>
      <c r="Z772" s="5" t="s">
        <v>30</v>
      </c>
      <c r="AA772" s="5">
        <v>662</v>
      </c>
    </row>
    <row r="773" spans="1:27">
      <c r="A773" s="4">
        <v>6</v>
      </c>
      <c r="B773" s="4" t="s">
        <v>680</v>
      </c>
      <c r="C773" s="4">
        <v>1990</v>
      </c>
      <c r="D773" s="4" t="s">
        <v>282</v>
      </c>
      <c r="E773" s="4">
        <v>65.7</v>
      </c>
      <c r="F773" s="4">
        <v>0.78810000000000002</v>
      </c>
      <c r="G773" s="4">
        <v>14</v>
      </c>
      <c r="H773" s="4">
        <v>260</v>
      </c>
      <c r="I773" s="6">
        <v>270</v>
      </c>
      <c r="J773" s="6">
        <v>270</v>
      </c>
      <c r="K773" s="4" t="e">
        <f t="array" aca="1" ref="K773">MAX(H773:J773*(1-strike(H773:J773)))</f>
        <v>#NAME?</v>
      </c>
      <c r="L773" s="6">
        <v>160</v>
      </c>
      <c r="M773" s="4">
        <v>165</v>
      </c>
      <c r="N773" s="4">
        <v>172.5</v>
      </c>
      <c r="O773" s="4" t="e">
        <f t="array" aca="1" ref="O773">MAX(L773:N773*(1-strike(L773:N773)))</f>
        <v>#NAME?</v>
      </c>
      <c r="P773" s="4">
        <v>240</v>
      </c>
      <c r="Q773" s="4">
        <v>252.5</v>
      </c>
      <c r="R773" s="4">
        <v>257.5</v>
      </c>
      <c r="S773" s="4" t="e">
        <f t="array" aca="1" ref="S773">MAX(P773:R773*(1-strike(P773:R773)))</f>
        <v>#NAME?</v>
      </c>
      <c r="T773" s="4" t="e">
        <f t="shared" si="12"/>
        <v>#NAME?</v>
      </c>
      <c r="U773" s="4">
        <v>690</v>
      </c>
      <c r="V773" s="4">
        <v>543.79</v>
      </c>
      <c r="W773" s="4">
        <v>5</v>
      </c>
      <c r="X773" s="5">
        <v>2014</v>
      </c>
      <c r="Y773" s="5" t="s">
        <v>29</v>
      </c>
      <c r="Z773" s="5" t="s">
        <v>171</v>
      </c>
      <c r="AA773" s="5">
        <v>457</v>
      </c>
    </row>
    <row r="774" spans="1:27">
      <c r="A774" s="3" t="s">
        <v>37</v>
      </c>
      <c r="B774" s="3" t="s">
        <v>681</v>
      </c>
      <c r="C774" s="3">
        <v>1979</v>
      </c>
      <c r="D774" s="3" t="s">
        <v>49</v>
      </c>
      <c r="E774" s="3">
        <v>72.95</v>
      </c>
      <c r="F774" s="3">
        <v>0.7268</v>
      </c>
      <c r="G774" s="3">
        <v>11</v>
      </c>
      <c r="H774" s="3">
        <v>295</v>
      </c>
      <c r="I774" s="1">
        <v>312.5</v>
      </c>
      <c r="J774" s="3">
        <v>312.5</v>
      </c>
      <c r="K774" s="4" t="e">
        <f t="array" aca="1" ref="K774">MAX(H774:J774*(1-strike(H774:J774)))</f>
        <v>#NAME?</v>
      </c>
      <c r="L774" s="1">
        <v>197.5</v>
      </c>
      <c r="M774" s="3">
        <v>200</v>
      </c>
      <c r="N774" s="3">
        <v>207.5</v>
      </c>
      <c r="O774" s="4" t="e">
        <f t="array" aca="1" ref="O774">MAX(L774:N774*(1-strike(L774:N774)))</f>
        <v>#NAME?</v>
      </c>
      <c r="P774" s="3">
        <v>260</v>
      </c>
      <c r="Q774" s="1">
        <v>272.5</v>
      </c>
      <c r="R774" s="1">
        <v>272.5</v>
      </c>
      <c r="S774" s="4" t="e">
        <f t="array" aca="1" ref="S774">MAX(P774:R774*(1-strike(P774:R774)))</f>
        <v>#NAME?</v>
      </c>
      <c r="T774" s="4" t="e">
        <f t="shared" si="12"/>
        <v>#NAME?</v>
      </c>
      <c r="U774" s="3" t="s">
        <v>361</v>
      </c>
      <c r="V774" s="3" t="s">
        <v>37</v>
      </c>
      <c r="W774" s="3" t="s">
        <v>37</v>
      </c>
      <c r="X774" s="5">
        <v>2012</v>
      </c>
      <c r="Y774" s="5" t="s">
        <v>29</v>
      </c>
      <c r="Z774" s="5" t="s">
        <v>171</v>
      </c>
      <c r="AA774" s="5">
        <v>1231</v>
      </c>
    </row>
    <row r="775" spans="1:27">
      <c r="A775" s="3">
        <v>1</v>
      </c>
      <c r="B775" s="3" t="s">
        <v>682</v>
      </c>
      <c r="C775" s="3">
        <v>1974</v>
      </c>
      <c r="D775" s="3" t="s">
        <v>85</v>
      </c>
      <c r="E775" s="3">
        <v>72.989999999999995</v>
      </c>
      <c r="F775" s="3">
        <v>0.72650000000000003</v>
      </c>
      <c r="G775" s="3">
        <v>17</v>
      </c>
      <c r="H775" s="3">
        <v>335</v>
      </c>
      <c r="I775" s="3">
        <v>355</v>
      </c>
      <c r="J775" s="1">
        <v>372.5</v>
      </c>
      <c r="K775" s="4" t="e">
        <f t="array" aca="1" ref="K775">MAX(H775:J775*(1-strike(H775:J775)))</f>
        <v>#NAME?</v>
      </c>
      <c r="L775" s="3">
        <v>200</v>
      </c>
      <c r="M775" s="3">
        <v>210</v>
      </c>
      <c r="N775" s="1">
        <v>217.5</v>
      </c>
      <c r="O775" s="4" t="e">
        <f t="array" aca="1" ref="O775">MAX(L775:N775*(1-strike(L775:N775)))</f>
        <v>#NAME?</v>
      </c>
      <c r="P775" s="3">
        <v>300</v>
      </c>
      <c r="Q775" s="3">
        <v>310</v>
      </c>
      <c r="R775" s="1">
        <v>327.5</v>
      </c>
      <c r="S775" s="4" t="e">
        <f t="array" aca="1" ref="S775">MAX(P775:R775*(1-strike(P775:R775)))</f>
        <v>#NAME?</v>
      </c>
      <c r="T775" s="4" t="e">
        <f t="shared" si="12"/>
        <v>#NAME?</v>
      </c>
      <c r="U775" s="3">
        <v>875</v>
      </c>
      <c r="V775" s="3">
        <v>635.66</v>
      </c>
      <c r="W775" s="3">
        <v>12</v>
      </c>
      <c r="X775" s="5">
        <v>2012</v>
      </c>
      <c r="Y775" s="5" t="s">
        <v>29</v>
      </c>
      <c r="Z775" s="5" t="s">
        <v>171</v>
      </c>
      <c r="AA775" s="5">
        <v>1217</v>
      </c>
    </row>
    <row r="776" spans="1:27">
      <c r="A776" s="3">
        <v>1</v>
      </c>
      <c r="B776" s="3" t="s">
        <v>682</v>
      </c>
      <c r="C776" s="3">
        <v>1974</v>
      </c>
      <c r="D776" s="3" t="s">
        <v>85</v>
      </c>
      <c r="E776" s="3">
        <v>73.319999999999993</v>
      </c>
      <c r="F776" s="3">
        <v>0.72409999999999997</v>
      </c>
      <c r="G776" s="3">
        <v>16</v>
      </c>
      <c r="H776" s="3">
        <v>345</v>
      </c>
      <c r="I776" s="3">
        <v>355</v>
      </c>
      <c r="J776" s="3">
        <v>367.5</v>
      </c>
      <c r="K776" s="4" t="e">
        <f t="array" aca="1" ref="K776">MAX(H776:J776*(1-strike(H776:J776)))</f>
        <v>#NAME?</v>
      </c>
      <c r="L776" s="3">
        <v>205</v>
      </c>
      <c r="M776" s="3">
        <v>212.5</v>
      </c>
      <c r="N776" s="3">
        <v>217.5</v>
      </c>
      <c r="O776" s="4" t="e">
        <f t="array" aca="1" ref="O776">MAX(L776:N776*(1-strike(L776:N776)))</f>
        <v>#NAME?</v>
      </c>
      <c r="P776" s="3">
        <v>290</v>
      </c>
      <c r="Q776" s="3">
        <v>310</v>
      </c>
      <c r="R776" s="3">
        <v>320</v>
      </c>
      <c r="S776" s="4" t="e">
        <f t="array" aca="1" ref="S776">MAX(P776:R776*(1-strike(P776:R776)))</f>
        <v>#NAME?</v>
      </c>
      <c r="T776" s="4" t="e">
        <f t="shared" si="12"/>
        <v>#NAME?</v>
      </c>
      <c r="U776" s="3" t="s">
        <v>683</v>
      </c>
      <c r="V776" s="3">
        <v>655.30999999999995</v>
      </c>
      <c r="W776" s="3">
        <v>12</v>
      </c>
      <c r="X776" s="5">
        <v>2013</v>
      </c>
      <c r="Y776" s="5" t="s">
        <v>29</v>
      </c>
      <c r="Z776" s="5" t="s">
        <v>171</v>
      </c>
      <c r="AA776" s="5">
        <v>836</v>
      </c>
    </row>
    <row r="777" spans="1:27">
      <c r="A777" s="4">
        <v>1</v>
      </c>
      <c r="B777" s="4" t="s">
        <v>682</v>
      </c>
      <c r="C777" s="4">
        <v>1974</v>
      </c>
      <c r="D777" s="4" t="s">
        <v>85</v>
      </c>
      <c r="E777" s="4">
        <v>73.319999999999993</v>
      </c>
      <c r="F777" s="4">
        <v>0.72419999999999995</v>
      </c>
      <c r="G777" s="4">
        <v>3</v>
      </c>
      <c r="H777" s="4">
        <v>340</v>
      </c>
      <c r="I777" s="6">
        <v>355</v>
      </c>
      <c r="J777" s="4">
        <v>360</v>
      </c>
      <c r="K777" s="4" t="e">
        <f t="array" aca="1" ref="K777">MAX(H777:J777*(1-strike(H777:J777)))</f>
        <v>#NAME?</v>
      </c>
      <c r="L777" s="4">
        <v>205</v>
      </c>
      <c r="M777" s="4">
        <v>212.5</v>
      </c>
      <c r="N777" s="6">
        <v>217.5</v>
      </c>
      <c r="O777" s="4" t="e">
        <f t="array" aca="1" ref="O777">MAX(L777:N777*(1-strike(L777:N777)))</f>
        <v>#NAME?</v>
      </c>
      <c r="P777" s="4">
        <v>290</v>
      </c>
      <c r="Q777" s="6">
        <v>310</v>
      </c>
      <c r="R777" s="4">
        <v>310</v>
      </c>
      <c r="S777" s="4" t="e">
        <f t="array" aca="1" ref="S777">MAX(P777:R777*(1-strike(P777:R777)))</f>
        <v>#NAME?</v>
      </c>
      <c r="T777" s="4" t="e">
        <f t="shared" si="12"/>
        <v>#NAME?</v>
      </c>
      <c r="U777" s="4" t="s">
        <v>684</v>
      </c>
      <c r="V777" s="4">
        <v>639.11</v>
      </c>
      <c r="W777" s="4">
        <v>12</v>
      </c>
      <c r="X777" s="5">
        <v>2014</v>
      </c>
      <c r="Y777" s="5" t="s">
        <v>29</v>
      </c>
      <c r="Z777" s="5" t="s">
        <v>171</v>
      </c>
      <c r="AA777" s="5">
        <v>461</v>
      </c>
    </row>
    <row r="778" spans="1:27">
      <c r="A778" s="4">
        <v>1</v>
      </c>
      <c r="B778" s="4" t="s">
        <v>682</v>
      </c>
      <c r="C778" s="4">
        <v>1974</v>
      </c>
      <c r="D778" s="4" t="s">
        <v>85</v>
      </c>
      <c r="E778" s="4">
        <v>72.849999999999994</v>
      </c>
      <c r="F778" s="4">
        <v>0.72740000000000005</v>
      </c>
      <c r="G778" s="4">
        <v>11</v>
      </c>
      <c r="H778" s="4">
        <v>340</v>
      </c>
      <c r="I778" s="4">
        <v>360</v>
      </c>
      <c r="J778" s="6">
        <v>368</v>
      </c>
      <c r="K778" s="4" t="e">
        <f t="array" aca="1" ref="K778">MAX(H778:J778*(1-strike(H778:J778)))</f>
        <v>#NAME?</v>
      </c>
      <c r="L778" s="4">
        <v>207.5</v>
      </c>
      <c r="M778" s="4">
        <v>212.5</v>
      </c>
      <c r="N778" s="6">
        <v>217.5</v>
      </c>
      <c r="O778" s="4" t="e">
        <f t="array" aca="1" ref="O778">MAX(L778:N778*(1-strike(L778:N778)))</f>
        <v>#NAME?</v>
      </c>
      <c r="P778" s="4">
        <v>290</v>
      </c>
      <c r="Q778" s="4">
        <v>310</v>
      </c>
      <c r="R778" s="6">
        <v>320</v>
      </c>
      <c r="S778" s="4" t="e">
        <f t="array" aca="1" ref="S778">MAX(P778:R778*(1-strike(P778:R778)))</f>
        <v>#NAME?</v>
      </c>
      <c r="T778" s="4" t="e">
        <f t="shared" si="12"/>
        <v>#NAME?</v>
      </c>
      <c r="U778" s="4">
        <v>882.5</v>
      </c>
      <c r="V778" s="4">
        <v>641.92999999999995</v>
      </c>
      <c r="W778" s="4">
        <v>12</v>
      </c>
      <c r="X778" s="5">
        <v>2015</v>
      </c>
      <c r="Y778" s="5" t="s">
        <v>29</v>
      </c>
      <c r="Z778" s="5" t="s">
        <v>171</v>
      </c>
      <c r="AA778" s="5">
        <v>23</v>
      </c>
    </row>
    <row r="779" spans="1:27">
      <c r="A779" s="4" t="s">
        <v>37</v>
      </c>
      <c r="B779" s="4" t="s">
        <v>685</v>
      </c>
      <c r="C779" s="4">
        <v>1969</v>
      </c>
      <c r="D779" s="4" t="s">
        <v>113</v>
      </c>
      <c r="E779" s="4">
        <v>102.34</v>
      </c>
      <c r="F779" s="4">
        <v>0.60319999999999996</v>
      </c>
      <c r="G779" s="4">
        <v>16</v>
      </c>
      <c r="H779" s="6">
        <v>302.5</v>
      </c>
      <c r="I779" s="6">
        <v>302.5</v>
      </c>
      <c r="J779" s="6">
        <v>302.5</v>
      </c>
      <c r="K779" s="4" t="e">
        <f t="array" aca="1" ref="K779">MAX(H779:J779*(1-strike(H779:J779)))</f>
        <v>#NAME?</v>
      </c>
      <c r="L779" s="4">
        <v>217.5</v>
      </c>
      <c r="M779" s="4">
        <v>222.5</v>
      </c>
      <c r="N779" s="6">
        <v>230</v>
      </c>
      <c r="O779" s="4" t="e">
        <f t="array" aca="1" ref="O779">MAX(L779:N779*(1-strike(L779:N779)))</f>
        <v>#NAME?</v>
      </c>
      <c r="P779" s="4">
        <v>270</v>
      </c>
      <c r="Q779" s="6">
        <v>280</v>
      </c>
      <c r="R779" s="6">
        <v>280</v>
      </c>
      <c r="S779" s="4" t="e">
        <f t="array" aca="1" ref="S779">MAX(P779:R779*(1-strike(P779:R779)))</f>
        <v>#NAME?</v>
      </c>
      <c r="T779" s="4" t="e">
        <f t="shared" si="12"/>
        <v>#NAME?</v>
      </c>
      <c r="U779" s="4" t="s">
        <v>187</v>
      </c>
      <c r="V779" s="4" t="s">
        <v>37</v>
      </c>
      <c r="W779" s="4" t="s">
        <v>37</v>
      </c>
      <c r="X779" s="5">
        <v>2014</v>
      </c>
      <c r="Y779" s="5" t="s">
        <v>29</v>
      </c>
      <c r="Z779" s="5" t="s">
        <v>171</v>
      </c>
      <c r="AA779" s="5">
        <v>528</v>
      </c>
    </row>
    <row r="780" spans="1:27">
      <c r="A780" s="3">
        <v>4</v>
      </c>
      <c r="B780" s="3" t="s">
        <v>686</v>
      </c>
      <c r="C780" s="3">
        <v>1977</v>
      </c>
      <c r="D780" s="3" t="s">
        <v>45</v>
      </c>
      <c r="E780" s="3">
        <v>117.89</v>
      </c>
      <c r="F780" s="3">
        <v>0.57740000000000002</v>
      </c>
      <c r="G780" s="3">
        <v>39</v>
      </c>
      <c r="H780" s="3">
        <v>385</v>
      </c>
      <c r="I780" s="1">
        <v>397.5</v>
      </c>
      <c r="J780" s="3">
        <v>397.5</v>
      </c>
      <c r="K780" s="4" t="e">
        <f t="array" aca="1" ref="K780">MAX(H780:J780*(1-strike(H780:J780)))</f>
        <v>#NAME?</v>
      </c>
      <c r="L780" s="3">
        <v>290</v>
      </c>
      <c r="M780" s="1">
        <v>295</v>
      </c>
      <c r="N780" s="3">
        <v>295</v>
      </c>
      <c r="O780" s="4" t="e">
        <f t="array" aca="1" ref="O780">MAX(L780:N780*(1-strike(L780:N780)))</f>
        <v>#NAME?</v>
      </c>
      <c r="P780" s="3">
        <v>310</v>
      </c>
      <c r="Q780" s="3">
        <v>317.5</v>
      </c>
      <c r="R780" s="3">
        <v>327.5</v>
      </c>
      <c r="S780" s="4" t="e">
        <f t="array" aca="1" ref="S780">MAX(P780:R780*(1-strike(P780:R780)))</f>
        <v>#NAME?</v>
      </c>
      <c r="T780" s="4" t="e">
        <f t="shared" si="12"/>
        <v>#NAME?</v>
      </c>
      <c r="U780" s="3">
        <v>1020</v>
      </c>
      <c r="V780" s="3">
        <v>588.95000000000005</v>
      </c>
      <c r="W780" s="3">
        <v>7</v>
      </c>
      <c r="X780" s="5">
        <v>2012</v>
      </c>
      <c r="Y780" s="5" t="s">
        <v>29</v>
      </c>
      <c r="Z780" s="5" t="s">
        <v>171</v>
      </c>
      <c r="AA780" s="5">
        <v>1302</v>
      </c>
    </row>
    <row r="781" spans="1:27">
      <c r="A781" s="4">
        <v>10</v>
      </c>
      <c r="B781" s="4" t="s">
        <v>687</v>
      </c>
      <c r="C781" s="4">
        <v>1990</v>
      </c>
      <c r="D781" s="4" t="s">
        <v>576</v>
      </c>
      <c r="E781" s="4">
        <v>65.430000000000007</v>
      </c>
      <c r="F781" s="4">
        <v>0.79079999999999995</v>
      </c>
      <c r="G781" s="4">
        <v>19</v>
      </c>
      <c r="H781" s="4">
        <v>175</v>
      </c>
      <c r="I781" s="4">
        <v>182.5</v>
      </c>
      <c r="J781" s="6">
        <v>190</v>
      </c>
      <c r="K781" s="4" t="e">
        <f t="array" aca="1" ref="K781">MAX(H781:J781*(1-strike(H781:J781)))</f>
        <v>#NAME?</v>
      </c>
      <c r="L781" s="4">
        <v>107.5</v>
      </c>
      <c r="M781" s="6">
        <v>110</v>
      </c>
      <c r="N781" s="4">
        <v>110</v>
      </c>
      <c r="O781" s="4" t="e">
        <f t="array" aca="1" ref="O781">MAX(L781:N781*(1-strike(L781:N781)))</f>
        <v>#NAME?</v>
      </c>
      <c r="P781" s="4">
        <v>210</v>
      </c>
      <c r="Q781" s="6">
        <v>222.5</v>
      </c>
      <c r="R781" s="6">
        <v>225</v>
      </c>
      <c r="S781" s="4" t="e">
        <f t="array" aca="1" ref="S781">MAX(P781:R781*(1-strike(P781:R781)))</f>
        <v>#NAME?</v>
      </c>
      <c r="T781" s="4" t="e">
        <f t="shared" si="12"/>
        <v>#NAME?</v>
      </c>
      <c r="U781" s="4">
        <v>502.5</v>
      </c>
      <c r="V781" s="4">
        <v>397.38</v>
      </c>
      <c r="W781" s="4">
        <v>1</v>
      </c>
      <c r="X781" s="5">
        <v>2015</v>
      </c>
      <c r="Y781" s="5" t="s">
        <v>29</v>
      </c>
      <c r="Z781" s="5" t="s">
        <v>30</v>
      </c>
      <c r="AA781" s="5">
        <v>236</v>
      </c>
    </row>
    <row r="782" spans="1:27">
      <c r="A782" s="3">
        <v>5</v>
      </c>
      <c r="B782" s="3" t="s">
        <v>688</v>
      </c>
      <c r="C782" s="3">
        <v>1977</v>
      </c>
      <c r="D782" s="3" t="s">
        <v>85</v>
      </c>
      <c r="E782" s="3">
        <v>58.73</v>
      </c>
      <c r="F782" s="3">
        <v>0.86990000000000001</v>
      </c>
      <c r="G782" s="3">
        <v>14</v>
      </c>
      <c r="H782" s="3">
        <v>240</v>
      </c>
      <c r="I782" s="3">
        <v>250</v>
      </c>
      <c r="J782" s="3">
        <v>255</v>
      </c>
      <c r="K782" s="4" t="e">
        <f t="array" aca="1" ref="K782">MAX(H782:J782*(1-strike(H782:J782)))</f>
        <v>#NAME?</v>
      </c>
      <c r="L782" s="3">
        <v>140</v>
      </c>
      <c r="M782" s="3">
        <v>150</v>
      </c>
      <c r="N782" s="3">
        <v>155</v>
      </c>
      <c r="O782" s="4" t="e">
        <f t="array" aca="1" ref="O782">MAX(L782:N782*(1-strike(L782:N782)))</f>
        <v>#NAME?</v>
      </c>
      <c r="P782" s="3">
        <v>210</v>
      </c>
      <c r="Q782" s="3">
        <v>220</v>
      </c>
      <c r="R782" s="3">
        <v>225</v>
      </c>
      <c r="S782" s="4" t="e">
        <f t="array" aca="1" ref="S782">MAX(P782:R782*(1-strike(P782:R782)))</f>
        <v>#NAME?</v>
      </c>
      <c r="T782" s="4" t="e">
        <f t="shared" si="12"/>
        <v>#NAME?</v>
      </c>
      <c r="U782" s="3">
        <v>635</v>
      </c>
      <c r="V782" s="3">
        <v>552.37</v>
      </c>
      <c r="W782" s="3">
        <v>6</v>
      </c>
      <c r="X782" s="5">
        <v>2012</v>
      </c>
      <c r="Y782" s="5" t="s">
        <v>29</v>
      </c>
      <c r="Z782" s="5" t="s">
        <v>171</v>
      </c>
      <c r="AA782" s="5">
        <v>1196</v>
      </c>
    </row>
    <row r="783" spans="1:27">
      <c r="A783" s="3">
        <v>2</v>
      </c>
      <c r="B783" s="3" t="s">
        <v>688</v>
      </c>
      <c r="C783" s="3">
        <v>1977</v>
      </c>
      <c r="D783" s="3" t="s">
        <v>85</v>
      </c>
      <c r="E783" s="3">
        <v>58.68</v>
      </c>
      <c r="F783" s="3">
        <v>0.87060000000000004</v>
      </c>
      <c r="G783" s="3">
        <v>7</v>
      </c>
      <c r="H783" s="3">
        <v>240</v>
      </c>
      <c r="I783" s="3">
        <v>250</v>
      </c>
      <c r="J783" s="3">
        <v>255</v>
      </c>
      <c r="K783" s="4" t="e">
        <f t="array" aca="1" ref="K783">MAX(H783:J783*(1-strike(H783:J783)))</f>
        <v>#NAME?</v>
      </c>
      <c r="L783" s="3">
        <v>142.5</v>
      </c>
      <c r="M783" s="3">
        <v>152.5</v>
      </c>
      <c r="N783" s="1">
        <v>157.5</v>
      </c>
      <c r="O783" s="4" t="e">
        <f t="array" aca="1" ref="O783">MAX(L783:N783*(1-strike(L783:N783)))</f>
        <v>#NAME?</v>
      </c>
      <c r="P783" s="3">
        <v>210</v>
      </c>
      <c r="Q783" s="1">
        <v>217.5</v>
      </c>
      <c r="R783" s="3">
        <v>217.5</v>
      </c>
      <c r="S783" s="4" t="e">
        <f t="array" aca="1" ref="S783">MAX(P783:R783*(1-strike(P783:R783)))</f>
        <v>#NAME?</v>
      </c>
      <c r="T783" s="4" t="e">
        <f t="shared" si="12"/>
        <v>#NAME?</v>
      </c>
      <c r="U783" s="3">
        <v>625</v>
      </c>
      <c r="V783" s="3">
        <v>544.13</v>
      </c>
      <c r="W783" s="3">
        <v>9</v>
      </c>
      <c r="X783" s="5">
        <v>2013</v>
      </c>
      <c r="Y783" s="5" t="s">
        <v>29</v>
      </c>
      <c r="Z783" s="5" t="s">
        <v>171</v>
      </c>
      <c r="AA783" s="5">
        <v>818</v>
      </c>
    </row>
    <row r="784" spans="1:27">
      <c r="A784" s="4">
        <v>7</v>
      </c>
      <c r="B784" s="4" t="s">
        <v>688</v>
      </c>
      <c r="C784" s="4">
        <v>1977</v>
      </c>
      <c r="D784" s="4" t="s">
        <v>85</v>
      </c>
      <c r="E784" s="4">
        <v>58.62</v>
      </c>
      <c r="F784" s="4">
        <v>0.87170000000000003</v>
      </c>
      <c r="G784" s="4">
        <v>6</v>
      </c>
      <c r="H784" s="6">
        <v>242.5</v>
      </c>
      <c r="I784" s="6">
        <v>242.5</v>
      </c>
      <c r="J784" s="4">
        <v>245</v>
      </c>
      <c r="K784" s="4" t="e">
        <f t="array" aca="1" ref="K784">MAX(H784:J784*(1-strike(H784:J784)))</f>
        <v>#NAME?</v>
      </c>
      <c r="L784" s="4">
        <v>142.5</v>
      </c>
      <c r="M784" s="4">
        <v>152.5</v>
      </c>
      <c r="N784" s="6">
        <v>157.5</v>
      </c>
      <c r="O784" s="4" t="e">
        <f t="array" aca="1" ref="O784">MAX(L784:N784*(1-strike(L784:N784)))</f>
        <v>#NAME?</v>
      </c>
      <c r="P784" s="4">
        <v>210</v>
      </c>
      <c r="Q784" s="4">
        <v>220</v>
      </c>
      <c r="R784" s="4">
        <v>225</v>
      </c>
      <c r="S784" s="4" t="e">
        <f t="array" aca="1" ref="S784">MAX(P784:R784*(1-strike(P784:R784)))</f>
        <v>#NAME?</v>
      </c>
      <c r="T784" s="4" t="e">
        <f t="shared" si="12"/>
        <v>#NAME?</v>
      </c>
      <c r="U784" s="4">
        <v>622.5</v>
      </c>
      <c r="V784" s="4">
        <v>542.63</v>
      </c>
      <c r="W784" s="4">
        <v>4</v>
      </c>
      <c r="X784" s="5">
        <v>2014</v>
      </c>
      <c r="Y784" s="5" t="s">
        <v>29</v>
      </c>
      <c r="Z784" s="5" t="s">
        <v>171</v>
      </c>
      <c r="AA784" s="5">
        <v>446</v>
      </c>
    </row>
    <row r="785" spans="1:27">
      <c r="A785" s="4" t="s">
        <v>37</v>
      </c>
      <c r="B785" s="4" t="s">
        <v>688</v>
      </c>
      <c r="C785" s="4">
        <v>1977</v>
      </c>
      <c r="D785" s="4" t="s">
        <v>85</v>
      </c>
      <c r="E785" s="4">
        <v>58.74</v>
      </c>
      <c r="F785" s="4">
        <v>0.86970000000000003</v>
      </c>
      <c r="G785" s="4">
        <v>9</v>
      </c>
      <c r="H785" s="6">
        <v>240</v>
      </c>
      <c r="I785" s="6">
        <v>250</v>
      </c>
      <c r="J785" s="6">
        <v>250</v>
      </c>
      <c r="K785" s="4" t="e">
        <f t="array" aca="1" ref="K785">MAX(H785:J785*(1-strike(H785:J785)))</f>
        <v>#NAME?</v>
      </c>
      <c r="L785" s="4">
        <v>135</v>
      </c>
      <c r="M785" s="4">
        <v>145</v>
      </c>
      <c r="N785" s="6">
        <v>152.5</v>
      </c>
      <c r="O785" s="4" t="e">
        <f t="array" aca="1" ref="O785">MAX(L785:N785*(1-strike(L785:N785)))</f>
        <v>#NAME?</v>
      </c>
      <c r="P785" s="4">
        <v>210</v>
      </c>
      <c r="Q785" s="4">
        <v>220</v>
      </c>
      <c r="R785" s="6">
        <v>230</v>
      </c>
      <c r="S785" s="4" t="e">
        <f t="array" aca="1" ref="S785">MAX(P785:R785*(1-strike(P785:R785)))</f>
        <v>#NAME?</v>
      </c>
      <c r="T785" s="4" t="e">
        <f t="shared" si="12"/>
        <v>#NAME?</v>
      </c>
      <c r="U785" s="4" t="s">
        <v>187</v>
      </c>
      <c r="V785" s="4" t="s">
        <v>37</v>
      </c>
      <c r="W785" s="4" t="s">
        <v>37</v>
      </c>
      <c r="X785" s="5">
        <v>2015</v>
      </c>
      <c r="Y785" s="5" t="s">
        <v>29</v>
      </c>
      <c r="Z785" s="5" t="s">
        <v>171</v>
      </c>
      <c r="AA785" s="5">
        <v>10</v>
      </c>
    </row>
    <row r="786" spans="1:27">
      <c r="A786" s="4">
        <v>9</v>
      </c>
      <c r="B786" s="4" t="s">
        <v>689</v>
      </c>
      <c r="C786" s="4">
        <v>1983</v>
      </c>
      <c r="D786" s="4" t="s">
        <v>85</v>
      </c>
      <c r="E786" s="4">
        <v>118.6</v>
      </c>
      <c r="F786" s="4">
        <v>0.57650000000000001</v>
      </c>
      <c r="G786" s="4">
        <v>2</v>
      </c>
      <c r="H786" s="4">
        <v>260</v>
      </c>
      <c r="I786" s="6">
        <v>272.5</v>
      </c>
      <c r="J786" s="4">
        <v>272.5</v>
      </c>
      <c r="K786" s="4" t="e">
        <f t="array" aca="1" ref="K786">MAX(H786:J786*(1-strike(H786:J786)))</f>
        <v>#NAME?</v>
      </c>
      <c r="L786" s="4">
        <v>190</v>
      </c>
      <c r="M786" s="6">
        <v>202.5</v>
      </c>
      <c r="N786" s="6">
        <v>202.5</v>
      </c>
      <c r="O786" s="4" t="e">
        <f t="array" aca="1" ref="O786">MAX(L786:N786*(1-strike(L786:N786)))</f>
        <v>#NAME?</v>
      </c>
      <c r="P786" s="4">
        <v>275</v>
      </c>
      <c r="Q786" s="4">
        <v>290</v>
      </c>
      <c r="R786" s="6">
        <v>302.5</v>
      </c>
      <c r="S786" s="4" t="e">
        <f t="array" aca="1" ref="S786">MAX(P786:R786*(1-strike(P786:R786)))</f>
        <v>#NAME?</v>
      </c>
      <c r="T786" s="4" t="e">
        <f t="shared" si="12"/>
        <v>#NAME?</v>
      </c>
      <c r="U786" s="4">
        <v>752.5</v>
      </c>
      <c r="V786" s="4">
        <v>433.82</v>
      </c>
      <c r="W786" s="4">
        <v>2</v>
      </c>
      <c r="X786" s="5">
        <v>2014</v>
      </c>
      <c r="Y786" s="5" t="s">
        <v>29</v>
      </c>
      <c r="Z786" s="5" t="s">
        <v>30</v>
      </c>
      <c r="AA786" s="5">
        <v>732</v>
      </c>
    </row>
    <row r="787" spans="1:27">
      <c r="A787" s="3" t="s">
        <v>37</v>
      </c>
      <c r="B787" s="3" t="s">
        <v>690</v>
      </c>
      <c r="C787" s="3">
        <v>1980</v>
      </c>
      <c r="D787" s="3" t="s">
        <v>77</v>
      </c>
      <c r="E787" s="3">
        <v>73.75</v>
      </c>
      <c r="F787" s="3">
        <v>0.72099999999999997</v>
      </c>
      <c r="G787" s="3">
        <v>4</v>
      </c>
      <c r="H787" s="1">
        <v>297.5</v>
      </c>
      <c r="I787" s="1">
        <v>297.5</v>
      </c>
      <c r="J787" s="1">
        <v>297.5</v>
      </c>
      <c r="K787" s="4" t="e">
        <f t="array" aca="1" ref="K787">MAX(H787:J787*(1-strike(H787:J787)))</f>
        <v>#NAME?</v>
      </c>
      <c r="L787" s="3">
        <v>190</v>
      </c>
      <c r="M787" s="3">
        <v>200</v>
      </c>
      <c r="N787" s="1">
        <v>215</v>
      </c>
      <c r="O787" s="4" t="e">
        <f t="array" aca="1" ref="O787">MAX(L787:N787*(1-strike(L787:N787)))</f>
        <v>#NAME?</v>
      </c>
      <c r="P787" s="3">
        <v>250</v>
      </c>
      <c r="Q787" s="3">
        <v>260</v>
      </c>
      <c r="R787" s="1">
        <v>270</v>
      </c>
      <c r="S787" s="4" t="e">
        <f t="array" aca="1" ref="S787">MAX(P787:R787*(1-strike(P787:R787)))</f>
        <v>#NAME?</v>
      </c>
      <c r="T787" s="4" t="e">
        <f t="shared" si="12"/>
        <v>#NAME?</v>
      </c>
      <c r="U787" s="3" t="s">
        <v>40</v>
      </c>
      <c r="V787" s="3" t="s">
        <v>37</v>
      </c>
      <c r="W787" s="3" t="s">
        <v>37</v>
      </c>
      <c r="X787" s="5">
        <v>2012</v>
      </c>
      <c r="Y787" s="5" t="s">
        <v>29</v>
      </c>
      <c r="Z787" s="5" t="s">
        <v>171</v>
      </c>
      <c r="AA787" s="5">
        <v>1230</v>
      </c>
    </row>
    <row r="788" spans="1:27">
      <c r="A788" s="3">
        <v>8</v>
      </c>
      <c r="B788" s="3" t="s">
        <v>690</v>
      </c>
      <c r="C788" s="3">
        <v>1980</v>
      </c>
      <c r="D788" s="3" t="s">
        <v>77</v>
      </c>
      <c r="E788" s="3">
        <v>73.94</v>
      </c>
      <c r="F788" s="3">
        <v>0.71970000000000001</v>
      </c>
      <c r="G788" s="3">
        <v>7</v>
      </c>
      <c r="H788" s="3">
        <v>275</v>
      </c>
      <c r="I788" s="3">
        <v>287.5</v>
      </c>
      <c r="J788" s="3">
        <v>295</v>
      </c>
      <c r="K788" s="4" t="e">
        <f t="array" aca="1" ref="K788">MAX(H788:J788*(1-strike(H788:J788)))</f>
        <v>#NAME?</v>
      </c>
      <c r="L788" s="3">
        <v>205</v>
      </c>
      <c r="M788" s="1">
        <v>210</v>
      </c>
      <c r="N788" s="1">
        <v>210</v>
      </c>
      <c r="O788" s="4" t="e">
        <f t="array" aca="1" ref="O788">MAX(L788:N788*(1-strike(L788:N788)))</f>
        <v>#NAME?</v>
      </c>
      <c r="P788" s="3">
        <v>240</v>
      </c>
      <c r="Q788" s="1">
        <v>250</v>
      </c>
      <c r="R788" s="1">
        <v>250</v>
      </c>
      <c r="S788" s="4" t="e">
        <f t="array" aca="1" ref="S788">MAX(P788:R788*(1-strike(P788:R788)))</f>
        <v>#NAME?</v>
      </c>
      <c r="T788" s="4" t="e">
        <f t="shared" si="12"/>
        <v>#NAME?</v>
      </c>
      <c r="U788" s="3">
        <v>740</v>
      </c>
      <c r="V788" s="3">
        <v>532.58000000000004</v>
      </c>
      <c r="W788" s="3">
        <v>3</v>
      </c>
      <c r="X788" s="5">
        <v>2013</v>
      </c>
      <c r="Y788" s="5" t="s">
        <v>29</v>
      </c>
      <c r="Z788" s="5" t="s">
        <v>171</v>
      </c>
      <c r="AA788" s="5">
        <v>843</v>
      </c>
    </row>
    <row r="789" spans="1:27">
      <c r="A789" s="4">
        <v>7</v>
      </c>
      <c r="B789" s="4" t="s">
        <v>690</v>
      </c>
      <c r="C789" s="4">
        <v>1980</v>
      </c>
      <c r="D789" s="4" t="s">
        <v>77</v>
      </c>
      <c r="E789" s="4">
        <v>73.44</v>
      </c>
      <c r="F789" s="4">
        <v>0.72350000000000003</v>
      </c>
      <c r="G789" s="4">
        <v>1</v>
      </c>
      <c r="H789" s="4">
        <v>290</v>
      </c>
      <c r="I789" s="6">
        <v>305</v>
      </c>
      <c r="J789" s="6">
        <v>305</v>
      </c>
      <c r="K789" s="4" t="e">
        <f t="array" aca="1" ref="K789">MAX(H789:J789*(1-strike(H789:J789)))</f>
        <v>#NAME?</v>
      </c>
      <c r="L789" s="4">
        <v>200</v>
      </c>
      <c r="M789" s="4">
        <v>207.5</v>
      </c>
      <c r="N789" s="6">
        <v>210</v>
      </c>
      <c r="O789" s="4" t="e">
        <f t="array" aca="1" ref="O789">MAX(L789:N789*(1-strike(L789:N789)))</f>
        <v>#NAME?</v>
      </c>
      <c r="P789" s="4">
        <v>240</v>
      </c>
      <c r="Q789" s="4">
        <v>250</v>
      </c>
      <c r="R789" s="6">
        <v>260</v>
      </c>
      <c r="S789" s="4" t="e">
        <f t="array" aca="1" ref="S789">MAX(P789:R789*(1-strike(P789:R789)))</f>
        <v>#NAME?</v>
      </c>
      <c r="T789" s="4" t="e">
        <f t="shared" si="12"/>
        <v>#NAME?</v>
      </c>
      <c r="U789" s="4">
        <v>747.5</v>
      </c>
      <c r="V789" s="4">
        <v>540.82000000000005</v>
      </c>
      <c r="W789" s="4">
        <v>4</v>
      </c>
      <c r="X789" s="5">
        <v>2014</v>
      </c>
      <c r="Y789" s="5" t="s">
        <v>29</v>
      </c>
      <c r="Z789" s="5" t="s">
        <v>171</v>
      </c>
      <c r="AA789" s="5">
        <v>467</v>
      </c>
    </row>
    <row r="790" spans="1:27">
      <c r="A790" s="4">
        <v>9</v>
      </c>
      <c r="B790" s="4" t="s">
        <v>690</v>
      </c>
      <c r="C790" s="4">
        <v>1980</v>
      </c>
      <c r="D790" s="4" t="s">
        <v>77</v>
      </c>
      <c r="E790" s="4">
        <v>73.19</v>
      </c>
      <c r="F790" s="4">
        <v>0.72499999999999998</v>
      </c>
      <c r="G790" s="4">
        <v>2</v>
      </c>
      <c r="H790" s="4">
        <v>290</v>
      </c>
      <c r="I790" s="6">
        <v>305</v>
      </c>
      <c r="J790" s="6">
        <v>305</v>
      </c>
      <c r="K790" s="4" t="e">
        <f t="array" aca="1" ref="K790">MAX(H790:J790*(1-strike(H790:J790)))</f>
        <v>#NAME?</v>
      </c>
      <c r="L790" s="4">
        <v>210</v>
      </c>
      <c r="M790" s="4">
        <v>217.5</v>
      </c>
      <c r="N790" s="4">
        <v>222.5</v>
      </c>
      <c r="O790" s="4" t="e">
        <f t="array" aca="1" ref="O790">MAX(L790:N790*(1-strike(L790:N790)))</f>
        <v>#NAME?</v>
      </c>
      <c r="P790" s="6">
        <v>250</v>
      </c>
      <c r="Q790" s="4">
        <v>250</v>
      </c>
      <c r="R790" s="6">
        <v>260</v>
      </c>
      <c r="S790" s="4" t="e">
        <f t="array" aca="1" ref="S790">MAX(P790:R790*(1-strike(P790:R790)))</f>
        <v>#NAME?</v>
      </c>
      <c r="T790" s="4" t="e">
        <f t="shared" si="12"/>
        <v>#NAME?</v>
      </c>
      <c r="U790" s="4">
        <v>762.5</v>
      </c>
      <c r="V790" s="4">
        <v>552.80999999999995</v>
      </c>
      <c r="W790" s="4">
        <v>2</v>
      </c>
      <c r="X790" s="5">
        <v>2015</v>
      </c>
      <c r="Y790" s="5" t="s">
        <v>29</v>
      </c>
      <c r="Z790" s="5" t="s">
        <v>171</v>
      </c>
      <c r="AA790" s="5">
        <v>31</v>
      </c>
    </row>
    <row r="791" spans="1:27" ht="15" customHeight="1">
      <c r="A791" s="3">
        <v>8</v>
      </c>
      <c r="B791" s="3" t="s">
        <v>691</v>
      </c>
      <c r="C791" s="3">
        <v>1982</v>
      </c>
      <c r="D791" s="3" t="s">
        <v>239</v>
      </c>
      <c r="E791" s="3">
        <v>104.45</v>
      </c>
      <c r="F791" s="3">
        <v>0.59870000000000001</v>
      </c>
      <c r="G791" s="3">
        <v>14</v>
      </c>
      <c r="H791" s="3">
        <v>370</v>
      </c>
      <c r="I791" s="1">
        <v>392.5</v>
      </c>
      <c r="J791" s="1">
        <v>400</v>
      </c>
      <c r="K791" s="4" t="e">
        <f t="array" aca="1" ref="K791">MAX(H791:J791*(1-strike(H791:J791)))</f>
        <v>#NAME?</v>
      </c>
      <c r="L791" s="3">
        <v>210</v>
      </c>
      <c r="M791" s="3">
        <v>220</v>
      </c>
      <c r="N791" s="1">
        <v>225</v>
      </c>
      <c r="O791" s="4" t="e">
        <f t="array" aca="1" ref="O791">MAX(L791:N791*(1-strike(L791:N791)))</f>
        <v>#NAME?</v>
      </c>
      <c r="P791" s="1">
        <v>305</v>
      </c>
      <c r="Q791" s="3">
        <v>305</v>
      </c>
      <c r="R791" s="1">
        <v>322.5</v>
      </c>
      <c r="S791" s="4" t="e">
        <f t="array" aca="1" ref="S791">MAX(P791:R791*(1-strike(P791:R791)))</f>
        <v>#NAME?</v>
      </c>
      <c r="T791" s="4" t="e">
        <f t="shared" si="12"/>
        <v>#NAME?</v>
      </c>
      <c r="U791" s="3">
        <v>895</v>
      </c>
      <c r="V791" s="3">
        <v>535.83000000000004</v>
      </c>
      <c r="W791" s="3">
        <v>3</v>
      </c>
      <c r="X791" s="5">
        <v>2012</v>
      </c>
      <c r="Y791" s="5" t="s">
        <v>29</v>
      </c>
      <c r="Z791" s="5" t="s">
        <v>171</v>
      </c>
      <c r="AA791" s="5">
        <v>1285</v>
      </c>
    </row>
    <row r="792" spans="1:27" ht="15" customHeight="1">
      <c r="A792" s="3">
        <v>7</v>
      </c>
      <c r="B792" s="3" t="s">
        <v>691</v>
      </c>
      <c r="C792" s="3">
        <v>1982</v>
      </c>
      <c r="D792" s="3" t="s">
        <v>239</v>
      </c>
      <c r="E792" s="3">
        <v>104.36</v>
      </c>
      <c r="F792" s="3">
        <v>0.5988</v>
      </c>
      <c r="G792" s="3">
        <v>10</v>
      </c>
      <c r="H792" s="3">
        <v>360</v>
      </c>
      <c r="I792" s="3">
        <v>372.5</v>
      </c>
      <c r="J792" s="1">
        <v>392.5</v>
      </c>
      <c r="K792" s="4" t="e">
        <f t="array" aca="1" ref="K792">MAX(H792:J792*(1-strike(H792:J792)))</f>
        <v>#NAME?</v>
      </c>
      <c r="L792" s="3">
        <v>210</v>
      </c>
      <c r="M792" s="3">
        <v>222.5</v>
      </c>
      <c r="N792" s="3">
        <v>227.5</v>
      </c>
      <c r="O792" s="4" t="e">
        <f t="array" aca="1" ref="O792">MAX(L792:N792*(1-strike(L792:N792)))</f>
        <v>#NAME?</v>
      </c>
      <c r="P792" s="3">
        <v>305</v>
      </c>
      <c r="Q792" s="1">
        <v>312.5</v>
      </c>
      <c r="R792" s="3">
        <v>312.5</v>
      </c>
      <c r="S792" s="4" t="e">
        <f t="array" aca="1" ref="S792">MAX(P792:R792*(1-strike(P792:R792)))</f>
        <v>#NAME?</v>
      </c>
      <c r="T792" s="4" t="e">
        <f t="shared" si="12"/>
        <v>#NAME?</v>
      </c>
      <c r="U792" s="3">
        <v>912.5</v>
      </c>
      <c r="V792" s="3">
        <v>546.4</v>
      </c>
      <c r="W792" s="3">
        <v>4</v>
      </c>
      <c r="X792" s="5">
        <v>2013</v>
      </c>
      <c r="Y792" s="5" t="s">
        <v>29</v>
      </c>
      <c r="Z792" s="5" t="s">
        <v>171</v>
      </c>
      <c r="AA792" s="5">
        <v>888</v>
      </c>
    </row>
    <row r="793" spans="1:27">
      <c r="A793" s="4">
        <v>10</v>
      </c>
      <c r="B793" s="4" t="s">
        <v>691</v>
      </c>
      <c r="C793" s="4">
        <v>1982</v>
      </c>
      <c r="D793" s="4" t="s">
        <v>239</v>
      </c>
      <c r="E793" s="4">
        <v>118.84</v>
      </c>
      <c r="F793" s="4">
        <v>0.57630000000000003</v>
      </c>
      <c r="G793" s="4">
        <v>2</v>
      </c>
      <c r="H793" s="4">
        <v>375</v>
      </c>
      <c r="I793" s="4">
        <v>385</v>
      </c>
      <c r="J793" s="4">
        <v>390</v>
      </c>
      <c r="K793" s="4" t="e">
        <f t="array" aca="1" ref="K793">MAX(H793:J793*(1-strike(H793:J793)))</f>
        <v>#NAME?</v>
      </c>
      <c r="L793" s="4">
        <v>235</v>
      </c>
      <c r="M793" s="4">
        <v>242.5</v>
      </c>
      <c r="N793" s="4">
        <v>247.5</v>
      </c>
      <c r="O793" s="4" t="e">
        <f t="array" aca="1" ref="O793">MAX(L793:N793*(1-strike(L793:N793)))</f>
        <v>#NAME?</v>
      </c>
      <c r="P793" s="4">
        <v>310</v>
      </c>
      <c r="Q793" s="4">
        <v>325</v>
      </c>
      <c r="R793" s="6">
        <v>332.5</v>
      </c>
      <c r="S793" s="4" t="e">
        <f t="array" aca="1" ref="S793">MAX(P793:R793*(1-strike(P793:R793)))</f>
        <v>#NAME?</v>
      </c>
      <c r="T793" s="4" t="e">
        <f t="shared" si="12"/>
        <v>#NAME?</v>
      </c>
      <c r="U793" s="4">
        <v>962.5</v>
      </c>
      <c r="V793" s="4">
        <v>554.69000000000005</v>
      </c>
      <c r="W793" s="4">
        <v>1</v>
      </c>
      <c r="X793" s="5">
        <v>2014</v>
      </c>
      <c r="Y793" s="5" t="s">
        <v>29</v>
      </c>
      <c r="Z793" s="5" t="s">
        <v>171</v>
      </c>
      <c r="AA793" s="5">
        <v>542</v>
      </c>
    </row>
    <row r="794" spans="1:27">
      <c r="A794" s="4" t="s">
        <v>37</v>
      </c>
      <c r="B794" s="4" t="s">
        <v>691</v>
      </c>
      <c r="C794" s="4">
        <v>1982</v>
      </c>
      <c r="D794" s="4" t="s">
        <v>239</v>
      </c>
      <c r="E794" s="4">
        <v>0</v>
      </c>
      <c r="F794" s="7">
        <v>13354</v>
      </c>
      <c r="G794" s="4">
        <v>4</v>
      </c>
      <c r="H794" s="4"/>
      <c r="I794" s="4"/>
      <c r="J794" s="4"/>
      <c r="K794" s="4" t="e">
        <f t="array" aca="1" ref="K794">MAX(H794:J794*(1-strike(H794:J794)))</f>
        <v>#NAME?</v>
      </c>
      <c r="L794" s="4"/>
      <c r="M794" s="4"/>
      <c r="N794" s="4"/>
      <c r="O794" s="4" t="e">
        <f t="array" aca="1" ref="O794">MAX(L794:N794*(1-strike(L794:N794)))</f>
        <v>#NAME?</v>
      </c>
      <c r="P794" s="4"/>
      <c r="Q794" s="4"/>
      <c r="R794" s="4"/>
      <c r="S794" s="4" t="e">
        <f t="array" aca="1" ref="S794">MAX(P794:R794*(1-strike(P794:R794)))</f>
        <v>#NAME?</v>
      </c>
      <c r="T794" s="4" t="e">
        <f t="shared" si="12"/>
        <v>#NAME?</v>
      </c>
      <c r="U794" s="4" t="s">
        <v>692</v>
      </c>
      <c r="V794" s="4" t="s">
        <v>37</v>
      </c>
      <c r="W794" s="4" t="s">
        <v>37</v>
      </c>
      <c r="X794" s="5">
        <v>2015</v>
      </c>
      <c r="Y794" s="5" t="s">
        <v>29</v>
      </c>
      <c r="Z794" s="5" t="s">
        <v>171</v>
      </c>
      <c r="AA794" s="5">
        <v>111</v>
      </c>
    </row>
    <row r="795" spans="1:27">
      <c r="A795" s="3" t="s">
        <v>37</v>
      </c>
      <c r="B795" s="3" t="s">
        <v>693</v>
      </c>
      <c r="C795" s="3">
        <v>1970</v>
      </c>
      <c r="D795" s="3" t="s">
        <v>56</v>
      </c>
      <c r="E795" s="3">
        <v>90.85</v>
      </c>
      <c r="F795" s="3">
        <v>0.63539999999999996</v>
      </c>
      <c r="G795" s="3">
        <v>5</v>
      </c>
      <c r="H795" s="3">
        <v>207.5</v>
      </c>
      <c r="I795" s="3">
        <v>220</v>
      </c>
      <c r="J795" s="1">
        <v>230</v>
      </c>
      <c r="K795" s="4" t="e">
        <f t="array" aca="1" ref="K795">MAX(H795:J795*(1-strike(H795:J795)))</f>
        <v>#NAME?</v>
      </c>
      <c r="L795" s="1">
        <v>170</v>
      </c>
      <c r="M795" s="1">
        <v>170</v>
      </c>
      <c r="N795" s="1">
        <v>170</v>
      </c>
      <c r="O795" s="4" t="e">
        <f t="array" aca="1" ref="O795">MAX(L795:N795*(1-strike(L795:N795)))</f>
        <v>#NAME?</v>
      </c>
      <c r="P795" s="3">
        <v>230</v>
      </c>
      <c r="Q795" s="1">
        <v>255</v>
      </c>
      <c r="R795" s="1">
        <v>255</v>
      </c>
      <c r="S795" s="4" t="e">
        <f t="array" aca="1" ref="S795">MAX(P795:R795*(1-strike(P795:R795)))</f>
        <v>#NAME?</v>
      </c>
      <c r="T795" s="4" t="e">
        <f t="shared" si="12"/>
        <v>#NAME?</v>
      </c>
      <c r="U795" s="3" t="s">
        <v>40</v>
      </c>
      <c r="V795" s="3" t="s">
        <v>37</v>
      </c>
      <c r="W795" s="3" t="s">
        <v>37</v>
      </c>
      <c r="X795" s="5">
        <v>2013</v>
      </c>
      <c r="Y795" s="5" t="s">
        <v>29</v>
      </c>
      <c r="Z795" s="5" t="s">
        <v>30</v>
      </c>
      <c r="AA795" s="5">
        <v>1067</v>
      </c>
    </row>
    <row r="796" spans="1:27">
      <c r="A796" s="4" t="s">
        <v>37</v>
      </c>
      <c r="B796" s="4" t="s">
        <v>694</v>
      </c>
      <c r="C796" s="4">
        <v>1992</v>
      </c>
      <c r="D796" s="4" t="s">
        <v>125</v>
      </c>
      <c r="E796" s="4">
        <v>114.13</v>
      </c>
      <c r="F796" s="4">
        <v>0.58220000000000005</v>
      </c>
      <c r="G796" s="4">
        <v>3</v>
      </c>
      <c r="H796" s="6">
        <v>365</v>
      </c>
      <c r="I796" s="6">
        <v>377.5</v>
      </c>
      <c r="J796" s="6">
        <v>377.5</v>
      </c>
      <c r="K796" s="4" t="e">
        <f t="array" aca="1" ref="K796">MAX(H796:J796*(1-strike(H796:J796)))</f>
        <v>#NAME?</v>
      </c>
      <c r="L796" s="4">
        <v>235</v>
      </c>
      <c r="M796" s="4">
        <v>242.5</v>
      </c>
      <c r="N796" s="6">
        <v>250</v>
      </c>
      <c r="O796" s="4" t="e">
        <f t="array" aca="1" ref="O796">MAX(L796:N796*(1-strike(L796:N796)))</f>
        <v>#NAME?</v>
      </c>
      <c r="P796" s="4">
        <v>290</v>
      </c>
      <c r="Q796" s="6">
        <v>310</v>
      </c>
      <c r="R796" s="6">
        <v>317.5</v>
      </c>
      <c r="S796" s="4" t="e">
        <f t="array" aca="1" ref="S796">MAX(P796:R796*(1-strike(P796:R796)))</f>
        <v>#NAME?</v>
      </c>
      <c r="T796" s="4" t="e">
        <f t="shared" si="12"/>
        <v>#NAME?</v>
      </c>
      <c r="U796" s="4" t="s">
        <v>187</v>
      </c>
      <c r="V796" s="4" t="s">
        <v>37</v>
      </c>
      <c r="W796" s="4" t="s">
        <v>37</v>
      </c>
      <c r="X796" s="5">
        <v>2015</v>
      </c>
      <c r="Y796" s="5" t="s">
        <v>29</v>
      </c>
      <c r="Z796" s="5" t="s">
        <v>171</v>
      </c>
      <c r="AA796" s="5">
        <v>106</v>
      </c>
    </row>
    <row r="797" spans="1:27">
      <c r="A797" s="3">
        <v>7</v>
      </c>
      <c r="B797" s="3" t="s">
        <v>695</v>
      </c>
      <c r="C797" s="3">
        <v>1982</v>
      </c>
      <c r="D797" s="3" t="s">
        <v>51</v>
      </c>
      <c r="E797" s="3">
        <v>82.87</v>
      </c>
      <c r="F797" s="3">
        <v>0.66820000000000002</v>
      </c>
      <c r="G797" s="3">
        <v>16</v>
      </c>
      <c r="H797" s="3">
        <v>315</v>
      </c>
      <c r="I797" s="3">
        <v>325</v>
      </c>
      <c r="J797" s="3">
        <v>332.5</v>
      </c>
      <c r="K797" s="4" t="e">
        <f t="array" aca="1" ref="K797">MAX(H797:J797*(1-strike(H797:J797)))</f>
        <v>#NAME?</v>
      </c>
      <c r="L797" s="1">
        <v>225</v>
      </c>
      <c r="M797" s="3">
        <v>225</v>
      </c>
      <c r="N797" s="3">
        <v>230</v>
      </c>
      <c r="O797" s="4" t="e">
        <f t="array" aca="1" ref="O797">MAX(L797:N797*(1-strike(L797:N797)))</f>
        <v>#NAME?</v>
      </c>
      <c r="P797" s="3">
        <v>285</v>
      </c>
      <c r="Q797" s="3">
        <v>295</v>
      </c>
      <c r="R797" s="1">
        <v>302.5</v>
      </c>
      <c r="S797" s="4" t="e">
        <f t="array" aca="1" ref="S797">MAX(P797:R797*(1-strike(P797:R797)))</f>
        <v>#NAME?</v>
      </c>
      <c r="T797" s="4" t="e">
        <f t="shared" si="12"/>
        <v>#NAME?</v>
      </c>
      <c r="U797" s="3">
        <v>857.5</v>
      </c>
      <c r="V797" s="3">
        <v>572.92999999999995</v>
      </c>
      <c r="W797" s="3">
        <v>4</v>
      </c>
      <c r="X797" s="5">
        <v>2012</v>
      </c>
      <c r="Y797" s="5" t="s">
        <v>29</v>
      </c>
      <c r="Z797" s="5" t="s">
        <v>171</v>
      </c>
      <c r="AA797" s="5">
        <v>1240</v>
      </c>
    </row>
    <row r="798" spans="1:27" ht="15" customHeight="1">
      <c r="A798" s="3">
        <v>8</v>
      </c>
      <c r="B798" s="3" t="s">
        <v>695</v>
      </c>
      <c r="C798" s="3">
        <v>1982</v>
      </c>
      <c r="D798" s="3" t="s">
        <v>51</v>
      </c>
      <c r="E798" s="3">
        <v>90.5</v>
      </c>
      <c r="F798" s="3">
        <v>0.63660000000000005</v>
      </c>
      <c r="G798" s="3">
        <v>0</v>
      </c>
      <c r="H798" s="1">
        <v>340</v>
      </c>
      <c r="I798" s="3">
        <v>340</v>
      </c>
      <c r="J798" s="1">
        <v>355</v>
      </c>
      <c r="K798" s="4" t="e">
        <f t="array" aca="1" ref="K798">MAX(H798:J798*(1-strike(H798:J798)))</f>
        <v>#NAME?</v>
      </c>
      <c r="L798" s="3">
        <v>240</v>
      </c>
      <c r="M798" s="3">
        <v>250</v>
      </c>
      <c r="N798" s="3">
        <v>255</v>
      </c>
      <c r="O798" s="4" t="e">
        <f t="array" aca="1" ref="O798">MAX(L798:N798*(1-strike(L798:N798)))</f>
        <v>#NAME?</v>
      </c>
      <c r="P798" s="3">
        <v>290</v>
      </c>
      <c r="Q798" s="3">
        <v>300</v>
      </c>
      <c r="R798" s="1">
        <v>307.5</v>
      </c>
      <c r="S798" s="4" t="e">
        <f t="array" aca="1" ref="S798">MAX(P798:R798*(1-strike(P798:R798)))</f>
        <v>#NAME?</v>
      </c>
      <c r="T798" s="4" t="e">
        <f t="shared" si="12"/>
        <v>#NAME?</v>
      </c>
      <c r="U798" s="3">
        <v>895</v>
      </c>
      <c r="V798" s="3">
        <v>569.76</v>
      </c>
      <c r="W798" s="3">
        <v>3</v>
      </c>
      <c r="X798" s="5">
        <v>2013</v>
      </c>
      <c r="Y798" s="5" t="s">
        <v>29</v>
      </c>
      <c r="Z798" s="5" t="s">
        <v>171</v>
      </c>
      <c r="AA798" s="5">
        <v>870</v>
      </c>
    </row>
    <row r="799" spans="1:27">
      <c r="A799" s="4">
        <v>8</v>
      </c>
      <c r="B799" s="4" t="s">
        <v>695</v>
      </c>
      <c r="C799" s="4">
        <v>1982</v>
      </c>
      <c r="D799" s="4" t="s">
        <v>51</v>
      </c>
      <c r="E799" s="4">
        <v>91.83</v>
      </c>
      <c r="F799" s="4">
        <v>0.63200000000000001</v>
      </c>
      <c r="G799" s="4">
        <v>4</v>
      </c>
      <c r="H799" s="4">
        <v>350</v>
      </c>
      <c r="I799" s="4">
        <v>362.5</v>
      </c>
      <c r="J799" s="6">
        <v>370</v>
      </c>
      <c r="K799" s="4" t="e">
        <f t="array" aca="1" ref="K799">MAX(H799:J799*(1-strike(H799:J799)))</f>
        <v>#NAME?</v>
      </c>
      <c r="L799" s="4">
        <v>250</v>
      </c>
      <c r="M799" s="4">
        <v>257.5</v>
      </c>
      <c r="N799" s="4">
        <v>262.5</v>
      </c>
      <c r="O799" s="4" t="e">
        <f t="array" aca="1" ref="O799">MAX(L799:N799*(1-strike(L799:N799)))</f>
        <v>#NAME?</v>
      </c>
      <c r="P799" s="4">
        <v>282.5</v>
      </c>
      <c r="Q799" s="4">
        <v>292.5</v>
      </c>
      <c r="R799" s="6">
        <v>302.5</v>
      </c>
      <c r="S799" s="4" t="e">
        <f t="array" aca="1" ref="S799">MAX(P799:R799*(1-strike(P799:R799)))</f>
        <v>#NAME?</v>
      </c>
      <c r="T799" s="4" t="e">
        <f t="shared" si="12"/>
        <v>#NAME?</v>
      </c>
      <c r="U799" s="4">
        <v>917.5</v>
      </c>
      <c r="V799" s="4">
        <v>579.86</v>
      </c>
      <c r="W799" s="4">
        <v>3</v>
      </c>
      <c r="X799" s="5">
        <v>2015</v>
      </c>
      <c r="Y799" s="5" t="s">
        <v>29</v>
      </c>
      <c r="Z799" s="5" t="s">
        <v>171</v>
      </c>
      <c r="AA799" s="5">
        <v>62</v>
      </c>
    </row>
    <row r="800" spans="1:27">
      <c r="A800" s="4" t="s">
        <v>37</v>
      </c>
      <c r="B800" s="4" t="s">
        <v>696</v>
      </c>
      <c r="C800" s="4">
        <v>1990</v>
      </c>
      <c r="D800" s="4" t="s">
        <v>39</v>
      </c>
      <c r="E800" s="4">
        <v>104.2</v>
      </c>
      <c r="F800" s="4">
        <v>0.59919999999999995</v>
      </c>
      <c r="G800" s="4">
        <v>13</v>
      </c>
      <c r="H800" s="6">
        <v>370</v>
      </c>
      <c r="I800" s="6">
        <v>370</v>
      </c>
      <c r="J800" s="6">
        <v>370</v>
      </c>
      <c r="K800" s="4" t="e">
        <f t="array" aca="1" ref="K800">MAX(H800:J800*(1-strike(H800:J800)))</f>
        <v>#NAME?</v>
      </c>
      <c r="L800" s="6">
        <v>245</v>
      </c>
      <c r="M800" s="4">
        <v>245</v>
      </c>
      <c r="N800" s="6">
        <v>250</v>
      </c>
      <c r="O800" s="4" t="e">
        <f t="array" aca="1" ref="O800">MAX(L800:N800*(1-strike(L800:N800)))</f>
        <v>#NAME?</v>
      </c>
      <c r="P800" s="4">
        <v>300</v>
      </c>
      <c r="Q800" s="6">
        <v>315</v>
      </c>
      <c r="R800" s="4"/>
      <c r="S800" s="4" t="e">
        <f t="array" aca="1" ref="S800">MAX(P800:R800*(1-strike(P800:R800)))</f>
        <v>#NAME?</v>
      </c>
      <c r="T800" s="4" t="e">
        <f t="shared" si="12"/>
        <v>#NAME?</v>
      </c>
      <c r="U800" s="4" t="s">
        <v>187</v>
      </c>
      <c r="V800" s="4" t="s">
        <v>37</v>
      </c>
      <c r="W800" s="4" t="s">
        <v>37</v>
      </c>
      <c r="X800" s="5">
        <v>2014</v>
      </c>
      <c r="Y800" s="5" t="s">
        <v>29</v>
      </c>
      <c r="Z800" s="5" t="s">
        <v>171</v>
      </c>
      <c r="AA800" s="5">
        <v>530</v>
      </c>
    </row>
    <row r="801" spans="1:27">
      <c r="A801" s="4">
        <v>13</v>
      </c>
      <c r="B801" s="4" t="s">
        <v>696</v>
      </c>
      <c r="C801" s="4">
        <v>1990</v>
      </c>
      <c r="D801" s="4" t="s">
        <v>39</v>
      </c>
      <c r="E801" s="4">
        <v>104.37</v>
      </c>
      <c r="F801" s="4">
        <v>0.5988</v>
      </c>
      <c r="G801" s="4">
        <v>5</v>
      </c>
      <c r="H801" s="4">
        <v>275</v>
      </c>
      <c r="I801" s="6">
        <v>280</v>
      </c>
      <c r="J801" s="4"/>
      <c r="K801" s="4" t="e">
        <f t="array" aca="1" ref="K801">MAX(H801:J801*(1-strike(H801:J801)))</f>
        <v>#NAME?</v>
      </c>
      <c r="L801" s="4">
        <v>165</v>
      </c>
      <c r="M801" s="6">
        <v>172.5</v>
      </c>
      <c r="N801" s="4">
        <v>172.5</v>
      </c>
      <c r="O801" s="4" t="e">
        <f t="array" aca="1" ref="O801">MAX(L801:N801*(1-strike(L801:N801)))</f>
        <v>#NAME?</v>
      </c>
      <c r="P801" s="4">
        <v>270</v>
      </c>
      <c r="Q801" s="4">
        <v>277.5</v>
      </c>
      <c r="R801" s="4"/>
      <c r="S801" s="4" t="e">
        <f t="array" aca="1" ref="S801">MAX(P801:R801*(1-strike(P801:R801)))</f>
        <v>#NAME?</v>
      </c>
      <c r="T801" s="4" t="e">
        <f t="shared" si="12"/>
        <v>#NAME?</v>
      </c>
      <c r="U801" s="4">
        <v>725</v>
      </c>
      <c r="V801" s="4">
        <v>434.13</v>
      </c>
      <c r="W801" s="4">
        <v>1</v>
      </c>
      <c r="X801" s="5">
        <v>2015</v>
      </c>
      <c r="Y801" s="5" t="s">
        <v>29</v>
      </c>
      <c r="Z801" s="5" t="s">
        <v>30</v>
      </c>
      <c r="AA801" s="5">
        <v>305</v>
      </c>
    </row>
    <row r="802" spans="1:27">
      <c r="A802" s="3">
        <v>14</v>
      </c>
      <c r="B802" s="3" t="s">
        <v>697</v>
      </c>
      <c r="C802" s="3">
        <v>1973</v>
      </c>
      <c r="D802" s="3" t="s">
        <v>485</v>
      </c>
      <c r="E802" s="3">
        <v>101.77</v>
      </c>
      <c r="F802" s="3">
        <v>0.60450000000000004</v>
      </c>
      <c r="G802" s="3">
        <v>21</v>
      </c>
      <c r="H802" s="3">
        <v>295</v>
      </c>
      <c r="I802" s="3">
        <v>307.5</v>
      </c>
      <c r="J802" s="1">
        <v>312.5</v>
      </c>
      <c r="K802" s="4" t="e">
        <f t="array" aca="1" ref="K802">MAX(H802:J802*(1-strike(H802:J802)))</f>
        <v>#NAME?</v>
      </c>
      <c r="L802" s="3">
        <v>230</v>
      </c>
      <c r="M802" s="3">
        <v>242.5</v>
      </c>
      <c r="N802" s="3">
        <v>247.5</v>
      </c>
      <c r="O802" s="4" t="e">
        <f t="array" aca="1" ref="O802">MAX(L802:N802*(1-strike(L802:N802)))</f>
        <v>#NAME?</v>
      </c>
      <c r="P802" s="3">
        <v>260</v>
      </c>
      <c r="Q802" s="3">
        <v>270</v>
      </c>
      <c r="R802" s="1">
        <v>275</v>
      </c>
      <c r="S802" s="4" t="e">
        <f t="array" aca="1" ref="S802">MAX(P802:R802*(1-strike(P802:R802)))</f>
        <v>#NAME?</v>
      </c>
      <c r="T802" s="4" t="e">
        <f t="shared" si="12"/>
        <v>#NAME?</v>
      </c>
      <c r="U802" s="3">
        <v>825</v>
      </c>
      <c r="V802" s="3">
        <v>498.67</v>
      </c>
      <c r="W802" s="3">
        <v>1</v>
      </c>
      <c r="X802" s="5">
        <v>2012</v>
      </c>
      <c r="Y802" s="5" t="s">
        <v>29</v>
      </c>
      <c r="Z802" s="5" t="s">
        <v>171</v>
      </c>
      <c r="AA802" s="5">
        <v>1291</v>
      </c>
    </row>
    <row r="803" spans="1:27">
      <c r="A803" s="4" t="s">
        <v>37</v>
      </c>
      <c r="B803" s="4" t="s">
        <v>697</v>
      </c>
      <c r="C803" s="4">
        <v>1973</v>
      </c>
      <c r="D803" s="4" t="s">
        <v>485</v>
      </c>
      <c r="E803" s="4">
        <v>100.82</v>
      </c>
      <c r="F803" s="4">
        <v>0.60670000000000002</v>
      </c>
      <c r="G803" s="4">
        <v>10</v>
      </c>
      <c r="H803" s="6">
        <v>300</v>
      </c>
      <c r="I803" s="6">
        <v>300</v>
      </c>
      <c r="J803" s="6">
        <v>300</v>
      </c>
      <c r="K803" s="4" t="e">
        <f t="array" aca="1" ref="K803">MAX(H803:J803*(1-strike(H803:J803)))</f>
        <v>#NAME?</v>
      </c>
      <c r="L803" s="6">
        <v>245</v>
      </c>
      <c r="M803" s="6">
        <v>245</v>
      </c>
      <c r="N803" s="4">
        <v>245</v>
      </c>
      <c r="O803" s="4" t="e">
        <f t="array" aca="1" ref="O803">MAX(L803:N803*(1-strike(L803:N803)))</f>
        <v>#NAME?</v>
      </c>
      <c r="P803" s="4">
        <v>245</v>
      </c>
      <c r="Q803" s="4">
        <v>255</v>
      </c>
      <c r="R803" s="4">
        <v>260</v>
      </c>
      <c r="S803" s="4" t="e">
        <f t="array" aca="1" ref="S803">MAX(P803:R803*(1-strike(P803:R803)))</f>
        <v>#NAME?</v>
      </c>
      <c r="T803" s="4" t="e">
        <f t="shared" si="12"/>
        <v>#NAME?</v>
      </c>
      <c r="U803" s="4" t="s">
        <v>187</v>
      </c>
      <c r="V803" s="4" t="s">
        <v>37</v>
      </c>
      <c r="W803" s="4" t="s">
        <v>37</v>
      </c>
      <c r="X803" s="5">
        <v>2014</v>
      </c>
      <c r="Y803" s="5" t="s">
        <v>29</v>
      </c>
      <c r="Z803" s="5" t="s">
        <v>171</v>
      </c>
      <c r="AA803" s="5">
        <v>527</v>
      </c>
    </row>
    <row r="804" spans="1:27">
      <c r="A804" s="4">
        <v>4</v>
      </c>
      <c r="B804" s="4" t="s">
        <v>698</v>
      </c>
      <c r="C804" s="4">
        <v>1979</v>
      </c>
      <c r="D804" s="4" t="s">
        <v>80</v>
      </c>
      <c r="E804" s="4">
        <v>82.35</v>
      </c>
      <c r="F804" s="4">
        <v>0.67059999999999997</v>
      </c>
      <c r="G804" s="4">
        <v>21</v>
      </c>
      <c r="H804" s="4">
        <v>225</v>
      </c>
      <c r="I804" s="4">
        <v>237.5</v>
      </c>
      <c r="J804" s="4">
        <v>242.5</v>
      </c>
      <c r="K804" s="4" t="e">
        <f t="array" aca="1" ref="K804">MAX(H804:J804*(1-strike(H804:J804)))</f>
        <v>#NAME?</v>
      </c>
      <c r="L804" s="4">
        <v>155</v>
      </c>
      <c r="M804" s="4">
        <v>160</v>
      </c>
      <c r="N804" s="4">
        <v>165</v>
      </c>
      <c r="O804" s="4" t="e">
        <f t="array" aca="1" ref="O804">MAX(L804:N804*(1-strike(L804:N804)))</f>
        <v>#NAME?</v>
      </c>
      <c r="P804" s="4">
        <v>275</v>
      </c>
      <c r="Q804" s="4">
        <v>287.5</v>
      </c>
      <c r="R804" s="4">
        <v>290</v>
      </c>
      <c r="S804" s="4" t="e">
        <f t="array" aca="1" ref="S804">MAX(P804:R804*(1-strike(P804:R804)))</f>
        <v>#NAME?</v>
      </c>
      <c r="T804" s="4" t="e">
        <f t="shared" si="12"/>
        <v>#NAME?</v>
      </c>
      <c r="U804" s="4">
        <v>697.5</v>
      </c>
      <c r="V804" s="4">
        <v>467.78</v>
      </c>
      <c r="W804" s="4">
        <v>7</v>
      </c>
      <c r="X804" s="5">
        <v>2014</v>
      </c>
      <c r="Y804" s="5" t="s">
        <v>29</v>
      </c>
      <c r="Z804" s="5" t="s">
        <v>30</v>
      </c>
      <c r="AA804" s="5">
        <v>686</v>
      </c>
    </row>
    <row r="805" spans="1:27">
      <c r="A805" s="3">
        <v>7</v>
      </c>
      <c r="B805" s="3" t="s">
        <v>134</v>
      </c>
      <c r="C805" s="3">
        <v>1988</v>
      </c>
      <c r="D805" s="3" t="s">
        <v>51</v>
      </c>
      <c r="E805" s="3">
        <v>142.75</v>
      </c>
      <c r="F805" s="3">
        <v>0.55720000000000003</v>
      </c>
      <c r="G805" s="3">
        <v>27</v>
      </c>
      <c r="H805" s="3">
        <v>280</v>
      </c>
      <c r="I805" s="3">
        <v>295</v>
      </c>
      <c r="J805" s="3">
        <v>305</v>
      </c>
      <c r="K805" s="4" t="e">
        <f t="array" aca="1" ref="K805">MAX(H805:J805*(1-strike(H805:J805)))</f>
        <v>#NAME?</v>
      </c>
      <c r="L805" s="3">
        <v>190</v>
      </c>
      <c r="M805" s="3">
        <v>195</v>
      </c>
      <c r="N805" s="1">
        <v>200</v>
      </c>
      <c r="O805" s="4" t="e">
        <f t="array" aca="1" ref="O805">MAX(L805:N805*(1-strike(L805:N805)))</f>
        <v>#NAME?</v>
      </c>
      <c r="P805" s="3">
        <v>265</v>
      </c>
      <c r="Q805" s="1">
        <v>280</v>
      </c>
      <c r="R805" s="1">
        <v>282.5</v>
      </c>
      <c r="S805" s="4" t="e">
        <f t="array" aca="1" ref="S805">MAX(P805:R805*(1-strike(P805:R805)))</f>
        <v>#NAME?</v>
      </c>
      <c r="T805" s="4" t="e">
        <f t="shared" si="12"/>
        <v>#NAME?</v>
      </c>
      <c r="U805" s="3">
        <v>765</v>
      </c>
      <c r="V805" s="3">
        <v>426.26</v>
      </c>
      <c r="W805" s="3">
        <v>4</v>
      </c>
      <c r="X805" s="5">
        <v>2013</v>
      </c>
      <c r="Y805" s="5" t="s">
        <v>29</v>
      </c>
      <c r="Z805" s="5" t="s">
        <v>30</v>
      </c>
      <c r="AA805" s="5">
        <v>1115</v>
      </c>
    </row>
    <row r="806" spans="1:27">
      <c r="A806" s="3" t="s">
        <v>37</v>
      </c>
      <c r="B806" s="3" t="s">
        <v>699</v>
      </c>
      <c r="C806" s="3">
        <v>1988</v>
      </c>
      <c r="D806" s="3" t="s">
        <v>352</v>
      </c>
      <c r="E806" s="3">
        <v>73.540000000000006</v>
      </c>
      <c r="F806" s="3">
        <v>0.72250000000000003</v>
      </c>
      <c r="G806" s="3">
        <v>10</v>
      </c>
      <c r="H806" s="3">
        <v>300</v>
      </c>
      <c r="I806" s="3">
        <v>315</v>
      </c>
      <c r="J806" s="3">
        <v>322.5</v>
      </c>
      <c r="K806" s="4" t="e">
        <f t="array" aca="1" ref="K806">MAX(H806:J806*(1-strike(H806:J806)))</f>
        <v>#NAME?</v>
      </c>
      <c r="L806" s="3">
        <v>220</v>
      </c>
      <c r="M806" s="3">
        <v>230</v>
      </c>
      <c r="N806" s="3">
        <v>241</v>
      </c>
      <c r="O806" s="4" t="e">
        <f t="array" aca="1" ref="O806">MAX(L806:N806*(1-strike(L806:N806)))</f>
        <v>#NAME?</v>
      </c>
      <c r="P806" s="3">
        <v>290</v>
      </c>
      <c r="Q806" s="3">
        <v>302.5</v>
      </c>
      <c r="R806" s="3">
        <v>327.5</v>
      </c>
      <c r="S806" s="4" t="e">
        <f t="array" aca="1" ref="S806">MAX(P806:R806*(1-strike(P806:R806)))</f>
        <v>#NAME?</v>
      </c>
      <c r="T806" s="4" t="e">
        <f t="shared" si="12"/>
        <v>#NAME?</v>
      </c>
      <c r="U806" s="3" t="s">
        <v>361</v>
      </c>
      <c r="V806" s="3" t="s">
        <v>37</v>
      </c>
      <c r="W806" s="3" t="s">
        <v>37</v>
      </c>
      <c r="X806" s="5">
        <v>2012</v>
      </c>
      <c r="Y806" s="5" t="s">
        <v>29</v>
      </c>
      <c r="Z806" s="5" t="s">
        <v>171</v>
      </c>
      <c r="AA806" s="5">
        <v>1232</v>
      </c>
    </row>
    <row r="807" spans="1:27">
      <c r="A807" s="4">
        <v>8</v>
      </c>
      <c r="B807" s="4" t="s">
        <v>700</v>
      </c>
      <c r="C807" s="4">
        <v>1981</v>
      </c>
      <c r="D807" s="4" t="s">
        <v>194</v>
      </c>
      <c r="E807" s="4">
        <v>64.2</v>
      </c>
      <c r="F807" s="4">
        <v>0.80349999999999999</v>
      </c>
      <c r="G807" s="4">
        <v>17</v>
      </c>
      <c r="H807" s="4">
        <v>170</v>
      </c>
      <c r="I807" s="4">
        <v>185</v>
      </c>
      <c r="J807" s="6">
        <v>195</v>
      </c>
      <c r="K807" s="4" t="e">
        <f t="array" aca="1" ref="K807">MAX(H807:J807*(1-strike(H807:J807)))</f>
        <v>#NAME?</v>
      </c>
      <c r="L807" s="4">
        <v>120</v>
      </c>
      <c r="M807" s="4">
        <v>130</v>
      </c>
      <c r="N807" s="6">
        <v>137.5</v>
      </c>
      <c r="O807" s="4" t="e">
        <f t="array" aca="1" ref="O807">MAX(L807:N807*(1-strike(L807:N807)))</f>
        <v>#NAME?</v>
      </c>
      <c r="P807" s="4">
        <v>200</v>
      </c>
      <c r="Q807" s="4">
        <v>210</v>
      </c>
      <c r="R807" s="4">
        <v>220</v>
      </c>
      <c r="S807" s="4" t="e">
        <f t="array" aca="1" ref="S807">MAX(P807:R807*(1-strike(P807:R807)))</f>
        <v>#NAME?</v>
      </c>
      <c r="T807" s="4" t="e">
        <f t="shared" si="12"/>
        <v>#NAME?</v>
      </c>
      <c r="U807" s="4">
        <v>535</v>
      </c>
      <c r="V807" s="4">
        <v>429.87</v>
      </c>
      <c r="W807" s="4">
        <v>3</v>
      </c>
      <c r="X807" s="5">
        <v>2014</v>
      </c>
      <c r="Y807" s="5" t="s">
        <v>29</v>
      </c>
      <c r="Z807" s="5" t="s">
        <v>30</v>
      </c>
      <c r="AA807" s="5">
        <v>664</v>
      </c>
    </row>
    <row r="808" spans="1:27">
      <c r="A808" s="4">
        <v>11</v>
      </c>
      <c r="B808" s="4" t="s">
        <v>701</v>
      </c>
      <c r="C808" s="4">
        <v>1985</v>
      </c>
      <c r="D808" s="4" t="s">
        <v>62</v>
      </c>
      <c r="E808" s="4">
        <v>73</v>
      </c>
      <c r="F808" s="4">
        <v>0.72640000000000005</v>
      </c>
      <c r="G808" s="4">
        <v>13</v>
      </c>
      <c r="H808" s="4">
        <v>272.5</v>
      </c>
      <c r="I808" s="4">
        <v>280</v>
      </c>
      <c r="J808" s="6">
        <v>287.5</v>
      </c>
      <c r="K808" s="4" t="e">
        <f t="array" aca="1" ref="K808">MAX(H808:J808*(1-strike(H808:J808)))</f>
        <v>#NAME?</v>
      </c>
      <c r="L808" s="4">
        <v>195</v>
      </c>
      <c r="M808" s="4">
        <v>200</v>
      </c>
      <c r="N808" s="4">
        <v>205</v>
      </c>
      <c r="O808" s="4" t="e">
        <f t="array" aca="1" ref="O808">MAX(L808:N808*(1-strike(L808:N808)))</f>
        <v>#NAME?</v>
      </c>
      <c r="P808" s="4">
        <v>232.5</v>
      </c>
      <c r="Q808" s="6">
        <v>245</v>
      </c>
      <c r="R808" s="6">
        <v>245</v>
      </c>
      <c r="S808" s="4" t="e">
        <f t="array" aca="1" ref="S808">MAX(P808:R808*(1-strike(P808:R808)))</f>
        <v>#NAME?</v>
      </c>
      <c r="T808" s="4" t="e">
        <f t="shared" si="12"/>
        <v>#NAME?</v>
      </c>
      <c r="U808" s="4">
        <v>717.5</v>
      </c>
      <c r="V808" s="4">
        <v>521.19000000000005</v>
      </c>
      <c r="W808" s="4">
        <v>1</v>
      </c>
      <c r="X808" s="5">
        <v>2015</v>
      </c>
      <c r="Y808" s="5" t="s">
        <v>29</v>
      </c>
      <c r="Z808" s="5" t="s">
        <v>171</v>
      </c>
      <c r="AA808" s="5">
        <v>33</v>
      </c>
    </row>
    <row r="809" spans="1:27">
      <c r="A809" s="3">
        <v>12</v>
      </c>
      <c r="B809" s="3" t="s">
        <v>136</v>
      </c>
      <c r="C809" s="3">
        <v>1987</v>
      </c>
      <c r="D809" s="3" t="s">
        <v>137</v>
      </c>
      <c r="E809" s="3">
        <v>82.2</v>
      </c>
      <c r="F809" s="3">
        <v>0.6714</v>
      </c>
      <c r="G809" s="3">
        <v>5</v>
      </c>
      <c r="H809" s="1">
        <v>305</v>
      </c>
      <c r="I809" s="3">
        <v>305</v>
      </c>
      <c r="J809" s="3">
        <v>317.5</v>
      </c>
      <c r="K809" s="4" t="e">
        <f t="array" aca="1" ref="K809">MAX(H809:J809*(1-strike(H809:J809)))</f>
        <v>#NAME?</v>
      </c>
      <c r="L809" s="3">
        <v>200</v>
      </c>
      <c r="M809" s="1">
        <v>207.5</v>
      </c>
      <c r="N809" s="3">
        <v>207.5</v>
      </c>
      <c r="O809" s="4" t="e">
        <f t="array" aca="1" ref="O809">MAX(L809:N809*(1-strike(L809:N809)))</f>
        <v>#NAME?</v>
      </c>
      <c r="P809" s="3">
        <v>285</v>
      </c>
      <c r="Q809" s="1">
        <v>300</v>
      </c>
      <c r="R809" s="1">
        <v>300</v>
      </c>
      <c r="S809" s="4" t="e">
        <f t="array" aca="1" ref="S809">MAX(P809:R809*(1-strike(P809:R809)))</f>
        <v>#NAME?</v>
      </c>
      <c r="T809" s="4" t="e">
        <f t="shared" si="12"/>
        <v>#NAME?</v>
      </c>
      <c r="U809" s="3">
        <v>810</v>
      </c>
      <c r="V809" s="3">
        <v>543.83000000000004</v>
      </c>
      <c r="W809" s="3">
        <v>1</v>
      </c>
      <c r="X809" s="5">
        <v>2012</v>
      </c>
      <c r="Y809" s="5" t="s">
        <v>29</v>
      </c>
      <c r="Z809" s="5" t="s">
        <v>171</v>
      </c>
      <c r="AA809" s="5">
        <v>1245</v>
      </c>
    </row>
    <row r="810" spans="1:27">
      <c r="A810" s="3">
        <v>3</v>
      </c>
      <c r="B810" s="3" t="s">
        <v>136</v>
      </c>
      <c r="C810" s="3">
        <v>1987</v>
      </c>
      <c r="D810" s="3" t="s">
        <v>137</v>
      </c>
      <c r="E810" s="3">
        <v>82.2</v>
      </c>
      <c r="F810" s="3">
        <v>0.6714</v>
      </c>
      <c r="G810" s="3">
        <v>13</v>
      </c>
      <c r="H810" s="3">
        <v>245</v>
      </c>
      <c r="I810" s="3">
        <v>255</v>
      </c>
      <c r="J810" s="1">
        <v>260</v>
      </c>
      <c r="K810" s="4" t="e">
        <f t="array" aca="1" ref="K810">MAX(H810:J810*(1-strike(H810:J810)))</f>
        <v>#NAME?</v>
      </c>
      <c r="L810" s="3">
        <v>155</v>
      </c>
      <c r="M810" s="1">
        <v>162.5</v>
      </c>
      <c r="N810" s="3">
        <v>162.5</v>
      </c>
      <c r="O810" s="4" t="e">
        <f t="array" aca="1" ref="O810">MAX(L810:N810*(1-strike(L810:N810)))</f>
        <v>#NAME?</v>
      </c>
      <c r="P810" s="3">
        <v>260</v>
      </c>
      <c r="Q810" s="3">
        <v>275</v>
      </c>
      <c r="R810" s="1">
        <v>280</v>
      </c>
      <c r="S810" s="4" t="e">
        <f t="array" aca="1" ref="S810">MAX(P810:R810*(1-strike(P810:R810)))</f>
        <v>#NAME?</v>
      </c>
      <c r="T810" s="4" t="e">
        <f t="shared" si="12"/>
        <v>#NAME?</v>
      </c>
      <c r="U810" s="3">
        <v>692.5</v>
      </c>
      <c r="V810" s="3">
        <v>464.94</v>
      </c>
      <c r="W810" s="3">
        <v>8</v>
      </c>
      <c r="X810" s="5">
        <v>2013</v>
      </c>
      <c r="Y810" s="5" t="s">
        <v>29</v>
      </c>
      <c r="Z810" s="5" t="s">
        <v>30</v>
      </c>
      <c r="AA810" s="5">
        <v>1046</v>
      </c>
    </row>
    <row r="811" spans="1:27">
      <c r="A811" s="4">
        <v>11</v>
      </c>
      <c r="B811" s="4" t="s">
        <v>702</v>
      </c>
      <c r="C811" s="4">
        <v>1993</v>
      </c>
      <c r="D811" s="4" t="s">
        <v>47</v>
      </c>
      <c r="E811" s="4">
        <v>82</v>
      </c>
      <c r="F811" s="4">
        <v>0.6724</v>
      </c>
      <c r="G811" s="4">
        <v>6</v>
      </c>
      <c r="H811" s="4">
        <v>230</v>
      </c>
      <c r="I811" s="4">
        <v>245</v>
      </c>
      <c r="J811" s="4">
        <v>255</v>
      </c>
      <c r="K811" s="4" t="e">
        <f t="array" aca="1" ref="K811">MAX(H811:J811*(1-strike(H811:J811)))</f>
        <v>#NAME?</v>
      </c>
      <c r="L811" s="4">
        <v>162.5</v>
      </c>
      <c r="M811" s="4">
        <v>167.5</v>
      </c>
      <c r="N811" s="4">
        <v>170</v>
      </c>
      <c r="O811" s="4" t="e">
        <f t="array" aca="1" ref="O811">MAX(L811:N811*(1-strike(L811:N811)))</f>
        <v>#NAME?</v>
      </c>
      <c r="P811" s="4">
        <v>230</v>
      </c>
      <c r="Q811" s="6">
        <v>240</v>
      </c>
      <c r="R811" s="4">
        <v>240</v>
      </c>
      <c r="S811" s="4" t="e">
        <f t="array" aca="1" ref="S811">MAX(P811:R811*(1-strike(P811:R811)))</f>
        <v>#NAME?</v>
      </c>
      <c r="T811" s="4" t="e">
        <f t="shared" si="12"/>
        <v>#NAME?</v>
      </c>
      <c r="U811" s="4">
        <v>665</v>
      </c>
      <c r="V811" s="4">
        <v>447.15</v>
      </c>
      <c r="W811" s="4">
        <v>1</v>
      </c>
      <c r="X811" s="5">
        <v>2015</v>
      </c>
      <c r="Y811" s="5" t="s">
        <v>29</v>
      </c>
      <c r="Z811" s="5" t="s">
        <v>171</v>
      </c>
      <c r="AA811" s="5">
        <v>51</v>
      </c>
    </row>
    <row r="812" spans="1:27">
      <c r="A812" s="4">
        <v>3</v>
      </c>
      <c r="B812" s="4" t="s">
        <v>703</v>
      </c>
      <c r="C812" s="4">
        <v>1991</v>
      </c>
      <c r="D812" s="4" t="s">
        <v>137</v>
      </c>
      <c r="E812" s="4">
        <v>73.27</v>
      </c>
      <c r="F812" s="4">
        <v>0.72440000000000004</v>
      </c>
      <c r="G812" s="4">
        <v>7</v>
      </c>
      <c r="H812" s="4">
        <v>225</v>
      </c>
      <c r="I812" s="4">
        <v>230</v>
      </c>
      <c r="J812" s="4">
        <v>232.5</v>
      </c>
      <c r="K812" s="4" t="e">
        <f t="array" aca="1" ref="K812">MAX(H812:J812*(1-strike(H812:J812)))</f>
        <v>#NAME?</v>
      </c>
      <c r="L812" s="4">
        <v>208</v>
      </c>
      <c r="M812" s="6">
        <v>210.5</v>
      </c>
      <c r="N812" s="4">
        <v>210.5</v>
      </c>
      <c r="O812" s="4" t="e">
        <f t="array" aca="1" ref="O812">MAX(L812:N812*(1-strike(L812:N812)))</f>
        <v>#NAME?</v>
      </c>
      <c r="P812" s="4">
        <v>250</v>
      </c>
      <c r="Q812" s="6">
        <v>257.5</v>
      </c>
      <c r="R812" s="6">
        <v>257.5</v>
      </c>
      <c r="S812" s="4" t="e">
        <f t="array" aca="1" ref="S812">MAX(P812:R812*(1-strike(P812:R812)))</f>
        <v>#NAME?</v>
      </c>
      <c r="T812" s="4" t="e">
        <f t="shared" si="12"/>
        <v>#NAME?</v>
      </c>
      <c r="U812" s="4">
        <v>693</v>
      </c>
      <c r="V812" s="4">
        <v>502.01</v>
      </c>
      <c r="W812" s="4">
        <v>8</v>
      </c>
      <c r="X812" s="5">
        <v>2015</v>
      </c>
      <c r="Y812" s="5" t="s">
        <v>29</v>
      </c>
      <c r="Z812" s="5" t="s">
        <v>30</v>
      </c>
      <c r="AA812" s="5">
        <v>240</v>
      </c>
    </row>
    <row r="813" spans="1:27">
      <c r="A813" s="3">
        <v>10</v>
      </c>
      <c r="B813" s="3" t="s">
        <v>704</v>
      </c>
      <c r="C813" s="3">
        <v>1982</v>
      </c>
      <c r="D813" s="3" t="s">
        <v>485</v>
      </c>
      <c r="E813" s="3">
        <v>114.75</v>
      </c>
      <c r="F813" s="3">
        <v>0.58140000000000003</v>
      </c>
      <c r="G813" s="3">
        <v>27</v>
      </c>
      <c r="H813" s="3">
        <v>342.5</v>
      </c>
      <c r="I813" s="1">
        <v>360</v>
      </c>
      <c r="J813" s="3">
        <v>360</v>
      </c>
      <c r="K813" s="4" t="e">
        <f t="array" aca="1" ref="K813">MAX(H813:J813*(1-strike(H813:J813)))</f>
        <v>#NAME?</v>
      </c>
      <c r="L813" s="3">
        <v>230</v>
      </c>
      <c r="M813" s="3">
        <v>235</v>
      </c>
      <c r="N813" s="1">
        <v>242.5</v>
      </c>
      <c r="O813" s="4" t="e">
        <f t="array" aca="1" ref="O813">MAX(L813:N813*(1-strike(L813:N813)))</f>
        <v>#NAME?</v>
      </c>
      <c r="P813" s="3">
        <v>290</v>
      </c>
      <c r="Q813" s="3">
        <v>310</v>
      </c>
      <c r="R813" s="1">
        <v>320</v>
      </c>
      <c r="S813" s="4" t="e">
        <f t="array" aca="1" ref="S813">MAX(P813:R813*(1-strike(P813:R813)))</f>
        <v>#NAME?</v>
      </c>
      <c r="T813" s="4" t="e">
        <f t="shared" si="12"/>
        <v>#NAME?</v>
      </c>
      <c r="U813" s="3">
        <v>905</v>
      </c>
      <c r="V813" s="3">
        <v>526.16</v>
      </c>
      <c r="W813" s="3">
        <v>1</v>
      </c>
      <c r="X813" s="5">
        <v>2012</v>
      </c>
      <c r="Y813" s="5" t="s">
        <v>29</v>
      </c>
      <c r="Z813" s="5" t="s">
        <v>171</v>
      </c>
      <c r="AA813" s="5">
        <v>1308</v>
      </c>
    </row>
    <row r="814" spans="1:27" ht="15" customHeight="1">
      <c r="A814" s="4">
        <v>15</v>
      </c>
      <c r="B814" s="4" t="s">
        <v>704</v>
      </c>
      <c r="C814" s="4">
        <v>1982</v>
      </c>
      <c r="D814" s="4" t="s">
        <v>485</v>
      </c>
      <c r="E814" s="4">
        <v>114.45</v>
      </c>
      <c r="F814" s="4">
        <v>0.58169999999999999</v>
      </c>
      <c r="G814" s="4">
        <v>10</v>
      </c>
      <c r="H814" s="4">
        <v>345</v>
      </c>
      <c r="I814" s="4">
        <v>360</v>
      </c>
      <c r="J814" s="6">
        <v>372.5</v>
      </c>
      <c r="K814" s="4" t="e">
        <f t="array" aca="1" ref="K814">MAX(H814:J814*(1-strike(H814:J814)))</f>
        <v>#NAME?</v>
      </c>
      <c r="L814" s="4">
        <v>250</v>
      </c>
      <c r="M814" s="6">
        <v>260</v>
      </c>
      <c r="N814" s="4"/>
      <c r="O814" s="4" t="e">
        <f t="array" aca="1" ref="O814">MAX(L814:N814*(1-strike(L814:N814)))</f>
        <v>#NAME?</v>
      </c>
      <c r="P814" s="4">
        <v>290</v>
      </c>
      <c r="Q814" s="4">
        <v>300</v>
      </c>
      <c r="R814" s="6">
        <v>310</v>
      </c>
      <c r="S814" s="4" t="e">
        <f t="array" aca="1" ref="S814">MAX(P814:R814*(1-strike(P814:R814)))</f>
        <v>#NAME?</v>
      </c>
      <c r="T814" s="4" t="e">
        <f t="shared" si="12"/>
        <v>#NAME?</v>
      </c>
      <c r="U814" s="4">
        <v>910</v>
      </c>
      <c r="V814" s="4">
        <v>529.35</v>
      </c>
      <c r="W814" s="4">
        <v>1</v>
      </c>
      <c r="X814" s="5">
        <v>2014</v>
      </c>
      <c r="Y814" s="5" t="s">
        <v>29</v>
      </c>
      <c r="Z814" s="5" t="s">
        <v>171</v>
      </c>
      <c r="AA814" s="5">
        <v>547</v>
      </c>
    </row>
    <row r="815" spans="1:27">
      <c r="A815" s="3">
        <v>7</v>
      </c>
      <c r="B815" s="3" t="s">
        <v>705</v>
      </c>
      <c r="C815" s="3">
        <v>1988</v>
      </c>
      <c r="D815" s="3" t="s">
        <v>163</v>
      </c>
      <c r="E815" s="3">
        <v>91.4</v>
      </c>
      <c r="F815" s="3">
        <v>0.63349999999999995</v>
      </c>
      <c r="G815" s="3">
        <v>3</v>
      </c>
      <c r="H815" s="3">
        <v>250</v>
      </c>
      <c r="I815" s="3">
        <v>260</v>
      </c>
      <c r="J815" s="1">
        <v>267.5</v>
      </c>
      <c r="K815" s="4" t="e">
        <f t="array" aca="1" ref="K815">MAX(H815:J815*(1-strike(H815:J815)))</f>
        <v>#NAME?</v>
      </c>
      <c r="L815" s="3">
        <v>145</v>
      </c>
      <c r="M815" s="3">
        <v>155</v>
      </c>
      <c r="N815" s="1">
        <v>160</v>
      </c>
      <c r="O815" s="4" t="e">
        <f t="array" aca="1" ref="O815">MAX(L815:N815*(1-strike(L815:N815)))</f>
        <v>#NAME?</v>
      </c>
      <c r="P815" s="3">
        <v>270</v>
      </c>
      <c r="Q815" s="3">
        <v>285</v>
      </c>
      <c r="R815" s="1">
        <v>297.5</v>
      </c>
      <c r="S815" s="4" t="e">
        <f t="array" aca="1" ref="S815">MAX(P815:R815*(1-strike(P815:R815)))</f>
        <v>#NAME?</v>
      </c>
      <c r="T815" s="4" t="e">
        <f t="shared" si="12"/>
        <v>#NAME?</v>
      </c>
      <c r="U815" s="3">
        <v>700</v>
      </c>
      <c r="V815" s="3">
        <v>443.45</v>
      </c>
      <c r="W815" s="3">
        <v>4</v>
      </c>
      <c r="X815" s="5">
        <v>2013</v>
      </c>
      <c r="Y815" s="5" t="s">
        <v>29</v>
      </c>
      <c r="Z815" s="5" t="s">
        <v>30</v>
      </c>
      <c r="AA815" s="5">
        <v>1062</v>
      </c>
    </row>
    <row r="816" spans="1:27">
      <c r="A816" s="4">
        <v>10</v>
      </c>
      <c r="B816" s="4" t="s">
        <v>705</v>
      </c>
      <c r="C816" s="4">
        <v>1988</v>
      </c>
      <c r="D816" s="4" t="s">
        <v>163</v>
      </c>
      <c r="E816" s="4">
        <v>90.95</v>
      </c>
      <c r="F816" s="4">
        <v>0.6351</v>
      </c>
      <c r="G816" s="4">
        <v>5</v>
      </c>
      <c r="H816" s="4">
        <v>260</v>
      </c>
      <c r="I816" s="4">
        <v>272.5</v>
      </c>
      <c r="J816" s="6">
        <v>277.5</v>
      </c>
      <c r="K816" s="4" t="e">
        <f t="array" aca="1" ref="K816">MAX(H816:J816*(1-strike(H816:J816)))</f>
        <v>#NAME?</v>
      </c>
      <c r="L816" s="4">
        <v>150</v>
      </c>
      <c r="M816" s="4">
        <v>160</v>
      </c>
      <c r="N816" s="6">
        <v>162.5</v>
      </c>
      <c r="O816" s="4" t="e">
        <f t="array" aca="1" ref="O816">MAX(L816:N816*(1-strike(L816:N816)))</f>
        <v>#NAME?</v>
      </c>
      <c r="P816" s="4">
        <v>280</v>
      </c>
      <c r="Q816" s="6">
        <v>285</v>
      </c>
      <c r="R816" s="4"/>
      <c r="S816" s="4" t="e">
        <f t="array" aca="1" ref="S816">MAX(P816:R816*(1-strike(P816:R816)))</f>
        <v>#NAME?</v>
      </c>
      <c r="T816" s="4" t="e">
        <f t="shared" si="12"/>
        <v>#NAME?</v>
      </c>
      <c r="U816" s="4">
        <v>712.5</v>
      </c>
      <c r="V816" s="4">
        <v>452.47</v>
      </c>
      <c r="W816" s="4">
        <v>1</v>
      </c>
      <c r="X816" s="5">
        <v>2014</v>
      </c>
      <c r="Y816" s="5" t="s">
        <v>29</v>
      </c>
      <c r="Z816" s="5" t="s">
        <v>30</v>
      </c>
      <c r="AA816" s="5">
        <v>706</v>
      </c>
    </row>
    <row r="817" spans="1:27">
      <c r="A817" s="3" t="s">
        <v>37</v>
      </c>
      <c r="B817" s="3" t="s">
        <v>140</v>
      </c>
      <c r="C817" s="3">
        <v>1970</v>
      </c>
      <c r="D817" s="3" t="s">
        <v>56</v>
      </c>
      <c r="E817" s="3">
        <v>140.30000000000001</v>
      </c>
      <c r="F817" s="3">
        <v>0.55859999999999999</v>
      </c>
      <c r="G817" s="3">
        <v>29</v>
      </c>
      <c r="H817" s="3">
        <v>312.5</v>
      </c>
      <c r="I817" s="3">
        <v>327.5</v>
      </c>
      <c r="J817" s="3">
        <v>335</v>
      </c>
      <c r="K817" s="4" t="e">
        <f t="array" aca="1" ref="K817">MAX(H817:J817*(1-strike(H817:J817)))</f>
        <v>#NAME?</v>
      </c>
      <c r="L817" s="3">
        <v>215</v>
      </c>
      <c r="M817" s="3">
        <v>222.5</v>
      </c>
      <c r="N817" s="1">
        <v>227.5</v>
      </c>
      <c r="O817" s="4" t="e">
        <f t="array" aca="1" ref="O817">MAX(L817:N817*(1-strike(L817:N817)))</f>
        <v>#NAME?</v>
      </c>
      <c r="P817" s="1">
        <v>300</v>
      </c>
      <c r="Q817" s="1">
        <v>300</v>
      </c>
      <c r="R817" s="1">
        <v>300</v>
      </c>
      <c r="S817" s="4" t="e">
        <f t="array" aca="1" ref="S817">MAX(P817:R817*(1-strike(P817:R817)))</f>
        <v>#NAME?</v>
      </c>
      <c r="T817" s="4" t="e">
        <f t="shared" si="12"/>
        <v>#NAME?</v>
      </c>
      <c r="U817" s="3" t="s">
        <v>40</v>
      </c>
      <c r="V817" s="3" t="s">
        <v>37</v>
      </c>
      <c r="W817" s="3" t="s">
        <v>37</v>
      </c>
      <c r="X817" s="5">
        <v>2013</v>
      </c>
      <c r="Y817" s="5" t="s">
        <v>29</v>
      </c>
      <c r="Z817" s="5" t="s">
        <v>30</v>
      </c>
      <c r="AA817" s="5">
        <v>1117</v>
      </c>
    </row>
    <row r="818" spans="1:27">
      <c r="A818" s="4">
        <v>5</v>
      </c>
      <c r="B818" s="4" t="s">
        <v>140</v>
      </c>
      <c r="C818" s="4">
        <v>1970</v>
      </c>
      <c r="D818" s="4" t="s">
        <v>56</v>
      </c>
      <c r="E818" s="4">
        <v>119.15</v>
      </c>
      <c r="F818" s="4">
        <v>0.57579999999999998</v>
      </c>
      <c r="G818" s="4">
        <v>8</v>
      </c>
      <c r="H818" s="4">
        <v>300</v>
      </c>
      <c r="I818" s="6">
        <v>310</v>
      </c>
      <c r="J818" s="4">
        <v>312.5</v>
      </c>
      <c r="K818" s="4" t="e">
        <f t="array" aca="1" ref="K818">MAX(H818:J818*(1-strike(H818:J818)))</f>
        <v>#NAME?</v>
      </c>
      <c r="L818" s="4">
        <v>200</v>
      </c>
      <c r="M818" s="4">
        <v>207.5</v>
      </c>
      <c r="N818" s="4">
        <v>215</v>
      </c>
      <c r="O818" s="4" t="e">
        <f t="array" aca="1" ref="O818">MAX(L818:N818*(1-strike(L818:N818)))</f>
        <v>#NAME?</v>
      </c>
      <c r="P818" s="4">
        <v>305</v>
      </c>
      <c r="Q818" s="4">
        <v>320</v>
      </c>
      <c r="R818" s="6">
        <v>325</v>
      </c>
      <c r="S818" s="4" t="e">
        <f t="array" aca="1" ref="S818">MAX(P818:R818*(1-strike(P818:R818)))</f>
        <v>#NAME?</v>
      </c>
      <c r="T818" s="4" t="e">
        <f t="shared" si="12"/>
        <v>#NAME?</v>
      </c>
      <c r="U818" s="4" t="s">
        <v>706</v>
      </c>
      <c r="V818" s="4">
        <v>488.03</v>
      </c>
      <c r="W818" s="4">
        <v>6</v>
      </c>
      <c r="X818" s="5">
        <v>2014</v>
      </c>
      <c r="Y818" s="5" t="s">
        <v>29</v>
      </c>
      <c r="Z818" s="5" t="s">
        <v>30</v>
      </c>
      <c r="AA818" s="5">
        <v>728</v>
      </c>
    </row>
    <row r="819" spans="1:27">
      <c r="A819" s="4">
        <v>4</v>
      </c>
      <c r="B819" s="4" t="s">
        <v>707</v>
      </c>
      <c r="C819" s="4">
        <v>1988</v>
      </c>
      <c r="D819" s="4" t="s">
        <v>39</v>
      </c>
      <c r="E819" s="4">
        <v>73.23</v>
      </c>
      <c r="F819" s="4">
        <v>0.72470000000000001</v>
      </c>
      <c r="G819" s="4">
        <v>15</v>
      </c>
      <c r="H819" s="6">
        <v>297.5</v>
      </c>
      <c r="I819" s="4">
        <v>297.5</v>
      </c>
      <c r="J819" s="6">
        <v>307.5</v>
      </c>
      <c r="K819" s="4" t="e">
        <f t="array" aca="1" ref="K819">MAX(H819:J819*(1-strike(H819:J819)))</f>
        <v>#NAME?</v>
      </c>
      <c r="L819" s="4">
        <v>205</v>
      </c>
      <c r="M819" s="4">
        <v>215</v>
      </c>
      <c r="N819" s="4">
        <v>225</v>
      </c>
      <c r="O819" s="4" t="e">
        <f t="array" aca="1" ref="O819">MAX(L819:N819*(1-strike(L819:N819)))</f>
        <v>#NAME?</v>
      </c>
      <c r="P819" s="4">
        <v>275</v>
      </c>
      <c r="Q819" s="4">
        <v>285</v>
      </c>
      <c r="R819" s="6">
        <v>302.5</v>
      </c>
      <c r="S819" s="4" t="e">
        <f t="array" aca="1" ref="S819">MAX(P819:R819*(1-strike(P819:R819)))</f>
        <v>#NAME?</v>
      </c>
      <c r="T819" s="4" t="e">
        <f t="shared" si="12"/>
        <v>#NAME?</v>
      </c>
      <c r="U819" s="4">
        <v>807.5</v>
      </c>
      <c r="V819" s="4">
        <v>585.20000000000005</v>
      </c>
      <c r="W819" s="4">
        <v>7</v>
      </c>
      <c r="X819" s="5">
        <v>2015</v>
      </c>
      <c r="Y819" s="5" t="s">
        <v>29</v>
      </c>
      <c r="Z819" s="5" t="s">
        <v>171</v>
      </c>
      <c r="AA819" s="5">
        <v>26</v>
      </c>
    </row>
    <row r="820" spans="1:27">
      <c r="A820" s="3">
        <v>7</v>
      </c>
      <c r="B820" s="3" t="s">
        <v>708</v>
      </c>
      <c r="C820" s="3">
        <v>1983</v>
      </c>
      <c r="D820" s="3" t="s">
        <v>80</v>
      </c>
      <c r="E820" s="3">
        <v>119.9</v>
      </c>
      <c r="F820" s="3">
        <v>0.57499999999999996</v>
      </c>
      <c r="G820" s="3">
        <v>40</v>
      </c>
      <c r="H820" s="3">
        <v>340</v>
      </c>
      <c r="I820" s="1">
        <v>360</v>
      </c>
      <c r="J820" s="1">
        <v>360</v>
      </c>
      <c r="K820" s="4" t="e">
        <f t="array" aca="1" ref="K820">MAX(H820:J820*(1-strike(H820:J820)))</f>
        <v>#NAME?</v>
      </c>
      <c r="L820" s="1">
        <v>280</v>
      </c>
      <c r="M820" s="3">
        <v>285</v>
      </c>
      <c r="N820" s="1">
        <v>302.5</v>
      </c>
      <c r="O820" s="4" t="e">
        <f t="array" aca="1" ref="O820">MAX(L820:N820*(1-strike(L820:N820)))</f>
        <v>#NAME?</v>
      </c>
      <c r="P820" s="3">
        <v>280</v>
      </c>
      <c r="Q820" s="3">
        <v>295</v>
      </c>
      <c r="R820" s="1">
        <v>320</v>
      </c>
      <c r="S820" s="4" t="e">
        <f t="array" aca="1" ref="S820">MAX(P820:R820*(1-strike(P820:R820)))</f>
        <v>#NAME?</v>
      </c>
      <c r="T820" s="4" t="e">
        <f t="shared" si="12"/>
        <v>#NAME?</v>
      </c>
      <c r="U820" s="3">
        <v>920</v>
      </c>
      <c r="V820" s="3">
        <v>529</v>
      </c>
      <c r="W820" s="3">
        <v>4</v>
      </c>
      <c r="X820" s="5">
        <v>2012</v>
      </c>
      <c r="Y820" s="5" t="s">
        <v>29</v>
      </c>
      <c r="Z820" s="5" t="s">
        <v>171</v>
      </c>
      <c r="AA820" s="5">
        <v>1305</v>
      </c>
    </row>
    <row r="821" spans="1:27">
      <c r="A821" s="3">
        <v>14</v>
      </c>
      <c r="B821" s="3" t="s">
        <v>709</v>
      </c>
      <c r="C821" s="3">
        <v>1983</v>
      </c>
      <c r="D821" s="3" t="s">
        <v>109</v>
      </c>
      <c r="E821" s="3">
        <v>117.85</v>
      </c>
      <c r="F821" s="3">
        <v>0.57750000000000001</v>
      </c>
      <c r="G821" s="3">
        <v>14</v>
      </c>
      <c r="H821" s="3">
        <v>230</v>
      </c>
      <c r="I821" s="1">
        <v>242.5</v>
      </c>
      <c r="J821" s="3">
        <v>242.5</v>
      </c>
      <c r="K821" s="4" t="e">
        <f t="array" aca="1" ref="K821">MAX(H821:J821*(1-strike(H821:J821)))</f>
        <v>#NAME?</v>
      </c>
      <c r="L821" s="3">
        <v>170</v>
      </c>
      <c r="M821" s="3">
        <v>175</v>
      </c>
      <c r="N821" s="1">
        <v>180</v>
      </c>
      <c r="O821" s="4" t="e">
        <f t="array" aca="1" ref="O821">MAX(L821:N821*(1-strike(L821:N821)))</f>
        <v>#NAME?</v>
      </c>
      <c r="P821" s="3">
        <v>282.5</v>
      </c>
      <c r="Q821" s="1">
        <v>300</v>
      </c>
      <c r="R821" s="3">
        <v>300</v>
      </c>
      <c r="S821" s="4" t="e">
        <f t="array" aca="1" ref="S821">MAX(P821:R821*(1-strike(P821:R821)))</f>
        <v>#NAME?</v>
      </c>
      <c r="T821" s="4" t="e">
        <f t="shared" si="12"/>
        <v>#NAME?</v>
      </c>
      <c r="U821" s="3">
        <v>717.5</v>
      </c>
      <c r="V821" s="3">
        <v>414.32</v>
      </c>
      <c r="W821" s="3">
        <v>1</v>
      </c>
      <c r="X821" s="5">
        <v>2013</v>
      </c>
      <c r="Y821" s="5" t="s">
        <v>29</v>
      </c>
      <c r="Z821" s="5" t="s">
        <v>30</v>
      </c>
      <c r="AA821" s="5">
        <v>1104</v>
      </c>
    </row>
    <row r="822" spans="1:27">
      <c r="A822" s="4">
        <v>10</v>
      </c>
      <c r="B822" s="4" t="s">
        <v>709</v>
      </c>
      <c r="C822" s="4">
        <v>1983</v>
      </c>
      <c r="D822" s="4" t="s">
        <v>109</v>
      </c>
      <c r="E822" s="4">
        <v>117</v>
      </c>
      <c r="F822" s="4">
        <v>0.57850000000000001</v>
      </c>
      <c r="G822" s="4">
        <v>1</v>
      </c>
      <c r="H822" s="4">
        <v>240</v>
      </c>
      <c r="I822" s="6">
        <v>247.5</v>
      </c>
      <c r="J822" s="4">
        <v>247.5</v>
      </c>
      <c r="K822" s="4" t="e">
        <f t="array" aca="1" ref="K822">MAX(H822:J822*(1-strike(H822:J822)))</f>
        <v>#NAME?</v>
      </c>
      <c r="L822" s="4">
        <v>170</v>
      </c>
      <c r="M822" s="4">
        <v>175</v>
      </c>
      <c r="N822" s="6">
        <v>177.5</v>
      </c>
      <c r="O822" s="4" t="e">
        <f t="array" aca="1" ref="O822">MAX(L822:N822*(1-strike(L822:N822)))</f>
        <v>#NAME?</v>
      </c>
      <c r="P822" s="4">
        <v>300</v>
      </c>
      <c r="Q822" s="6">
        <v>317.5</v>
      </c>
      <c r="R822" s="6">
        <v>317.5</v>
      </c>
      <c r="S822" s="4" t="e">
        <f t="array" aca="1" ref="S822">MAX(P822:R822*(1-strike(P822:R822)))</f>
        <v>#NAME?</v>
      </c>
      <c r="T822" s="4" t="e">
        <f t="shared" si="12"/>
        <v>#NAME?</v>
      </c>
      <c r="U822" s="4">
        <v>722.5</v>
      </c>
      <c r="V822" s="4">
        <v>417.97</v>
      </c>
      <c r="W822" s="4">
        <v>1</v>
      </c>
      <c r="X822" s="5">
        <v>2014</v>
      </c>
      <c r="Y822" s="5" t="s">
        <v>29</v>
      </c>
      <c r="Z822" s="5" t="s">
        <v>30</v>
      </c>
      <c r="AA822" s="5">
        <v>733</v>
      </c>
    </row>
    <row r="823" spans="1:27">
      <c r="A823" s="4" t="s">
        <v>37</v>
      </c>
      <c r="B823" s="4" t="s">
        <v>710</v>
      </c>
      <c r="C823" s="4">
        <v>1981</v>
      </c>
      <c r="D823" s="4" t="s">
        <v>711</v>
      </c>
      <c r="E823" s="4">
        <v>65.819999999999993</v>
      </c>
      <c r="F823" s="4">
        <v>0.78720000000000001</v>
      </c>
      <c r="G823" s="4">
        <v>16</v>
      </c>
      <c r="H823" s="6">
        <v>255</v>
      </c>
      <c r="I823" s="6">
        <v>255</v>
      </c>
      <c r="J823" s="6">
        <v>267.5</v>
      </c>
      <c r="K823" s="4" t="e">
        <f t="array" aca="1" ref="K823">MAX(H823:J823*(1-strike(H823:J823)))</f>
        <v>#NAME?</v>
      </c>
      <c r="L823" s="4">
        <v>170</v>
      </c>
      <c r="M823" s="4">
        <v>180</v>
      </c>
      <c r="N823" s="6">
        <v>192.5</v>
      </c>
      <c r="O823" s="4" t="e">
        <f t="array" aca="1" ref="O823">MAX(L823:N823*(1-strike(L823:N823)))</f>
        <v>#NAME?</v>
      </c>
      <c r="P823" s="4">
        <v>235</v>
      </c>
      <c r="Q823" s="4">
        <v>245</v>
      </c>
      <c r="R823" s="6">
        <v>255</v>
      </c>
      <c r="S823" s="4" t="e">
        <f t="array" aca="1" ref="S823">MAX(P823:R823*(1-strike(P823:R823)))</f>
        <v>#NAME?</v>
      </c>
      <c r="T823" s="4" t="e">
        <f t="shared" si="12"/>
        <v>#NAME?</v>
      </c>
      <c r="U823" s="4" t="s">
        <v>187</v>
      </c>
      <c r="V823" s="4" t="s">
        <v>37</v>
      </c>
      <c r="W823" s="4" t="s">
        <v>37</v>
      </c>
      <c r="X823" s="5">
        <v>2014</v>
      </c>
      <c r="Y823" s="5" t="s">
        <v>29</v>
      </c>
      <c r="Z823" s="5" t="s">
        <v>171</v>
      </c>
      <c r="AA823" s="5">
        <v>459</v>
      </c>
    </row>
    <row r="824" spans="1:27">
      <c r="A824" s="4">
        <v>6</v>
      </c>
      <c r="B824" s="4" t="s">
        <v>710</v>
      </c>
      <c r="C824" s="4">
        <v>1981</v>
      </c>
      <c r="D824" s="4" t="s">
        <v>711</v>
      </c>
      <c r="E824" s="4">
        <v>65.2</v>
      </c>
      <c r="F824" s="4">
        <v>0.79320000000000002</v>
      </c>
      <c r="G824" s="4">
        <v>8</v>
      </c>
      <c r="H824" s="4">
        <v>195</v>
      </c>
      <c r="I824" s="4">
        <v>205</v>
      </c>
      <c r="J824" s="4">
        <v>210</v>
      </c>
      <c r="K824" s="4" t="e">
        <f t="array" aca="1" ref="K824">MAX(H824:J824*(1-strike(H824:J824)))</f>
        <v>#NAME?</v>
      </c>
      <c r="L824" s="4">
        <v>132.5</v>
      </c>
      <c r="M824" s="6">
        <v>137.5</v>
      </c>
      <c r="N824" s="6">
        <v>137.5</v>
      </c>
      <c r="O824" s="4" t="e">
        <f t="array" aca="1" ref="O824">MAX(L824:N824*(1-strike(L824:N824)))</f>
        <v>#NAME?</v>
      </c>
      <c r="P824" s="4">
        <v>215</v>
      </c>
      <c r="Q824" s="4">
        <v>225</v>
      </c>
      <c r="R824" s="6">
        <v>232.5</v>
      </c>
      <c r="S824" s="4" t="e">
        <f t="array" aca="1" ref="S824">MAX(P824:R824*(1-strike(P824:R824)))</f>
        <v>#NAME?</v>
      </c>
      <c r="T824" s="4" t="e">
        <f t="shared" si="12"/>
        <v>#NAME?</v>
      </c>
      <c r="U824" s="4">
        <v>567.5</v>
      </c>
      <c r="V824" s="4">
        <v>450.14</v>
      </c>
      <c r="W824" s="4">
        <v>5</v>
      </c>
      <c r="X824" s="5">
        <v>2015</v>
      </c>
      <c r="Y824" s="5" t="s">
        <v>29</v>
      </c>
      <c r="Z824" s="5" t="s">
        <v>30</v>
      </c>
      <c r="AA824" s="5">
        <v>232</v>
      </c>
    </row>
    <row r="825" spans="1:27">
      <c r="A825" s="3">
        <v>9</v>
      </c>
      <c r="B825" s="3" t="s">
        <v>712</v>
      </c>
      <c r="C825" s="3">
        <v>1980</v>
      </c>
      <c r="D825" s="3" t="s">
        <v>480</v>
      </c>
      <c r="E825" s="3">
        <v>92.6</v>
      </c>
      <c r="F825" s="3">
        <v>0.62949999999999995</v>
      </c>
      <c r="G825" s="3">
        <v>6</v>
      </c>
      <c r="H825" s="1">
        <v>220</v>
      </c>
      <c r="I825" s="3">
        <v>220</v>
      </c>
      <c r="J825" s="1">
        <v>225</v>
      </c>
      <c r="K825" s="4" t="e">
        <f t="array" aca="1" ref="K825">MAX(H825:J825*(1-strike(H825:J825)))</f>
        <v>#NAME?</v>
      </c>
      <c r="L825" s="3">
        <v>130</v>
      </c>
      <c r="M825" s="1">
        <v>135</v>
      </c>
      <c r="N825" s="3"/>
      <c r="O825" s="4" t="e">
        <f t="array" aca="1" ref="O825">MAX(L825:N825*(1-strike(L825:N825)))</f>
        <v>#NAME?</v>
      </c>
      <c r="P825" s="3">
        <v>240</v>
      </c>
      <c r="Q825" s="3">
        <v>250</v>
      </c>
      <c r="R825" s="1">
        <v>255</v>
      </c>
      <c r="S825" s="4" t="e">
        <f t="array" aca="1" ref="S825">MAX(P825:R825*(1-strike(P825:R825)))</f>
        <v>#NAME?</v>
      </c>
      <c r="T825" s="4" t="e">
        <f t="shared" si="12"/>
        <v>#NAME?</v>
      </c>
      <c r="U825" s="3">
        <v>600</v>
      </c>
      <c r="V825" s="3">
        <v>377.7</v>
      </c>
      <c r="W825" s="3">
        <v>2</v>
      </c>
      <c r="X825" s="5">
        <v>2013</v>
      </c>
      <c r="Y825" s="5" t="s">
        <v>29</v>
      </c>
      <c r="Z825" s="5" t="s">
        <v>30</v>
      </c>
      <c r="AA825" s="5">
        <v>1064</v>
      </c>
    </row>
    <row r="826" spans="1:27">
      <c r="A826" s="4">
        <v>9</v>
      </c>
      <c r="B826" s="4" t="s">
        <v>713</v>
      </c>
      <c r="C826" s="4">
        <v>1988</v>
      </c>
      <c r="D826" s="4" t="s">
        <v>142</v>
      </c>
      <c r="E826" s="4">
        <v>182.5</v>
      </c>
      <c r="F826" s="4">
        <v>0.53700000000000003</v>
      </c>
      <c r="G826" s="4">
        <v>21</v>
      </c>
      <c r="H826" s="4">
        <v>315</v>
      </c>
      <c r="I826" s="4">
        <v>327.5</v>
      </c>
      <c r="J826" s="6">
        <v>332.5</v>
      </c>
      <c r="K826" s="4" t="e">
        <f t="array" aca="1" ref="K826">MAX(H826:J826*(1-strike(H826:J826)))</f>
        <v>#NAME?</v>
      </c>
      <c r="L826" s="4">
        <v>215</v>
      </c>
      <c r="M826" s="4">
        <v>225</v>
      </c>
      <c r="N826" s="6">
        <v>232.5</v>
      </c>
      <c r="O826" s="4" t="e">
        <f t="array" aca="1" ref="O826">MAX(L826:N826*(1-strike(L826:N826)))</f>
        <v>#NAME?</v>
      </c>
      <c r="P826" s="4">
        <v>330</v>
      </c>
      <c r="Q826" s="4">
        <v>340</v>
      </c>
      <c r="R826" s="4">
        <v>342.5</v>
      </c>
      <c r="S826" s="4" t="e">
        <f t="array" aca="1" ref="S826">MAX(P826:R826*(1-strike(P826:R826)))</f>
        <v>#NAME?</v>
      </c>
      <c r="T826" s="4" t="e">
        <f t="shared" si="12"/>
        <v>#NAME?</v>
      </c>
      <c r="U826" s="4">
        <v>895</v>
      </c>
      <c r="V826" s="4">
        <v>480.62</v>
      </c>
      <c r="W826" s="4">
        <v>2</v>
      </c>
      <c r="X826" s="5">
        <v>2015</v>
      </c>
      <c r="Y826" s="5" t="s">
        <v>29</v>
      </c>
      <c r="Z826" s="5" t="s">
        <v>30</v>
      </c>
      <c r="AA826" s="5">
        <v>331</v>
      </c>
    </row>
    <row r="827" spans="1:27">
      <c r="A827" s="3">
        <v>1</v>
      </c>
      <c r="B827" s="3" t="s">
        <v>714</v>
      </c>
      <c r="C827" s="3">
        <v>1992</v>
      </c>
      <c r="D827" s="3" t="s">
        <v>142</v>
      </c>
      <c r="E827" s="3">
        <v>103.35</v>
      </c>
      <c r="F827" s="3">
        <v>0.60099999999999998</v>
      </c>
      <c r="G827" s="3">
        <v>7</v>
      </c>
      <c r="H827" s="3">
        <v>305</v>
      </c>
      <c r="I827" s="3">
        <v>315</v>
      </c>
      <c r="J827" s="3">
        <v>320</v>
      </c>
      <c r="K827" s="4" t="e">
        <f t="array" aca="1" ref="K827">MAX(H827:J827*(1-strike(H827:J827)))</f>
        <v>#NAME?</v>
      </c>
      <c r="L827" s="3">
        <v>197.5</v>
      </c>
      <c r="M827" s="3">
        <v>205</v>
      </c>
      <c r="N827" s="3">
        <v>210</v>
      </c>
      <c r="O827" s="4" t="e">
        <f t="array" aca="1" ref="O827">MAX(L827:N827*(1-strike(L827:N827)))</f>
        <v>#NAME?</v>
      </c>
      <c r="P827" s="3">
        <v>310</v>
      </c>
      <c r="Q827" s="1">
        <v>315</v>
      </c>
      <c r="R827" s="1">
        <v>317.5</v>
      </c>
      <c r="S827" s="4" t="e">
        <f t="array" aca="1" ref="S827">MAX(P827:R827*(1-strike(P827:R827)))</f>
        <v>#NAME?</v>
      </c>
      <c r="T827" s="4" t="e">
        <f t="shared" si="12"/>
        <v>#NAME?</v>
      </c>
      <c r="U827" s="3" t="s">
        <v>715</v>
      </c>
      <c r="V827" s="3">
        <v>504.84</v>
      </c>
      <c r="W827" s="3">
        <v>12</v>
      </c>
      <c r="X827" s="5">
        <v>2013</v>
      </c>
      <c r="Y827" s="5" t="s">
        <v>29</v>
      </c>
      <c r="Z827" s="5" t="s">
        <v>30</v>
      </c>
      <c r="AA827" s="5">
        <v>1071</v>
      </c>
    </row>
    <row r="828" spans="1:27">
      <c r="A828" s="4">
        <v>3</v>
      </c>
      <c r="B828" s="4" t="s">
        <v>714</v>
      </c>
      <c r="C828" s="4">
        <v>1992</v>
      </c>
      <c r="D828" s="4" t="s">
        <v>142</v>
      </c>
      <c r="E828" s="4">
        <v>104.6</v>
      </c>
      <c r="F828" s="4">
        <v>0.59840000000000004</v>
      </c>
      <c r="G828" s="4">
        <v>8</v>
      </c>
      <c r="H828" s="4">
        <v>310</v>
      </c>
      <c r="I828" s="4">
        <v>320</v>
      </c>
      <c r="J828" s="4">
        <v>330</v>
      </c>
      <c r="K828" s="4" t="e">
        <f t="array" aca="1" ref="K828">MAX(H828:J828*(1-strike(H828:J828)))</f>
        <v>#NAME?</v>
      </c>
      <c r="L828" s="4">
        <v>200</v>
      </c>
      <c r="M828" s="4">
        <v>207.5</v>
      </c>
      <c r="N828" s="4">
        <v>212.5</v>
      </c>
      <c r="O828" s="4" t="e">
        <f t="array" aca="1" ref="O828">MAX(L828:N828*(1-strike(L828:N828)))</f>
        <v>#NAME?</v>
      </c>
      <c r="P828" s="4">
        <v>295</v>
      </c>
      <c r="Q828" s="4">
        <v>305</v>
      </c>
      <c r="R828" s="4">
        <v>310</v>
      </c>
      <c r="S828" s="4" t="e">
        <f t="array" aca="1" ref="S828">MAX(P828:R828*(1-strike(P828:R828)))</f>
        <v>#NAME?</v>
      </c>
      <c r="T828" s="4" t="e">
        <f t="shared" si="12"/>
        <v>#NAME?</v>
      </c>
      <c r="U828" s="4" t="s">
        <v>716</v>
      </c>
      <c r="V828" s="4">
        <v>510.14</v>
      </c>
      <c r="W828" s="4">
        <v>8</v>
      </c>
      <c r="X828" s="5">
        <v>2014</v>
      </c>
      <c r="Y828" s="5" t="s">
        <v>29</v>
      </c>
      <c r="Z828" s="5" t="s">
        <v>30</v>
      </c>
      <c r="AA828" s="5">
        <v>712</v>
      </c>
    </row>
    <row r="829" spans="1:27">
      <c r="A829" s="4">
        <v>16</v>
      </c>
      <c r="B829" s="4" t="s">
        <v>717</v>
      </c>
      <c r="C829" s="4">
        <v>1988</v>
      </c>
      <c r="D829" s="4" t="s">
        <v>318</v>
      </c>
      <c r="E829" s="4">
        <v>145.06</v>
      </c>
      <c r="F829" s="4">
        <v>0.55589999999999995</v>
      </c>
      <c r="G829" s="4">
        <v>10</v>
      </c>
      <c r="H829" s="4">
        <v>285</v>
      </c>
      <c r="I829" s="4">
        <v>300</v>
      </c>
      <c r="J829" s="4">
        <v>302.5</v>
      </c>
      <c r="K829" s="4" t="e">
        <f t="array" aca="1" ref="K829">MAX(H829:J829*(1-strike(H829:J829)))</f>
        <v>#NAME?</v>
      </c>
      <c r="L829" s="4">
        <v>167.5</v>
      </c>
      <c r="M829" s="6">
        <v>177.5</v>
      </c>
      <c r="N829" s="4">
        <v>180</v>
      </c>
      <c r="O829" s="4" t="e">
        <f t="array" aca="1" ref="O829">MAX(L829:N829*(1-strike(L829:N829)))</f>
        <v>#NAME?</v>
      </c>
      <c r="P829" s="4">
        <v>310</v>
      </c>
      <c r="Q829" s="4">
        <v>320</v>
      </c>
      <c r="R829" s="4">
        <v>325</v>
      </c>
      <c r="S829" s="4" t="e">
        <f t="array" aca="1" ref="S829">MAX(P829:R829*(1-strike(P829:R829)))</f>
        <v>#NAME?</v>
      </c>
      <c r="T829" s="4" t="e">
        <f t="shared" si="12"/>
        <v>#NAME?</v>
      </c>
      <c r="U829" s="4">
        <v>807.5</v>
      </c>
      <c r="V829" s="4">
        <v>448.89</v>
      </c>
      <c r="W829" s="4">
        <v>1</v>
      </c>
      <c r="X829" s="5">
        <v>2015</v>
      </c>
      <c r="Y829" s="5" t="s">
        <v>29</v>
      </c>
      <c r="Z829" s="5" t="s">
        <v>30</v>
      </c>
      <c r="AA829" s="5">
        <v>338</v>
      </c>
    </row>
    <row r="830" spans="1:27">
      <c r="A830" s="3">
        <v>12</v>
      </c>
      <c r="B830" s="3" t="s">
        <v>718</v>
      </c>
      <c r="C830" s="3">
        <v>1988</v>
      </c>
      <c r="D830" s="3" t="s">
        <v>51</v>
      </c>
      <c r="E830" s="3">
        <v>103.7</v>
      </c>
      <c r="F830" s="3">
        <v>0.60019999999999996</v>
      </c>
      <c r="G830" s="3">
        <v>4</v>
      </c>
      <c r="H830" s="3">
        <v>225</v>
      </c>
      <c r="I830" s="3">
        <v>240</v>
      </c>
      <c r="J830" s="3">
        <v>245</v>
      </c>
      <c r="K830" s="4" t="e">
        <f t="array" aca="1" ref="K830">MAX(H830:J830*(1-strike(H830:J830)))</f>
        <v>#NAME?</v>
      </c>
      <c r="L830" s="3">
        <v>160</v>
      </c>
      <c r="M830" s="3">
        <v>170</v>
      </c>
      <c r="N830" s="1">
        <v>175</v>
      </c>
      <c r="O830" s="4" t="e">
        <f t="array" aca="1" ref="O830">MAX(L830:N830*(1-strike(L830:N830)))</f>
        <v>#NAME?</v>
      </c>
      <c r="P830" s="3">
        <v>280</v>
      </c>
      <c r="Q830" s="3">
        <v>300</v>
      </c>
      <c r="R830" s="1">
        <v>307.5</v>
      </c>
      <c r="S830" s="4" t="e">
        <f t="array" aca="1" ref="S830">MAX(P830:R830*(1-strike(P830:R830)))</f>
        <v>#NAME?</v>
      </c>
      <c r="T830" s="4" t="e">
        <f t="shared" si="12"/>
        <v>#NAME?</v>
      </c>
      <c r="U830" s="3">
        <v>715</v>
      </c>
      <c r="V830" s="3">
        <v>429.14</v>
      </c>
      <c r="W830" s="3">
        <v>1</v>
      </c>
      <c r="X830" s="5">
        <v>2013</v>
      </c>
      <c r="Y830" s="5" t="s">
        <v>29</v>
      </c>
      <c r="Z830" s="5" t="s">
        <v>30</v>
      </c>
      <c r="AA830" s="5">
        <v>1082</v>
      </c>
    </row>
    <row r="831" spans="1:27" ht="15" customHeight="1">
      <c r="A831" s="4">
        <v>12</v>
      </c>
      <c r="B831" s="4" t="s">
        <v>719</v>
      </c>
      <c r="C831" s="4">
        <v>1989</v>
      </c>
      <c r="D831" s="4" t="s">
        <v>56</v>
      </c>
      <c r="E831" s="4">
        <v>153.33000000000001</v>
      </c>
      <c r="F831" s="4">
        <v>0.55159999999999998</v>
      </c>
      <c r="G831" s="4">
        <v>12</v>
      </c>
      <c r="H831" s="4">
        <v>320</v>
      </c>
      <c r="I831" s="4">
        <v>332.5</v>
      </c>
      <c r="J831" s="6">
        <v>340</v>
      </c>
      <c r="K831" s="4" t="e">
        <f t="array" aca="1" ref="K831">MAX(H831:J831*(1-strike(H831:J831)))</f>
        <v>#NAME?</v>
      </c>
      <c r="L831" s="4">
        <v>192.5</v>
      </c>
      <c r="M831" s="4">
        <v>200</v>
      </c>
      <c r="N831" s="4">
        <v>205</v>
      </c>
      <c r="O831" s="4" t="e">
        <f t="array" aca="1" ref="O831">MAX(L831:N831*(1-strike(L831:N831)))</f>
        <v>#NAME?</v>
      </c>
      <c r="P831" s="4">
        <v>290</v>
      </c>
      <c r="Q831" s="4">
        <v>312.5</v>
      </c>
      <c r="R831" s="6">
        <v>327.5</v>
      </c>
      <c r="S831" s="4" t="e">
        <f t="array" aca="1" ref="S831">MAX(P831:R831*(1-strike(P831:R831)))</f>
        <v>#NAME?</v>
      </c>
      <c r="T831" s="4" t="e">
        <f t="shared" si="12"/>
        <v>#NAME?</v>
      </c>
      <c r="U831" s="4">
        <v>850</v>
      </c>
      <c r="V831" s="4">
        <v>468.86</v>
      </c>
      <c r="W831" s="4">
        <v>1</v>
      </c>
      <c r="X831" s="5">
        <v>2015</v>
      </c>
      <c r="Y831" s="5" t="s">
        <v>29</v>
      </c>
      <c r="Z831" s="5" t="s">
        <v>30</v>
      </c>
      <c r="AA831" s="5">
        <v>334</v>
      </c>
    </row>
    <row r="832" spans="1:27">
      <c r="A832" s="3">
        <v>7</v>
      </c>
      <c r="B832" s="3" t="s">
        <v>720</v>
      </c>
      <c r="C832" s="3">
        <v>1974</v>
      </c>
      <c r="D832" s="3" t="s">
        <v>113</v>
      </c>
      <c r="E832" s="3">
        <v>65.78</v>
      </c>
      <c r="F832" s="3">
        <v>0.78739999999999999</v>
      </c>
      <c r="G832" s="3">
        <v>2</v>
      </c>
      <c r="H832" s="3">
        <v>230</v>
      </c>
      <c r="I832" s="3">
        <v>242.5</v>
      </c>
      <c r="J832" s="3">
        <v>255</v>
      </c>
      <c r="K832" s="4" t="e">
        <f t="array" aca="1" ref="K832">MAX(H832:J832*(1-strike(H832:J832)))</f>
        <v>#NAME?</v>
      </c>
      <c r="L832" s="1">
        <v>175</v>
      </c>
      <c r="M832" s="3">
        <v>175</v>
      </c>
      <c r="N832" s="1">
        <v>180</v>
      </c>
      <c r="O832" s="4" t="e">
        <f t="array" aca="1" ref="O832">MAX(L832:N832*(1-strike(L832:N832)))</f>
        <v>#NAME?</v>
      </c>
      <c r="P832" s="3">
        <v>225</v>
      </c>
      <c r="Q832" s="3">
        <v>235</v>
      </c>
      <c r="R832" s="1">
        <v>242.5</v>
      </c>
      <c r="S832" s="4" t="e">
        <f t="array" aca="1" ref="S832">MAX(P832:R832*(1-strike(P832:R832)))</f>
        <v>#NAME?</v>
      </c>
      <c r="T832" s="4" t="e">
        <f t="shared" si="12"/>
        <v>#NAME?</v>
      </c>
      <c r="U832" s="3">
        <v>665</v>
      </c>
      <c r="V832" s="3">
        <v>523.6</v>
      </c>
      <c r="W832" s="3">
        <v>4</v>
      </c>
      <c r="X832" s="5">
        <v>2012</v>
      </c>
      <c r="Y832" s="5" t="s">
        <v>29</v>
      </c>
      <c r="Z832" s="5" t="s">
        <v>171</v>
      </c>
      <c r="AA832" s="5">
        <v>1209</v>
      </c>
    </row>
    <row r="833" spans="1:27">
      <c r="A833" s="3">
        <v>6</v>
      </c>
      <c r="B833" s="3" t="s">
        <v>721</v>
      </c>
      <c r="C833" s="3">
        <v>1959</v>
      </c>
      <c r="D833" s="3" t="s">
        <v>62</v>
      </c>
      <c r="E833" s="3">
        <v>91.63</v>
      </c>
      <c r="F833" s="3">
        <v>0.63270000000000004</v>
      </c>
      <c r="G833" s="3">
        <v>19</v>
      </c>
      <c r="H833" s="1">
        <v>332.5</v>
      </c>
      <c r="I833" s="3">
        <v>332.5</v>
      </c>
      <c r="J833" s="3">
        <v>345</v>
      </c>
      <c r="K833" s="4" t="e">
        <f t="array" aca="1" ref="K833">MAX(H833:J833*(1-strike(H833:J833)))</f>
        <v>#NAME?</v>
      </c>
      <c r="L833" s="3">
        <v>215</v>
      </c>
      <c r="M833" s="1">
        <v>225</v>
      </c>
      <c r="N833" s="3">
        <v>225</v>
      </c>
      <c r="O833" s="4" t="e">
        <f t="array" aca="1" ref="O833">MAX(L833:N833*(1-strike(L833:N833)))</f>
        <v>#NAME?</v>
      </c>
      <c r="P833" s="3">
        <v>292.5</v>
      </c>
      <c r="Q833" s="3">
        <v>305</v>
      </c>
      <c r="R833" s="1">
        <v>317.5</v>
      </c>
      <c r="S833" s="4" t="e">
        <f t="array" aca="1" ref="S833">MAX(P833:R833*(1-strike(P833:R833)))</f>
        <v>#NAME?</v>
      </c>
      <c r="T833" s="4" t="e">
        <f t="shared" si="12"/>
        <v>#NAME?</v>
      </c>
      <c r="U833" s="3">
        <v>875</v>
      </c>
      <c r="V833" s="3">
        <v>553.62</v>
      </c>
      <c r="W833" s="3">
        <v>5</v>
      </c>
      <c r="X833" s="5">
        <v>2012</v>
      </c>
      <c r="Y833" s="5" t="s">
        <v>29</v>
      </c>
      <c r="Z833" s="5" t="s">
        <v>171</v>
      </c>
      <c r="AA833" s="5">
        <v>1261</v>
      </c>
    </row>
    <row r="834" spans="1:27">
      <c r="A834" s="3">
        <v>15</v>
      </c>
      <c r="B834" s="3" t="s">
        <v>722</v>
      </c>
      <c r="C834" s="3">
        <v>1989</v>
      </c>
      <c r="D834" s="3" t="s">
        <v>390</v>
      </c>
      <c r="E834" s="3">
        <v>135.4</v>
      </c>
      <c r="F834" s="3">
        <v>0.56169999999999998</v>
      </c>
      <c r="G834" s="3">
        <v>5</v>
      </c>
      <c r="H834" s="3">
        <v>335</v>
      </c>
      <c r="I834" s="3">
        <v>345</v>
      </c>
      <c r="J834" s="1">
        <v>347.5</v>
      </c>
      <c r="K834" s="4" t="e">
        <f t="array" aca="1" ref="K834">MAX(H834:J834*(1-strike(H834:J834)))</f>
        <v>#NAME?</v>
      </c>
      <c r="L834" s="3">
        <v>232.5</v>
      </c>
      <c r="M834" s="3">
        <v>240</v>
      </c>
      <c r="N834" s="3">
        <v>250</v>
      </c>
      <c r="O834" s="4" t="e">
        <f t="array" aca="1" ref="O834">MAX(L834:N834*(1-strike(L834:N834)))</f>
        <v>#NAME?</v>
      </c>
      <c r="P834" s="3">
        <v>270</v>
      </c>
      <c r="Q834" s="1">
        <v>307.5</v>
      </c>
      <c r="R834" s="1">
        <v>307.5</v>
      </c>
      <c r="S834" s="4" t="e">
        <f t="array" aca="1" ref="S834">MAX(P834:R834*(1-strike(P834:R834)))</f>
        <v>#NAME?</v>
      </c>
      <c r="T834" s="4" t="e">
        <f t="shared" ref="T834:T897" si="13">IF(AND(K834&lt;&gt;0,O834&lt;&gt;0,S834&lt;&gt;0),K834+O834+S834,0)</f>
        <v>#NAME?</v>
      </c>
      <c r="U834" s="3">
        <v>865</v>
      </c>
      <c r="V834" s="3">
        <v>485.87</v>
      </c>
      <c r="W834" s="3">
        <v>1</v>
      </c>
      <c r="X834" s="5">
        <v>2013</v>
      </c>
      <c r="Y834" s="5" t="s">
        <v>29</v>
      </c>
      <c r="Z834" s="5" t="s">
        <v>171</v>
      </c>
      <c r="AA834" s="5">
        <v>926</v>
      </c>
    </row>
    <row r="835" spans="1:27">
      <c r="A835" s="4">
        <v>8</v>
      </c>
      <c r="B835" s="4" t="s">
        <v>722</v>
      </c>
      <c r="C835" s="4">
        <v>1989</v>
      </c>
      <c r="D835" s="4" t="s">
        <v>390</v>
      </c>
      <c r="E835" s="4">
        <v>135.19999999999999</v>
      </c>
      <c r="F835" s="4">
        <v>0.56179999999999997</v>
      </c>
      <c r="G835" s="4">
        <v>6</v>
      </c>
      <c r="H835" s="4">
        <v>345</v>
      </c>
      <c r="I835" s="4">
        <v>357.5</v>
      </c>
      <c r="J835" s="6">
        <v>370</v>
      </c>
      <c r="K835" s="4" t="e">
        <f t="array" aca="1" ref="K835">MAX(H835:J835*(1-strike(H835:J835)))</f>
        <v>#NAME?</v>
      </c>
      <c r="L835" s="4">
        <v>245</v>
      </c>
      <c r="M835" s="4">
        <v>252.5</v>
      </c>
      <c r="N835" s="6">
        <v>260</v>
      </c>
      <c r="O835" s="4" t="e">
        <f t="array" aca="1" ref="O835">MAX(L835:N835*(1-strike(L835:N835)))</f>
        <v>#NAME?</v>
      </c>
      <c r="P835" s="4">
        <v>280</v>
      </c>
      <c r="Q835" s="4">
        <v>290</v>
      </c>
      <c r="R835" s="4">
        <v>305</v>
      </c>
      <c r="S835" s="4" t="e">
        <f t="array" aca="1" ref="S835">MAX(P835:R835*(1-strike(P835:R835)))</f>
        <v>#NAME?</v>
      </c>
      <c r="T835" s="4" t="e">
        <f t="shared" si="13"/>
        <v>#NAME?</v>
      </c>
      <c r="U835" s="4">
        <v>915</v>
      </c>
      <c r="V835" s="4">
        <v>514.04999999999995</v>
      </c>
      <c r="W835" s="4">
        <v>3</v>
      </c>
      <c r="X835" s="5">
        <v>2014</v>
      </c>
      <c r="Y835" s="5" t="s">
        <v>29</v>
      </c>
      <c r="Z835" s="5" t="s">
        <v>171</v>
      </c>
      <c r="AA835" s="5">
        <v>561</v>
      </c>
    </row>
    <row r="836" spans="1:27">
      <c r="A836" s="4">
        <v>13</v>
      </c>
      <c r="B836" s="4" t="s">
        <v>722</v>
      </c>
      <c r="C836" s="4">
        <v>1989</v>
      </c>
      <c r="D836" s="4" t="s">
        <v>390</v>
      </c>
      <c r="E836" s="4">
        <v>141.30000000000001</v>
      </c>
      <c r="F836" s="4">
        <v>0.55800000000000005</v>
      </c>
      <c r="G836" s="4">
        <v>22</v>
      </c>
      <c r="H836" s="4">
        <v>285</v>
      </c>
      <c r="I836" s="4">
        <v>302.5</v>
      </c>
      <c r="J836" s="4">
        <v>305</v>
      </c>
      <c r="K836" s="4" t="e">
        <f t="array" aca="1" ref="K836">MAX(H836:J836*(1-strike(H836:J836)))</f>
        <v>#NAME?</v>
      </c>
      <c r="L836" s="4">
        <v>195</v>
      </c>
      <c r="M836" s="4">
        <v>205</v>
      </c>
      <c r="N836" s="4">
        <v>215</v>
      </c>
      <c r="O836" s="4" t="e">
        <f t="array" aca="1" ref="O836">MAX(L836:N836*(1-strike(L836:N836)))</f>
        <v>#NAME?</v>
      </c>
      <c r="P836" s="4">
        <v>300</v>
      </c>
      <c r="Q836" s="4">
        <v>312.5</v>
      </c>
      <c r="R836" s="6">
        <v>320</v>
      </c>
      <c r="S836" s="4" t="e">
        <f t="array" aca="1" ref="S836">MAX(P836:R836*(1-strike(P836:R836)))</f>
        <v>#NAME?</v>
      </c>
      <c r="T836" s="4" t="e">
        <f t="shared" si="13"/>
        <v>#NAME?</v>
      </c>
      <c r="U836" s="4">
        <v>832.5</v>
      </c>
      <c r="V836" s="4">
        <v>464.54</v>
      </c>
      <c r="W836" s="4">
        <v>1</v>
      </c>
      <c r="X836" s="5">
        <v>2015</v>
      </c>
      <c r="Y836" s="5" t="s">
        <v>29</v>
      </c>
      <c r="Z836" s="5" t="s">
        <v>30</v>
      </c>
      <c r="AA836" s="5">
        <v>335</v>
      </c>
    </row>
    <row r="837" spans="1:27">
      <c r="A837" s="4">
        <v>11</v>
      </c>
      <c r="B837" s="4" t="s">
        <v>722</v>
      </c>
      <c r="C837" s="4">
        <v>1989</v>
      </c>
      <c r="D837" s="4" t="s">
        <v>390</v>
      </c>
      <c r="E837" s="4">
        <v>133.69999999999999</v>
      </c>
      <c r="F837" s="4">
        <v>0.56289999999999996</v>
      </c>
      <c r="G837" s="4">
        <v>13</v>
      </c>
      <c r="H837" s="4">
        <v>350</v>
      </c>
      <c r="I837" s="4">
        <v>360</v>
      </c>
      <c r="J837" s="4">
        <v>370</v>
      </c>
      <c r="K837" s="4" t="e">
        <f t="array" aca="1" ref="K837">MAX(H837:J837*(1-strike(H837:J837)))</f>
        <v>#NAME?</v>
      </c>
      <c r="L837" s="4">
        <v>245</v>
      </c>
      <c r="M837" s="4">
        <v>255</v>
      </c>
      <c r="N837" s="4">
        <v>260</v>
      </c>
      <c r="O837" s="4" t="e">
        <f t="array" aca="1" ref="O837">MAX(L837:N837*(1-strike(L837:N837)))</f>
        <v>#NAME?</v>
      </c>
      <c r="P837" s="4">
        <v>305</v>
      </c>
      <c r="Q837" s="4">
        <v>320</v>
      </c>
      <c r="R837" s="6">
        <v>327.5</v>
      </c>
      <c r="S837" s="4" t="e">
        <f t="array" aca="1" ref="S837">MAX(P837:R837*(1-strike(P837:R837)))</f>
        <v>#NAME?</v>
      </c>
      <c r="T837" s="4" t="e">
        <f t="shared" si="13"/>
        <v>#NAME?</v>
      </c>
      <c r="U837" s="4">
        <v>950</v>
      </c>
      <c r="V837" s="4">
        <v>534.75</v>
      </c>
      <c r="W837" s="4">
        <v>1</v>
      </c>
      <c r="X837" s="5">
        <v>2015</v>
      </c>
      <c r="Y837" s="5" t="s">
        <v>29</v>
      </c>
      <c r="Z837" s="5" t="s">
        <v>171</v>
      </c>
      <c r="AA837" s="5">
        <v>123</v>
      </c>
    </row>
    <row r="838" spans="1:27">
      <c r="A838" s="3">
        <v>9</v>
      </c>
      <c r="B838" s="3" t="s">
        <v>723</v>
      </c>
      <c r="C838" s="3">
        <v>1982</v>
      </c>
      <c r="D838" s="3" t="s">
        <v>336</v>
      </c>
      <c r="E838" s="3">
        <v>118.56</v>
      </c>
      <c r="F838" s="3">
        <v>0.57650000000000001</v>
      </c>
      <c r="G838" s="3">
        <v>32</v>
      </c>
      <c r="H838" s="3">
        <v>335</v>
      </c>
      <c r="I838" s="3">
        <v>347.5</v>
      </c>
      <c r="J838" s="3">
        <v>350</v>
      </c>
      <c r="K838" s="4" t="e">
        <f t="array" aca="1" ref="K838">MAX(H838:J838*(1-strike(H838:J838)))</f>
        <v>#NAME?</v>
      </c>
      <c r="L838" s="3">
        <v>230</v>
      </c>
      <c r="M838" s="3">
        <v>245</v>
      </c>
      <c r="N838" s="1">
        <v>250</v>
      </c>
      <c r="O838" s="4" t="e">
        <f t="array" aca="1" ref="O838">MAX(L838:N838*(1-strike(L838:N838)))</f>
        <v>#NAME?</v>
      </c>
      <c r="P838" s="3">
        <v>280</v>
      </c>
      <c r="Q838" s="3">
        <v>300</v>
      </c>
      <c r="R838" s="3">
        <v>312.5</v>
      </c>
      <c r="S838" s="4" t="e">
        <f t="array" aca="1" ref="S838">MAX(P838:R838*(1-strike(P838:R838)))</f>
        <v>#NAME?</v>
      </c>
      <c r="T838" s="4" t="e">
        <f t="shared" si="13"/>
        <v>#NAME?</v>
      </c>
      <c r="U838" s="3">
        <v>907.5</v>
      </c>
      <c r="V838" s="3">
        <v>523.21</v>
      </c>
      <c r="W838" s="3">
        <v>2</v>
      </c>
      <c r="X838" s="5">
        <v>2012</v>
      </c>
      <c r="Y838" s="5" t="s">
        <v>29</v>
      </c>
      <c r="Z838" s="5" t="s">
        <v>171</v>
      </c>
      <c r="AA838" s="5">
        <v>1307</v>
      </c>
    </row>
    <row r="839" spans="1:27">
      <c r="A839" s="3">
        <v>6</v>
      </c>
      <c r="B839" s="3" t="s">
        <v>723</v>
      </c>
      <c r="C839" s="3">
        <v>1982</v>
      </c>
      <c r="D839" s="3" t="s">
        <v>336</v>
      </c>
      <c r="E839" s="3">
        <v>119.2</v>
      </c>
      <c r="F839" s="3">
        <v>0.57579999999999998</v>
      </c>
      <c r="G839" s="3">
        <v>2</v>
      </c>
      <c r="H839" s="3">
        <v>340</v>
      </c>
      <c r="I839" s="3">
        <v>355</v>
      </c>
      <c r="J839" s="1">
        <v>365</v>
      </c>
      <c r="K839" s="4" t="e">
        <f t="array" aca="1" ref="K839">MAX(H839:J839*(1-strike(H839:J839)))</f>
        <v>#NAME?</v>
      </c>
      <c r="L839" s="3">
        <v>245</v>
      </c>
      <c r="M839" s="3">
        <v>257.5</v>
      </c>
      <c r="N839" s="1">
        <v>265</v>
      </c>
      <c r="O839" s="4" t="e">
        <f t="array" aca="1" ref="O839">MAX(L839:N839*(1-strike(L839:N839)))</f>
        <v>#NAME?</v>
      </c>
      <c r="P839" s="3">
        <v>285</v>
      </c>
      <c r="Q839" s="3">
        <v>300</v>
      </c>
      <c r="R839" s="1">
        <v>307.5</v>
      </c>
      <c r="S839" s="4" t="e">
        <f t="array" aca="1" ref="S839">MAX(P839:R839*(1-strike(P839:R839)))</f>
        <v>#NAME?</v>
      </c>
      <c r="T839" s="4" t="e">
        <f t="shared" si="13"/>
        <v>#NAME?</v>
      </c>
      <c r="U839" s="3">
        <v>912.5</v>
      </c>
      <c r="V839" s="3">
        <v>525.41999999999996</v>
      </c>
      <c r="W839" s="3">
        <v>5</v>
      </c>
      <c r="X839" s="5">
        <v>2013</v>
      </c>
      <c r="Y839" s="5" t="s">
        <v>29</v>
      </c>
      <c r="Z839" s="5" t="s">
        <v>171</v>
      </c>
      <c r="AA839" s="5">
        <v>900</v>
      </c>
    </row>
    <row r="840" spans="1:27">
      <c r="A840" s="4">
        <v>12</v>
      </c>
      <c r="B840" s="4" t="s">
        <v>723</v>
      </c>
      <c r="C840" s="4">
        <v>1982</v>
      </c>
      <c r="D840" s="4" t="s">
        <v>336</v>
      </c>
      <c r="E840" s="4">
        <v>118.62</v>
      </c>
      <c r="F840" s="4">
        <v>0.57650000000000001</v>
      </c>
      <c r="G840" s="4">
        <v>17</v>
      </c>
      <c r="H840" s="6">
        <v>360</v>
      </c>
      <c r="I840" s="4">
        <v>367.5</v>
      </c>
      <c r="J840" s="4">
        <v>375</v>
      </c>
      <c r="K840" s="4" t="e">
        <f t="array" aca="1" ref="K840">MAX(H840:J840*(1-strike(H840:J840)))</f>
        <v>#NAME?</v>
      </c>
      <c r="L840" s="4">
        <v>260</v>
      </c>
      <c r="M840" s="4">
        <v>272.5</v>
      </c>
      <c r="N840" s="6">
        <v>280</v>
      </c>
      <c r="O840" s="4" t="e">
        <f t="array" aca="1" ref="O840">MAX(L840:N840*(1-strike(L840:N840)))</f>
        <v>#NAME?</v>
      </c>
      <c r="P840" s="4">
        <v>295</v>
      </c>
      <c r="Q840" s="4">
        <v>307.5</v>
      </c>
      <c r="R840" s="6">
        <v>315</v>
      </c>
      <c r="S840" s="4" t="e">
        <f t="array" aca="1" ref="S840">MAX(P840:R840*(1-strike(P840:R840)))</f>
        <v>#NAME?</v>
      </c>
      <c r="T840" s="4" t="e">
        <f t="shared" si="13"/>
        <v>#NAME?</v>
      </c>
      <c r="U840" s="4">
        <v>955</v>
      </c>
      <c r="V840" s="4">
        <v>550.55999999999995</v>
      </c>
      <c r="W840" s="4">
        <v>1</v>
      </c>
      <c r="X840" s="5">
        <v>2014</v>
      </c>
      <c r="Y840" s="5" t="s">
        <v>29</v>
      </c>
      <c r="Z840" s="5" t="s">
        <v>171</v>
      </c>
      <c r="AA840" s="5">
        <v>544</v>
      </c>
    </row>
    <row r="841" spans="1:27" ht="15" customHeight="1">
      <c r="A841" s="3">
        <v>12</v>
      </c>
      <c r="B841" s="3" t="s">
        <v>724</v>
      </c>
      <c r="C841" s="3">
        <v>1959</v>
      </c>
      <c r="D841" s="3" t="s">
        <v>336</v>
      </c>
      <c r="E841" s="3">
        <v>65.010000000000005</v>
      </c>
      <c r="F841" s="3">
        <v>0.79510000000000003</v>
      </c>
      <c r="G841" s="3">
        <v>9</v>
      </c>
      <c r="H841" s="3">
        <v>200</v>
      </c>
      <c r="I841" s="1">
        <v>210</v>
      </c>
      <c r="J841" s="1">
        <v>215</v>
      </c>
      <c r="K841" s="4" t="e">
        <f t="array" aca="1" ref="K841">MAX(H841:J841*(1-strike(H841:J841)))</f>
        <v>#NAME?</v>
      </c>
      <c r="L841" s="1">
        <v>142.5</v>
      </c>
      <c r="M841" s="3">
        <v>142.5</v>
      </c>
      <c r="N841" s="1">
        <v>145</v>
      </c>
      <c r="O841" s="4" t="e">
        <f t="array" aca="1" ref="O841">MAX(L841:N841*(1-strike(L841:N841)))</f>
        <v>#NAME?</v>
      </c>
      <c r="P841" s="3">
        <v>190</v>
      </c>
      <c r="Q841" s="1">
        <v>200</v>
      </c>
      <c r="R841" s="3">
        <v>200</v>
      </c>
      <c r="S841" s="4" t="e">
        <f t="array" aca="1" ref="S841">MAX(P841:R841*(1-strike(P841:R841)))</f>
        <v>#NAME?</v>
      </c>
      <c r="T841" s="4" t="e">
        <f t="shared" si="13"/>
        <v>#NAME?</v>
      </c>
      <c r="U841" s="3">
        <v>542.5</v>
      </c>
      <c r="V841" s="3">
        <v>431.34</v>
      </c>
      <c r="W841" s="3">
        <v>1</v>
      </c>
      <c r="X841" s="5">
        <v>2012</v>
      </c>
      <c r="Y841" s="5" t="s">
        <v>29</v>
      </c>
      <c r="Z841" s="5" t="s">
        <v>171</v>
      </c>
      <c r="AA841" s="5">
        <v>1214</v>
      </c>
    </row>
    <row r="842" spans="1:27">
      <c r="A842" s="3">
        <v>5</v>
      </c>
      <c r="B842" s="3" t="s">
        <v>725</v>
      </c>
      <c r="C842" s="3">
        <v>1986</v>
      </c>
      <c r="D842" s="3" t="s">
        <v>45</v>
      </c>
      <c r="E842" s="3">
        <v>74</v>
      </c>
      <c r="F842" s="3">
        <v>0.71930000000000005</v>
      </c>
      <c r="G842" s="3">
        <v>7</v>
      </c>
      <c r="H842" s="3">
        <v>265</v>
      </c>
      <c r="I842" s="3">
        <v>272.5</v>
      </c>
      <c r="J842" s="3">
        <v>280</v>
      </c>
      <c r="K842" s="4" t="e">
        <f t="array" aca="1" ref="K842">MAX(H842:J842*(1-strike(H842:J842)))</f>
        <v>#NAME?</v>
      </c>
      <c r="L842" s="1">
        <v>225</v>
      </c>
      <c r="M842" s="3">
        <v>225</v>
      </c>
      <c r="N842" s="3">
        <v>230</v>
      </c>
      <c r="O842" s="4" t="e">
        <f t="array" aca="1" ref="O842">MAX(L842:N842*(1-strike(L842:N842)))</f>
        <v>#NAME?</v>
      </c>
      <c r="P842" s="3">
        <v>250</v>
      </c>
      <c r="Q842" s="3">
        <v>260</v>
      </c>
      <c r="R842" s="3">
        <v>265</v>
      </c>
      <c r="S842" s="4" t="e">
        <f t="array" aca="1" ref="S842">MAX(P842:R842*(1-strike(P842:R842)))</f>
        <v>#NAME?</v>
      </c>
      <c r="T842" s="4" t="e">
        <f t="shared" si="13"/>
        <v>#NAME?</v>
      </c>
      <c r="U842" s="3">
        <v>775</v>
      </c>
      <c r="V842" s="3">
        <v>557.45000000000005</v>
      </c>
      <c r="W842" s="3">
        <v>6</v>
      </c>
      <c r="X842" s="5">
        <v>2012</v>
      </c>
      <c r="Y842" s="5" t="s">
        <v>29</v>
      </c>
      <c r="Z842" s="5" t="s">
        <v>171</v>
      </c>
      <c r="AA842" s="5">
        <v>1221</v>
      </c>
    </row>
    <row r="843" spans="1:27">
      <c r="A843" s="3">
        <v>7</v>
      </c>
      <c r="B843" s="3" t="s">
        <v>725</v>
      </c>
      <c r="C843" s="3">
        <v>1986</v>
      </c>
      <c r="D843" s="3" t="s">
        <v>45</v>
      </c>
      <c r="E843" s="3">
        <v>73.23</v>
      </c>
      <c r="F843" s="3">
        <v>0.72470000000000001</v>
      </c>
      <c r="G843" s="3">
        <v>15</v>
      </c>
      <c r="H843" s="3">
        <v>270</v>
      </c>
      <c r="I843" s="3">
        <v>277.5</v>
      </c>
      <c r="J843" s="3">
        <v>282.5</v>
      </c>
      <c r="K843" s="4" t="e">
        <f t="array" aca="1" ref="K843">MAX(H843:J843*(1-strike(H843:J843)))</f>
        <v>#NAME?</v>
      </c>
      <c r="L843" s="3">
        <v>217.5</v>
      </c>
      <c r="M843" s="1">
        <v>222.5</v>
      </c>
      <c r="N843" s="3">
        <v>222.5</v>
      </c>
      <c r="O843" s="4" t="e">
        <f t="array" aca="1" ref="O843">MAX(L843:N843*(1-strike(L843:N843)))</f>
        <v>#NAME?</v>
      </c>
      <c r="P843" s="3">
        <v>255</v>
      </c>
      <c r="Q843" s="1">
        <v>262.5</v>
      </c>
      <c r="R843" s="3">
        <v>262.5</v>
      </c>
      <c r="S843" s="4" t="e">
        <f t="array" aca="1" ref="S843">MAX(P843:R843*(1-strike(P843:R843)))</f>
        <v>#NAME?</v>
      </c>
      <c r="T843" s="4" t="e">
        <f t="shared" si="13"/>
        <v>#NAME?</v>
      </c>
      <c r="U843" s="3">
        <v>767.5</v>
      </c>
      <c r="V843" s="3">
        <v>556.21</v>
      </c>
      <c r="W843" s="3">
        <v>4</v>
      </c>
      <c r="X843" s="5">
        <v>2013</v>
      </c>
      <c r="Y843" s="5" t="s">
        <v>29</v>
      </c>
      <c r="Z843" s="5" t="s">
        <v>171</v>
      </c>
      <c r="AA843" s="5">
        <v>842</v>
      </c>
    </row>
    <row r="844" spans="1:27">
      <c r="A844" s="4">
        <v>5</v>
      </c>
      <c r="B844" s="4" t="s">
        <v>725</v>
      </c>
      <c r="C844" s="4">
        <v>1986</v>
      </c>
      <c r="D844" s="4" t="s">
        <v>45</v>
      </c>
      <c r="E844" s="4">
        <v>73.91</v>
      </c>
      <c r="F844" s="4">
        <v>0.71989999999999998</v>
      </c>
      <c r="G844" s="4">
        <v>1</v>
      </c>
      <c r="H844" s="4">
        <v>300</v>
      </c>
      <c r="I844" s="6">
        <v>310</v>
      </c>
      <c r="J844" s="4">
        <v>310</v>
      </c>
      <c r="K844" s="4" t="e">
        <f t="array" aca="1" ref="K844">MAX(H844:J844*(1-strike(H844:J844)))</f>
        <v>#NAME?</v>
      </c>
      <c r="L844" s="4">
        <v>225</v>
      </c>
      <c r="M844" s="4">
        <v>230</v>
      </c>
      <c r="N844" s="6">
        <v>232.5</v>
      </c>
      <c r="O844" s="4" t="e">
        <f t="array" aca="1" ref="O844">MAX(L844:N844*(1-strike(L844:N844)))</f>
        <v>#NAME?</v>
      </c>
      <c r="P844" s="4">
        <v>260</v>
      </c>
      <c r="Q844" s="4">
        <v>267.5</v>
      </c>
      <c r="R844" s="6">
        <v>272.5</v>
      </c>
      <c r="S844" s="4" t="e">
        <f t="array" aca="1" ref="S844">MAX(P844:R844*(1-strike(P844:R844)))</f>
        <v>#NAME?</v>
      </c>
      <c r="T844" s="4" t="e">
        <f t="shared" si="13"/>
        <v>#NAME?</v>
      </c>
      <c r="U844" s="4">
        <v>807.5</v>
      </c>
      <c r="V844" s="4">
        <v>581.32000000000005</v>
      </c>
      <c r="W844" s="4">
        <v>6</v>
      </c>
      <c r="X844" s="5">
        <v>2015</v>
      </c>
      <c r="Y844" s="5" t="s">
        <v>29</v>
      </c>
      <c r="Z844" s="5" t="s">
        <v>171</v>
      </c>
      <c r="AA844" s="5">
        <v>27</v>
      </c>
    </row>
    <row r="845" spans="1:27">
      <c r="A845" s="4">
        <v>6</v>
      </c>
      <c r="B845" s="4" t="s">
        <v>726</v>
      </c>
      <c r="C845" s="4">
        <v>1984</v>
      </c>
      <c r="D845" s="4" t="s">
        <v>45</v>
      </c>
      <c r="E845" s="4">
        <v>163.19999999999999</v>
      </c>
      <c r="F845" s="4">
        <v>0.54659999999999997</v>
      </c>
      <c r="G845" s="4">
        <v>5</v>
      </c>
      <c r="H845" s="4">
        <v>305</v>
      </c>
      <c r="I845" s="4">
        <v>315</v>
      </c>
      <c r="J845" s="6">
        <v>320</v>
      </c>
      <c r="K845" s="4" t="e">
        <f t="array" aca="1" ref="K845">MAX(H845:J845*(1-strike(H845:J845)))</f>
        <v>#NAME?</v>
      </c>
      <c r="L845" s="4">
        <v>235</v>
      </c>
      <c r="M845" s="4">
        <v>240</v>
      </c>
      <c r="N845" s="4">
        <v>245</v>
      </c>
      <c r="O845" s="4" t="e">
        <f t="array" aca="1" ref="O845">MAX(L845:N845*(1-strike(L845:N845)))</f>
        <v>#NAME?</v>
      </c>
      <c r="P845" s="4">
        <v>300</v>
      </c>
      <c r="Q845" s="4">
        <v>310</v>
      </c>
      <c r="R845" s="4"/>
      <c r="S845" s="4" t="e">
        <f t="array" aca="1" ref="S845">MAX(P845:R845*(1-strike(P845:R845)))</f>
        <v>#NAME?</v>
      </c>
      <c r="T845" s="4" t="e">
        <f t="shared" si="13"/>
        <v>#NAME?</v>
      </c>
      <c r="U845" s="4">
        <v>870</v>
      </c>
      <c r="V845" s="4">
        <v>475.54</v>
      </c>
      <c r="W845" s="4">
        <v>5</v>
      </c>
      <c r="X845" s="5">
        <v>2014</v>
      </c>
      <c r="Y845" s="5" t="s">
        <v>29</v>
      </c>
      <c r="Z845" s="5" t="s">
        <v>30</v>
      </c>
      <c r="AA845" s="5">
        <v>740</v>
      </c>
    </row>
    <row r="846" spans="1:27">
      <c r="A846" s="4">
        <v>8</v>
      </c>
      <c r="B846" s="4" t="s">
        <v>726</v>
      </c>
      <c r="C846" s="4">
        <v>1984</v>
      </c>
      <c r="D846" s="4" t="s">
        <v>45</v>
      </c>
      <c r="E846" s="4">
        <v>163.5</v>
      </c>
      <c r="F846" s="4">
        <v>0.5464</v>
      </c>
      <c r="G846" s="4">
        <v>1</v>
      </c>
      <c r="H846" s="4">
        <v>310</v>
      </c>
      <c r="I846" s="4">
        <v>320</v>
      </c>
      <c r="J846" s="4">
        <v>330</v>
      </c>
      <c r="K846" s="4" t="e">
        <f t="array" aca="1" ref="K846">MAX(H846:J846*(1-strike(H846:J846)))</f>
        <v>#NAME?</v>
      </c>
      <c r="L846" s="6">
        <v>245</v>
      </c>
      <c r="M846" s="4">
        <v>245</v>
      </c>
      <c r="N846" s="4">
        <v>252.5</v>
      </c>
      <c r="O846" s="4" t="e">
        <f t="array" aca="1" ref="O846">MAX(L846:N846*(1-strike(L846:N846)))</f>
        <v>#NAME?</v>
      </c>
      <c r="P846" s="4">
        <v>300</v>
      </c>
      <c r="Q846" s="4">
        <v>320</v>
      </c>
      <c r="R846" s="4">
        <v>325</v>
      </c>
      <c r="S846" s="4" t="e">
        <f t="array" aca="1" ref="S846">MAX(P846:R846*(1-strike(P846:R846)))</f>
        <v>#NAME?</v>
      </c>
      <c r="T846" s="4" t="e">
        <f t="shared" si="13"/>
        <v>#NAME?</v>
      </c>
      <c r="U846" s="4">
        <v>907.5</v>
      </c>
      <c r="V846" s="4">
        <v>495.86</v>
      </c>
      <c r="W846" s="4">
        <v>3</v>
      </c>
      <c r="X846" s="5">
        <v>2015</v>
      </c>
      <c r="Y846" s="5" t="s">
        <v>29</v>
      </c>
      <c r="Z846" s="5" t="s">
        <v>30</v>
      </c>
      <c r="AA846" s="5">
        <v>330</v>
      </c>
    </row>
    <row r="847" spans="1:27">
      <c r="A847" s="4">
        <v>5</v>
      </c>
      <c r="B847" s="4" t="s">
        <v>726</v>
      </c>
      <c r="C847" s="4">
        <v>1984</v>
      </c>
      <c r="D847" s="4" t="s">
        <v>45</v>
      </c>
      <c r="E847" s="4">
        <v>164.33</v>
      </c>
      <c r="F847" s="4">
        <v>0.54600000000000004</v>
      </c>
      <c r="G847" s="4">
        <v>1</v>
      </c>
      <c r="H847" s="4">
        <v>395</v>
      </c>
      <c r="I847" s="6">
        <v>405</v>
      </c>
      <c r="J847" s="4">
        <v>405</v>
      </c>
      <c r="K847" s="4" t="e">
        <f t="array" aca="1" ref="K847">MAX(H847:J847*(1-strike(H847:J847)))</f>
        <v>#NAME?</v>
      </c>
      <c r="L847" s="4">
        <v>345</v>
      </c>
      <c r="M847" s="4">
        <v>352.5</v>
      </c>
      <c r="N847" s="6">
        <v>357.5</v>
      </c>
      <c r="O847" s="4" t="e">
        <f t="array" aca="1" ref="O847">MAX(L847:N847*(1-strike(L847:N847)))</f>
        <v>#NAME?</v>
      </c>
      <c r="P847" s="6">
        <v>310</v>
      </c>
      <c r="Q847" s="4">
        <v>310</v>
      </c>
      <c r="R847" s="6">
        <v>342.5</v>
      </c>
      <c r="S847" s="4" t="e">
        <f t="array" aca="1" ref="S847">MAX(P847:R847*(1-strike(P847:R847)))</f>
        <v>#NAME?</v>
      </c>
      <c r="T847" s="4" t="e">
        <f t="shared" si="13"/>
        <v>#NAME?</v>
      </c>
      <c r="U847" s="4">
        <v>1067.5</v>
      </c>
      <c r="V847" s="4">
        <v>582.86</v>
      </c>
      <c r="W847" s="4">
        <v>6</v>
      </c>
      <c r="X847" s="5">
        <v>2015</v>
      </c>
      <c r="Y847" s="5" t="s">
        <v>29</v>
      </c>
      <c r="Z847" s="5" t="s">
        <v>171</v>
      </c>
      <c r="AA847" s="5">
        <v>117</v>
      </c>
    </row>
    <row r="848" spans="1:27">
      <c r="A848" s="4">
        <v>11</v>
      </c>
      <c r="B848" s="4" t="s">
        <v>727</v>
      </c>
      <c r="C848" s="4">
        <v>1989</v>
      </c>
      <c r="D848" s="4" t="s">
        <v>51</v>
      </c>
      <c r="E848" s="4">
        <v>82.62</v>
      </c>
      <c r="F848" s="4">
        <v>0.66930000000000001</v>
      </c>
      <c r="G848" s="4">
        <v>13</v>
      </c>
      <c r="H848" s="4">
        <v>225</v>
      </c>
      <c r="I848" s="6">
        <v>235</v>
      </c>
      <c r="J848" s="4">
        <v>235</v>
      </c>
      <c r="K848" s="4" t="e">
        <f t="array" aca="1" ref="K848">MAX(H848:J848*(1-strike(H848:J848)))</f>
        <v>#NAME?</v>
      </c>
      <c r="L848" s="4">
        <v>145</v>
      </c>
      <c r="M848" s="4">
        <v>152.5</v>
      </c>
      <c r="N848" s="6">
        <v>157.5</v>
      </c>
      <c r="O848" s="4" t="e">
        <f t="array" aca="1" ref="O848">MAX(L848:N848*(1-strike(L848:N848)))</f>
        <v>#NAME?</v>
      </c>
      <c r="P848" s="4">
        <v>262.5</v>
      </c>
      <c r="Q848" s="6">
        <v>270</v>
      </c>
      <c r="R848" s="6">
        <v>270</v>
      </c>
      <c r="S848" s="4" t="e">
        <f t="array" aca="1" ref="S848">MAX(P848:R848*(1-strike(P848:R848)))</f>
        <v>#NAME?</v>
      </c>
      <c r="T848" s="4" t="e">
        <f t="shared" si="13"/>
        <v>#NAME?</v>
      </c>
      <c r="U848" s="4">
        <v>650</v>
      </c>
      <c r="V848" s="4">
        <v>435.05</v>
      </c>
      <c r="W848" s="4">
        <v>1</v>
      </c>
      <c r="X848" s="5">
        <v>2015</v>
      </c>
      <c r="Y848" s="5" t="s">
        <v>29</v>
      </c>
      <c r="Z848" s="5" t="s">
        <v>30</v>
      </c>
      <c r="AA848" s="5">
        <v>266</v>
      </c>
    </row>
    <row r="849" spans="1:27">
      <c r="A849" s="3">
        <v>1</v>
      </c>
      <c r="B849" s="3" t="s">
        <v>728</v>
      </c>
      <c r="C849" s="3">
        <v>1981</v>
      </c>
      <c r="D849" s="3" t="s">
        <v>119</v>
      </c>
      <c r="E849" s="3">
        <v>119.5</v>
      </c>
      <c r="F849" s="3">
        <v>0.57550000000000001</v>
      </c>
      <c r="G849" s="3">
        <v>15</v>
      </c>
      <c r="H849" s="3">
        <v>390</v>
      </c>
      <c r="I849" s="3">
        <v>402.5</v>
      </c>
      <c r="J849" s="3">
        <v>412.5</v>
      </c>
      <c r="K849" s="4" t="e">
        <f t="array" aca="1" ref="K849">MAX(H849:J849*(1-strike(H849:J849)))</f>
        <v>#NAME?</v>
      </c>
      <c r="L849" s="3">
        <v>282.5</v>
      </c>
      <c r="M849" s="3">
        <v>290</v>
      </c>
      <c r="N849" s="3">
        <v>295</v>
      </c>
      <c r="O849" s="4" t="e">
        <f t="array" aca="1" ref="O849">MAX(L849:N849*(1-strike(L849:N849)))</f>
        <v>#NAME?</v>
      </c>
      <c r="P849" s="3">
        <v>345</v>
      </c>
      <c r="Q849" s="3">
        <v>357.5</v>
      </c>
      <c r="R849" s="3">
        <v>367.5</v>
      </c>
      <c r="S849" s="4" t="e">
        <f t="array" aca="1" ref="S849">MAX(P849:R849*(1-strike(P849:R849)))</f>
        <v>#NAME?</v>
      </c>
      <c r="T849" s="4" t="e">
        <f t="shared" si="13"/>
        <v>#NAME?</v>
      </c>
      <c r="U849" s="3" t="s">
        <v>729</v>
      </c>
      <c r="V849" s="3">
        <v>618.66</v>
      </c>
      <c r="W849" s="3">
        <v>12</v>
      </c>
      <c r="X849" s="5">
        <v>2013</v>
      </c>
      <c r="Y849" s="5" t="s">
        <v>29</v>
      </c>
      <c r="Z849" s="5" t="s">
        <v>171</v>
      </c>
      <c r="AA849" s="5">
        <v>895</v>
      </c>
    </row>
    <row r="850" spans="1:27">
      <c r="A850" s="4">
        <v>2</v>
      </c>
      <c r="B850" s="4" t="s">
        <v>728</v>
      </c>
      <c r="C850" s="4">
        <v>1981</v>
      </c>
      <c r="D850" s="4" t="s">
        <v>119</v>
      </c>
      <c r="E850" s="4">
        <v>118.98</v>
      </c>
      <c r="F850" s="4">
        <v>0.57609999999999995</v>
      </c>
      <c r="G850" s="4">
        <v>12</v>
      </c>
      <c r="H850" s="6">
        <v>400</v>
      </c>
      <c r="I850" s="4">
        <v>400</v>
      </c>
      <c r="J850" s="4"/>
      <c r="K850" s="4" t="e">
        <f t="array" aca="1" ref="K850">MAX(H850:J850*(1-strike(H850:J850)))</f>
        <v>#NAME?</v>
      </c>
      <c r="L850" s="4">
        <v>285</v>
      </c>
      <c r="M850" s="4">
        <v>292.5</v>
      </c>
      <c r="N850" s="4">
        <v>300</v>
      </c>
      <c r="O850" s="4" t="e">
        <f t="array" aca="1" ref="O850">MAX(L850:N850*(1-strike(L850:N850)))</f>
        <v>#NAME?</v>
      </c>
      <c r="P850" s="4">
        <v>345</v>
      </c>
      <c r="Q850" s="4">
        <v>355</v>
      </c>
      <c r="R850" s="6">
        <v>367.5</v>
      </c>
      <c r="S850" s="4" t="e">
        <f t="array" aca="1" ref="S850">MAX(P850:R850*(1-strike(P850:R850)))</f>
        <v>#NAME?</v>
      </c>
      <c r="T850" s="4" t="e">
        <f t="shared" si="13"/>
        <v>#NAME?</v>
      </c>
      <c r="U850" s="4">
        <v>1055</v>
      </c>
      <c r="V850" s="4">
        <v>607.79</v>
      </c>
      <c r="W850" s="4">
        <v>9</v>
      </c>
      <c r="X850" s="5">
        <v>2014</v>
      </c>
      <c r="Y850" s="5" t="s">
        <v>29</v>
      </c>
      <c r="Z850" s="5" t="s">
        <v>171</v>
      </c>
      <c r="AA850" s="5">
        <v>534</v>
      </c>
    </row>
    <row r="851" spans="1:27">
      <c r="A851" s="4">
        <v>4</v>
      </c>
      <c r="B851" s="4" t="s">
        <v>728</v>
      </c>
      <c r="C851" s="4">
        <v>1981</v>
      </c>
      <c r="D851" s="4" t="s">
        <v>119</v>
      </c>
      <c r="E851" s="4">
        <v>119.91</v>
      </c>
      <c r="F851" s="4">
        <v>0.57499999999999996</v>
      </c>
      <c r="G851" s="4">
        <v>17</v>
      </c>
      <c r="H851" s="6">
        <v>402.5</v>
      </c>
      <c r="I851" s="4">
        <v>402.5</v>
      </c>
      <c r="J851" s="4">
        <v>412.5</v>
      </c>
      <c r="K851" s="4" t="e">
        <f t="array" aca="1" ref="K851">MAX(H851:J851*(1-strike(H851:J851)))</f>
        <v>#NAME?</v>
      </c>
      <c r="L851" s="4">
        <v>297.5</v>
      </c>
      <c r="M851" s="4">
        <v>305</v>
      </c>
      <c r="N851" s="4">
        <v>312.5</v>
      </c>
      <c r="O851" s="4" t="e">
        <f t="array" aca="1" ref="O851">MAX(L851:N851*(1-strike(L851:N851)))</f>
        <v>#NAME?</v>
      </c>
      <c r="P851" s="4">
        <v>337.5</v>
      </c>
      <c r="Q851" s="4">
        <v>345</v>
      </c>
      <c r="R851" s="6">
        <v>355</v>
      </c>
      <c r="S851" s="4" t="e">
        <f t="array" aca="1" ref="S851">MAX(P851:R851*(1-strike(P851:R851)))</f>
        <v>#NAME?</v>
      </c>
      <c r="T851" s="4" t="e">
        <f t="shared" si="13"/>
        <v>#NAME?</v>
      </c>
      <c r="U851" s="4">
        <v>1070</v>
      </c>
      <c r="V851" s="4">
        <v>615.25</v>
      </c>
      <c r="W851" s="4">
        <v>7</v>
      </c>
      <c r="X851" s="5">
        <v>2015</v>
      </c>
      <c r="Y851" s="5" t="s">
        <v>29</v>
      </c>
      <c r="Z851" s="5" t="s">
        <v>171</v>
      </c>
      <c r="AA851" s="5">
        <v>99</v>
      </c>
    </row>
    <row r="852" spans="1:27">
      <c r="A852" s="3" t="s">
        <v>37</v>
      </c>
      <c r="B852" s="3" t="s">
        <v>730</v>
      </c>
      <c r="C852" s="3">
        <v>1981</v>
      </c>
      <c r="D852" s="3" t="s">
        <v>464</v>
      </c>
      <c r="E852" s="3">
        <v>92.82</v>
      </c>
      <c r="F852" s="3">
        <v>0.62870000000000004</v>
      </c>
      <c r="G852" s="3">
        <v>3</v>
      </c>
      <c r="H852" s="3">
        <v>370</v>
      </c>
      <c r="I852" s="3">
        <v>380</v>
      </c>
      <c r="J852" s="1">
        <v>390</v>
      </c>
      <c r="K852" s="4" t="e">
        <f t="array" aca="1" ref="K852">MAX(H852:J852*(1-strike(H852:J852)))</f>
        <v>#NAME?</v>
      </c>
      <c r="L852" s="1">
        <v>245</v>
      </c>
      <c r="M852" s="1">
        <v>245</v>
      </c>
      <c r="N852" s="1">
        <v>250</v>
      </c>
      <c r="O852" s="4" t="e">
        <f t="array" aca="1" ref="O852">MAX(L852:N852*(1-strike(L852:N852)))</f>
        <v>#NAME?</v>
      </c>
      <c r="P852" s="1">
        <v>290</v>
      </c>
      <c r="Q852" s="3"/>
      <c r="R852" s="3"/>
      <c r="S852" s="4" t="e">
        <f t="array" aca="1" ref="S852">MAX(P852:R852*(1-strike(P852:R852)))</f>
        <v>#NAME?</v>
      </c>
      <c r="T852" s="4" t="e">
        <f t="shared" si="13"/>
        <v>#NAME?</v>
      </c>
      <c r="U852" s="3" t="s">
        <v>40</v>
      </c>
      <c r="V852" s="3" t="s">
        <v>37</v>
      </c>
      <c r="W852" s="3" t="s">
        <v>37</v>
      </c>
      <c r="X852" s="5">
        <v>2012</v>
      </c>
      <c r="Y852" s="5" t="s">
        <v>29</v>
      </c>
      <c r="Z852" s="5" t="s">
        <v>171</v>
      </c>
      <c r="AA852" s="5">
        <v>1273</v>
      </c>
    </row>
    <row r="853" spans="1:27">
      <c r="A853" s="3">
        <v>5</v>
      </c>
      <c r="B853" s="3" t="s">
        <v>143</v>
      </c>
      <c r="C853" s="3">
        <v>1987</v>
      </c>
      <c r="D853" s="3" t="s">
        <v>80</v>
      </c>
      <c r="E853" s="3">
        <v>92.6</v>
      </c>
      <c r="F853" s="3">
        <v>0.62949999999999995</v>
      </c>
      <c r="G853" s="3">
        <v>4</v>
      </c>
      <c r="H853" s="3">
        <v>240</v>
      </c>
      <c r="I853" s="3">
        <v>255</v>
      </c>
      <c r="J853" s="1">
        <v>262.5</v>
      </c>
      <c r="K853" s="4" t="e">
        <f t="array" aca="1" ref="K853">MAX(H853:J853*(1-strike(H853:J853)))</f>
        <v>#NAME?</v>
      </c>
      <c r="L853" s="3">
        <v>160</v>
      </c>
      <c r="M853" s="3">
        <v>170</v>
      </c>
      <c r="N853" s="1">
        <v>175</v>
      </c>
      <c r="O853" s="4" t="e">
        <f t="array" aca="1" ref="O853">MAX(L853:N853*(1-strike(L853:N853)))</f>
        <v>#NAME?</v>
      </c>
      <c r="P853" s="3">
        <v>280</v>
      </c>
      <c r="Q853" s="3">
        <v>297.5</v>
      </c>
      <c r="R853" s="1">
        <v>302.5</v>
      </c>
      <c r="S853" s="4" t="e">
        <f t="array" aca="1" ref="S853">MAX(P853:R853*(1-strike(P853:R853)))</f>
        <v>#NAME?</v>
      </c>
      <c r="T853" s="4" t="e">
        <f t="shared" si="13"/>
        <v>#NAME?</v>
      </c>
      <c r="U853" s="3">
        <v>722.5</v>
      </c>
      <c r="V853" s="3">
        <v>454.81</v>
      </c>
      <c r="W853" s="3">
        <v>6</v>
      </c>
      <c r="X853" s="5">
        <v>2013</v>
      </c>
      <c r="Y853" s="5" t="s">
        <v>29</v>
      </c>
      <c r="Z853" s="5" t="s">
        <v>30</v>
      </c>
      <c r="AA853" s="5">
        <v>1060</v>
      </c>
    </row>
    <row r="854" spans="1:27" ht="15" customHeight="1">
      <c r="A854" s="4">
        <v>3</v>
      </c>
      <c r="B854" s="4" t="s">
        <v>143</v>
      </c>
      <c r="C854" s="4">
        <v>1987</v>
      </c>
      <c r="D854" s="4" t="s">
        <v>80</v>
      </c>
      <c r="E854" s="4">
        <v>82.72</v>
      </c>
      <c r="F854" s="4">
        <v>0.66879999999999995</v>
      </c>
      <c r="G854" s="4">
        <v>16</v>
      </c>
      <c r="H854" s="4">
        <v>240</v>
      </c>
      <c r="I854" s="4">
        <v>250</v>
      </c>
      <c r="J854" s="6">
        <v>252.5</v>
      </c>
      <c r="K854" s="4" t="e">
        <f t="array" aca="1" ref="K854">MAX(H854:J854*(1-strike(H854:J854)))</f>
        <v>#NAME?</v>
      </c>
      <c r="L854" s="4">
        <v>165</v>
      </c>
      <c r="M854" s="6">
        <v>170</v>
      </c>
      <c r="N854" s="6">
        <v>170</v>
      </c>
      <c r="O854" s="4" t="e">
        <f t="array" aca="1" ref="O854">MAX(L854:N854*(1-strike(L854:N854)))</f>
        <v>#NAME?</v>
      </c>
      <c r="P854" s="4">
        <v>290</v>
      </c>
      <c r="Q854" s="6">
        <v>295</v>
      </c>
      <c r="R854" s="6">
        <v>295</v>
      </c>
      <c r="S854" s="4" t="e">
        <f t="array" aca="1" ref="S854">MAX(P854:R854*(1-strike(P854:R854)))</f>
        <v>#NAME?</v>
      </c>
      <c r="T854" s="4" t="e">
        <f t="shared" si="13"/>
        <v>#NAME?</v>
      </c>
      <c r="U854" s="4">
        <v>705</v>
      </c>
      <c r="V854" s="4">
        <v>471.5</v>
      </c>
      <c r="W854" s="4">
        <v>8</v>
      </c>
      <c r="X854" s="5">
        <v>2015</v>
      </c>
      <c r="Y854" s="5" t="s">
        <v>29</v>
      </c>
      <c r="Z854" s="5" t="s">
        <v>30</v>
      </c>
      <c r="AA854" s="5">
        <v>258</v>
      </c>
    </row>
    <row r="855" spans="1:27">
      <c r="A855" s="3">
        <v>15</v>
      </c>
      <c r="B855" s="3" t="s">
        <v>731</v>
      </c>
      <c r="C855" s="3">
        <v>1988</v>
      </c>
      <c r="D855" s="3" t="s">
        <v>318</v>
      </c>
      <c r="E855" s="3">
        <v>138.29</v>
      </c>
      <c r="F855" s="3">
        <v>0.55979999999999996</v>
      </c>
      <c r="G855" s="3">
        <v>11</v>
      </c>
      <c r="H855" s="3">
        <v>325</v>
      </c>
      <c r="I855" s="1">
        <v>335</v>
      </c>
      <c r="J855" s="1">
        <v>335</v>
      </c>
      <c r="K855" s="4" t="e">
        <f t="array" aca="1" ref="K855">MAX(H855:J855*(1-strike(H855:J855)))</f>
        <v>#NAME?</v>
      </c>
      <c r="L855" s="3">
        <v>215</v>
      </c>
      <c r="M855" s="1">
        <v>220</v>
      </c>
      <c r="N855" s="1">
        <v>220</v>
      </c>
      <c r="O855" s="4" t="e">
        <f t="array" aca="1" ref="O855">MAX(L855:N855*(1-strike(L855:N855)))</f>
        <v>#NAME?</v>
      </c>
      <c r="P855" s="1">
        <v>285</v>
      </c>
      <c r="Q855" s="3">
        <v>285</v>
      </c>
      <c r="R855" s="3">
        <v>290</v>
      </c>
      <c r="S855" s="4" t="e">
        <f t="array" aca="1" ref="S855">MAX(P855:R855*(1-strike(P855:R855)))</f>
        <v>#NAME?</v>
      </c>
      <c r="T855" s="4" t="e">
        <f t="shared" si="13"/>
        <v>#NAME?</v>
      </c>
      <c r="U855" s="3">
        <v>830</v>
      </c>
      <c r="V855" s="3">
        <v>464.64</v>
      </c>
      <c r="W855" s="3">
        <v>1</v>
      </c>
      <c r="X855" s="5">
        <v>2012</v>
      </c>
      <c r="Y855" s="5" t="s">
        <v>29</v>
      </c>
      <c r="Z855" s="5" t="s">
        <v>171</v>
      </c>
      <c r="AA855" s="5">
        <v>1330</v>
      </c>
    </row>
    <row r="856" spans="1:27">
      <c r="A856" s="3">
        <v>11</v>
      </c>
      <c r="B856" s="3" t="s">
        <v>732</v>
      </c>
      <c r="C856" s="3">
        <v>1965</v>
      </c>
      <c r="D856" s="3" t="s">
        <v>72</v>
      </c>
      <c r="E856" s="3">
        <v>65.69</v>
      </c>
      <c r="F856" s="3">
        <v>0.78820000000000001</v>
      </c>
      <c r="G856" s="3">
        <v>12</v>
      </c>
      <c r="H856" s="3">
        <v>235</v>
      </c>
      <c r="I856" s="3">
        <v>255</v>
      </c>
      <c r="J856" s="3">
        <v>265</v>
      </c>
      <c r="K856" s="4" t="e">
        <f t="array" aca="1" ref="K856">MAX(H856:J856*(1-strike(H856:J856)))</f>
        <v>#NAME?</v>
      </c>
      <c r="L856" s="3">
        <v>95</v>
      </c>
      <c r="M856" s="3">
        <v>102.5</v>
      </c>
      <c r="N856" s="1">
        <v>105</v>
      </c>
      <c r="O856" s="4" t="e">
        <f t="array" aca="1" ref="O856">MAX(L856:N856*(1-strike(L856:N856)))</f>
        <v>#NAME?</v>
      </c>
      <c r="P856" s="3">
        <v>210</v>
      </c>
      <c r="Q856" s="3">
        <v>232.5</v>
      </c>
      <c r="R856" s="3">
        <v>240</v>
      </c>
      <c r="S856" s="4" t="e">
        <f t="array" aca="1" ref="S856">MAX(P856:R856*(1-strike(P856:R856)))</f>
        <v>#NAME?</v>
      </c>
      <c r="T856" s="4" t="e">
        <f t="shared" si="13"/>
        <v>#NAME?</v>
      </c>
      <c r="U856" s="3">
        <v>607.5</v>
      </c>
      <c r="V856" s="3">
        <v>478.83</v>
      </c>
      <c r="W856" s="3">
        <v>1</v>
      </c>
      <c r="X856" s="5">
        <v>2012</v>
      </c>
      <c r="Y856" s="5" t="s">
        <v>29</v>
      </c>
      <c r="Z856" s="5" t="s">
        <v>171</v>
      </c>
      <c r="AA856" s="5">
        <v>1213</v>
      </c>
    </row>
    <row r="857" spans="1:27">
      <c r="A857" s="4">
        <v>9</v>
      </c>
      <c r="B857" s="4" t="s">
        <v>732</v>
      </c>
      <c r="C857" s="4">
        <v>1965</v>
      </c>
      <c r="D857" s="4" t="s">
        <v>72</v>
      </c>
      <c r="E857" s="4">
        <v>65.849999999999994</v>
      </c>
      <c r="F857" s="4">
        <v>0.78669999999999995</v>
      </c>
      <c r="G857" s="4">
        <v>12</v>
      </c>
      <c r="H857" s="4">
        <v>230</v>
      </c>
      <c r="I857" s="4">
        <v>250</v>
      </c>
      <c r="J857" s="6">
        <v>257.5</v>
      </c>
      <c r="K857" s="4" t="e">
        <f t="array" aca="1" ref="K857">MAX(H857:J857*(1-strike(H857:J857)))</f>
        <v>#NAME?</v>
      </c>
      <c r="L857" s="4">
        <v>90</v>
      </c>
      <c r="M857" s="4">
        <v>97.5</v>
      </c>
      <c r="N857" s="4">
        <v>100</v>
      </c>
      <c r="O857" s="4" t="e">
        <f t="array" aca="1" ref="O857">MAX(L857:N857*(1-strike(L857:N857)))</f>
        <v>#NAME?</v>
      </c>
      <c r="P857" s="4">
        <v>210</v>
      </c>
      <c r="Q857" s="4">
        <v>230</v>
      </c>
      <c r="R857" s="6">
        <v>235</v>
      </c>
      <c r="S857" s="4" t="e">
        <f t="array" aca="1" ref="S857">MAX(P857:R857*(1-strike(P857:R857)))</f>
        <v>#NAME?</v>
      </c>
      <c r="T857" s="4" t="e">
        <f t="shared" si="13"/>
        <v>#NAME?</v>
      </c>
      <c r="U857" s="4">
        <v>580</v>
      </c>
      <c r="V857" s="4">
        <v>456.29</v>
      </c>
      <c r="W857" s="4">
        <v>2</v>
      </c>
      <c r="X857" s="5">
        <v>2015</v>
      </c>
      <c r="Y857" s="5" t="s">
        <v>29</v>
      </c>
      <c r="Z857" s="5" t="s">
        <v>171</v>
      </c>
      <c r="AA857" s="5">
        <v>20</v>
      </c>
    </row>
    <row r="858" spans="1:27">
      <c r="A858" s="3">
        <v>3</v>
      </c>
      <c r="B858" s="3" t="s">
        <v>733</v>
      </c>
      <c r="C858" s="3">
        <v>1982</v>
      </c>
      <c r="D858" s="3" t="s">
        <v>119</v>
      </c>
      <c r="E858" s="3">
        <v>82.33</v>
      </c>
      <c r="F858" s="3">
        <v>0.67079999999999995</v>
      </c>
      <c r="G858" s="3">
        <v>7</v>
      </c>
      <c r="H858" s="3">
        <v>345</v>
      </c>
      <c r="I858" s="3">
        <v>352.5</v>
      </c>
      <c r="J858" s="3">
        <v>357.5</v>
      </c>
      <c r="K858" s="4" t="e">
        <f t="array" aca="1" ref="K858">MAX(H858:J858*(1-strike(H858:J858)))</f>
        <v>#NAME?</v>
      </c>
      <c r="L858" s="3">
        <v>225</v>
      </c>
      <c r="M858" s="1">
        <v>235</v>
      </c>
      <c r="N858" s="3">
        <v>235</v>
      </c>
      <c r="O858" s="4" t="e">
        <f t="array" aca="1" ref="O858">MAX(L858:N858*(1-strike(L858:N858)))</f>
        <v>#NAME?</v>
      </c>
      <c r="P858" s="3">
        <v>310</v>
      </c>
      <c r="Q858" s="3">
        <v>317.5</v>
      </c>
      <c r="R858" s="1">
        <v>325</v>
      </c>
      <c r="S858" s="4" t="e">
        <f t="array" aca="1" ref="S858">MAX(P858:R858*(1-strike(P858:R858)))</f>
        <v>#NAME?</v>
      </c>
      <c r="T858" s="4" t="e">
        <f t="shared" si="13"/>
        <v>#NAME?</v>
      </c>
      <c r="U858" s="3">
        <v>910</v>
      </c>
      <c r="V858" s="3">
        <v>610.38</v>
      </c>
      <c r="W858" s="3">
        <v>8</v>
      </c>
      <c r="X858" s="5">
        <v>2012</v>
      </c>
      <c r="Y858" s="5" t="s">
        <v>29</v>
      </c>
      <c r="Z858" s="5" t="s">
        <v>171</v>
      </c>
      <c r="AA858" s="5">
        <v>1236</v>
      </c>
    </row>
    <row r="859" spans="1:27">
      <c r="A859" s="3">
        <v>2</v>
      </c>
      <c r="B859" s="3" t="s">
        <v>733</v>
      </c>
      <c r="C859" s="3">
        <v>1982</v>
      </c>
      <c r="D859" s="3" t="s">
        <v>119</v>
      </c>
      <c r="E859" s="3">
        <v>82.7</v>
      </c>
      <c r="F859" s="3">
        <v>0.66890000000000005</v>
      </c>
      <c r="G859" s="3">
        <v>7</v>
      </c>
      <c r="H859" s="3">
        <v>345</v>
      </c>
      <c r="I859" s="1">
        <v>357.5</v>
      </c>
      <c r="J859" s="3">
        <v>357.5</v>
      </c>
      <c r="K859" s="4" t="e">
        <f t="array" aca="1" ref="K859">MAX(H859:J859*(1-strike(H859:J859)))</f>
        <v>#NAME?</v>
      </c>
      <c r="L859" s="3">
        <v>235</v>
      </c>
      <c r="M859" s="3">
        <v>245</v>
      </c>
      <c r="N859" s="1">
        <v>252.5</v>
      </c>
      <c r="O859" s="4" t="e">
        <f t="array" aca="1" ref="O859">MAX(L859:N859*(1-strike(L859:N859)))</f>
        <v>#NAME?</v>
      </c>
      <c r="P859" s="3">
        <v>305</v>
      </c>
      <c r="Q859" s="3">
        <v>315</v>
      </c>
      <c r="R859" s="3">
        <v>320</v>
      </c>
      <c r="S859" s="4" t="e">
        <f t="array" aca="1" ref="S859">MAX(P859:R859*(1-strike(P859:R859)))</f>
        <v>#NAME?</v>
      </c>
      <c r="T859" s="4" t="e">
        <f t="shared" si="13"/>
        <v>#NAME?</v>
      </c>
      <c r="U859" s="3">
        <v>922.5</v>
      </c>
      <c r="V859" s="3">
        <v>617.05999999999995</v>
      </c>
      <c r="W859" s="3">
        <v>9</v>
      </c>
      <c r="X859" s="5">
        <v>2013</v>
      </c>
      <c r="Y859" s="5" t="s">
        <v>29</v>
      </c>
      <c r="Z859" s="5" t="s">
        <v>171</v>
      </c>
      <c r="AA859" s="5">
        <v>853</v>
      </c>
    </row>
    <row r="860" spans="1:27">
      <c r="A860" s="4">
        <v>2</v>
      </c>
      <c r="B860" s="4" t="s">
        <v>733</v>
      </c>
      <c r="C860" s="4">
        <v>1982</v>
      </c>
      <c r="D860" s="4" t="s">
        <v>119</v>
      </c>
      <c r="E860" s="4">
        <v>82.98</v>
      </c>
      <c r="F860" s="4">
        <v>0.66749999999999998</v>
      </c>
      <c r="G860" s="4">
        <v>10</v>
      </c>
      <c r="H860" s="6">
        <v>345</v>
      </c>
      <c r="I860" s="4">
        <v>345</v>
      </c>
      <c r="J860" s="6">
        <v>355</v>
      </c>
      <c r="K860" s="4" t="e">
        <f t="array" aca="1" ref="K860">MAX(H860:J860*(1-strike(H860:J860)))</f>
        <v>#NAME?</v>
      </c>
      <c r="L860" s="4">
        <v>242.5</v>
      </c>
      <c r="M860" s="4">
        <v>250</v>
      </c>
      <c r="N860" s="6">
        <v>255</v>
      </c>
      <c r="O860" s="4" t="e">
        <f t="array" aca="1" ref="O860">MAX(L860:N860*(1-strike(L860:N860)))</f>
        <v>#NAME?</v>
      </c>
      <c r="P860" s="6">
        <v>322.5</v>
      </c>
      <c r="Q860" s="6">
        <v>322.5</v>
      </c>
      <c r="R860" s="4">
        <v>322.5</v>
      </c>
      <c r="S860" s="4" t="e">
        <f t="array" aca="1" ref="S860">MAX(P860:R860*(1-strike(P860:R860)))</f>
        <v>#NAME?</v>
      </c>
      <c r="T860" s="4" t="e">
        <f t="shared" si="13"/>
        <v>#NAME?</v>
      </c>
      <c r="U860" s="4">
        <v>917.5</v>
      </c>
      <c r="V860" s="4">
        <v>612.42999999999995</v>
      </c>
      <c r="W860" s="4">
        <v>9</v>
      </c>
      <c r="X860" s="5">
        <v>2014</v>
      </c>
      <c r="Y860" s="5" t="s">
        <v>29</v>
      </c>
      <c r="Z860" s="5" t="s">
        <v>171</v>
      </c>
      <c r="AA860" s="5">
        <v>477</v>
      </c>
    </row>
    <row r="861" spans="1:27">
      <c r="A861" s="4">
        <v>2</v>
      </c>
      <c r="B861" s="4" t="s">
        <v>733</v>
      </c>
      <c r="C861" s="4">
        <v>1982</v>
      </c>
      <c r="D861" s="4" t="s">
        <v>119</v>
      </c>
      <c r="E861" s="4">
        <v>82.66</v>
      </c>
      <c r="F861" s="4">
        <v>0.66910000000000003</v>
      </c>
      <c r="G861" s="4">
        <v>7</v>
      </c>
      <c r="H861" s="4">
        <v>332.5</v>
      </c>
      <c r="I861" s="4">
        <v>347.5</v>
      </c>
      <c r="J861" s="6">
        <v>357.5</v>
      </c>
      <c r="K861" s="4" t="e">
        <f t="array" aca="1" ref="K861">MAX(H861:J861*(1-strike(H861:J861)))</f>
        <v>#NAME?</v>
      </c>
      <c r="L861" s="4">
        <v>242.5</v>
      </c>
      <c r="M861" s="4">
        <v>250</v>
      </c>
      <c r="N861" s="4">
        <v>257.5</v>
      </c>
      <c r="O861" s="4" t="e">
        <f t="array" aca="1" ref="O861">MAX(L861:N861*(1-strike(L861:N861)))</f>
        <v>#NAME?</v>
      </c>
      <c r="P861" s="4">
        <v>315</v>
      </c>
      <c r="Q861" s="4">
        <v>332.5</v>
      </c>
      <c r="R861" s="6">
        <v>340</v>
      </c>
      <c r="S861" s="4" t="e">
        <f t="array" aca="1" ref="S861">MAX(P861:R861*(1-strike(P861:R861)))</f>
        <v>#NAME?</v>
      </c>
      <c r="T861" s="4" t="e">
        <f t="shared" si="13"/>
        <v>#NAME?</v>
      </c>
      <c r="U861" s="4">
        <v>937.5</v>
      </c>
      <c r="V861" s="4">
        <v>627.28</v>
      </c>
      <c r="W861" s="4">
        <v>9</v>
      </c>
      <c r="X861" s="5">
        <v>2015</v>
      </c>
      <c r="Y861" s="5" t="s">
        <v>29</v>
      </c>
      <c r="Z861" s="5" t="s">
        <v>171</v>
      </c>
      <c r="AA861" s="5">
        <v>42</v>
      </c>
    </row>
    <row r="862" spans="1:27">
      <c r="A862" s="4">
        <v>7</v>
      </c>
      <c r="B862" s="4" t="s">
        <v>734</v>
      </c>
      <c r="C862" s="4">
        <v>1990</v>
      </c>
      <c r="D862" s="4" t="s">
        <v>142</v>
      </c>
      <c r="E862" s="4">
        <v>81.349999999999994</v>
      </c>
      <c r="F862" s="4">
        <v>0.67559999999999998</v>
      </c>
      <c r="G862" s="4">
        <v>6</v>
      </c>
      <c r="H862" s="4">
        <v>220</v>
      </c>
      <c r="I862" s="4">
        <v>230</v>
      </c>
      <c r="J862" s="6">
        <v>235</v>
      </c>
      <c r="K862" s="4" t="e">
        <f t="array" aca="1" ref="K862">MAX(H862:J862*(1-strike(H862:J862)))</f>
        <v>#NAME?</v>
      </c>
      <c r="L862" s="4">
        <v>160</v>
      </c>
      <c r="M862" s="6">
        <v>170</v>
      </c>
      <c r="N862" s="6">
        <v>170</v>
      </c>
      <c r="O862" s="4" t="e">
        <f t="array" aca="1" ref="O862">MAX(L862:N862*(1-strike(L862:N862)))</f>
        <v>#NAME?</v>
      </c>
      <c r="P862" s="4">
        <v>260</v>
      </c>
      <c r="Q862" s="4">
        <v>270</v>
      </c>
      <c r="R862" s="4">
        <v>280</v>
      </c>
      <c r="S862" s="4" t="e">
        <f t="array" aca="1" ref="S862">MAX(P862:R862*(1-strike(P862:R862)))</f>
        <v>#NAME?</v>
      </c>
      <c r="T862" s="4" t="e">
        <f t="shared" si="13"/>
        <v>#NAME?</v>
      </c>
      <c r="U862" s="4">
        <v>670</v>
      </c>
      <c r="V862" s="4">
        <v>452.65</v>
      </c>
      <c r="W862" s="4">
        <v>4</v>
      </c>
      <c r="X862" s="5">
        <v>2015</v>
      </c>
      <c r="Y862" s="5" t="s">
        <v>29</v>
      </c>
      <c r="Z862" s="5" t="s">
        <v>30</v>
      </c>
      <c r="AA862" s="5">
        <v>262</v>
      </c>
    </row>
    <row r="863" spans="1:27">
      <c r="A863" s="4">
        <v>5</v>
      </c>
      <c r="B863" s="4" t="s">
        <v>735</v>
      </c>
      <c r="C863" s="4">
        <v>1990</v>
      </c>
      <c r="D863" s="4" t="s">
        <v>142</v>
      </c>
      <c r="E863" s="4">
        <v>104.7</v>
      </c>
      <c r="F863" s="4">
        <v>0.59819999999999995</v>
      </c>
      <c r="G863" s="4">
        <v>3</v>
      </c>
      <c r="H863" s="6">
        <v>270</v>
      </c>
      <c r="I863" s="4">
        <v>270</v>
      </c>
      <c r="J863" s="4">
        <v>285</v>
      </c>
      <c r="K863" s="4" t="e">
        <f t="array" aca="1" ref="K863">MAX(H863:J863*(1-strike(H863:J863)))</f>
        <v>#NAME?</v>
      </c>
      <c r="L863" s="4">
        <v>180</v>
      </c>
      <c r="M863" s="4">
        <v>187.5</v>
      </c>
      <c r="N863" s="6">
        <v>192.5</v>
      </c>
      <c r="O863" s="4" t="e">
        <f t="array" aca="1" ref="O863">MAX(L863:N863*(1-strike(L863:N863)))</f>
        <v>#NAME?</v>
      </c>
      <c r="P863" s="4">
        <v>330</v>
      </c>
      <c r="Q863" s="6">
        <v>345</v>
      </c>
      <c r="R863" s="6">
        <v>345</v>
      </c>
      <c r="S863" s="4" t="e">
        <f t="array" aca="1" ref="S863">MAX(P863:R863*(1-strike(P863:R863)))</f>
        <v>#NAME?</v>
      </c>
      <c r="T863" s="4" t="e">
        <f t="shared" si="13"/>
        <v>#NAME?</v>
      </c>
      <c r="U863" s="4">
        <v>802.5</v>
      </c>
      <c r="V863" s="4">
        <v>480.06</v>
      </c>
      <c r="W863" s="4">
        <v>6</v>
      </c>
      <c r="X863" s="5">
        <v>2015</v>
      </c>
      <c r="Y863" s="5" t="s">
        <v>29</v>
      </c>
      <c r="Z863" s="5" t="s">
        <v>30</v>
      </c>
      <c r="AA863" s="5">
        <v>297</v>
      </c>
    </row>
    <row r="864" spans="1:27">
      <c r="A864" s="4">
        <v>16</v>
      </c>
      <c r="B864" s="4" t="s">
        <v>736</v>
      </c>
      <c r="C864" s="4">
        <v>1983</v>
      </c>
      <c r="D864" s="4" t="s">
        <v>51</v>
      </c>
      <c r="E864" s="4">
        <v>119.68</v>
      </c>
      <c r="F864" s="4">
        <v>0.57530000000000003</v>
      </c>
      <c r="G864" s="4">
        <v>6</v>
      </c>
      <c r="H864" s="4">
        <v>350</v>
      </c>
      <c r="I864" s="6">
        <v>365</v>
      </c>
      <c r="J864" s="6">
        <v>365</v>
      </c>
      <c r="K864" s="4" t="e">
        <f t="array" aca="1" ref="K864">MAX(H864:J864*(1-strike(H864:J864)))</f>
        <v>#NAME?</v>
      </c>
      <c r="L864" s="4">
        <v>215</v>
      </c>
      <c r="M864" s="4">
        <v>225</v>
      </c>
      <c r="N864" s="4">
        <v>230</v>
      </c>
      <c r="O864" s="4" t="e">
        <f t="array" aca="1" ref="O864">MAX(L864:N864*(1-strike(L864:N864)))</f>
        <v>#NAME?</v>
      </c>
      <c r="P864" s="4">
        <v>305</v>
      </c>
      <c r="Q864" s="4">
        <v>325</v>
      </c>
      <c r="R864" s="6">
        <v>335</v>
      </c>
      <c r="S864" s="4" t="e">
        <f t="array" aca="1" ref="S864">MAX(P864:R864*(1-strike(P864:R864)))</f>
        <v>#NAME?</v>
      </c>
      <c r="T864" s="4" t="e">
        <f t="shared" si="13"/>
        <v>#NAME?</v>
      </c>
      <c r="U864" s="4">
        <v>905</v>
      </c>
      <c r="V864" s="4">
        <v>520.65</v>
      </c>
      <c r="W864" s="4">
        <v>1</v>
      </c>
      <c r="X864" s="5">
        <v>2014</v>
      </c>
      <c r="Y864" s="5" t="s">
        <v>29</v>
      </c>
      <c r="Z864" s="5" t="s">
        <v>171</v>
      </c>
      <c r="AA864" s="5">
        <v>548</v>
      </c>
    </row>
    <row r="865" spans="1:27" ht="15" customHeight="1">
      <c r="A865" s="4">
        <v>12</v>
      </c>
      <c r="B865" s="4" t="s">
        <v>736</v>
      </c>
      <c r="C865" s="4">
        <v>1983</v>
      </c>
      <c r="D865" s="4" t="s">
        <v>51</v>
      </c>
      <c r="E865" s="4">
        <v>125.08</v>
      </c>
      <c r="F865" s="4">
        <v>0.56979999999999997</v>
      </c>
      <c r="G865" s="4">
        <v>12</v>
      </c>
      <c r="H865" s="6">
        <v>365</v>
      </c>
      <c r="I865" s="6">
        <v>380</v>
      </c>
      <c r="J865" s="4">
        <v>380</v>
      </c>
      <c r="K865" s="4" t="e">
        <f t="array" aca="1" ref="K865">MAX(H865:J865*(1-strike(H865:J865)))</f>
        <v>#NAME?</v>
      </c>
      <c r="L865" s="4">
        <v>222.5</v>
      </c>
      <c r="M865" s="6">
        <v>230</v>
      </c>
      <c r="N865" s="6">
        <v>230</v>
      </c>
      <c r="O865" s="4" t="e">
        <f t="array" aca="1" ref="O865">MAX(L865:N865*(1-strike(L865:N865)))</f>
        <v>#NAME?</v>
      </c>
      <c r="P865" s="4">
        <v>310</v>
      </c>
      <c r="Q865" s="4">
        <v>327.5</v>
      </c>
      <c r="R865" s="6">
        <v>335</v>
      </c>
      <c r="S865" s="4" t="e">
        <f t="array" aca="1" ref="S865">MAX(P865:R865*(1-strike(P865:R865)))</f>
        <v>#NAME?</v>
      </c>
      <c r="T865" s="4" t="e">
        <f t="shared" si="13"/>
        <v>#NAME?</v>
      </c>
      <c r="U865" s="4">
        <v>930</v>
      </c>
      <c r="V865" s="4">
        <v>529.91</v>
      </c>
      <c r="W865" s="4">
        <v>1</v>
      </c>
      <c r="X865" s="5">
        <v>2015</v>
      </c>
      <c r="Y865" s="5" t="s">
        <v>29</v>
      </c>
      <c r="Z865" s="5" t="s">
        <v>171</v>
      </c>
      <c r="AA865" s="5">
        <v>124</v>
      </c>
    </row>
    <row r="866" spans="1:27">
      <c r="A866" s="3">
        <v>11</v>
      </c>
      <c r="B866" s="3" t="s">
        <v>737</v>
      </c>
      <c r="C866" s="3">
        <v>1974</v>
      </c>
      <c r="D866" s="3" t="s">
        <v>485</v>
      </c>
      <c r="E866" s="3">
        <v>73.69</v>
      </c>
      <c r="F866" s="3">
        <v>0.72150000000000003</v>
      </c>
      <c r="G866" s="3">
        <v>20</v>
      </c>
      <c r="H866" s="3">
        <v>225</v>
      </c>
      <c r="I866" s="3">
        <v>235</v>
      </c>
      <c r="J866" s="1">
        <v>240</v>
      </c>
      <c r="K866" s="4" t="e">
        <f t="array" aca="1" ref="K866">MAX(H866:J866*(1-strike(H866:J866)))</f>
        <v>#NAME?</v>
      </c>
      <c r="L866" s="3">
        <v>155</v>
      </c>
      <c r="M866" s="1">
        <v>165</v>
      </c>
      <c r="N866" s="1">
        <v>165</v>
      </c>
      <c r="O866" s="4" t="e">
        <f t="array" aca="1" ref="O866">MAX(L866:N866*(1-strike(L866:N866)))</f>
        <v>#NAME?</v>
      </c>
      <c r="P866" s="1">
        <v>225</v>
      </c>
      <c r="Q866" s="3">
        <v>225</v>
      </c>
      <c r="R866" s="3">
        <v>235</v>
      </c>
      <c r="S866" s="4" t="e">
        <f t="array" aca="1" ref="S866">MAX(P866:R866*(1-strike(P866:R866)))</f>
        <v>#NAME?</v>
      </c>
      <c r="T866" s="4" t="e">
        <f t="shared" si="13"/>
        <v>#NAME?</v>
      </c>
      <c r="U866" s="3">
        <v>625</v>
      </c>
      <c r="V866" s="3">
        <v>450.91</v>
      </c>
      <c r="W866" s="3">
        <v>1</v>
      </c>
      <c r="X866" s="5">
        <v>2012</v>
      </c>
      <c r="Y866" s="5" t="s">
        <v>29</v>
      </c>
      <c r="Z866" s="5" t="s">
        <v>171</v>
      </c>
      <c r="AA866" s="5">
        <v>1227</v>
      </c>
    </row>
    <row r="867" spans="1:27">
      <c r="A867" s="3">
        <v>15</v>
      </c>
      <c r="B867" s="3" t="s">
        <v>738</v>
      </c>
      <c r="C867" s="3">
        <v>1989</v>
      </c>
      <c r="D867" s="3" t="s">
        <v>282</v>
      </c>
      <c r="E867" s="3">
        <v>118.1</v>
      </c>
      <c r="F867" s="3">
        <v>0.57709999999999995</v>
      </c>
      <c r="G867" s="3">
        <v>4</v>
      </c>
      <c r="H867" s="1">
        <v>330</v>
      </c>
      <c r="I867" s="3">
        <v>330</v>
      </c>
      <c r="J867" s="1">
        <v>365</v>
      </c>
      <c r="K867" s="4" t="e">
        <f t="array" aca="1" ref="K867">MAX(H867:J867*(1-strike(H867:J867)))</f>
        <v>#NAME?</v>
      </c>
      <c r="L867" s="3">
        <v>210</v>
      </c>
      <c r="M867" s="3">
        <v>217.5</v>
      </c>
      <c r="N867" s="1">
        <v>222.5</v>
      </c>
      <c r="O867" s="4" t="e">
        <f t="array" aca="1" ref="O867">MAX(L867:N867*(1-strike(L867:N867)))</f>
        <v>#NAME?</v>
      </c>
      <c r="P867" s="3">
        <v>255</v>
      </c>
      <c r="Q867" s="3">
        <v>265</v>
      </c>
      <c r="R867" s="3">
        <v>270</v>
      </c>
      <c r="S867" s="4" t="e">
        <f t="array" aca="1" ref="S867">MAX(P867:R867*(1-strike(P867:R867)))</f>
        <v>#NAME?</v>
      </c>
      <c r="T867" s="4" t="e">
        <f t="shared" si="13"/>
        <v>#NAME?</v>
      </c>
      <c r="U867" s="3">
        <v>817.5</v>
      </c>
      <c r="V867" s="3">
        <v>471.78</v>
      </c>
      <c r="W867" s="3">
        <v>1</v>
      </c>
      <c r="X867" s="5">
        <v>2013</v>
      </c>
      <c r="Y867" s="5" t="s">
        <v>29</v>
      </c>
      <c r="Z867" s="5" t="s">
        <v>171</v>
      </c>
      <c r="AA867" s="5">
        <v>909</v>
      </c>
    </row>
    <row r="868" spans="1:27">
      <c r="A868" s="4">
        <v>18</v>
      </c>
      <c r="B868" s="4" t="s">
        <v>738</v>
      </c>
      <c r="C868" s="4">
        <v>1989</v>
      </c>
      <c r="D868" s="4" t="s">
        <v>282</v>
      </c>
      <c r="E868" s="4">
        <v>114.62</v>
      </c>
      <c r="F868" s="4">
        <v>0.58160000000000001</v>
      </c>
      <c r="G868" s="4">
        <v>15</v>
      </c>
      <c r="H868" s="4">
        <v>320</v>
      </c>
      <c r="I868" s="4">
        <v>345</v>
      </c>
      <c r="J868" s="6">
        <v>360</v>
      </c>
      <c r="K868" s="4" t="e">
        <f t="array" aca="1" ref="K868">MAX(H868:J868*(1-strike(H868:J868)))</f>
        <v>#NAME?</v>
      </c>
      <c r="L868" s="4">
        <v>210</v>
      </c>
      <c r="M868" s="4">
        <v>222.5</v>
      </c>
      <c r="N868" s="6">
        <v>230</v>
      </c>
      <c r="O868" s="4" t="e">
        <f t="array" aca="1" ref="O868">MAX(L868:N868*(1-strike(L868:N868)))</f>
        <v>#NAME?</v>
      </c>
      <c r="P868" s="4">
        <v>260</v>
      </c>
      <c r="Q868" s="4">
        <v>275</v>
      </c>
      <c r="R868" s="6">
        <v>285</v>
      </c>
      <c r="S868" s="4" t="e">
        <f t="array" aca="1" ref="S868">MAX(P868:R868*(1-strike(P868:R868)))</f>
        <v>#NAME?</v>
      </c>
      <c r="T868" s="4" t="e">
        <f t="shared" si="13"/>
        <v>#NAME?</v>
      </c>
      <c r="U868" s="4">
        <v>842.5</v>
      </c>
      <c r="V868" s="4">
        <v>490</v>
      </c>
      <c r="W868" s="4">
        <v>1</v>
      </c>
      <c r="X868" s="5">
        <v>2014</v>
      </c>
      <c r="Y868" s="5" t="s">
        <v>29</v>
      </c>
      <c r="Z868" s="5" t="s">
        <v>171</v>
      </c>
      <c r="AA868" s="5">
        <v>550</v>
      </c>
    </row>
    <row r="869" spans="1:27">
      <c r="A869" s="4">
        <v>11</v>
      </c>
      <c r="B869" s="4" t="s">
        <v>739</v>
      </c>
      <c r="C869" s="4">
        <v>1987</v>
      </c>
      <c r="D869" s="4" t="s">
        <v>142</v>
      </c>
      <c r="E869" s="4">
        <v>92.39</v>
      </c>
      <c r="F869" s="4">
        <v>0.63019999999999998</v>
      </c>
      <c r="G869" s="4">
        <v>3</v>
      </c>
      <c r="H869" s="4">
        <v>235</v>
      </c>
      <c r="I869" s="4">
        <v>242.5</v>
      </c>
      <c r="J869" s="4">
        <v>247.5</v>
      </c>
      <c r="K869" s="4" t="e">
        <f t="array" aca="1" ref="K869">MAX(H869:J869*(1-strike(H869:J869)))</f>
        <v>#NAME?</v>
      </c>
      <c r="L869" s="4">
        <v>165</v>
      </c>
      <c r="M869" s="4">
        <v>170</v>
      </c>
      <c r="N869" s="4">
        <v>175</v>
      </c>
      <c r="O869" s="4" t="e">
        <f t="array" aca="1" ref="O869">MAX(L869:N869*(1-strike(L869:N869)))</f>
        <v>#NAME?</v>
      </c>
      <c r="P869" s="4">
        <v>270</v>
      </c>
      <c r="Q869" s="4">
        <v>275</v>
      </c>
      <c r="R869" s="4"/>
      <c r="S869" s="4" t="e">
        <f t="array" aca="1" ref="S869">MAX(P869:R869*(1-strike(P869:R869)))</f>
        <v>#NAME?</v>
      </c>
      <c r="T869" s="4" t="e">
        <f t="shared" si="13"/>
        <v>#NAME?</v>
      </c>
      <c r="U869" s="4">
        <v>697.5</v>
      </c>
      <c r="V869" s="4">
        <v>439.56</v>
      </c>
      <c r="W869" s="4">
        <v>1</v>
      </c>
      <c r="X869" s="5">
        <v>2015</v>
      </c>
      <c r="Y869" s="5" t="s">
        <v>29</v>
      </c>
      <c r="Z869" s="5" t="s">
        <v>30</v>
      </c>
      <c r="AA869" s="5">
        <v>283</v>
      </c>
    </row>
    <row r="870" spans="1:27">
      <c r="A870" s="4">
        <v>7</v>
      </c>
      <c r="B870" s="4" t="s">
        <v>740</v>
      </c>
      <c r="C870" s="4">
        <v>1982</v>
      </c>
      <c r="D870" s="4" t="s">
        <v>274</v>
      </c>
      <c r="E870" s="4">
        <v>83</v>
      </c>
      <c r="F870" s="4">
        <v>0.66749999999999998</v>
      </c>
      <c r="G870" s="4">
        <v>11</v>
      </c>
      <c r="H870" s="4">
        <v>287.5</v>
      </c>
      <c r="I870" s="4">
        <v>302.5</v>
      </c>
      <c r="J870" s="6">
        <v>312.5</v>
      </c>
      <c r="K870" s="4" t="e">
        <f t="array" aca="1" ref="K870">MAX(H870:J870*(1-strike(H870:J870)))</f>
        <v>#NAME?</v>
      </c>
      <c r="L870" s="4">
        <v>185</v>
      </c>
      <c r="M870" s="4">
        <v>192.5</v>
      </c>
      <c r="N870" s="4">
        <v>200</v>
      </c>
      <c r="O870" s="4" t="e">
        <f t="array" aca="1" ref="O870">MAX(L870:N870*(1-strike(L870:N870)))</f>
        <v>#NAME?</v>
      </c>
      <c r="P870" s="4">
        <v>280</v>
      </c>
      <c r="Q870" s="4">
        <v>297.5</v>
      </c>
      <c r="R870" s="4">
        <v>307.5</v>
      </c>
      <c r="S870" s="4" t="e">
        <f t="array" aca="1" ref="S870">MAX(P870:R870*(1-strike(P870:R870)))</f>
        <v>#NAME?</v>
      </c>
      <c r="T870" s="4" t="e">
        <f t="shared" si="13"/>
        <v>#NAME?</v>
      </c>
      <c r="U870" s="4">
        <v>810</v>
      </c>
      <c r="V870" s="4">
        <v>540.66999999999996</v>
      </c>
      <c r="W870" s="4">
        <v>4</v>
      </c>
      <c r="X870" s="5">
        <v>2015</v>
      </c>
      <c r="Y870" s="5" t="s">
        <v>29</v>
      </c>
      <c r="Z870" s="5" t="s">
        <v>171</v>
      </c>
      <c r="AA870" s="5">
        <v>47</v>
      </c>
    </row>
    <row r="871" spans="1:27">
      <c r="A871" s="3">
        <v>16</v>
      </c>
      <c r="B871" s="3" t="s">
        <v>741</v>
      </c>
      <c r="C871" s="3">
        <v>1974</v>
      </c>
      <c r="D871" s="3" t="s">
        <v>282</v>
      </c>
      <c r="E871" s="3">
        <v>82.54</v>
      </c>
      <c r="F871" s="3">
        <v>0.66969999999999996</v>
      </c>
      <c r="G871" s="3">
        <v>13</v>
      </c>
      <c r="H871" s="3">
        <v>285</v>
      </c>
      <c r="I871" s="3">
        <v>305</v>
      </c>
      <c r="J871" s="1">
        <v>315</v>
      </c>
      <c r="K871" s="4" t="e">
        <f t="array" aca="1" ref="K871">MAX(H871:J871*(1-strike(H871:J871)))</f>
        <v>#NAME?</v>
      </c>
      <c r="L871" s="3">
        <v>200</v>
      </c>
      <c r="M871" s="1">
        <v>207.5</v>
      </c>
      <c r="N871" s="1">
        <v>207.5</v>
      </c>
      <c r="O871" s="4" t="e">
        <f t="array" aca="1" ref="O871">MAX(L871:N871*(1-strike(L871:N871)))</f>
        <v>#NAME?</v>
      </c>
      <c r="P871" s="3">
        <v>225</v>
      </c>
      <c r="Q871" s="1">
        <v>227.5</v>
      </c>
      <c r="R871" s="3"/>
      <c r="S871" s="4" t="e">
        <f t="array" aca="1" ref="S871">MAX(P871:R871*(1-strike(P871:R871)))</f>
        <v>#NAME?</v>
      </c>
      <c r="T871" s="4" t="e">
        <f t="shared" si="13"/>
        <v>#NAME?</v>
      </c>
      <c r="U871" s="3">
        <v>730</v>
      </c>
      <c r="V871" s="3">
        <v>488.88</v>
      </c>
      <c r="W871" s="3">
        <v>1</v>
      </c>
      <c r="X871" s="5">
        <v>2012</v>
      </c>
      <c r="Y871" s="5" t="s">
        <v>29</v>
      </c>
      <c r="Z871" s="5" t="s">
        <v>171</v>
      </c>
      <c r="AA871" s="5">
        <v>1249</v>
      </c>
    </row>
    <row r="872" spans="1:27">
      <c r="A872" s="3">
        <v>7</v>
      </c>
      <c r="B872" s="3" t="s">
        <v>742</v>
      </c>
      <c r="C872" s="3">
        <v>1975</v>
      </c>
      <c r="D872" s="3" t="s">
        <v>80</v>
      </c>
      <c r="E872" s="3">
        <v>140.22</v>
      </c>
      <c r="F872" s="3">
        <v>0.55869999999999997</v>
      </c>
      <c r="G872" s="3">
        <v>3</v>
      </c>
      <c r="H872" s="3">
        <v>390</v>
      </c>
      <c r="I872" s="3">
        <v>405</v>
      </c>
      <c r="J872" s="3">
        <v>412.5</v>
      </c>
      <c r="K872" s="4" t="e">
        <f t="array" aca="1" ref="K872">MAX(H872:J872*(1-strike(H872:J872)))</f>
        <v>#NAME?</v>
      </c>
      <c r="L872" s="3">
        <v>330</v>
      </c>
      <c r="M872" s="3">
        <v>337.5</v>
      </c>
      <c r="N872" s="3">
        <v>342.5</v>
      </c>
      <c r="O872" s="4" t="e">
        <f t="array" aca="1" ref="O872">MAX(L872:N872*(1-strike(L872:N872)))</f>
        <v>#NAME?</v>
      </c>
      <c r="P872" s="3">
        <v>310</v>
      </c>
      <c r="Q872" s="1">
        <v>317.5</v>
      </c>
      <c r="R872" s="1">
        <v>317.5</v>
      </c>
      <c r="S872" s="4" t="e">
        <f t="array" aca="1" ref="S872">MAX(P872:R872*(1-strike(P872:R872)))</f>
        <v>#NAME?</v>
      </c>
      <c r="T872" s="4" t="e">
        <f t="shared" si="13"/>
        <v>#NAME?</v>
      </c>
      <c r="U872" s="3">
        <v>1065</v>
      </c>
      <c r="V872" s="3">
        <v>594.99</v>
      </c>
      <c r="W872" s="3">
        <v>4</v>
      </c>
      <c r="X872" s="5">
        <v>2012</v>
      </c>
      <c r="Y872" s="5" t="s">
        <v>29</v>
      </c>
      <c r="Z872" s="5" t="s">
        <v>171</v>
      </c>
      <c r="AA872" s="5">
        <v>1322</v>
      </c>
    </row>
    <row r="873" spans="1:27">
      <c r="A873" s="3">
        <v>6</v>
      </c>
      <c r="B873" s="3" t="s">
        <v>742</v>
      </c>
      <c r="C873" s="3">
        <v>1975</v>
      </c>
      <c r="D873" s="3" t="s">
        <v>80</v>
      </c>
      <c r="E873" s="3">
        <v>141.6</v>
      </c>
      <c r="F873" s="3">
        <v>0.55789999999999995</v>
      </c>
      <c r="G873" s="3">
        <v>8</v>
      </c>
      <c r="H873" s="3">
        <v>400</v>
      </c>
      <c r="I873" s="3">
        <v>412.5</v>
      </c>
      <c r="J873" s="1">
        <v>420</v>
      </c>
      <c r="K873" s="4" t="e">
        <f t="array" aca="1" ref="K873">MAX(H873:J873*(1-strike(H873:J873)))</f>
        <v>#NAME?</v>
      </c>
      <c r="L873" s="3">
        <v>335</v>
      </c>
      <c r="M873" s="3">
        <v>342.5</v>
      </c>
      <c r="N873" s="1">
        <v>347.5</v>
      </c>
      <c r="O873" s="4" t="e">
        <f t="array" aca="1" ref="O873">MAX(L873:N873*(1-strike(L873:N873)))</f>
        <v>#NAME?</v>
      </c>
      <c r="P873" s="3">
        <v>305</v>
      </c>
      <c r="Q873" s="3">
        <v>315</v>
      </c>
      <c r="R873" s="3">
        <v>320</v>
      </c>
      <c r="S873" s="4" t="e">
        <f t="array" aca="1" ref="S873">MAX(P873:R873*(1-strike(P873:R873)))</f>
        <v>#NAME?</v>
      </c>
      <c r="T873" s="4" t="e">
        <f t="shared" si="13"/>
        <v>#NAME?</v>
      </c>
      <c r="U873" s="3">
        <v>1075</v>
      </c>
      <c r="V873" s="3">
        <v>599.74</v>
      </c>
      <c r="W873" s="3">
        <v>5</v>
      </c>
      <c r="X873" s="5">
        <v>2013</v>
      </c>
      <c r="Y873" s="5" t="s">
        <v>29</v>
      </c>
      <c r="Z873" s="5" t="s">
        <v>171</v>
      </c>
      <c r="AA873" s="5">
        <v>917</v>
      </c>
    </row>
    <row r="874" spans="1:27">
      <c r="A874" s="4">
        <v>2</v>
      </c>
      <c r="B874" s="4" t="s">
        <v>742</v>
      </c>
      <c r="C874" s="4">
        <v>1975</v>
      </c>
      <c r="D874" s="4" t="s">
        <v>80</v>
      </c>
      <c r="E874" s="4">
        <v>141.80000000000001</v>
      </c>
      <c r="F874" s="4">
        <v>0.55779999999999996</v>
      </c>
      <c r="G874" s="4">
        <v>9</v>
      </c>
      <c r="H874" s="4">
        <v>400</v>
      </c>
      <c r="I874" s="4">
        <v>407.5</v>
      </c>
      <c r="J874" s="4">
        <v>415</v>
      </c>
      <c r="K874" s="4" t="e">
        <f t="array" aca="1" ref="K874">MAX(H874:J874*(1-strike(H874:J874)))</f>
        <v>#NAME?</v>
      </c>
      <c r="L874" s="4">
        <v>330</v>
      </c>
      <c r="M874" s="4">
        <v>340</v>
      </c>
      <c r="N874" s="4">
        <v>345</v>
      </c>
      <c r="O874" s="4" t="e">
        <f t="array" aca="1" ref="O874">MAX(L874:N874*(1-strike(L874:N874)))</f>
        <v>#NAME?</v>
      </c>
      <c r="P874" s="4">
        <v>300</v>
      </c>
      <c r="Q874" s="4">
        <v>312.5</v>
      </c>
      <c r="R874" s="6">
        <v>315</v>
      </c>
      <c r="S874" s="4" t="e">
        <f t="array" aca="1" ref="S874">MAX(P874:R874*(1-strike(P874:R874)))</f>
        <v>#NAME?</v>
      </c>
      <c r="T874" s="4" t="e">
        <f t="shared" si="13"/>
        <v>#NAME?</v>
      </c>
      <c r="U874" s="4">
        <v>1072.5</v>
      </c>
      <c r="V874" s="4">
        <v>598.24</v>
      </c>
      <c r="W874" s="4">
        <v>9</v>
      </c>
      <c r="X874" s="5">
        <v>2014</v>
      </c>
      <c r="Y874" s="5" t="s">
        <v>29</v>
      </c>
      <c r="Z874" s="5" t="s">
        <v>171</v>
      </c>
      <c r="AA874" s="5">
        <v>555</v>
      </c>
    </row>
    <row r="875" spans="1:27" ht="15" customHeight="1">
      <c r="A875" s="4">
        <v>6</v>
      </c>
      <c r="B875" s="4" t="s">
        <v>742</v>
      </c>
      <c r="C875" s="4">
        <v>1975</v>
      </c>
      <c r="D875" s="4" t="s">
        <v>80</v>
      </c>
      <c r="E875" s="4">
        <v>143.56</v>
      </c>
      <c r="F875" s="4">
        <v>0.55679999999999996</v>
      </c>
      <c r="G875" s="4">
        <v>10</v>
      </c>
      <c r="H875" s="4">
        <v>390</v>
      </c>
      <c r="I875" s="4">
        <v>402.5</v>
      </c>
      <c r="J875" s="6">
        <v>410</v>
      </c>
      <c r="K875" s="4" t="e">
        <f t="array" aca="1" ref="K875">MAX(H875:J875*(1-strike(H875:J875)))</f>
        <v>#NAME?</v>
      </c>
      <c r="L875" s="4">
        <v>347.5</v>
      </c>
      <c r="M875" s="6">
        <v>357.5</v>
      </c>
      <c r="N875" s="4">
        <v>357.5</v>
      </c>
      <c r="O875" s="4" t="e">
        <f t="array" aca="1" ref="O875">MAX(L875:N875*(1-strike(L875:N875)))</f>
        <v>#NAME?</v>
      </c>
      <c r="P875" s="4">
        <v>285</v>
      </c>
      <c r="Q875" s="4">
        <v>302.5</v>
      </c>
      <c r="R875" s="6">
        <v>307.5</v>
      </c>
      <c r="S875" s="4" t="e">
        <f t="array" aca="1" ref="S875">MAX(P875:R875*(1-strike(P875:R875)))</f>
        <v>#NAME?</v>
      </c>
      <c r="T875" s="4" t="e">
        <f t="shared" si="13"/>
        <v>#NAME?</v>
      </c>
      <c r="U875" s="4" t="s">
        <v>743</v>
      </c>
      <c r="V875" s="4">
        <v>591.6</v>
      </c>
      <c r="W875" s="4">
        <v>5</v>
      </c>
      <c r="X875" s="5">
        <v>2015</v>
      </c>
      <c r="Y875" s="5" t="s">
        <v>29</v>
      </c>
      <c r="Z875" s="5" t="s">
        <v>171</v>
      </c>
      <c r="AA875" s="5">
        <v>118</v>
      </c>
    </row>
    <row r="876" spans="1:27" ht="15" customHeight="1">
      <c r="A876" s="3" t="s">
        <v>37</v>
      </c>
      <c r="B876" s="3" t="s">
        <v>744</v>
      </c>
      <c r="C876" s="3">
        <v>1984</v>
      </c>
      <c r="D876" s="3" t="s">
        <v>352</v>
      </c>
      <c r="E876" s="3">
        <v>92.66</v>
      </c>
      <c r="F876" s="3">
        <v>0.62929999999999997</v>
      </c>
      <c r="G876" s="3">
        <v>2</v>
      </c>
      <c r="H876" s="3">
        <v>340</v>
      </c>
      <c r="I876" s="1">
        <v>352.5</v>
      </c>
      <c r="J876" s="3">
        <v>352.5</v>
      </c>
      <c r="K876" s="4" t="e">
        <f t="array" aca="1" ref="K876">MAX(H876:J876*(1-strike(H876:J876)))</f>
        <v>#NAME?</v>
      </c>
      <c r="L876" s="3">
        <v>240</v>
      </c>
      <c r="M876" s="3">
        <v>247.5</v>
      </c>
      <c r="N876" s="3">
        <v>255</v>
      </c>
      <c r="O876" s="4" t="e">
        <f t="array" aca="1" ref="O876">MAX(L876:N876*(1-strike(L876:N876)))</f>
        <v>#NAME?</v>
      </c>
      <c r="P876" s="3">
        <v>330</v>
      </c>
      <c r="Q876" s="3">
        <v>337.5</v>
      </c>
      <c r="R876" s="1">
        <v>352.5</v>
      </c>
      <c r="S876" s="4" t="e">
        <f t="array" aca="1" ref="S876">MAX(P876:R876*(1-strike(P876:R876)))</f>
        <v>#NAME?</v>
      </c>
      <c r="T876" s="4" t="e">
        <f t="shared" si="13"/>
        <v>#NAME?</v>
      </c>
      <c r="U876" s="3" t="s">
        <v>361</v>
      </c>
      <c r="V876" s="3" t="s">
        <v>37</v>
      </c>
      <c r="W876" s="3" t="s">
        <v>37</v>
      </c>
      <c r="X876" s="5">
        <v>2012</v>
      </c>
      <c r="Y876" s="5" t="s">
        <v>29</v>
      </c>
      <c r="Z876" s="5" t="s">
        <v>171</v>
      </c>
      <c r="AA876" s="5">
        <v>1276</v>
      </c>
    </row>
    <row r="877" spans="1:27" ht="15" customHeight="1">
      <c r="A877" s="3">
        <v>6</v>
      </c>
      <c r="B877" s="3" t="s">
        <v>745</v>
      </c>
      <c r="C877" s="3">
        <v>1975</v>
      </c>
      <c r="D877" s="3" t="s">
        <v>72</v>
      </c>
      <c r="E877" s="3">
        <v>104.93</v>
      </c>
      <c r="F877" s="3">
        <v>0.59770000000000001</v>
      </c>
      <c r="G877" s="3">
        <v>18</v>
      </c>
      <c r="H877" s="3">
        <v>332.5</v>
      </c>
      <c r="I877" s="3">
        <v>345</v>
      </c>
      <c r="J877" s="1">
        <v>352.5</v>
      </c>
      <c r="K877" s="4" t="e">
        <f t="array" aca="1" ref="K877">MAX(H877:J877*(1-strike(H877:J877)))</f>
        <v>#NAME?</v>
      </c>
      <c r="L877" s="3">
        <v>232.5</v>
      </c>
      <c r="M877" s="1">
        <v>240</v>
      </c>
      <c r="N877" s="1">
        <v>240</v>
      </c>
      <c r="O877" s="4" t="e">
        <f t="array" aca="1" ref="O877">MAX(L877:N877*(1-strike(L877:N877)))</f>
        <v>#NAME?</v>
      </c>
      <c r="P877" s="3">
        <v>310</v>
      </c>
      <c r="Q877" s="3">
        <v>327.5</v>
      </c>
      <c r="R877" s="3">
        <v>335</v>
      </c>
      <c r="S877" s="4" t="e">
        <f t="array" aca="1" ref="S877">MAX(P877:R877*(1-strike(P877:R877)))</f>
        <v>#NAME?</v>
      </c>
      <c r="T877" s="4" t="e">
        <f t="shared" si="13"/>
        <v>#NAME?</v>
      </c>
      <c r="U877" s="3">
        <v>912.5</v>
      </c>
      <c r="V877" s="3">
        <v>545.42999999999995</v>
      </c>
      <c r="W877" s="3">
        <v>5</v>
      </c>
      <c r="X877" s="5">
        <v>2012</v>
      </c>
      <c r="Y877" s="5" t="s">
        <v>29</v>
      </c>
      <c r="Z877" s="5" t="s">
        <v>171</v>
      </c>
      <c r="AA877" s="5">
        <v>1283</v>
      </c>
    </row>
    <row r="878" spans="1:27">
      <c r="A878" s="3">
        <v>6</v>
      </c>
      <c r="B878" s="3" t="s">
        <v>746</v>
      </c>
      <c r="C878" s="3">
        <v>1982</v>
      </c>
      <c r="D878" s="3" t="s">
        <v>77</v>
      </c>
      <c r="E878" s="3">
        <v>65.650000000000006</v>
      </c>
      <c r="F878" s="3">
        <v>0.78859999999999997</v>
      </c>
      <c r="G878" s="3">
        <v>10</v>
      </c>
      <c r="H878" s="3">
        <v>240</v>
      </c>
      <c r="I878" s="3">
        <v>255</v>
      </c>
      <c r="J878" s="1">
        <v>262.5</v>
      </c>
      <c r="K878" s="4" t="e">
        <f t="array" aca="1" ref="K878">MAX(H878:J878*(1-strike(H878:J878)))</f>
        <v>#NAME?</v>
      </c>
      <c r="L878" s="3">
        <v>190</v>
      </c>
      <c r="M878" s="3">
        <v>197.5</v>
      </c>
      <c r="N878" s="3">
        <v>202.5</v>
      </c>
      <c r="O878" s="4" t="e">
        <f t="array" aca="1" ref="O878">MAX(L878:N878*(1-strike(L878:N878)))</f>
        <v>#NAME?</v>
      </c>
      <c r="P878" s="3">
        <v>220</v>
      </c>
      <c r="Q878" s="3">
        <v>235</v>
      </c>
      <c r="R878" s="1">
        <v>242.5</v>
      </c>
      <c r="S878" s="4" t="e">
        <f t="array" aca="1" ref="S878">MAX(P878:R878*(1-strike(P878:R878)))</f>
        <v>#NAME?</v>
      </c>
      <c r="T878" s="4" t="e">
        <f t="shared" si="13"/>
        <v>#NAME?</v>
      </c>
      <c r="U878" s="3">
        <v>692.5</v>
      </c>
      <c r="V878" s="3">
        <v>546.1</v>
      </c>
      <c r="W878" s="3">
        <v>5</v>
      </c>
      <c r="X878" s="5">
        <v>2012</v>
      </c>
      <c r="Y878" s="5" t="s">
        <v>29</v>
      </c>
      <c r="Z878" s="5" t="s">
        <v>171</v>
      </c>
      <c r="AA878" s="5">
        <v>1208</v>
      </c>
    </row>
    <row r="879" spans="1:27">
      <c r="A879" s="4">
        <v>5</v>
      </c>
      <c r="B879" s="4" t="s">
        <v>746</v>
      </c>
      <c r="C879" s="4">
        <v>1982</v>
      </c>
      <c r="D879" s="4" t="s">
        <v>77</v>
      </c>
      <c r="E879" s="4">
        <v>65.42</v>
      </c>
      <c r="F879" s="4">
        <v>0.79110000000000003</v>
      </c>
      <c r="G879" s="4">
        <v>19</v>
      </c>
      <c r="H879" s="4">
        <v>245</v>
      </c>
      <c r="I879" s="4">
        <v>260</v>
      </c>
      <c r="J879" s="4">
        <v>265</v>
      </c>
      <c r="K879" s="4" t="e">
        <f t="array" aca="1" ref="K879">MAX(H879:J879*(1-strike(H879:J879)))</f>
        <v>#NAME?</v>
      </c>
      <c r="L879" s="4">
        <v>200</v>
      </c>
      <c r="M879" s="4">
        <v>210</v>
      </c>
      <c r="N879" s="6">
        <v>215</v>
      </c>
      <c r="O879" s="4" t="e">
        <f t="array" aca="1" ref="O879">MAX(L879:N879*(1-strike(L879:N879)))</f>
        <v>#NAME?</v>
      </c>
      <c r="P879" s="4">
        <v>230</v>
      </c>
      <c r="Q879" s="4">
        <v>240</v>
      </c>
      <c r="R879" s="4">
        <v>247.5</v>
      </c>
      <c r="S879" s="4" t="e">
        <f t="array" aca="1" ref="S879">MAX(P879:R879*(1-strike(P879:R879)))</f>
        <v>#NAME?</v>
      </c>
      <c r="T879" s="4" t="e">
        <f t="shared" si="13"/>
        <v>#NAME?</v>
      </c>
      <c r="U879" s="4">
        <v>722.5</v>
      </c>
      <c r="V879" s="4">
        <v>571.57000000000005</v>
      </c>
      <c r="W879" s="4">
        <v>6</v>
      </c>
      <c r="X879" s="5">
        <v>2014</v>
      </c>
      <c r="Y879" s="5" t="s">
        <v>29</v>
      </c>
      <c r="Z879" s="5" t="s">
        <v>171</v>
      </c>
      <c r="AA879" s="5">
        <v>456</v>
      </c>
    </row>
    <row r="880" spans="1:27">
      <c r="A880" s="4">
        <v>5</v>
      </c>
      <c r="B880" s="4" t="s">
        <v>746</v>
      </c>
      <c r="C880" s="4">
        <v>1982</v>
      </c>
      <c r="D880" s="4" t="s">
        <v>77</v>
      </c>
      <c r="E880" s="4">
        <v>65.25</v>
      </c>
      <c r="F880" s="4">
        <v>0.79269999999999996</v>
      </c>
      <c r="G880" s="4">
        <v>17</v>
      </c>
      <c r="H880" s="4">
        <v>250</v>
      </c>
      <c r="I880" s="4">
        <v>260</v>
      </c>
      <c r="J880" s="4">
        <v>270</v>
      </c>
      <c r="K880" s="4" t="e">
        <f t="array" aca="1" ref="K880">MAX(H880:J880*(1-strike(H880:J880)))</f>
        <v>#NAME?</v>
      </c>
      <c r="L880" s="4">
        <v>215</v>
      </c>
      <c r="M880" s="6">
        <v>220.5</v>
      </c>
      <c r="N880" s="6">
        <v>220.5</v>
      </c>
      <c r="O880" s="4" t="e">
        <f t="array" aca="1" ref="O880">MAX(L880:N880*(1-strike(L880:N880)))</f>
        <v>#NAME?</v>
      </c>
      <c r="P880" s="4">
        <v>240</v>
      </c>
      <c r="Q880" s="6">
        <v>247.5</v>
      </c>
      <c r="R880" s="4">
        <v>247.5</v>
      </c>
      <c r="S880" s="4" t="e">
        <f t="array" aca="1" ref="S880">MAX(P880:R880*(1-strike(P880:R880)))</f>
        <v>#NAME?</v>
      </c>
      <c r="T880" s="4" t="e">
        <f t="shared" si="13"/>
        <v>#NAME?</v>
      </c>
      <c r="U880" s="4">
        <v>732.5</v>
      </c>
      <c r="V880" s="4">
        <v>580.65</v>
      </c>
      <c r="W880" s="4">
        <v>6</v>
      </c>
      <c r="X880" s="5">
        <v>2015</v>
      </c>
      <c r="Y880" s="5" t="s">
        <v>29</v>
      </c>
      <c r="Z880" s="5" t="s">
        <v>171</v>
      </c>
      <c r="AA880" s="5">
        <v>16</v>
      </c>
    </row>
    <row r="881" spans="1:27">
      <c r="A881" s="3">
        <v>17</v>
      </c>
      <c r="B881" s="3" t="s">
        <v>747</v>
      </c>
      <c r="C881" s="3">
        <v>1982</v>
      </c>
      <c r="D881" s="3" t="s">
        <v>480</v>
      </c>
      <c r="E881" s="3">
        <v>96.35</v>
      </c>
      <c r="F881" s="3">
        <v>0.61809999999999998</v>
      </c>
      <c r="G881" s="3">
        <v>2</v>
      </c>
      <c r="H881" s="3">
        <v>220</v>
      </c>
      <c r="I881" s="1">
        <v>230</v>
      </c>
      <c r="J881" s="3"/>
      <c r="K881" s="4" t="e">
        <f t="array" aca="1" ref="K881">MAX(H881:J881*(1-strike(H881:J881)))</f>
        <v>#NAME?</v>
      </c>
      <c r="L881" s="1">
        <v>207.5</v>
      </c>
      <c r="M881" s="3">
        <v>207.5</v>
      </c>
      <c r="N881" s="1">
        <v>212.5</v>
      </c>
      <c r="O881" s="4" t="e">
        <f t="array" aca="1" ref="O881">MAX(L881:N881*(1-strike(L881:N881)))</f>
        <v>#NAME?</v>
      </c>
      <c r="P881" s="1">
        <v>120</v>
      </c>
      <c r="Q881" s="3">
        <v>180</v>
      </c>
      <c r="R881" s="3"/>
      <c r="S881" s="4" t="e">
        <f t="array" aca="1" ref="S881">MAX(P881:R881*(1-strike(P881:R881)))</f>
        <v>#NAME?</v>
      </c>
      <c r="T881" s="4" t="e">
        <f t="shared" si="13"/>
        <v>#NAME?</v>
      </c>
      <c r="U881" s="3">
        <v>607.5</v>
      </c>
      <c r="V881" s="3">
        <v>375.53</v>
      </c>
      <c r="W881" s="3">
        <v>1</v>
      </c>
      <c r="X881" s="5">
        <v>2013</v>
      </c>
      <c r="Y881" s="5" t="s">
        <v>29</v>
      </c>
      <c r="Z881" s="5" t="s">
        <v>30</v>
      </c>
      <c r="AA881" s="5">
        <v>1087</v>
      </c>
    </row>
    <row r="882" spans="1:27" ht="15" customHeight="1">
      <c r="A882" s="3">
        <v>3</v>
      </c>
      <c r="B882" s="3" t="s">
        <v>748</v>
      </c>
      <c r="C882" s="3">
        <v>1978</v>
      </c>
      <c r="D882" s="3" t="s">
        <v>80</v>
      </c>
      <c r="E882" s="3">
        <v>65.8</v>
      </c>
      <c r="F882" s="3">
        <v>0.78720000000000001</v>
      </c>
      <c r="G882" s="3">
        <v>4</v>
      </c>
      <c r="H882" s="3">
        <v>185</v>
      </c>
      <c r="I882" s="3">
        <v>192.5</v>
      </c>
      <c r="J882" s="1">
        <v>195</v>
      </c>
      <c r="K882" s="4" t="e">
        <f t="array" aca="1" ref="K882">MAX(H882:J882*(1-strike(H882:J882)))</f>
        <v>#NAME?</v>
      </c>
      <c r="L882" s="3">
        <v>145</v>
      </c>
      <c r="M882" s="3">
        <v>150</v>
      </c>
      <c r="N882" s="3">
        <v>155</v>
      </c>
      <c r="O882" s="4" t="e">
        <f t="array" aca="1" ref="O882">MAX(L882:N882*(1-strike(L882:N882)))</f>
        <v>#NAME?</v>
      </c>
      <c r="P882" s="3">
        <v>245</v>
      </c>
      <c r="Q882" s="3">
        <v>252.5</v>
      </c>
      <c r="R882" s="1">
        <v>273</v>
      </c>
      <c r="S882" s="4" t="e">
        <f t="array" aca="1" ref="S882">MAX(P882:R882*(1-strike(P882:R882)))</f>
        <v>#NAME?</v>
      </c>
      <c r="T882" s="4" t="e">
        <f t="shared" si="13"/>
        <v>#NAME?</v>
      </c>
      <c r="U882" s="3">
        <v>600</v>
      </c>
      <c r="V882" s="3">
        <v>472.32</v>
      </c>
      <c r="W882" s="3">
        <v>8</v>
      </c>
      <c r="X882" s="5">
        <v>2013</v>
      </c>
      <c r="Y882" s="5" t="s">
        <v>29</v>
      </c>
      <c r="Z882" s="5" t="s">
        <v>30</v>
      </c>
      <c r="AA882" s="5">
        <v>1025</v>
      </c>
    </row>
    <row r="883" spans="1:27">
      <c r="A883" s="3">
        <v>4</v>
      </c>
      <c r="B883" s="3" t="s">
        <v>748</v>
      </c>
      <c r="C883" s="3">
        <v>1978</v>
      </c>
      <c r="D883" s="3" t="s">
        <v>80</v>
      </c>
      <c r="E883" s="3">
        <v>65.69</v>
      </c>
      <c r="F883" s="3">
        <v>0.78820000000000001</v>
      </c>
      <c r="G883" s="3">
        <v>10</v>
      </c>
      <c r="H883" s="3">
        <v>245</v>
      </c>
      <c r="I883" s="3">
        <v>252.5</v>
      </c>
      <c r="J883" s="1">
        <v>257.5</v>
      </c>
      <c r="K883" s="4" t="e">
        <f t="array" aca="1" ref="K883">MAX(H883:J883*(1-strike(H883:J883)))</f>
        <v>#NAME?</v>
      </c>
      <c r="L883" s="3">
        <v>192.5</v>
      </c>
      <c r="M883" s="3">
        <v>197.5</v>
      </c>
      <c r="N883" s="1">
        <v>200</v>
      </c>
      <c r="O883" s="4" t="e">
        <f t="array" aca="1" ref="O883">MAX(L883:N883*(1-strike(L883:N883)))</f>
        <v>#NAME?</v>
      </c>
      <c r="P883" s="3">
        <v>265</v>
      </c>
      <c r="Q883" s="3">
        <v>277.5</v>
      </c>
      <c r="R883" s="3">
        <v>285</v>
      </c>
      <c r="S883" s="4" t="e">
        <f t="array" aca="1" ref="S883">MAX(P883:R883*(1-strike(P883:R883)))</f>
        <v>#NAME?</v>
      </c>
      <c r="T883" s="4" t="e">
        <f t="shared" si="13"/>
        <v>#NAME?</v>
      </c>
      <c r="U883" s="3">
        <v>735</v>
      </c>
      <c r="V883" s="3">
        <v>579.33000000000004</v>
      </c>
      <c r="W883" s="3">
        <v>7</v>
      </c>
      <c r="X883" s="5">
        <v>2013</v>
      </c>
      <c r="Y883" s="5" t="s">
        <v>29</v>
      </c>
      <c r="Z883" s="5" t="s">
        <v>171</v>
      </c>
      <c r="AA883" s="5">
        <v>828</v>
      </c>
    </row>
    <row r="884" spans="1:27">
      <c r="A884" s="4">
        <v>3</v>
      </c>
      <c r="B884" s="4" t="s">
        <v>748</v>
      </c>
      <c r="C884" s="4">
        <v>1978</v>
      </c>
      <c r="D884" s="4" t="s">
        <v>80</v>
      </c>
      <c r="E884" s="4">
        <v>65.5</v>
      </c>
      <c r="F884" s="4">
        <v>0.79010000000000002</v>
      </c>
      <c r="G884" s="4">
        <v>14</v>
      </c>
      <c r="H884" s="4">
        <v>200</v>
      </c>
      <c r="I884" s="4">
        <v>207.5</v>
      </c>
      <c r="J884" s="4">
        <v>210</v>
      </c>
      <c r="K884" s="4" t="e">
        <f t="array" aca="1" ref="K884">MAX(H884:J884*(1-strike(H884:J884)))</f>
        <v>#NAME?</v>
      </c>
      <c r="L884" s="4">
        <v>150</v>
      </c>
      <c r="M884" s="4">
        <v>155</v>
      </c>
      <c r="N884" s="6">
        <v>157.5</v>
      </c>
      <c r="O884" s="4" t="e">
        <f t="array" aca="1" ref="O884">MAX(L884:N884*(1-strike(L884:N884)))</f>
        <v>#NAME?</v>
      </c>
      <c r="P884" s="4">
        <v>255</v>
      </c>
      <c r="Q884" s="4">
        <v>265</v>
      </c>
      <c r="R884" s="6">
        <v>277.5</v>
      </c>
      <c r="S884" s="4" t="e">
        <f t="array" aca="1" ref="S884">MAX(P884:R884*(1-strike(P884:R884)))</f>
        <v>#NAME?</v>
      </c>
      <c r="T884" s="4" t="e">
        <f t="shared" si="13"/>
        <v>#NAME?</v>
      </c>
      <c r="U884" s="4">
        <v>630</v>
      </c>
      <c r="V884" s="4">
        <v>497.76</v>
      </c>
      <c r="W884" s="4">
        <v>8</v>
      </c>
      <c r="X884" s="5">
        <v>2014</v>
      </c>
      <c r="Y884" s="5" t="s">
        <v>29</v>
      </c>
      <c r="Z884" s="5" t="s">
        <v>30</v>
      </c>
      <c r="AA884" s="5">
        <v>659</v>
      </c>
    </row>
    <row r="885" spans="1:27">
      <c r="A885" s="4">
        <v>1</v>
      </c>
      <c r="B885" s="4" t="s">
        <v>748</v>
      </c>
      <c r="C885" s="4">
        <v>1978</v>
      </c>
      <c r="D885" s="4" t="s">
        <v>80</v>
      </c>
      <c r="E885" s="4">
        <v>65.56</v>
      </c>
      <c r="F885" s="4">
        <v>0.78949999999999998</v>
      </c>
      <c r="G885" s="4">
        <v>17</v>
      </c>
      <c r="H885" s="4">
        <v>202.5</v>
      </c>
      <c r="I885" s="4">
        <v>210</v>
      </c>
      <c r="J885" s="4">
        <v>215</v>
      </c>
      <c r="K885" s="4" t="e">
        <f t="array" aca="1" ref="K885">MAX(H885:J885*(1-strike(H885:J885)))</f>
        <v>#NAME?</v>
      </c>
      <c r="L885" s="4">
        <v>152.5</v>
      </c>
      <c r="M885" s="6">
        <v>157.5</v>
      </c>
      <c r="N885" s="4">
        <v>157.5</v>
      </c>
      <c r="O885" s="4" t="e">
        <f t="array" aca="1" ref="O885">MAX(L885:N885*(1-strike(L885:N885)))</f>
        <v>#NAME?</v>
      </c>
      <c r="P885" s="4">
        <v>260</v>
      </c>
      <c r="Q885" s="4">
        <v>267.5</v>
      </c>
      <c r="R885" s="4">
        <v>278</v>
      </c>
      <c r="S885" s="4" t="e">
        <f t="array" aca="1" ref="S885">MAX(P885:R885*(1-strike(P885:R885)))</f>
        <v>#NAME?</v>
      </c>
      <c r="T885" s="4" t="e">
        <f t="shared" si="13"/>
        <v>#NAME?</v>
      </c>
      <c r="U885" s="4" t="s">
        <v>749</v>
      </c>
      <c r="V885" s="4">
        <v>513.57000000000005</v>
      </c>
      <c r="W885" s="4">
        <v>12</v>
      </c>
      <c r="X885" s="5">
        <v>2015</v>
      </c>
      <c r="Y885" s="5" t="s">
        <v>29</v>
      </c>
      <c r="Z885" s="5" t="s">
        <v>30</v>
      </c>
      <c r="AA885" s="5">
        <v>227</v>
      </c>
    </row>
    <row r="886" spans="1:27">
      <c r="A886" s="4">
        <v>4</v>
      </c>
      <c r="B886" s="4" t="s">
        <v>748</v>
      </c>
      <c r="C886" s="4">
        <v>1978</v>
      </c>
      <c r="D886" s="4" t="s">
        <v>80</v>
      </c>
      <c r="E886" s="4">
        <v>65.55</v>
      </c>
      <c r="F886" s="4">
        <v>0.78959999999999997</v>
      </c>
      <c r="G886" s="4">
        <v>19</v>
      </c>
      <c r="H886" s="4">
        <v>250</v>
      </c>
      <c r="I886" s="4">
        <v>257.5</v>
      </c>
      <c r="J886" s="4">
        <v>262.5</v>
      </c>
      <c r="K886" s="4" t="e">
        <f t="array" aca="1" ref="K886">MAX(H886:J886*(1-strike(H886:J886)))</f>
        <v>#NAME?</v>
      </c>
      <c r="L886" s="4">
        <v>190</v>
      </c>
      <c r="M886" s="4">
        <v>195</v>
      </c>
      <c r="N886" s="6">
        <v>200</v>
      </c>
      <c r="O886" s="4" t="e">
        <f t="array" aca="1" ref="O886">MAX(L886:N886*(1-strike(L886:N886)))</f>
        <v>#NAME?</v>
      </c>
      <c r="P886" s="4">
        <v>275</v>
      </c>
      <c r="Q886" s="6">
        <v>290</v>
      </c>
      <c r="R886" s="4">
        <v>290</v>
      </c>
      <c r="S886" s="4" t="e">
        <f t="array" aca="1" ref="S886">MAX(P886:R886*(1-strike(P886:R886)))</f>
        <v>#NAME?</v>
      </c>
      <c r="T886" s="4" t="e">
        <f t="shared" si="13"/>
        <v>#NAME?</v>
      </c>
      <c r="U886" s="4">
        <v>747.5</v>
      </c>
      <c r="V886" s="4">
        <v>590.23</v>
      </c>
      <c r="W886" s="4">
        <v>7</v>
      </c>
      <c r="X886" s="5">
        <v>2015</v>
      </c>
      <c r="Y886" s="5" t="s">
        <v>29</v>
      </c>
      <c r="Z886" s="5" t="s">
        <v>171</v>
      </c>
      <c r="AA886" s="5">
        <v>15</v>
      </c>
    </row>
    <row r="887" spans="1:27">
      <c r="A887" s="3">
        <v>5</v>
      </c>
      <c r="B887" s="3" t="s">
        <v>750</v>
      </c>
      <c r="C887" s="3">
        <v>1989</v>
      </c>
      <c r="D887" s="3" t="s">
        <v>359</v>
      </c>
      <c r="E887" s="3">
        <v>78.900000000000006</v>
      </c>
      <c r="F887" s="3">
        <v>0.68879999999999997</v>
      </c>
      <c r="G887" s="3">
        <v>2</v>
      </c>
      <c r="H887" s="3">
        <v>220</v>
      </c>
      <c r="I887" s="3">
        <v>235</v>
      </c>
      <c r="J887" s="3">
        <v>245</v>
      </c>
      <c r="K887" s="4" t="e">
        <f t="array" aca="1" ref="K887">MAX(H887:J887*(1-strike(H887:J887)))</f>
        <v>#NAME?</v>
      </c>
      <c r="L887" s="3">
        <v>130</v>
      </c>
      <c r="M887" s="3">
        <v>135</v>
      </c>
      <c r="N887" s="1">
        <v>137.5</v>
      </c>
      <c r="O887" s="4" t="e">
        <f t="array" aca="1" ref="O887">MAX(L887:N887*(1-strike(L887:N887)))</f>
        <v>#NAME?</v>
      </c>
      <c r="P887" s="3">
        <v>272.5</v>
      </c>
      <c r="Q887" s="3">
        <v>282.5</v>
      </c>
      <c r="R887" s="1">
        <v>290</v>
      </c>
      <c r="S887" s="4" t="e">
        <f t="array" aca="1" ref="S887">MAX(P887:R887*(1-strike(P887:R887)))</f>
        <v>#NAME?</v>
      </c>
      <c r="T887" s="4" t="e">
        <f t="shared" si="13"/>
        <v>#NAME?</v>
      </c>
      <c r="U887" s="3">
        <v>662.5</v>
      </c>
      <c r="V887" s="3">
        <v>456.33</v>
      </c>
      <c r="W887" s="3">
        <v>6</v>
      </c>
      <c r="X887" s="5">
        <v>2013</v>
      </c>
      <c r="Y887" s="5" t="s">
        <v>29</v>
      </c>
      <c r="Z887" s="5" t="s">
        <v>30</v>
      </c>
      <c r="AA887" s="5">
        <v>1048</v>
      </c>
    </row>
    <row r="888" spans="1:27">
      <c r="A888" s="3">
        <v>8</v>
      </c>
      <c r="B888" s="3" t="s">
        <v>144</v>
      </c>
      <c r="C888" s="3">
        <v>1975</v>
      </c>
      <c r="D888" s="3" t="s">
        <v>125</v>
      </c>
      <c r="E888" s="3">
        <v>79.3</v>
      </c>
      <c r="F888" s="3">
        <v>0.6865</v>
      </c>
      <c r="G888" s="3">
        <v>16</v>
      </c>
      <c r="H888" s="3">
        <v>212.5</v>
      </c>
      <c r="I888" s="3">
        <v>225</v>
      </c>
      <c r="J888" s="3">
        <v>232.5</v>
      </c>
      <c r="K888" s="4" t="e">
        <f t="array" aca="1" ref="K888">MAX(H888:J888*(1-strike(H888:J888)))</f>
        <v>#NAME?</v>
      </c>
      <c r="L888" s="3">
        <v>132.5</v>
      </c>
      <c r="M888" s="3">
        <v>142.5</v>
      </c>
      <c r="N888" s="1">
        <v>150</v>
      </c>
      <c r="O888" s="4" t="e">
        <f t="array" aca="1" ref="O888">MAX(L888:N888*(1-strike(L888:N888)))</f>
        <v>#NAME?</v>
      </c>
      <c r="P888" s="3">
        <v>220</v>
      </c>
      <c r="Q888" s="3">
        <v>235</v>
      </c>
      <c r="R888" s="1">
        <v>242.5</v>
      </c>
      <c r="S888" s="4" t="e">
        <f t="array" aca="1" ref="S888">MAX(P888:R888*(1-strike(P888:R888)))</f>
        <v>#NAME?</v>
      </c>
      <c r="T888" s="4" t="e">
        <f t="shared" si="13"/>
        <v>#NAME?</v>
      </c>
      <c r="U888" s="3">
        <v>610</v>
      </c>
      <c r="V888" s="3">
        <v>418.76</v>
      </c>
      <c r="W888" s="3">
        <v>3</v>
      </c>
      <c r="X888" s="5">
        <v>2013</v>
      </c>
      <c r="Y888" s="5" t="s">
        <v>29</v>
      </c>
      <c r="Z888" s="5" t="s">
        <v>30</v>
      </c>
      <c r="AA888" s="5">
        <v>1051</v>
      </c>
    </row>
    <row r="889" spans="1:27">
      <c r="A889" s="4">
        <v>9</v>
      </c>
      <c r="B889" s="4" t="s">
        <v>751</v>
      </c>
      <c r="C889" s="4">
        <v>1981</v>
      </c>
      <c r="D889" s="4" t="s">
        <v>125</v>
      </c>
      <c r="E889" s="4">
        <v>97.32</v>
      </c>
      <c r="F889" s="4">
        <v>0.61550000000000005</v>
      </c>
      <c r="G889" s="4">
        <v>17</v>
      </c>
      <c r="H889" s="4">
        <v>310</v>
      </c>
      <c r="I889" s="6">
        <v>330</v>
      </c>
      <c r="J889" s="4">
        <v>335</v>
      </c>
      <c r="K889" s="4" t="e">
        <f t="array" aca="1" ref="K889">MAX(H889:J889*(1-strike(H889:J889)))</f>
        <v>#NAME?</v>
      </c>
      <c r="L889" s="6">
        <v>217.5</v>
      </c>
      <c r="M889" s="4">
        <v>222.5</v>
      </c>
      <c r="N889" s="4">
        <v>232.5</v>
      </c>
      <c r="O889" s="4" t="e">
        <f t="array" aca="1" ref="O889">MAX(L889:N889*(1-strike(L889:N889)))</f>
        <v>#NAME?</v>
      </c>
      <c r="P889" s="4">
        <v>285</v>
      </c>
      <c r="Q889" s="4">
        <v>295</v>
      </c>
      <c r="R889" s="6">
        <v>310</v>
      </c>
      <c r="S889" s="4" t="e">
        <f t="array" aca="1" ref="S889">MAX(P889:R889*(1-strike(P889:R889)))</f>
        <v>#NAME?</v>
      </c>
      <c r="T889" s="4" t="e">
        <f t="shared" si="13"/>
        <v>#NAME?</v>
      </c>
      <c r="U889" s="4">
        <v>862.5</v>
      </c>
      <c r="V889" s="4">
        <v>530.87</v>
      </c>
      <c r="W889" s="4">
        <v>2</v>
      </c>
      <c r="X889" s="5">
        <v>2014</v>
      </c>
      <c r="Y889" s="5" t="s">
        <v>29</v>
      </c>
      <c r="Z889" s="5" t="s">
        <v>171</v>
      </c>
      <c r="AA889" s="5">
        <v>521</v>
      </c>
    </row>
    <row r="890" spans="1:27" ht="15" customHeight="1">
      <c r="A890" s="4">
        <v>14</v>
      </c>
      <c r="B890" s="4" t="s">
        <v>751</v>
      </c>
      <c r="C890" s="4">
        <v>1981</v>
      </c>
      <c r="D890" s="4" t="s">
        <v>125</v>
      </c>
      <c r="E890" s="4">
        <v>100.55</v>
      </c>
      <c r="F890" s="4">
        <v>0.60729999999999995</v>
      </c>
      <c r="G890" s="4">
        <v>13</v>
      </c>
      <c r="H890" s="4">
        <v>322.5</v>
      </c>
      <c r="I890" s="4">
        <v>340</v>
      </c>
      <c r="J890" s="4">
        <v>345</v>
      </c>
      <c r="K890" s="4" t="e">
        <f t="array" aca="1" ref="K890">MAX(H890:J890*(1-strike(H890:J890)))</f>
        <v>#NAME?</v>
      </c>
      <c r="L890" s="4">
        <v>237.5</v>
      </c>
      <c r="M890" s="6">
        <v>245</v>
      </c>
      <c r="N890" s="6">
        <v>250</v>
      </c>
      <c r="O890" s="4" t="e">
        <f t="array" aca="1" ref="O890">MAX(L890:N890*(1-strike(L890:N890)))</f>
        <v>#NAME?</v>
      </c>
      <c r="P890" s="4">
        <v>280</v>
      </c>
      <c r="Q890" s="4">
        <v>292.5</v>
      </c>
      <c r="R890" s="6">
        <v>302.5</v>
      </c>
      <c r="S890" s="4" t="e">
        <f t="array" aca="1" ref="S890">MAX(P890:R890*(1-strike(P890:R890)))</f>
        <v>#NAME?</v>
      </c>
      <c r="T890" s="4" t="e">
        <f t="shared" si="13"/>
        <v>#NAME?</v>
      </c>
      <c r="U890" s="4">
        <v>875</v>
      </c>
      <c r="V890" s="4">
        <v>531.39</v>
      </c>
      <c r="W890" s="4">
        <v>1</v>
      </c>
      <c r="X890" s="5">
        <v>2015</v>
      </c>
      <c r="Y890" s="5" t="s">
        <v>29</v>
      </c>
      <c r="Z890" s="5" t="s">
        <v>171</v>
      </c>
      <c r="AA890" s="5">
        <v>86</v>
      </c>
    </row>
    <row r="891" spans="1:27">
      <c r="A891" s="3">
        <v>10</v>
      </c>
      <c r="B891" s="3" t="s">
        <v>752</v>
      </c>
      <c r="C891" s="3">
        <v>1975</v>
      </c>
      <c r="D891" s="3" t="s">
        <v>753</v>
      </c>
      <c r="E891" s="3">
        <v>137.06</v>
      </c>
      <c r="F891" s="3">
        <v>0.56059999999999999</v>
      </c>
      <c r="G891" s="3">
        <v>6</v>
      </c>
      <c r="H891" s="1">
        <v>402.5</v>
      </c>
      <c r="I891" s="3">
        <v>422.5</v>
      </c>
      <c r="J891" s="1">
        <v>437.5</v>
      </c>
      <c r="K891" s="4" t="e">
        <f t="array" aca="1" ref="K891">MAX(H891:J891*(1-strike(H891:J891)))</f>
        <v>#NAME?</v>
      </c>
      <c r="L891" s="3">
        <v>230</v>
      </c>
      <c r="M891" s="3">
        <v>240</v>
      </c>
      <c r="N891" s="1">
        <v>250</v>
      </c>
      <c r="O891" s="4" t="e">
        <f t="array" aca="1" ref="O891">MAX(L891:N891*(1-strike(L891:N891)))</f>
        <v>#NAME?</v>
      </c>
      <c r="P891" s="3">
        <v>295</v>
      </c>
      <c r="Q891" s="3">
        <v>320</v>
      </c>
      <c r="R891" s="1">
        <v>330</v>
      </c>
      <c r="S891" s="4" t="e">
        <f t="array" aca="1" ref="S891">MAX(P891:R891*(1-strike(P891:R891)))</f>
        <v>#NAME?</v>
      </c>
      <c r="T891" s="4" t="e">
        <f t="shared" si="13"/>
        <v>#NAME?</v>
      </c>
      <c r="U891" s="3">
        <v>982.5</v>
      </c>
      <c r="V891" s="3">
        <v>550.82000000000005</v>
      </c>
      <c r="W891" s="3">
        <v>1</v>
      </c>
      <c r="X891" s="5">
        <v>2012</v>
      </c>
      <c r="Y891" s="5" t="s">
        <v>29</v>
      </c>
      <c r="Z891" s="5" t="s">
        <v>171</v>
      </c>
      <c r="AA891" s="5">
        <v>1325</v>
      </c>
    </row>
    <row r="892" spans="1:27">
      <c r="A892" s="3">
        <v>15</v>
      </c>
      <c r="B892" s="3" t="s">
        <v>754</v>
      </c>
      <c r="C892" s="3">
        <v>1984</v>
      </c>
      <c r="D892" s="3" t="s">
        <v>109</v>
      </c>
      <c r="E892" s="3">
        <v>102.55</v>
      </c>
      <c r="F892" s="3">
        <v>0.60270000000000001</v>
      </c>
      <c r="G892" s="3">
        <v>14</v>
      </c>
      <c r="H892" s="3">
        <v>225</v>
      </c>
      <c r="I892" s="1">
        <v>232.5</v>
      </c>
      <c r="J892" s="1">
        <v>232.5</v>
      </c>
      <c r="K892" s="4" t="e">
        <f t="array" aca="1" ref="K892">MAX(H892:J892*(1-strike(H892:J892)))</f>
        <v>#NAME?</v>
      </c>
      <c r="L892" s="3">
        <v>175</v>
      </c>
      <c r="M892" s="3">
        <v>182.5</v>
      </c>
      <c r="N892" s="3">
        <v>185</v>
      </c>
      <c r="O892" s="4" t="e">
        <f t="array" aca="1" ref="O892">MAX(L892:N892*(1-strike(L892:N892)))</f>
        <v>#NAME?</v>
      </c>
      <c r="P892" s="3">
        <v>255</v>
      </c>
      <c r="Q892" s="3">
        <v>260</v>
      </c>
      <c r="R892" s="1">
        <v>270</v>
      </c>
      <c r="S892" s="4" t="e">
        <f t="array" aca="1" ref="S892">MAX(P892:R892*(1-strike(P892:R892)))</f>
        <v>#NAME?</v>
      </c>
      <c r="T892" s="4" t="e">
        <f t="shared" si="13"/>
        <v>#NAME?</v>
      </c>
      <c r="U892" s="3">
        <v>670</v>
      </c>
      <c r="V892" s="3">
        <v>403.81</v>
      </c>
      <c r="W892" s="3">
        <v>1</v>
      </c>
      <c r="X892" s="5">
        <v>2013</v>
      </c>
      <c r="Y892" s="5" t="s">
        <v>29</v>
      </c>
      <c r="Z892" s="5" t="s">
        <v>30</v>
      </c>
      <c r="AA892" s="5">
        <v>1085</v>
      </c>
    </row>
    <row r="893" spans="1:27">
      <c r="A893" s="4">
        <v>12</v>
      </c>
      <c r="B893" s="4" t="s">
        <v>754</v>
      </c>
      <c r="C893" s="4">
        <v>1984</v>
      </c>
      <c r="D893" s="4" t="s">
        <v>109</v>
      </c>
      <c r="E893" s="4">
        <v>104.25</v>
      </c>
      <c r="F893" s="4">
        <v>0.59909999999999997</v>
      </c>
      <c r="G893" s="4">
        <v>12</v>
      </c>
      <c r="H893" s="4">
        <v>235</v>
      </c>
      <c r="I893" s="4">
        <v>242.5</v>
      </c>
      <c r="J893" s="4">
        <v>245</v>
      </c>
      <c r="K893" s="4" t="e">
        <f t="array" aca="1" ref="K893">MAX(H893:J893*(1-strike(H893:J893)))</f>
        <v>#NAME?</v>
      </c>
      <c r="L893" s="4">
        <v>187.5</v>
      </c>
      <c r="M893" s="4">
        <v>195</v>
      </c>
      <c r="N893" s="4">
        <v>200</v>
      </c>
      <c r="O893" s="4" t="e">
        <f t="array" aca="1" ref="O893">MAX(L893:N893*(1-strike(L893:N893)))</f>
        <v>#NAME?</v>
      </c>
      <c r="P893" s="4">
        <v>265</v>
      </c>
      <c r="Q893" s="6">
        <v>282.5</v>
      </c>
      <c r="R893" s="6">
        <v>282.5</v>
      </c>
      <c r="S893" s="4" t="e">
        <f t="array" aca="1" ref="S893">MAX(P893:R893*(1-strike(P893:R893)))</f>
        <v>#NAME?</v>
      </c>
      <c r="T893" s="4" t="e">
        <f t="shared" si="13"/>
        <v>#NAME?</v>
      </c>
      <c r="U893" s="4">
        <v>710</v>
      </c>
      <c r="V893" s="4">
        <v>425.36</v>
      </c>
      <c r="W893" s="4">
        <v>1</v>
      </c>
      <c r="X893" s="5">
        <v>2014</v>
      </c>
      <c r="Y893" s="5" t="s">
        <v>29</v>
      </c>
      <c r="Z893" s="5" t="s">
        <v>30</v>
      </c>
      <c r="AA893" s="5">
        <v>721</v>
      </c>
    </row>
    <row r="894" spans="1:27">
      <c r="A894" s="4">
        <v>13</v>
      </c>
      <c r="B894" s="4" t="s">
        <v>754</v>
      </c>
      <c r="C894" s="4">
        <v>1984</v>
      </c>
      <c r="D894" s="4" t="s">
        <v>109</v>
      </c>
      <c r="E894" s="4">
        <v>118.28</v>
      </c>
      <c r="F894" s="4">
        <v>0.57689999999999997</v>
      </c>
      <c r="G894" s="4">
        <v>14</v>
      </c>
      <c r="H894" s="4">
        <v>255</v>
      </c>
      <c r="I894" s="4">
        <v>270</v>
      </c>
      <c r="J894" s="4">
        <v>275</v>
      </c>
      <c r="K894" s="4" t="e">
        <f t="array" aca="1" ref="K894">MAX(H894:J894*(1-strike(H894:J894)))</f>
        <v>#NAME?</v>
      </c>
      <c r="L894" s="4">
        <v>200</v>
      </c>
      <c r="M894" s="4">
        <v>207.5</v>
      </c>
      <c r="N894" s="6">
        <v>210</v>
      </c>
      <c r="O894" s="4" t="e">
        <f t="array" aca="1" ref="O894">MAX(L894:N894*(1-strike(L894:N894)))</f>
        <v>#NAME?</v>
      </c>
      <c r="P894" s="4">
        <v>270</v>
      </c>
      <c r="Q894" s="6">
        <v>295</v>
      </c>
      <c r="R894" s="4"/>
      <c r="S894" s="4" t="e">
        <f t="array" aca="1" ref="S894">MAX(P894:R894*(1-strike(P894:R894)))</f>
        <v>#NAME?</v>
      </c>
      <c r="T894" s="4" t="e">
        <f t="shared" si="13"/>
        <v>#NAME?</v>
      </c>
      <c r="U894" s="4">
        <v>752.5</v>
      </c>
      <c r="V894" s="4">
        <v>434.12</v>
      </c>
      <c r="W894" s="4">
        <v>1</v>
      </c>
      <c r="X894" s="5">
        <v>2015</v>
      </c>
      <c r="Y894" s="5" t="s">
        <v>29</v>
      </c>
      <c r="Z894" s="5" t="s">
        <v>30</v>
      </c>
      <c r="AA894" s="5">
        <v>319</v>
      </c>
    </row>
    <row r="895" spans="1:27">
      <c r="A895" s="4">
        <v>6</v>
      </c>
      <c r="B895" s="4" t="s">
        <v>755</v>
      </c>
      <c r="C895" s="4">
        <v>1988</v>
      </c>
      <c r="D895" s="4" t="s">
        <v>72</v>
      </c>
      <c r="E895" s="4">
        <v>91.38</v>
      </c>
      <c r="F895" s="4">
        <v>0.63349999999999995</v>
      </c>
      <c r="G895" s="4">
        <v>5</v>
      </c>
      <c r="H895" s="4">
        <v>275</v>
      </c>
      <c r="I895" s="4">
        <v>290</v>
      </c>
      <c r="J895" s="6">
        <v>300</v>
      </c>
      <c r="K895" s="4" t="e">
        <f t="array" aca="1" ref="K895">MAX(H895:J895*(1-strike(H895:J895)))</f>
        <v>#NAME?</v>
      </c>
      <c r="L895" s="6">
        <v>210</v>
      </c>
      <c r="M895" s="4">
        <v>210</v>
      </c>
      <c r="N895" s="4">
        <v>215</v>
      </c>
      <c r="O895" s="4" t="e">
        <f t="array" aca="1" ref="O895">MAX(L895:N895*(1-strike(L895:N895)))</f>
        <v>#NAME?</v>
      </c>
      <c r="P895" s="4">
        <v>250</v>
      </c>
      <c r="Q895" s="4">
        <v>270</v>
      </c>
      <c r="R895" s="6">
        <v>285</v>
      </c>
      <c r="S895" s="4" t="e">
        <f t="array" aca="1" ref="S895">MAX(P895:R895*(1-strike(P895:R895)))</f>
        <v>#NAME?</v>
      </c>
      <c r="T895" s="4" t="e">
        <f t="shared" si="13"/>
        <v>#NAME?</v>
      </c>
      <c r="U895" s="4">
        <v>775</v>
      </c>
      <c r="V895" s="4">
        <v>490.96</v>
      </c>
      <c r="W895" s="4">
        <v>5</v>
      </c>
      <c r="X895" s="5">
        <v>2015</v>
      </c>
      <c r="Y895" s="5" t="s">
        <v>29</v>
      </c>
      <c r="Z895" s="5" t="s">
        <v>30</v>
      </c>
      <c r="AA895" s="5">
        <v>278</v>
      </c>
    </row>
    <row r="896" spans="1:27">
      <c r="A896" s="4">
        <v>1</v>
      </c>
      <c r="B896" s="4" t="s">
        <v>756</v>
      </c>
      <c r="C896" s="4">
        <v>1988</v>
      </c>
      <c r="D896" s="4" t="s">
        <v>119</v>
      </c>
      <c r="E896" s="4">
        <v>104.69</v>
      </c>
      <c r="F896" s="4">
        <v>0.59819999999999995</v>
      </c>
      <c r="G896" s="4">
        <v>11</v>
      </c>
      <c r="H896" s="4">
        <v>400</v>
      </c>
      <c r="I896" s="6">
        <v>415.5</v>
      </c>
      <c r="J896" s="4">
        <v>415.5</v>
      </c>
      <c r="K896" s="4" t="e">
        <f t="array" aca="1" ref="K896">MAX(H896:J896*(1-strike(H896:J896)))</f>
        <v>#NAME?</v>
      </c>
      <c r="L896" s="4">
        <v>260</v>
      </c>
      <c r="M896" s="4">
        <v>270</v>
      </c>
      <c r="N896" s="4">
        <v>275</v>
      </c>
      <c r="O896" s="4" t="e">
        <f t="array" aca="1" ref="O896">MAX(L896:N896*(1-strike(L896:N896)))</f>
        <v>#NAME?</v>
      </c>
      <c r="P896" s="4">
        <v>325</v>
      </c>
      <c r="Q896" s="4">
        <v>337.5</v>
      </c>
      <c r="R896" s="4">
        <v>345</v>
      </c>
      <c r="S896" s="4" t="e">
        <f t="array" aca="1" ref="S896">MAX(P896:R896*(1-strike(P896:R896)))</f>
        <v>#NAME?</v>
      </c>
      <c r="T896" s="4" t="e">
        <f t="shared" si="13"/>
        <v>#NAME?</v>
      </c>
      <c r="U896" s="4">
        <v>1035.5</v>
      </c>
      <c r="V896" s="4">
        <v>619.44000000000005</v>
      </c>
      <c r="W896" s="4">
        <v>12</v>
      </c>
      <c r="X896" s="5">
        <v>2015</v>
      </c>
      <c r="Y896" s="5" t="s">
        <v>29</v>
      </c>
      <c r="Z896" s="5" t="s">
        <v>171</v>
      </c>
      <c r="AA896" s="5">
        <v>73</v>
      </c>
    </row>
    <row r="897" spans="1:27">
      <c r="A897" s="3">
        <v>5</v>
      </c>
      <c r="B897" s="3" t="s">
        <v>757</v>
      </c>
      <c r="C897" s="3">
        <v>1977</v>
      </c>
      <c r="D897" s="3" t="s">
        <v>39</v>
      </c>
      <c r="E897" s="3">
        <v>147.1</v>
      </c>
      <c r="F897" s="3">
        <v>0.55479999999999996</v>
      </c>
      <c r="G897" s="3">
        <v>30</v>
      </c>
      <c r="H897" s="3">
        <v>285</v>
      </c>
      <c r="I897" s="1">
        <v>290</v>
      </c>
      <c r="J897" s="3"/>
      <c r="K897" s="4" t="e">
        <f t="array" aca="1" ref="K897">MAX(H897:J897*(1-strike(H897:J897)))</f>
        <v>#NAME?</v>
      </c>
      <c r="L897" s="3">
        <v>215</v>
      </c>
      <c r="M897" s="1">
        <v>220</v>
      </c>
      <c r="N897" s="1">
        <v>220</v>
      </c>
      <c r="O897" s="4" t="e">
        <f t="array" aca="1" ref="O897">MAX(L897:N897*(1-strike(L897:N897)))</f>
        <v>#NAME?</v>
      </c>
      <c r="P897" s="3">
        <v>320</v>
      </c>
      <c r="Q897" s="3">
        <v>330</v>
      </c>
      <c r="R897" s="3">
        <v>335</v>
      </c>
      <c r="S897" s="4" t="e">
        <f t="array" aca="1" ref="S897">MAX(P897:R897*(1-strike(P897:R897)))</f>
        <v>#NAME?</v>
      </c>
      <c r="T897" s="4" t="e">
        <f t="shared" si="13"/>
        <v>#NAME?</v>
      </c>
      <c r="U897" s="3">
        <v>835</v>
      </c>
      <c r="V897" s="3">
        <v>463.26</v>
      </c>
      <c r="W897" s="3">
        <v>6</v>
      </c>
      <c r="X897" s="5">
        <v>2013</v>
      </c>
      <c r="Y897" s="5" t="s">
        <v>29</v>
      </c>
      <c r="Z897" s="5" t="s">
        <v>30</v>
      </c>
      <c r="AA897" s="5">
        <v>1113</v>
      </c>
    </row>
    <row r="898" spans="1:27">
      <c r="A898" s="3" t="s">
        <v>37</v>
      </c>
      <c r="B898" s="3" t="s">
        <v>758</v>
      </c>
      <c r="C898" s="3">
        <v>1973</v>
      </c>
      <c r="D898" s="3" t="s">
        <v>300</v>
      </c>
      <c r="E898" s="3">
        <v>104.74</v>
      </c>
      <c r="F898" s="3">
        <v>0.59809999999999997</v>
      </c>
      <c r="G898" s="3">
        <v>15</v>
      </c>
      <c r="H898" s="1">
        <v>310</v>
      </c>
      <c r="I898" s="1">
        <v>310</v>
      </c>
      <c r="J898" s="1">
        <v>310</v>
      </c>
      <c r="K898" s="4" t="e">
        <f t="array" aca="1" ref="K898">MAX(H898:J898*(1-strike(H898:J898)))</f>
        <v>#NAME?</v>
      </c>
      <c r="L898" s="1">
        <v>210</v>
      </c>
      <c r="M898" s="3">
        <v>210</v>
      </c>
      <c r="N898" s="1">
        <v>215</v>
      </c>
      <c r="O898" s="4" t="e">
        <f t="array" aca="1" ref="O898">MAX(L898:N898*(1-strike(L898:N898)))</f>
        <v>#NAME?</v>
      </c>
      <c r="P898" s="3"/>
      <c r="Q898" s="3"/>
      <c r="R898" s="3"/>
      <c r="S898" s="4" t="e">
        <f t="array" aca="1" ref="S898">MAX(P898:R898*(1-strike(P898:R898)))</f>
        <v>#NAME?</v>
      </c>
      <c r="T898" s="4" t="e">
        <f t="shared" ref="T898:T961" si="14">IF(AND(K898&lt;&gt;0,O898&lt;&gt;0,S898&lt;&gt;0),K898+O898+S898,0)</f>
        <v>#NAME?</v>
      </c>
      <c r="U898" s="3" t="s">
        <v>40</v>
      </c>
      <c r="V898" s="3" t="s">
        <v>37</v>
      </c>
      <c r="W898" s="3" t="s">
        <v>37</v>
      </c>
      <c r="X898" s="5">
        <v>2012</v>
      </c>
      <c r="Y898" s="5" t="s">
        <v>29</v>
      </c>
      <c r="Z898" s="5" t="s">
        <v>171</v>
      </c>
      <c r="AA898" s="5">
        <v>1297</v>
      </c>
    </row>
    <row r="899" spans="1:27">
      <c r="A899" s="3">
        <v>17</v>
      </c>
      <c r="B899" s="3" t="s">
        <v>759</v>
      </c>
      <c r="C899" s="3">
        <v>1984</v>
      </c>
      <c r="D899" s="3" t="s">
        <v>56</v>
      </c>
      <c r="E899" s="3">
        <v>82.65</v>
      </c>
      <c r="F899" s="3">
        <v>0.66920000000000002</v>
      </c>
      <c r="G899" s="3">
        <v>18</v>
      </c>
      <c r="H899" s="3">
        <v>270</v>
      </c>
      <c r="I899" s="3">
        <v>280</v>
      </c>
      <c r="J899" s="1">
        <v>285</v>
      </c>
      <c r="K899" s="4" t="e">
        <f t="array" aca="1" ref="K899">MAX(H899:J899*(1-strike(H899:J899)))</f>
        <v>#NAME?</v>
      </c>
      <c r="L899" s="1">
        <v>160</v>
      </c>
      <c r="M899" s="3">
        <v>160</v>
      </c>
      <c r="N899" s="1">
        <v>165</v>
      </c>
      <c r="O899" s="4" t="e">
        <f t="array" aca="1" ref="O899">MAX(L899:N899*(1-strike(L899:N899)))</f>
        <v>#NAME?</v>
      </c>
      <c r="P899" s="3">
        <v>245</v>
      </c>
      <c r="Q899" s="3">
        <v>255</v>
      </c>
      <c r="R899" s="1">
        <v>262.5</v>
      </c>
      <c r="S899" s="4" t="e">
        <f t="array" aca="1" ref="S899">MAX(P899:R899*(1-strike(P899:R899)))</f>
        <v>#NAME?</v>
      </c>
      <c r="T899" s="4" t="e">
        <f t="shared" si="14"/>
        <v>#NAME?</v>
      </c>
      <c r="U899" s="3">
        <v>695</v>
      </c>
      <c r="V899" s="3">
        <v>465.05</v>
      </c>
      <c r="W899" s="3">
        <v>1</v>
      </c>
      <c r="X899" s="5">
        <v>2012</v>
      </c>
      <c r="Y899" s="5" t="s">
        <v>29</v>
      </c>
      <c r="Z899" s="5" t="s">
        <v>171</v>
      </c>
      <c r="AA899" s="5">
        <v>1250</v>
      </c>
    </row>
    <row r="900" spans="1:27">
      <c r="A900" s="4">
        <v>6</v>
      </c>
      <c r="B900" s="4" t="s">
        <v>760</v>
      </c>
      <c r="C900" s="4">
        <v>1982</v>
      </c>
      <c r="D900" s="4" t="s">
        <v>35</v>
      </c>
      <c r="E900" s="4">
        <v>82.95</v>
      </c>
      <c r="F900" s="4">
        <v>0.66769999999999996</v>
      </c>
      <c r="G900" s="4">
        <v>21</v>
      </c>
      <c r="H900" s="6">
        <v>225</v>
      </c>
      <c r="I900" s="4">
        <v>225</v>
      </c>
      <c r="J900" s="6">
        <v>230</v>
      </c>
      <c r="K900" s="4" t="e">
        <f t="array" aca="1" ref="K900">MAX(H900:J900*(1-strike(H900:J900)))</f>
        <v>#NAME?</v>
      </c>
      <c r="L900" s="4">
        <v>152.5</v>
      </c>
      <c r="M900" s="4">
        <v>157.5</v>
      </c>
      <c r="N900" s="4">
        <v>160</v>
      </c>
      <c r="O900" s="4" t="e">
        <f t="array" aca="1" ref="O900">MAX(L900:N900*(1-strike(L900:N900)))</f>
        <v>#NAME?</v>
      </c>
      <c r="P900" s="4">
        <v>275</v>
      </c>
      <c r="Q900" s="4">
        <v>287.5</v>
      </c>
      <c r="R900" s="6">
        <v>295</v>
      </c>
      <c r="S900" s="4" t="e">
        <f t="array" aca="1" ref="S900">MAX(P900:R900*(1-strike(P900:R900)))</f>
        <v>#NAME?</v>
      </c>
      <c r="T900" s="4" t="e">
        <f t="shared" si="14"/>
        <v>#NAME?</v>
      </c>
      <c r="U900" s="4">
        <v>672.5</v>
      </c>
      <c r="V900" s="4">
        <v>449.03</v>
      </c>
      <c r="W900" s="4">
        <v>5</v>
      </c>
      <c r="X900" s="5">
        <v>2015</v>
      </c>
      <c r="Y900" s="5" t="s">
        <v>29</v>
      </c>
      <c r="Z900" s="5" t="s">
        <v>30</v>
      </c>
      <c r="AA900" s="5">
        <v>261</v>
      </c>
    </row>
    <row r="901" spans="1:27">
      <c r="A901" s="4" t="s">
        <v>37</v>
      </c>
      <c r="B901" s="4" t="s">
        <v>761</v>
      </c>
      <c r="C901" s="4">
        <v>1982</v>
      </c>
      <c r="D901" s="4" t="s">
        <v>380</v>
      </c>
      <c r="E901" s="4">
        <v>104.32</v>
      </c>
      <c r="F901" s="4">
        <v>0.59889999999999999</v>
      </c>
      <c r="G901" s="4">
        <v>12</v>
      </c>
      <c r="H901" s="4">
        <v>330</v>
      </c>
      <c r="I901" s="6">
        <v>345</v>
      </c>
      <c r="J901" s="6">
        <v>345</v>
      </c>
      <c r="K901" s="4" t="e">
        <f t="array" aca="1" ref="K901">MAX(H901:J901*(1-strike(H901:J901)))</f>
        <v>#NAME?</v>
      </c>
      <c r="L901" s="4">
        <v>225</v>
      </c>
      <c r="M901" s="4">
        <v>230</v>
      </c>
      <c r="N901" s="6">
        <v>235</v>
      </c>
      <c r="O901" s="4" t="e">
        <f t="array" aca="1" ref="O901">MAX(L901:N901*(1-strike(L901:N901)))</f>
        <v>#NAME?</v>
      </c>
      <c r="P901" s="6">
        <v>300</v>
      </c>
      <c r="Q901" s="6">
        <v>300</v>
      </c>
      <c r="R901" s="6">
        <v>300</v>
      </c>
      <c r="S901" s="4" t="e">
        <f t="array" aca="1" ref="S901">MAX(P901:R901*(1-strike(P901:R901)))</f>
        <v>#NAME?</v>
      </c>
      <c r="T901" s="4" t="e">
        <f t="shared" si="14"/>
        <v>#NAME?</v>
      </c>
      <c r="U901" s="4" t="s">
        <v>187</v>
      </c>
      <c r="V901" s="4" t="s">
        <v>37</v>
      </c>
      <c r="W901" s="4" t="s">
        <v>37</v>
      </c>
      <c r="X901" s="5">
        <v>2015</v>
      </c>
      <c r="Y901" s="5" t="s">
        <v>29</v>
      </c>
      <c r="Z901" s="5" t="s">
        <v>171</v>
      </c>
      <c r="AA901" s="5">
        <v>94</v>
      </c>
    </row>
    <row r="902" spans="1:27">
      <c r="A902" s="3">
        <v>10</v>
      </c>
      <c r="B902" s="3" t="s">
        <v>762</v>
      </c>
      <c r="C902" s="3">
        <v>1980</v>
      </c>
      <c r="D902" s="3" t="s">
        <v>349</v>
      </c>
      <c r="E902" s="3">
        <v>72.680000000000007</v>
      </c>
      <c r="F902" s="3">
        <v>0.72870000000000001</v>
      </c>
      <c r="G902" s="3">
        <v>9</v>
      </c>
      <c r="H902" s="3">
        <v>270</v>
      </c>
      <c r="I902" s="1">
        <v>290</v>
      </c>
      <c r="J902" s="1">
        <v>290</v>
      </c>
      <c r="K902" s="4" t="e">
        <f t="array" aca="1" ref="K902">MAX(H902:J902*(1-strike(H902:J902)))</f>
        <v>#NAME?</v>
      </c>
      <c r="L902" s="3">
        <v>200</v>
      </c>
      <c r="M902" s="1">
        <v>215</v>
      </c>
      <c r="N902" s="3">
        <v>215</v>
      </c>
      <c r="O902" s="4" t="e">
        <f t="array" aca="1" ref="O902">MAX(L902:N902*(1-strike(L902:N902)))</f>
        <v>#NAME?</v>
      </c>
      <c r="P902" s="3">
        <v>240</v>
      </c>
      <c r="Q902" s="1">
        <v>250</v>
      </c>
      <c r="R902" s="1">
        <v>250</v>
      </c>
      <c r="S902" s="4" t="e">
        <f t="array" aca="1" ref="S902">MAX(P902:R902*(1-strike(P902:R902)))</f>
        <v>#NAME?</v>
      </c>
      <c r="T902" s="4" t="e">
        <f t="shared" si="14"/>
        <v>#NAME?</v>
      </c>
      <c r="U902" s="3">
        <v>725</v>
      </c>
      <c r="V902" s="3">
        <v>528.30999999999995</v>
      </c>
      <c r="W902" s="3">
        <v>1</v>
      </c>
      <c r="X902" s="5">
        <v>2013</v>
      </c>
      <c r="Y902" s="5" t="s">
        <v>29</v>
      </c>
      <c r="Z902" s="5" t="s">
        <v>171</v>
      </c>
      <c r="AA902" s="5">
        <v>845</v>
      </c>
    </row>
    <row r="903" spans="1:27" ht="15" customHeight="1">
      <c r="A903" s="3">
        <v>13</v>
      </c>
      <c r="B903" s="3" t="s">
        <v>763</v>
      </c>
      <c r="C903" s="3">
        <v>1982</v>
      </c>
      <c r="D903" s="3" t="s">
        <v>380</v>
      </c>
      <c r="E903" s="3">
        <v>73.28</v>
      </c>
      <c r="F903" s="3">
        <v>0.72440000000000004</v>
      </c>
      <c r="G903" s="3">
        <v>2</v>
      </c>
      <c r="H903" s="1">
        <v>272.5</v>
      </c>
      <c r="I903" s="1">
        <v>272.5</v>
      </c>
      <c r="J903" s="3">
        <v>272.5</v>
      </c>
      <c r="K903" s="4" t="e">
        <f t="array" aca="1" ref="K903">MAX(H903:J903*(1-strike(H903:J903)))</f>
        <v>#NAME?</v>
      </c>
      <c r="L903" s="3">
        <v>160</v>
      </c>
      <c r="M903" s="3">
        <v>167.5</v>
      </c>
      <c r="N903" s="3">
        <v>170</v>
      </c>
      <c r="O903" s="4" t="e">
        <f t="array" aca="1" ref="O903">MAX(L903:N903*(1-strike(L903:N903)))</f>
        <v>#NAME?</v>
      </c>
      <c r="P903" s="3">
        <v>250</v>
      </c>
      <c r="Q903" s="1">
        <v>260</v>
      </c>
      <c r="R903" s="1">
        <v>260</v>
      </c>
      <c r="S903" s="4" t="e">
        <f t="array" aca="1" ref="S903">MAX(P903:R903*(1-strike(P903:R903)))</f>
        <v>#NAME?</v>
      </c>
      <c r="T903" s="4" t="e">
        <f t="shared" si="14"/>
        <v>#NAME?</v>
      </c>
      <c r="U903" s="3">
        <v>692.5</v>
      </c>
      <c r="V903" s="3">
        <v>501.65</v>
      </c>
      <c r="W903" s="3">
        <v>1</v>
      </c>
      <c r="X903" s="5">
        <v>2013</v>
      </c>
      <c r="Y903" s="5" t="s">
        <v>29</v>
      </c>
      <c r="Z903" s="5" t="s">
        <v>171</v>
      </c>
      <c r="AA903" s="5">
        <v>848</v>
      </c>
    </row>
    <row r="904" spans="1:27">
      <c r="A904" s="4">
        <v>10</v>
      </c>
      <c r="B904" s="4" t="s">
        <v>764</v>
      </c>
      <c r="C904" s="4">
        <v>1988</v>
      </c>
      <c r="D904" s="4" t="s">
        <v>51</v>
      </c>
      <c r="E904" s="4">
        <v>91.39</v>
      </c>
      <c r="F904" s="4">
        <v>0.63349999999999995</v>
      </c>
      <c r="G904" s="4">
        <v>4</v>
      </c>
      <c r="H904" s="4">
        <v>230</v>
      </c>
      <c r="I904" s="4">
        <v>240</v>
      </c>
      <c r="J904" s="4">
        <v>250</v>
      </c>
      <c r="K904" s="4" t="e">
        <f t="array" aca="1" ref="K904">MAX(H904:J904*(1-strike(H904:J904)))</f>
        <v>#NAME?</v>
      </c>
      <c r="L904" s="4">
        <v>150</v>
      </c>
      <c r="M904" s="4">
        <v>160</v>
      </c>
      <c r="N904" s="6">
        <v>170</v>
      </c>
      <c r="O904" s="4" t="e">
        <f t="array" aca="1" ref="O904">MAX(L904:N904*(1-strike(L904:N904)))</f>
        <v>#NAME?</v>
      </c>
      <c r="P904" s="4">
        <v>272.5</v>
      </c>
      <c r="Q904" s="4">
        <v>287.5</v>
      </c>
      <c r="R904" s="4">
        <v>295</v>
      </c>
      <c r="S904" s="4" t="e">
        <f t="array" aca="1" ref="S904">MAX(P904:R904*(1-strike(P904:R904)))</f>
        <v>#NAME?</v>
      </c>
      <c r="T904" s="4" t="e">
        <f t="shared" si="14"/>
        <v>#NAME?</v>
      </c>
      <c r="U904" s="4">
        <v>705</v>
      </c>
      <c r="V904" s="4">
        <v>446.62</v>
      </c>
      <c r="W904" s="4">
        <v>1</v>
      </c>
      <c r="X904" s="5">
        <v>2015</v>
      </c>
      <c r="Y904" s="5" t="s">
        <v>29</v>
      </c>
      <c r="Z904" s="5" t="s">
        <v>30</v>
      </c>
      <c r="AA904" s="5">
        <v>282</v>
      </c>
    </row>
    <row r="905" spans="1:27">
      <c r="A905" s="4">
        <v>3</v>
      </c>
      <c r="B905" s="4" t="s">
        <v>765</v>
      </c>
      <c r="C905" s="4">
        <v>1985</v>
      </c>
      <c r="D905" s="4" t="s">
        <v>194</v>
      </c>
      <c r="E905" s="4">
        <v>72.2</v>
      </c>
      <c r="F905" s="4">
        <v>0.73219999999999996</v>
      </c>
      <c r="G905" s="4">
        <v>9</v>
      </c>
      <c r="H905" s="4">
        <v>200</v>
      </c>
      <c r="I905" s="4">
        <v>212.5</v>
      </c>
      <c r="J905" s="4">
        <v>220</v>
      </c>
      <c r="K905" s="4" t="e">
        <f t="array" aca="1" ref="K905">MAX(H905:J905*(1-strike(H905:J905)))</f>
        <v>#NAME?</v>
      </c>
      <c r="L905" s="4">
        <v>140</v>
      </c>
      <c r="M905" s="4">
        <v>150</v>
      </c>
      <c r="N905" s="6">
        <v>152.5</v>
      </c>
      <c r="O905" s="4" t="e">
        <f t="array" aca="1" ref="O905">MAX(L905:N905*(1-strike(L905:N905)))</f>
        <v>#NAME?</v>
      </c>
      <c r="P905" s="4">
        <v>270</v>
      </c>
      <c r="Q905" s="4">
        <v>290</v>
      </c>
      <c r="R905" s="4">
        <v>305</v>
      </c>
      <c r="S905" s="4" t="e">
        <f t="array" aca="1" ref="S905">MAX(P905:R905*(1-strike(P905:R905)))</f>
        <v>#NAME?</v>
      </c>
      <c r="T905" s="4" t="e">
        <f t="shared" si="14"/>
        <v>#NAME?</v>
      </c>
      <c r="U905" s="4" t="s">
        <v>766</v>
      </c>
      <c r="V905" s="4">
        <v>494.23</v>
      </c>
      <c r="W905" s="4">
        <v>8</v>
      </c>
      <c r="X905" s="5">
        <v>2014</v>
      </c>
      <c r="Y905" s="5" t="s">
        <v>29</v>
      </c>
      <c r="Z905" s="5" t="s">
        <v>30</v>
      </c>
      <c r="AA905" s="5">
        <v>670</v>
      </c>
    </row>
    <row r="906" spans="1:27">
      <c r="A906" s="3">
        <v>11</v>
      </c>
      <c r="B906" s="3" t="s">
        <v>767</v>
      </c>
      <c r="C906" s="3">
        <v>1982</v>
      </c>
      <c r="D906" s="3" t="s">
        <v>77</v>
      </c>
      <c r="E906" s="3">
        <v>73.05</v>
      </c>
      <c r="F906" s="3">
        <v>0.72599999999999998</v>
      </c>
      <c r="G906" s="3">
        <v>14</v>
      </c>
      <c r="H906" s="3">
        <v>195</v>
      </c>
      <c r="I906" s="3">
        <v>207.5</v>
      </c>
      <c r="J906" s="3">
        <v>215</v>
      </c>
      <c r="K906" s="4" t="e">
        <f t="array" aca="1" ref="K906">MAX(H906:J906*(1-strike(H906:J906)))</f>
        <v>#NAME?</v>
      </c>
      <c r="L906" s="3">
        <v>127.5</v>
      </c>
      <c r="M906" s="1">
        <v>132.5</v>
      </c>
      <c r="N906" s="3">
        <v>132.5</v>
      </c>
      <c r="O906" s="4" t="e">
        <f t="array" aca="1" ref="O906">MAX(L906:N906*(1-strike(L906:N906)))</f>
        <v>#NAME?</v>
      </c>
      <c r="P906" s="3">
        <v>210</v>
      </c>
      <c r="Q906" s="1">
        <v>230</v>
      </c>
      <c r="R906" s="1">
        <v>242.5</v>
      </c>
      <c r="S906" s="4" t="e">
        <f t="array" aca="1" ref="S906">MAX(P906:R906*(1-strike(P906:R906)))</f>
        <v>#NAME?</v>
      </c>
      <c r="T906" s="4" t="e">
        <f t="shared" si="14"/>
        <v>#NAME?</v>
      </c>
      <c r="U906" s="3">
        <v>557.5</v>
      </c>
      <c r="V906" s="3">
        <v>404.75</v>
      </c>
      <c r="W906" s="3">
        <v>1</v>
      </c>
      <c r="X906" s="5">
        <v>2013</v>
      </c>
      <c r="Y906" s="5" t="s">
        <v>29</v>
      </c>
      <c r="Z906" s="5" t="s">
        <v>30</v>
      </c>
      <c r="AA906" s="5">
        <v>1041</v>
      </c>
    </row>
    <row r="907" spans="1:27">
      <c r="A907" s="3" t="s">
        <v>37</v>
      </c>
      <c r="B907" s="3" t="s">
        <v>768</v>
      </c>
      <c r="C907" s="3">
        <v>1976</v>
      </c>
      <c r="D907" s="3" t="s">
        <v>142</v>
      </c>
      <c r="E907" s="3">
        <v>92.98</v>
      </c>
      <c r="F907" s="3">
        <v>0.62829999999999997</v>
      </c>
      <c r="G907" s="3">
        <v>9</v>
      </c>
      <c r="H907" s="3">
        <v>345</v>
      </c>
      <c r="I907" s="1">
        <v>360</v>
      </c>
      <c r="J907" s="3">
        <v>360</v>
      </c>
      <c r="K907" s="4" t="e">
        <f t="array" aca="1" ref="K907">MAX(H907:J907*(1-strike(H907:J907)))</f>
        <v>#NAME?</v>
      </c>
      <c r="L907" s="1">
        <v>225</v>
      </c>
      <c r="M907" s="1">
        <v>225</v>
      </c>
      <c r="N907" s="1">
        <v>225</v>
      </c>
      <c r="O907" s="4" t="e">
        <f t="array" aca="1" ref="O907">MAX(L907:N907*(1-strike(L907:N907)))</f>
        <v>#NAME?</v>
      </c>
      <c r="P907" s="1">
        <v>340</v>
      </c>
      <c r="Q907" s="3">
        <v>340</v>
      </c>
      <c r="R907" s="1">
        <v>355</v>
      </c>
      <c r="S907" s="4" t="e">
        <f t="array" aca="1" ref="S907">MAX(P907:R907*(1-strike(P907:R907)))</f>
        <v>#NAME?</v>
      </c>
      <c r="T907" s="4" t="e">
        <f t="shared" si="14"/>
        <v>#NAME?</v>
      </c>
      <c r="U907" s="3" t="s">
        <v>40</v>
      </c>
      <c r="V907" s="3" t="s">
        <v>37</v>
      </c>
      <c r="W907" s="3" t="s">
        <v>37</v>
      </c>
      <c r="X907" s="5">
        <v>2012</v>
      </c>
      <c r="Y907" s="5" t="s">
        <v>29</v>
      </c>
      <c r="Z907" s="5" t="s">
        <v>171</v>
      </c>
      <c r="AA907" s="5">
        <v>1275</v>
      </c>
    </row>
    <row r="908" spans="1:27">
      <c r="A908" s="3">
        <v>6</v>
      </c>
      <c r="B908" s="3" t="s">
        <v>768</v>
      </c>
      <c r="C908" s="3">
        <v>1976</v>
      </c>
      <c r="D908" s="3" t="s">
        <v>142</v>
      </c>
      <c r="E908" s="3">
        <v>92.9</v>
      </c>
      <c r="F908" s="3">
        <v>0.62849999999999995</v>
      </c>
      <c r="G908" s="3">
        <v>5</v>
      </c>
      <c r="H908" s="3">
        <v>340</v>
      </c>
      <c r="I908" s="3">
        <v>355</v>
      </c>
      <c r="J908" s="1">
        <v>365</v>
      </c>
      <c r="K908" s="4" t="e">
        <f t="array" aca="1" ref="K908">MAX(H908:J908*(1-strike(H908:J908)))</f>
        <v>#NAME?</v>
      </c>
      <c r="L908" s="3">
        <v>220</v>
      </c>
      <c r="M908" s="3">
        <v>230</v>
      </c>
      <c r="N908" s="1">
        <v>235</v>
      </c>
      <c r="O908" s="4" t="e">
        <f t="array" aca="1" ref="O908">MAX(L908:N908*(1-strike(L908:N908)))</f>
        <v>#NAME?</v>
      </c>
      <c r="P908" s="3">
        <v>330</v>
      </c>
      <c r="Q908" s="1">
        <v>340</v>
      </c>
      <c r="R908" s="1">
        <v>340</v>
      </c>
      <c r="S908" s="4" t="e">
        <f t="array" aca="1" ref="S908">MAX(P908:R908*(1-strike(P908:R908)))</f>
        <v>#NAME?</v>
      </c>
      <c r="T908" s="4" t="e">
        <f t="shared" si="14"/>
        <v>#NAME?</v>
      </c>
      <c r="U908" s="3">
        <v>915</v>
      </c>
      <c r="V908" s="3">
        <v>575.08000000000004</v>
      </c>
      <c r="W908" s="3">
        <v>5</v>
      </c>
      <c r="X908" s="5">
        <v>2013</v>
      </c>
      <c r="Y908" s="5" t="s">
        <v>29</v>
      </c>
      <c r="Z908" s="5" t="s">
        <v>171</v>
      </c>
      <c r="AA908" s="5">
        <v>868</v>
      </c>
    </row>
    <row r="909" spans="1:27">
      <c r="A909" s="4">
        <v>5</v>
      </c>
      <c r="B909" s="4" t="s">
        <v>768</v>
      </c>
      <c r="C909" s="4">
        <v>1976</v>
      </c>
      <c r="D909" s="4" t="s">
        <v>142</v>
      </c>
      <c r="E909" s="4">
        <v>93</v>
      </c>
      <c r="F909" s="4">
        <v>0.62819999999999998</v>
      </c>
      <c r="G909" s="4">
        <v>3</v>
      </c>
      <c r="H909" s="6">
        <v>350</v>
      </c>
      <c r="I909" s="4">
        <v>350</v>
      </c>
      <c r="J909" s="6">
        <v>360</v>
      </c>
      <c r="K909" s="4" t="e">
        <f t="array" aca="1" ref="K909">MAX(H909:J909*(1-strike(H909:J909)))</f>
        <v>#NAME?</v>
      </c>
      <c r="L909" s="6">
        <v>225</v>
      </c>
      <c r="M909" s="4">
        <v>225</v>
      </c>
      <c r="N909" s="4">
        <v>235</v>
      </c>
      <c r="O909" s="4" t="e">
        <f t="array" aca="1" ref="O909">MAX(L909:N909*(1-strike(L909:N909)))</f>
        <v>#NAME?</v>
      </c>
      <c r="P909" s="4">
        <v>340</v>
      </c>
      <c r="Q909" s="4">
        <v>350</v>
      </c>
      <c r="R909" s="6">
        <v>357.5</v>
      </c>
      <c r="S909" s="4" t="e">
        <f t="array" aca="1" ref="S909">MAX(P909:R909*(1-strike(P909:R909)))</f>
        <v>#NAME?</v>
      </c>
      <c r="T909" s="4" t="e">
        <f t="shared" si="14"/>
        <v>#NAME?</v>
      </c>
      <c r="U909" s="4">
        <v>935</v>
      </c>
      <c r="V909" s="4">
        <v>587.37</v>
      </c>
      <c r="W909" s="4">
        <v>6</v>
      </c>
      <c r="X909" s="5">
        <v>2015</v>
      </c>
      <c r="Y909" s="5" t="s">
        <v>29</v>
      </c>
      <c r="Z909" s="5" t="s">
        <v>171</v>
      </c>
      <c r="AA909" s="5">
        <v>59</v>
      </c>
    </row>
    <row r="910" spans="1:27">
      <c r="A910" s="3">
        <v>14</v>
      </c>
      <c r="B910" s="3" t="s">
        <v>769</v>
      </c>
      <c r="C910" s="3">
        <v>1984</v>
      </c>
      <c r="D910" s="3" t="s">
        <v>49</v>
      </c>
      <c r="E910" s="3">
        <v>83</v>
      </c>
      <c r="F910" s="3">
        <v>0.66749999999999998</v>
      </c>
      <c r="G910" s="3">
        <v>23</v>
      </c>
      <c r="H910" s="3">
        <v>275</v>
      </c>
      <c r="I910" s="3">
        <v>290</v>
      </c>
      <c r="J910" s="3">
        <v>305</v>
      </c>
      <c r="K910" s="4" t="e">
        <f t="array" aca="1" ref="K910">MAX(H910:J910*(1-strike(H910:J910)))</f>
        <v>#NAME?</v>
      </c>
      <c r="L910" s="3">
        <v>225</v>
      </c>
      <c r="M910" s="3">
        <v>240</v>
      </c>
      <c r="N910" s="1">
        <v>247.5</v>
      </c>
      <c r="O910" s="4" t="e">
        <f t="array" aca="1" ref="O910">MAX(L910:N910*(1-strike(L910:N910)))</f>
        <v>#NAME?</v>
      </c>
      <c r="P910" s="3">
        <v>260</v>
      </c>
      <c r="Q910" s="1">
        <v>275</v>
      </c>
      <c r="R910" s="1">
        <v>275</v>
      </c>
      <c r="S910" s="4" t="e">
        <f t="array" aca="1" ref="S910">MAX(P910:R910*(1-strike(P910:R910)))</f>
        <v>#NAME?</v>
      </c>
      <c r="T910" s="4" t="e">
        <f t="shared" si="14"/>
        <v>#NAME?</v>
      </c>
      <c r="U910" s="3">
        <v>805</v>
      </c>
      <c r="V910" s="3">
        <v>537.33000000000004</v>
      </c>
      <c r="W910" s="3">
        <v>1</v>
      </c>
      <c r="X910" s="5">
        <v>2012</v>
      </c>
      <c r="Y910" s="5" t="s">
        <v>29</v>
      </c>
      <c r="Z910" s="5" t="s">
        <v>171</v>
      </c>
      <c r="AA910" s="5">
        <v>1247</v>
      </c>
    </row>
    <row r="911" spans="1:27">
      <c r="A911" s="4">
        <v>5</v>
      </c>
      <c r="B911" s="4" t="s">
        <v>769</v>
      </c>
      <c r="C911" s="4">
        <v>1984</v>
      </c>
      <c r="D911" s="4" t="s">
        <v>49</v>
      </c>
      <c r="E911" s="4">
        <v>82.7</v>
      </c>
      <c r="F911" s="4">
        <v>0.66890000000000005</v>
      </c>
      <c r="G911" s="4">
        <v>9</v>
      </c>
      <c r="H911" s="4">
        <v>295</v>
      </c>
      <c r="I911" s="4">
        <v>310</v>
      </c>
      <c r="J911" s="6">
        <v>320</v>
      </c>
      <c r="K911" s="4" t="e">
        <f t="array" aca="1" ref="K911">MAX(H911:J911*(1-strike(H911:J911)))</f>
        <v>#NAME?</v>
      </c>
      <c r="L911" s="4">
        <v>240</v>
      </c>
      <c r="M911" s="4">
        <v>252.5</v>
      </c>
      <c r="N911" s="6">
        <v>257.5</v>
      </c>
      <c r="O911" s="4" t="e">
        <f t="array" aca="1" ref="O911">MAX(L911:N911*(1-strike(L911:N911)))</f>
        <v>#NAME?</v>
      </c>
      <c r="P911" s="4">
        <v>260</v>
      </c>
      <c r="Q911" s="4">
        <v>275</v>
      </c>
      <c r="R911" s="6">
        <v>287.5</v>
      </c>
      <c r="S911" s="4" t="e">
        <f t="array" aca="1" ref="S911">MAX(P911:R911*(1-strike(P911:R911)))</f>
        <v>#NAME?</v>
      </c>
      <c r="T911" s="4" t="e">
        <f t="shared" si="14"/>
        <v>#NAME?</v>
      </c>
      <c r="U911" s="4">
        <v>837.5</v>
      </c>
      <c r="V911" s="4">
        <v>560.20000000000005</v>
      </c>
      <c r="W911" s="4">
        <v>6</v>
      </c>
      <c r="X911" s="5">
        <v>2014</v>
      </c>
      <c r="Y911" s="5" t="s">
        <v>29</v>
      </c>
      <c r="Z911" s="5" t="s">
        <v>171</v>
      </c>
      <c r="AA911" s="5">
        <v>480</v>
      </c>
    </row>
    <row r="912" spans="1:27">
      <c r="A912" s="4">
        <v>8</v>
      </c>
      <c r="B912" s="4" t="s">
        <v>769</v>
      </c>
      <c r="C912" s="4">
        <v>1984</v>
      </c>
      <c r="D912" s="4" t="s">
        <v>49</v>
      </c>
      <c r="E912" s="4">
        <v>82.65</v>
      </c>
      <c r="F912" s="4">
        <v>0.66920000000000002</v>
      </c>
      <c r="G912" s="4">
        <v>3</v>
      </c>
      <c r="H912" s="4">
        <v>270</v>
      </c>
      <c r="I912" s="4">
        <v>285</v>
      </c>
      <c r="J912" s="6">
        <v>300</v>
      </c>
      <c r="K912" s="4" t="e">
        <f t="array" aca="1" ref="K912">MAX(H912:J912*(1-strike(H912:J912)))</f>
        <v>#NAME?</v>
      </c>
      <c r="L912" s="6">
        <v>240</v>
      </c>
      <c r="M912" s="4">
        <v>240</v>
      </c>
      <c r="N912" s="4">
        <v>242.5</v>
      </c>
      <c r="O912" s="4" t="e">
        <f t="array" aca="1" ref="O912">MAX(L912:N912*(1-strike(L912:N912)))</f>
        <v>#NAME?</v>
      </c>
      <c r="P912" s="4">
        <v>260</v>
      </c>
      <c r="Q912" s="4">
        <v>270</v>
      </c>
      <c r="R912" s="4">
        <v>275</v>
      </c>
      <c r="S912" s="4" t="e">
        <f t="array" aca="1" ref="S912">MAX(P912:R912*(1-strike(P912:R912)))</f>
        <v>#NAME?</v>
      </c>
      <c r="T912" s="4" t="e">
        <f t="shared" si="14"/>
        <v>#NAME?</v>
      </c>
      <c r="U912" s="4">
        <v>802.5</v>
      </c>
      <c r="V912" s="4">
        <v>537.03</v>
      </c>
      <c r="W912" s="4">
        <v>3</v>
      </c>
      <c r="X912" s="5">
        <v>2015</v>
      </c>
      <c r="Y912" s="5" t="s">
        <v>29</v>
      </c>
      <c r="Z912" s="5" t="s">
        <v>171</v>
      </c>
      <c r="AA912" s="5">
        <v>48</v>
      </c>
    </row>
    <row r="913" spans="1:27">
      <c r="A913" s="4">
        <v>7</v>
      </c>
      <c r="B913" s="4" t="s">
        <v>770</v>
      </c>
      <c r="C913" s="4">
        <v>1986</v>
      </c>
      <c r="D913" s="4" t="s">
        <v>51</v>
      </c>
      <c r="E913" s="4">
        <v>64.55</v>
      </c>
      <c r="F913" s="4">
        <v>0.79979999999999996</v>
      </c>
      <c r="G913" s="4">
        <v>11</v>
      </c>
      <c r="H913" s="6">
        <v>187.5</v>
      </c>
      <c r="I913" s="6">
        <v>187.5</v>
      </c>
      <c r="J913" s="4">
        <v>187.5</v>
      </c>
      <c r="K913" s="4" t="e">
        <f t="array" aca="1" ref="K913">MAX(H913:J913*(1-strike(H913:J913)))</f>
        <v>#NAME?</v>
      </c>
      <c r="L913" s="4">
        <v>125</v>
      </c>
      <c r="M913" s="6">
        <v>140</v>
      </c>
      <c r="N913" s="4">
        <v>140</v>
      </c>
      <c r="O913" s="4" t="e">
        <f t="array" aca="1" ref="O913">MAX(L913:N913*(1-strike(L913:N913)))</f>
        <v>#NAME?</v>
      </c>
      <c r="P913" s="4">
        <v>215</v>
      </c>
      <c r="Q913" s="4">
        <v>230</v>
      </c>
      <c r="R913" s="6">
        <v>235</v>
      </c>
      <c r="S913" s="4" t="e">
        <f t="array" aca="1" ref="S913">MAX(P913:R913*(1-strike(P913:R913)))</f>
        <v>#NAME?</v>
      </c>
      <c r="T913" s="4" t="e">
        <f t="shared" si="14"/>
        <v>#NAME?</v>
      </c>
      <c r="U913" s="4">
        <v>557.5</v>
      </c>
      <c r="V913" s="4">
        <v>445.92</v>
      </c>
      <c r="W913" s="4">
        <v>4</v>
      </c>
      <c r="X913" s="5">
        <v>2014</v>
      </c>
      <c r="Y913" s="5" t="s">
        <v>29</v>
      </c>
      <c r="Z913" s="5" t="s">
        <v>30</v>
      </c>
      <c r="AA913" s="5">
        <v>663</v>
      </c>
    </row>
    <row r="914" spans="1:27">
      <c r="A914" s="3">
        <v>11</v>
      </c>
      <c r="B914" s="3" t="s">
        <v>771</v>
      </c>
      <c r="C914" s="3">
        <v>1983</v>
      </c>
      <c r="D914" s="3" t="s">
        <v>51</v>
      </c>
      <c r="E914" s="3">
        <v>123.8</v>
      </c>
      <c r="F914" s="3">
        <v>0.57099999999999995</v>
      </c>
      <c r="G914" s="3">
        <v>15</v>
      </c>
      <c r="H914" s="3">
        <v>360</v>
      </c>
      <c r="I914" s="3">
        <v>380</v>
      </c>
      <c r="J914" s="1">
        <v>390</v>
      </c>
      <c r="K914" s="4" t="e">
        <f t="array" aca="1" ref="K914">MAX(H914:J914*(1-strike(H914:J914)))</f>
        <v>#NAME?</v>
      </c>
      <c r="L914" s="3">
        <v>200</v>
      </c>
      <c r="M914" s="3">
        <v>210</v>
      </c>
      <c r="N914" s="3">
        <v>217.5</v>
      </c>
      <c r="O914" s="4" t="e">
        <f t="array" aca="1" ref="O914">MAX(L914:N914*(1-strike(L914:N914)))</f>
        <v>#NAME?</v>
      </c>
      <c r="P914" s="3">
        <v>305</v>
      </c>
      <c r="Q914" s="3">
        <v>320</v>
      </c>
      <c r="R914" s="3">
        <v>330</v>
      </c>
      <c r="S914" s="4" t="e">
        <f t="array" aca="1" ref="S914">MAX(P914:R914*(1-strike(P914:R914)))</f>
        <v>#NAME?</v>
      </c>
      <c r="T914" s="4" t="e">
        <f t="shared" si="14"/>
        <v>#NAME?</v>
      </c>
      <c r="U914" s="3">
        <v>927.5</v>
      </c>
      <c r="V914" s="3">
        <v>529.6</v>
      </c>
      <c r="W914" s="3">
        <v>1</v>
      </c>
      <c r="X914" s="5">
        <v>2013</v>
      </c>
      <c r="Y914" s="5" t="s">
        <v>29</v>
      </c>
      <c r="Z914" s="5" t="s">
        <v>171</v>
      </c>
      <c r="AA914" s="5">
        <v>922</v>
      </c>
    </row>
    <row r="915" spans="1:27" ht="15" customHeight="1">
      <c r="A915" s="4">
        <v>11</v>
      </c>
      <c r="B915" s="4" t="s">
        <v>148</v>
      </c>
      <c r="C915" s="4">
        <v>1978</v>
      </c>
      <c r="D915" s="4" t="s">
        <v>80</v>
      </c>
      <c r="E915" s="4">
        <v>73.62</v>
      </c>
      <c r="F915" s="4">
        <v>0.72199999999999998</v>
      </c>
      <c r="G915" s="4">
        <v>3</v>
      </c>
      <c r="H915" s="4">
        <v>200</v>
      </c>
      <c r="I915" s="4">
        <v>207.5</v>
      </c>
      <c r="J915" s="4">
        <v>210</v>
      </c>
      <c r="K915" s="4" t="e">
        <f t="array" aca="1" ref="K915">MAX(H915:J915*(1-strike(H915:J915)))</f>
        <v>#NAME?</v>
      </c>
      <c r="L915" s="4">
        <v>150</v>
      </c>
      <c r="M915" s="4">
        <v>155</v>
      </c>
      <c r="N915" s="4">
        <v>157.5</v>
      </c>
      <c r="O915" s="4" t="e">
        <f t="array" aca="1" ref="O915">MAX(L915:N915*(1-strike(L915:N915)))</f>
        <v>#NAME?</v>
      </c>
      <c r="P915" s="4">
        <v>270</v>
      </c>
      <c r="Q915" s="4">
        <v>280</v>
      </c>
      <c r="R915" s="6">
        <v>287.5</v>
      </c>
      <c r="S915" s="4" t="e">
        <f t="array" aca="1" ref="S915">MAX(P915:R915*(1-strike(P915:R915)))</f>
        <v>#NAME?</v>
      </c>
      <c r="T915" s="4" t="e">
        <f t="shared" si="14"/>
        <v>#NAME?</v>
      </c>
      <c r="U915" s="4">
        <v>647.5</v>
      </c>
      <c r="V915" s="4">
        <v>467.5</v>
      </c>
      <c r="W915" s="4">
        <v>1</v>
      </c>
      <c r="X915" s="5">
        <v>2015</v>
      </c>
      <c r="Y915" s="5" t="s">
        <v>29</v>
      </c>
      <c r="Z915" s="5" t="s">
        <v>30</v>
      </c>
      <c r="AA915" s="5">
        <v>248</v>
      </c>
    </row>
    <row r="916" spans="1:27">
      <c r="A916" s="3">
        <v>6</v>
      </c>
      <c r="B916" s="3" t="s">
        <v>149</v>
      </c>
      <c r="C916" s="3">
        <v>1987</v>
      </c>
      <c r="D916" s="3" t="s">
        <v>35</v>
      </c>
      <c r="E916" s="3">
        <v>162.19999999999999</v>
      </c>
      <c r="F916" s="3">
        <v>0.54710000000000003</v>
      </c>
      <c r="G916" s="3">
        <v>28</v>
      </c>
      <c r="H916" s="3">
        <v>305</v>
      </c>
      <c r="I916" s="3">
        <v>322.5</v>
      </c>
      <c r="J916" s="1">
        <v>330</v>
      </c>
      <c r="K916" s="4" t="e">
        <f t="array" aca="1" ref="K916">MAX(H916:J916*(1-strike(H916:J916)))</f>
        <v>#NAME?</v>
      </c>
      <c r="L916" s="3">
        <v>205</v>
      </c>
      <c r="M916" s="1">
        <v>212.5</v>
      </c>
      <c r="N916" s="1">
        <v>212.5</v>
      </c>
      <c r="O916" s="4" t="e">
        <f t="array" aca="1" ref="O916">MAX(L916:N916*(1-strike(L916:N916)))</f>
        <v>#NAME?</v>
      </c>
      <c r="P916" s="3">
        <v>305</v>
      </c>
      <c r="Q916" s="1">
        <v>322.5</v>
      </c>
      <c r="R916" s="1">
        <v>335</v>
      </c>
      <c r="S916" s="4" t="e">
        <f t="array" aca="1" ref="S916">MAX(P916:R916*(1-strike(P916:R916)))</f>
        <v>#NAME?</v>
      </c>
      <c r="T916" s="4" t="e">
        <f t="shared" si="14"/>
        <v>#NAME?</v>
      </c>
      <c r="U916" s="3">
        <v>832.5</v>
      </c>
      <c r="V916" s="3">
        <v>455.46</v>
      </c>
      <c r="W916" s="3">
        <v>5</v>
      </c>
      <c r="X916" s="5">
        <v>2013</v>
      </c>
      <c r="Y916" s="5" t="s">
        <v>29</v>
      </c>
      <c r="Z916" s="5" t="s">
        <v>30</v>
      </c>
      <c r="AA916" s="5">
        <v>1114</v>
      </c>
    </row>
    <row r="917" spans="1:27">
      <c r="A917" s="3">
        <v>13</v>
      </c>
      <c r="B917" s="3" t="s">
        <v>150</v>
      </c>
      <c r="C917" s="3">
        <v>1985</v>
      </c>
      <c r="D917" s="3" t="s">
        <v>54</v>
      </c>
      <c r="E917" s="3">
        <v>119.9</v>
      </c>
      <c r="F917" s="3">
        <v>0.57499999999999996</v>
      </c>
      <c r="G917" s="3">
        <v>15</v>
      </c>
      <c r="H917" s="3">
        <v>240</v>
      </c>
      <c r="I917" s="3">
        <v>255</v>
      </c>
      <c r="J917" s="3">
        <v>262.5</v>
      </c>
      <c r="K917" s="4" t="e">
        <f t="array" aca="1" ref="K917">MAX(H917:J917*(1-strike(H917:J917)))</f>
        <v>#NAME?</v>
      </c>
      <c r="L917" s="3">
        <v>195</v>
      </c>
      <c r="M917" s="3">
        <v>200</v>
      </c>
      <c r="N917" s="1">
        <v>202.5</v>
      </c>
      <c r="O917" s="4" t="e">
        <f t="array" aca="1" ref="O917">MAX(L917:N917*(1-strike(L917:N917)))</f>
        <v>#NAME?</v>
      </c>
      <c r="P917" s="3">
        <v>270</v>
      </c>
      <c r="Q917" s="3">
        <v>285</v>
      </c>
      <c r="R917" s="1">
        <v>297.5</v>
      </c>
      <c r="S917" s="4" t="e">
        <f t="array" aca="1" ref="S917">MAX(P917:R917*(1-strike(P917:R917)))</f>
        <v>#NAME?</v>
      </c>
      <c r="T917" s="4" t="e">
        <f t="shared" si="14"/>
        <v>#NAME?</v>
      </c>
      <c r="U917" s="3">
        <v>747.5</v>
      </c>
      <c r="V917" s="3">
        <v>429.81</v>
      </c>
      <c r="W917" s="3">
        <v>1</v>
      </c>
      <c r="X917" s="5">
        <v>2013</v>
      </c>
      <c r="Y917" s="5" t="s">
        <v>29</v>
      </c>
      <c r="Z917" s="5" t="s">
        <v>30</v>
      </c>
      <c r="AA917" s="5">
        <v>1103</v>
      </c>
    </row>
    <row r="918" spans="1:27">
      <c r="A918" s="3">
        <v>1</v>
      </c>
      <c r="B918" s="3" t="s">
        <v>772</v>
      </c>
      <c r="C918" s="3">
        <v>1983</v>
      </c>
      <c r="D918" s="3" t="s">
        <v>28</v>
      </c>
      <c r="E918" s="3">
        <v>65.150000000000006</v>
      </c>
      <c r="F918" s="3">
        <v>0.79369999999999996</v>
      </c>
      <c r="G918" s="3">
        <v>10</v>
      </c>
      <c r="H918" s="3">
        <v>190</v>
      </c>
      <c r="I918" s="3">
        <v>200</v>
      </c>
      <c r="J918" s="3">
        <v>205</v>
      </c>
      <c r="K918" s="4" t="e">
        <f t="array" aca="1" ref="K918">MAX(H918:J918*(1-strike(H918:J918)))</f>
        <v>#NAME?</v>
      </c>
      <c r="L918" s="3">
        <v>160</v>
      </c>
      <c r="M918" s="3">
        <v>167.5</v>
      </c>
      <c r="N918" s="3">
        <v>172.5</v>
      </c>
      <c r="O918" s="4" t="e">
        <f t="array" aca="1" ref="O918">MAX(L918:N918*(1-strike(L918:N918)))</f>
        <v>#NAME?</v>
      </c>
      <c r="P918" s="3">
        <v>227.5</v>
      </c>
      <c r="Q918" s="3">
        <v>240</v>
      </c>
      <c r="R918" s="3">
        <v>255</v>
      </c>
      <c r="S918" s="4" t="e">
        <f t="array" aca="1" ref="S918">MAX(P918:R918*(1-strike(P918:R918)))</f>
        <v>#NAME?</v>
      </c>
      <c r="T918" s="4" t="e">
        <f t="shared" si="14"/>
        <v>#NAME?</v>
      </c>
      <c r="U918" s="3">
        <v>632.5</v>
      </c>
      <c r="V918" s="3">
        <v>502.02</v>
      </c>
      <c r="W918" s="3">
        <v>12</v>
      </c>
      <c r="X918" s="5">
        <v>2013</v>
      </c>
      <c r="Y918" s="5" t="s">
        <v>29</v>
      </c>
      <c r="Z918" s="5" t="s">
        <v>30</v>
      </c>
      <c r="AA918" s="5">
        <v>1023</v>
      </c>
    </row>
    <row r="919" spans="1:27">
      <c r="A919" s="4">
        <v>4</v>
      </c>
      <c r="B919" s="4" t="s">
        <v>772</v>
      </c>
      <c r="C919" s="4">
        <v>1983</v>
      </c>
      <c r="D919" s="4" t="s">
        <v>28</v>
      </c>
      <c r="E919" s="4">
        <v>65.75</v>
      </c>
      <c r="F919" s="4">
        <v>0.78759999999999997</v>
      </c>
      <c r="G919" s="4">
        <v>18</v>
      </c>
      <c r="H919" s="4">
        <v>195</v>
      </c>
      <c r="I919" s="4">
        <v>205</v>
      </c>
      <c r="J919" s="4">
        <v>210</v>
      </c>
      <c r="K919" s="4" t="e">
        <f t="array" aca="1" ref="K919">MAX(H919:J919*(1-strike(H919:J919)))</f>
        <v>#NAME?</v>
      </c>
      <c r="L919" s="4">
        <v>157.5</v>
      </c>
      <c r="M919" s="4">
        <v>167.5</v>
      </c>
      <c r="N919" s="6">
        <v>172.5</v>
      </c>
      <c r="O919" s="4" t="e">
        <f t="array" aca="1" ref="O919">MAX(L919:N919*(1-strike(L919:N919)))</f>
        <v>#NAME?</v>
      </c>
      <c r="P919" s="4">
        <v>230</v>
      </c>
      <c r="Q919" s="6">
        <v>250</v>
      </c>
      <c r="R919" s="6">
        <v>255</v>
      </c>
      <c r="S919" s="4" t="e">
        <f t="array" aca="1" ref="S919">MAX(P919:R919*(1-strike(P919:R919)))</f>
        <v>#NAME?</v>
      </c>
      <c r="T919" s="4" t="e">
        <f t="shared" si="14"/>
        <v>#NAME?</v>
      </c>
      <c r="U919" s="4">
        <v>607.5</v>
      </c>
      <c r="V919" s="4">
        <v>478.5</v>
      </c>
      <c r="W919" s="4">
        <v>7</v>
      </c>
      <c r="X919" s="5">
        <v>2014</v>
      </c>
      <c r="Y919" s="5" t="s">
        <v>29</v>
      </c>
      <c r="Z919" s="5" t="s">
        <v>30</v>
      </c>
      <c r="AA919" s="5">
        <v>660</v>
      </c>
    </row>
    <row r="920" spans="1:27">
      <c r="A920" s="4">
        <v>4</v>
      </c>
      <c r="B920" s="4" t="s">
        <v>772</v>
      </c>
      <c r="C920" s="4">
        <v>1983</v>
      </c>
      <c r="D920" s="4" t="s">
        <v>28</v>
      </c>
      <c r="E920" s="4">
        <v>65.86</v>
      </c>
      <c r="F920" s="4">
        <v>0.78659999999999997</v>
      </c>
      <c r="G920" s="4">
        <v>15</v>
      </c>
      <c r="H920" s="4">
        <v>200</v>
      </c>
      <c r="I920" s="4">
        <v>210</v>
      </c>
      <c r="J920" s="6">
        <v>215</v>
      </c>
      <c r="K920" s="4" t="e">
        <f t="array" aca="1" ref="K920">MAX(H920:J920*(1-strike(H920:J920)))</f>
        <v>#NAME?</v>
      </c>
      <c r="L920" s="4">
        <v>165</v>
      </c>
      <c r="M920" s="4">
        <v>170</v>
      </c>
      <c r="N920" s="4">
        <v>172.5</v>
      </c>
      <c r="O920" s="4" t="e">
        <f t="array" aca="1" ref="O920">MAX(L920:N920*(1-strike(L920:N920)))</f>
        <v>#NAME?</v>
      </c>
      <c r="P920" s="4">
        <v>240</v>
      </c>
      <c r="Q920" s="6">
        <v>247.5</v>
      </c>
      <c r="R920" s="6">
        <v>255</v>
      </c>
      <c r="S920" s="4" t="e">
        <f t="array" aca="1" ref="S920">MAX(P920:R920*(1-strike(P920:R920)))</f>
        <v>#NAME?</v>
      </c>
      <c r="T920" s="4" t="e">
        <f t="shared" si="14"/>
        <v>#NAME?</v>
      </c>
      <c r="U920" s="4">
        <v>622.5</v>
      </c>
      <c r="V920" s="4">
        <v>489.66</v>
      </c>
      <c r="W920" s="4">
        <v>7</v>
      </c>
      <c r="X920" s="5">
        <v>2015</v>
      </c>
      <c r="Y920" s="5" t="s">
        <v>29</v>
      </c>
      <c r="Z920" s="5" t="s">
        <v>30</v>
      </c>
      <c r="AA920" s="5">
        <v>230</v>
      </c>
    </row>
    <row r="921" spans="1:27">
      <c r="A921" s="3">
        <v>13</v>
      </c>
      <c r="B921" s="3" t="s">
        <v>773</v>
      </c>
      <c r="C921" s="3">
        <v>1991</v>
      </c>
      <c r="D921" s="3" t="s">
        <v>194</v>
      </c>
      <c r="E921" s="3">
        <v>104.7</v>
      </c>
      <c r="F921" s="3">
        <v>0.59819999999999995</v>
      </c>
      <c r="G921" s="3">
        <v>5</v>
      </c>
      <c r="H921" s="3">
        <v>320</v>
      </c>
      <c r="I921" s="3">
        <v>332.5</v>
      </c>
      <c r="J921" s="3">
        <v>337.5</v>
      </c>
      <c r="K921" s="4" t="e">
        <f t="array" aca="1" ref="K921">MAX(H921:J921*(1-strike(H921:J921)))</f>
        <v>#NAME?</v>
      </c>
      <c r="L921" s="3">
        <v>215</v>
      </c>
      <c r="M921" s="3">
        <v>225</v>
      </c>
      <c r="N921" s="1">
        <v>232.5</v>
      </c>
      <c r="O921" s="4" t="e">
        <f t="array" aca="1" ref="O921">MAX(L921:N921*(1-strike(L921:N921)))</f>
        <v>#NAME?</v>
      </c>
      <c r="P921" s="3">
        <v>280</v>
      </c>
      <c r="Q921" s="3">
        <v>290</v>
      </c>
      <c r="R921" s="3">
        <v>300</v>
      </c>
      <c r="S921" s="4" t="e">
        <f t="array" aca="1" ref="S921">MAX(P921:R921*(1-strike(P921:R921)))</f>
        <v>#NAME?</v>
      </c>
      <c r="T921" s="4" t="e">
        <f t="shared" si="14"/>
        <v>#NAME?</v>
      </c>
      <c r="U921" s="3">
        <v>862.5</v>
      </c>
      <c r="V921" s="3">
        <v>515.94000000000005</v>
      </c>
      <c r="W921" s="3">
        <v>1</v>
      </c>
      <c r="X921" s="5">
        <v>2012</v>
      </c>
      <c r="Y921" s="5" t="s">
        <v>29</v>
      </c>
      <c r="Z921" s="5" t="s">
        <v>171</v>
      </c>
      <c r="AA921" s="5">
        <v>1290</v>
      </c>
    </row>
    <row r="922" spans="1:27">
      <c r="A922" s="4">
        <v>23</v>
      </c>
      <c r="B922" s="4" t="s">
        <v>774</v>
      </c>
      <c r="C922" s="4">
        <v>1983</v>
      </c>
      <c r="D922" s="4" t="s">
        <v>80</v>
      </c>
      <c r="E922" s="4">
        <v>153.30000000000001</v>
      </c>
      <c r="F922" s="4">
        <v>0.55159999999999998</v>
      </c>
      <c r="G922" s="4">
        <v>20</v>
      </c>
      <c r="H922" s="4">
        <v>235</v>
      </c>
      <c r="I922" s="4"/>
      <c r="J922" s="4"/>
      <c r="K922" s="4" t="e">
        <f t="array" aca="1" ref="K922">MAX(H922:J922*(1-strike(H922:J922)))</f>
        <v>#NAME?</v>
      </c>
      <c r="L922" s="6">
        <v>270</v>
      </c>
      <c r="M922" s="6">
        <v>270</v>
      </c>
      <c r="N922" s="4">
        <v>270</v>
      </c>
      <c r="O922" s="4" t="e">
        <f t="array" aca="1" ref="O922">MAX(L922:N922*(1-strike(L922:N922)))</f>
        <v>#NAME?</v>
      </c>
      <c r="P922" s="4">
        <v>175</v>
      </c>
      <c r="Q922" s="4"/>
      <c r="R922" s="4"/>
      <c r="S922" s="4" t="e">
        <f t="array" aca="1" ref="S922">MAX(P922:R922*(1-strike(P922:R922)))</f>
        <v>#NAME?</v>
      </c>
      <c r="T922" s="4" t="e">
        <f t="shared" si="14"/>
        <v>#NAME?</v>
      </c>
      <c r="U922" s="4">
        <v>680</v>
      </c>
      <c r="V922" s="4">
        <v>375.09</v>
      </c>
      <c r="W922" s="4">
        <v>1</v>
      </c>
      <c r="X922" s="5">
        <v>2015</v>
      </c>
      <c r="Y922" s="5" t="s">
        <v>29</v>
      </c>
      <c r="Z922" s="5" t="s">
        <v>30</v>
      </c>
      <c r="AA922" s="5">
        <v>345</v>
      </c>
    </row>
    <row r="923" spans="1:27">
      <c r="A923" s="3">
        <v>11</v>
      </c>
      <c r="B923" s="3" t="s">
        <v>775</v>
      </c>
      <c r="C923" s="3">
        <v>1986</v>
      </c>
      <c r="D923" s="3" t="s">
        <v>318</v>
      </c>
      <c r="E923" s="3">
        <v>119.63</v>
      </c>
      <c r="F923" s="3">
        <v>0.57530000000000003</v>
      </c>
      <c r="G923" s="3">
        <v>13</v>
      </c>
      <c r="H923" s="3">
        <v>320</v>
      </c>
      <c r="I923" s="3">
        <v>335</v>
      </c>
      <c r="J923" s="1">
        <v>342.5</v>
      </c>
      <c r="K923" s="4" t="e">
        <f t="array" aca="1" ref="K923">MAX(H923:J923*(1-strike(H923:J923)))</f>
        <v>#NAME?</v>
      </c>
      <c r="L923" s="1">
        <v>270</v>
      </c>
      <c r="M923" s="3">
        <v>270</v>
      </c>
      <c r="N923" s="1">
        <v>275</v>
      </c>
      <c r="O923" s="4" t="e">
        <f t="array" aca="1" ref="O923">MAX(L923:N923*(1-strike(L923:N923)))</f>
        <v>#NAME?</v>
      </c>
      <c r="P923" s="3">
        <v>265</v>
      </c>
      <c r="Q923" s="3">
        <v>280</v>
      </c>
      <c r="R923" s="3">
        <v>295</v>
      </c>
      <c r="S923" s="4" t="e">
        <f t="array" aca="1" ref="S923">MAX(P923:R923*(1-strike(P923:R923)))</f>
        <v>#NAME?</v>
      </c>
      <c r="T923" s="4" t="e">
        <f t="shared" si="14"/>
        <v>#NAME?</v>
      </c>
      <c r="U923" s="3">
        <v>900</v>
      </c>
      <c r="V923" s="3">
        <v>517.77</v>
      </c>
      <c r="W923" s="3">
        <v>1</v>
      </c>
      <c r="X923" s="5">
        <v>2013</v>
      </c>
      <c r="Y923" s="5" t="s">
        <v>29</v>
      </c>
      <c r="Z923" s="5" t="s">
        <v>171</v>
      </c>
      <c r="AA923" s="5">
        <v>905</v>
      </c>
    </row>
    <row r="924" spans="1:27">
      <c r="A924" s="4">
        <v>7</v>
      </c>
      <c r="B924" s="4" t="s">
        <v>775</v>
      </c>
      <c r="C924" s="4">
        <v>1986</v>
      </c>
      <c r="D924" s="4" t="s">
        <v>318</v>
      </c>
      <c r="E924" s="4">
        <v>119.1</v>
      </c>
      <c r="F924" s="4">
        <v>0.57589999999999997</v>
      </c>
      <c r="G924" s="4">
        <v>9</v>
      </c>
      <c r="H924" s="4">
        <v>340</v>
      </c>
      <c r="I924" s="4">
        <v>355</v>
      </c>
      <c r="J924" s="6">
        <v>360</v>
      </c>
      <c r="K924" s="4" t="e">
        <f t="array" aca="1" ref="K924">MAX(H924:J924*(1-strike(H924:J924)))</f>
        <v>#NAME?</v>
      </c>
      <c r="L924" s="4">
        <v>295</v>
      </c>
      <c r="M924" s="4">
        <v>305</v>
      </c>
      <c r="N924" s="4">
        <v>310</v>
      </c>
      <c r="O924" s="4" t="e">
        <f t="array" aca="1" ref="O924">MAX(L924:N924*(1-strike(L924:N924)))</f>
        <v>#NAME?</v>
      </c>
      <c r="P924" s="4">
        <v>300</v>
      </c>
      <c r="Q924" s="6">
        <v>310</v>
      </c>
      <c r="R924" s="4">
        <v>310</v>
      </c>
      <c r="S924" s="4" t="e">
        <f t="array" aca="1" ref="S924">MAX(P924:R924*(1-strike(P924:R924)))</f>
        <v>#NAME?</v>
      </c>
      <c r="T924" s="4" t="e">
        <f t="shared" si="14"/>
        <v>#NAME?</v>
      </c>
      <c r="U924" s="4">
        <v>975</v>
      </c>
      <c r="V924" s="4">
        <v>561.5</v>
      </c>
      <c r="W924" s="4">
        <v>4</v>
      </c>
      <c r="X924" s="5">
        <v>2015</v>
      </c>
      <c r="Y924" s="5" t="s">
        <v>29</v>
      </c>
      <c r="Z924" s="5" t="s">
        <v>171</v>
      </c>
      <c r="AA924" s="5">
        <v>102</v>
      </c>
    </row>
    <row r="925" spans="1:27">
      <c r="A925" s="3">
        <v>6</v>
      </c>
      <c r="B925" s="3" t="s">
        <v>776</v>
      </c>
      <c r="C925" s="3">
        <v>1985</v>
      </c>
      <c r="D925" s="3" t="s">
        <v>28</v>
      </c>
      <c r="E925" s="3">
        <v>82.83</v>
      </c>
      <c r="F925" s="3">
        <v>0.66839999999999999</v>
      </c>
      <c r="G925" s="3">
        <v>24</v>
      </c>
      <c r="H925" s="3">
        <v>350</v>
      </c>
      <c r="I925" s="3">
        <v>365</v>
      </c>
      <c r="J925" s="1">
        <v>372.5</v>
      </c>
      <c r="K925" s="4" t="e">
        <f t="array" aca="1" ref="K925">MAX(H925:J925*(1-strike(H925:J925)))</f>
        <v>#NAME?</v>
      </c>
      <c r="L925" s="3">
        <v>215</v>
      </c>
      <c r="M925" s="3">
        <v>225</v>
      </c>
      <c r="N925" s="1">
        <v>230</v>
      </c>
      <c r="O925" s="4" t="e">
        <f t="array" aca="1" ref="O925">MAX(L925:N925*(1-strike(L925:N925)))</f>
        <v>#NAME?</v>
      </c>
      <c r="P925" s="3">
        <v>300</v>
      </c>
      <c r="Q925" s="3">
        <v>310</v>
      </c>
      <c r="R925" s="1">
        <v>322.5</v>
      </c>
      <c r="S925" s="4" t="e">
        <f t="array" aca="1" ref="S925">MAX(P925:R925*(1-strike(P925:R925)))</f>
        <v>#NAME?</v>
      </c>
      <c r="T925" s="4" t="e">
        <f t="shared" si="14"/>
        <v>#NAME?</v>
      </c>
      <c r="U925" s="3">
        <v>900</v>
      </c>
      <c r="V925" s="3">
        <v>601.51</v>
      </c>
      <c r="W925" s="3">
        <v>5</v>
      </c>
      <c r="X925" s="5">
        <v>2012</v>
      </c>
      <c r="Y925" s="5" t="s">
        <v>29</v>
      </c>
      <c r="Z925" s="5" t="s">
        <v>171</v>
      </c>
      <c r="AA925" s="5">
        <v>1239</v>
      </c>
    </row>
    <row r="926" spans="1:27">
      <c r="A926" s="3">
        <v>5</v>
      </c>
      <c r="B926" s="3" t="s">
        <v>776</v>
      </c>
      <c r="C926" s="3">
        <v>1985</v>
      </c>
      <c r="D926" s="3" t="s">
        <v>28</v>
      </c>
      <c r="E926" s="3">
        <v>82.68</v>
      </c>
      <c r="F926" s="3">
        <v>0.66900000000000004</v>
      </c>
      <c r="G926" s="3">
        <v>8</v>
      </c>
      <c r="H926" s="3">
        <v>345</v>
      </c>
      <c r="I926" s="3">
        <v>355</v>
      </c>
      <c r="J926" s="3">
        <v>362.5</v>
      </c>
      <c r="K926" s="4" t="e">
        <f t="array" aca="1" ref="K926">MAX(H926:J926*(1-strike(H926:J926)))</f>
        <v>#NAME?</v>
      </c>
      <c r="L926" s="3">
        <v>225</v>
      </c>
      <c r="M926" s="3">
        <v>232.5</v>
      </c>
      <c r="N926" s="1">
        <v>240</v>
      </c>
      <c r="O926" s="4" t="e">
        <f t="array" aca="1" ref="O926">MAX(L926:N926*(1-strike(L926:N926)))</f>
        <v>#NAME?</v>
      </c>
      <c r="P926" s="3">
        <v>290</v>
      </c>
      <c r="Q926" s="1">
        <v>300</v>
      </c>
      <c r="R926" s="1">
        <v>300</v>
      </c>
      <c r="S926" s="4" t="e">
        <f t="array" aca="1" ref="S926">MAX(P926:R926*(1-strike(P926:R926)))</f>
        <v>#NAME?</v>
      </c>
      <c r="T926" s="4" t="e">
        <f t="shared" si="14"/>
        <v>#NAME?</v>
      </c>
      <c r="U926" s="3">
        <v>885</v>
      </c>
      <c r="V926" s="3">
        <v>592.07000000000005</v>
      </c>
      <c r="W926" s="3">
        <v>6</v>
      </c>
      <c r="X926" s="5">
        <v>2013</v>
      </c>
      <c r="Y926" s="5" t="s">
        <v>29</v>
      </c>
      <c r="Z926" s="5" t="s">
        <v>171</v>
      </c>
      <c r="AA926" s="5">
        <v>856</v>
      </c>
    </row>
    <row r="927" spans="1:27">
      <c r="A927" s="4">
        <v>3</v>
      </c>
      <c r="B927" s="4" t="s">
        <v>776</v>
      </c>
      <c r="C927" s="4">
        <v>1985</v>
      </c>
      <c r="D927" s="4" t="s">
        <v>28</v>
      </c>
      <c r="E927" s="4">
        <v>82.37</v>
      </c>
      <c r="F927" s="4">
        <v>0.67049999999999998</v>
      </c>
      <c r="G927" s="4">
        <v>4</v>
      </c>
      <c r="H927" s="4">
        <v>350</v>
      </c>
      <c r="I927" s="4">
        <v>365</v>
      </c>
      <c r="J927" s="4">
        <v>375</v>
      </c>
      <c r="K927" s="4" t="e">
        <f t="array" aca="1" ref="K927">MAX(H927:J927*(1-strike(H927:J927)))</f>
        <v>#NAME?</v>
      </c>
      <c r="L927" s="4">
        <v>230</v>
      </c>
      <c r="M927" s="4">
        <v>235</v>
      </c>
      <c r="N927" s="4">
        <v>240</v>
      </c>
      <c r="O927" s="4" t="e">
        <f t="array" aca="1" ref="O927">MAX(L927:N927*(1-strike(L927:N927)))</f>
        <v>#NAME?</v>
      </c>
      <c r="P927" s="6">
        <v>305</v>
      </c>
      <c r="Q927" s="4">
        <v>307.5</v>
      </c>
      <c r="R927" s="6">
        <v>322.5</v>
      </c>
      <c r="S927" s="4" t="e">
        <f t="array" aca="1" ref="S927">MAX(P927:R927*(1-strike(P927:R927)))</f>
        <v>#NAME?</v>
      </c>
      <c r="T927" s="4" t="e">
        <f t="shared" si="14"/>
        <v>#NAME?</v>
      </c>
      <c r="U927" s="4">
        <v>922.5</v>
      </c>
      <c r="V927" s="4">
        <v>618.54</v>
      </c>
      <c r="W927" s="4">
        <v>8</v>
      </c>
      <c r="X927" s="5">
        <v>2015</v>
      </c>
      <c r="Y927" s="5" t="s">
        <v>29</v>
      </c>
      <c r="Z927" s="5" t="s">
        <v>171</v>
      </c>
      <c r="AA927" s="5">
        <v>43</v>
      </c>
    </row>
    <row r="928" spans="1:27">
      <c r="A928" s="4">
        <v>7</v>
      </c>
      <c r="B928" s="4" t="s">
        <v>777</v>
      </c>
      <c r="C928" s="4">
        <v>1972</v>
      </c>
      <c r="D928" s="4" t="s">
        <v>72</v>
      </c>
      <c r="E928" s="4">
        <v>166.25</v>
      </c>
      <c r="F928" s="4">
        <v>0.54500000000000004</v>
      </c>
      <c r="G928" s="4">
        <v>15</v>
      </c>
      <c r="H928" s="4">
        <v>365</v>
      </c>
      <c r="I928" s="4">
        <v>385</v>
      </c>
      <c r="J928" s="6">
        <v>400</v>
      </c>
      <c r="K928" s="4" t="e">
        <f t="array" aca="1" ref="K928">MAX(H928:J928*(1-strike(H928:J928)))</f>
        <v>#NAME?</v>
      </c>
      <c r="L928" s="4">
        <v>330</v>
      </c>
      <c r="M928" s="4">
        <v>345</v>
      </c>
      <c r="N928" s="6">
        <v>355</v>
      </c>
      <c r="O928" s="4" t="e">
        <f t="array" aca="1" ref="O928">MAX(L928:N928*(1-strike(L928:N928)))</f>
        <v>#NAME?</v>
      </c>
      <c r="P928" s="4">
        <v>270</v>
      </c>
      <c r="Q928" s="4">
        <v>285</v>
      </c>
      <c r="R928" s="4"/>
      <c r="S928" s="4" t="e">
        <f t="array" aca="1" ref="S928">MAX(P928:R928*(1-strike(P928:R928)))</f>
        <v>#NAME?</v>
      </c>
      <c r="T928" s="4" t="e">
        <f t="shared" si="14"/>
        <v>#NAME?</v>
      </c>
      <c r="U928" s="4">
        <v>1015</v>
      </c>
      <c r="V928" s="4">
        <v>553.16999999999996</v>
      </c>
      <c r="W928" s="4">
        <v>4</v>
      </c>
      <c r="X928" s="5">
        <v>2015</v>
      </c>
      <c r="Y928" s="5" t="s">
        <v>29</v>
      </c>
      <c r="Z928" s="5" t="s">
        <v>171</v>
      </c>
      <c r="AA928" s="5">
        <v>119</v>
      </c>
    </row>
    <row r="929" spans="1:27">
      <c r="A929" s="3">
        <v>12</v>
      </c>
      <c r="B929" s="3" t="s">
        <v>778</v>
      </c>
      <c r="C929" s="3">
        <v>1972</v>
      </c>
      <c r="D929" s="3" t="s">
        <v>49</v>
      </c>
      <c r="E929" s="3">
        <v>141.09</v>
      </c>
      <c r="F929" s="3">
        <v>0.55820000000000003</v>
      </c>
      <c r="G929" s="3">
        <v>20</v>
      </c>
      <c r="H929" s="3">
        <v>330</v>
      </c>
      <c r="I929" s="3">
        <v>350</v>
      </c>
      <c r="J929" s="1">
        <v>360</v>
      </c>
      <c r="K929" s="4" t="e">
        <f t="array" aca="1" ref="K929">MAX(H929:J929*(1-strike(H929:J929)))</f>
        <v>#NAME?</v>
      </c>
      <c r="L929" s="3">
        <v>225</v>
      </c>
      <c r="M929" s="3">
        <v>240</v>
      </c>
      <c r="N929" s="1">
        <v>250</v>
      </c>
      <c r="O929" s="4" t="e">
        <f t="array" aca="1" ref="O929">MAX(L929:N929*(1-strike(L929:N929)))</f>
        <v>#NAME?</v>
      </c>
      <c r="P929" s="3">
        <v>270</v>
      </c>
      <c r="Q929" s="3">
        <v>290</v>
      </c>
      <c r="R929" s="1">
        <v>302.5</v>
      </c>
      <c r="S929" s="4" t="e">
        <f t="array" aca="1" ref="S929">MAX(P929:R929*(1-strike(P929:R929)))</f>
        <v>#NAME?</v>
      </c>
      <c r="T929" s="4" t="e">
        <f t="shared" si="14"/>
        <v>#NAME?</v>
      </c>
      <c r="U929" s="3">
        <v>880</v>
      </c>
      <c r="V929" s="3">
        <v>491.21</v>
      </c>
      <c r="W929" s="3">
        <v>1</v>
      </c>
      <c r="X929" s="5">
        <v>2012</v>
      </c>
      <c r="Y929" s="5" t="s">
        <v>29</v>
      </c>
      <c r="Z929" s="5" t="s">
        <v>171</v>
      </c>
      <c r="AA929" s="5">
        <v>1327</v>
      </c>
    </row>
    <row r="930" spans="1:27" ht="15" customHeight="1">
      <c r="A930" s="3">
        <v>13</v>
      </c>
      <c r="B930" s="3" t="s">
        <v>778</v>
      </c>
      <c r="C930" s="3">
        <v>1972</v>
      </c>
      <c r="D930" s="3" t="s">
        <v>49</v>
      </c>
      <c r="E930" s="3">
        <v>155.6</v>
      </c>
      <c r="F930" s="3">
        <v>0.5504</v>
      </c>
      <c r="G930" s="3">
        <v>9</v>
      </c>
      <c r="H930" s="3">
        <v>365</v>
      </c>
      <c r="I930" s="1">
        <v>380</v>
      </c>
      <c r="J930" s="1">
        <v>380</v>
      </c>
      <c r="K930" s="4" t="e">
        <f t="array" aca="1" ref="K930">MAX(H930:J930*(1-strike(H930:J930)))</f>
        <v>#NAME?</v>
      </c>
      <c r="L930" s="3">
        <v>240</v>
      </c>
      <c r="M930" s="3">
        <v>252.5</v>
      </c>
      <c r="N930" s="3">
        <v>260</v>
      </c>
      <c r="O930" s="4" t="e">
        <f t="array" aca="1" ref="O930">MAX(L930:N930*(1-strike(L930:N930)))</f>
        <v>#NAME?</v>
      </c>
      <c r="P930" s="3">
        <v>280</v>
      </c>
      <c r="Q930" s="1">
        <v>295</v>
      </c>
      <c r="R930" s="1">
        <v>300</v>
      </c>
      <c r="S930" s="4" t="e">
        <f t="array" aca="1" ref="S930">MAX(P930:R930*(1-strike(P930:R930)))</f>
        <v>#NAME?</v>
      </c>
      <c r="T930" s="4" t="e">
        <f t="shared" si="14"/>
        <v>#NAME?</v>
      </c>
      <c r="U930" s="3">
        <v>905</v>
      </c>
      <c r="V930" s="3">
        <v>498.11</v>
      </c>
      <c r="W930" s="3">
        <v>1</v>
      </c>
      <c r="X930" s="5">
        <v>2013</v>
      </c>
      <c r="Y930" s="5" t="s">
        <v>29</v>
      </c>
      <c r="Z930" s="5" t="s">
        <v>171</v>
      </c>
      <c r="AA930" s="5">
        <v>924</v>
      </c>
    </row>
    <row r="931" spans="1:27">
      <c r="A931" s="4">
        <v>7</v>
      </c>
      <c r="B931" s="4" t="s">
        <v>778</v>
      </c>
      <c r="C931" s="4">
        <v>1972</v>
      </c>
      <c r="D931" s="4" t="s">
        <v>49</v>
      </c>
      <c r="E931" s="4">
        <v>151.52000000000001</v>
      </c>
      <c r="F931" s="4">
        <v>0.55249999999999999</v>
      </c>
      <c r="G931" s="4">
        <v>13</v>
      </c>
      <c r="H931" s="4">
        <v>360</v>
      </c>
      <c r="I931" s="4">
        <v>375</v>
      </c>
      <c r="J931" s="4">
        <v>385</v>
      </c>
      <c r="K931" s="4" t="e">
        <f t="array" aca="1" ref="K931">MAX(H931:J931*(1-strike(H931:J931)))</f>
        <v>#NAME?</v>
      </c>
      <c r="L931" s="6">
        <v>250</v>
      </c>
      <c r="M931" s="4">
        <v>250</v>
      </c>
      <c r="N931" s="4">
        <v>260</v>
      </c>
      <c r="O931" s="4" t="e">
        <f t="array" aca="1" ref="O931">MAX(L931:N931*(1-strike(L931:N931)))</f>
        <v>#NAME?</v>
      </c>
      <c r="P931" s="4">
        <v>282.5</v>
      </c>
      <c r="Q931" s="4">
        <v>295</v>
      </c>
      <c r="R931" s="6">
        <v>312.5</v>
      </c>
      <c r="S931" s="4" t="e">
        <f t="array" aca="1" ref="S931">MAX(P931:R931*(1-strike(P931:R931)))</f>
        <v>#NAME?</v>
      </c>
      <c r="T931" s="4" t="e">
        <f t="shared" si="14"/>
        <v>#NAME?</v>
      </c>
      <c r="U931" s="4">
        <v>940</v>
      </c>
      <c r="V931" s="4">
        <v>519.35</v>
      </c>
      <c r="W931" s="4">
        <v>4</v>
      </c>
      <c r="X931" s="5">
        <v>2014</v>
      </c>
      <c r="Y931" s="5" t="s">
        <v>29</v>
      </c>
      <c r="Z931" s="5" t="s">
        <v>171</v>
      </c>
      <c r="AA931" s="5">
        <v>560</v>
      </c>
    </row>
    <row r="932" spans="1:27">
      <c r="A932" s="4">
        <v>13</v>
      </c>
      <c r="B932" s="4" t="s">
        <v>778</v>
      </c>
      <c r="C932" s="4">
        <v>1972</v>
      </c>
      <c r="D932" s="4" t="s">
        <v>49</v>
      </c>
      <c r="E932" s="4">
        <v>152.9</v>
      </c>
      <c r="F932" s="4">
        <v>0.55179999999999996</v>
      </c>
      <c r="G932" s="4">
        <v>17</v>
      </c>
      <c r="H932" s="4">
        <v>355</v>
      </c>
      <c r="I932" s="6">
        <v>367.5</v>
      </c>
      <c r="J932" s="4">
        <v>372.5</v>
      </c>
      <c r="K932" s="4" t="e">
        <f t="array" aca="1" ref="K932">MAX(H932:J932*(1-strike(H932:J932)))</f>
        <v>#NAME?</v>
      </c>
      <c r="L932" s="4">
        <v>240</v>
      </c>
      <c r="M932" s="6">
        <v>247.5</v>
      </c>
      <c r="N932" s="6">
        <v>247.5</v>
      </c>
      <c r="O932" s="4" t="e">
        <f t="array" aca="1" ref="O932">MAX(L932:N932*(1-strike(L932:N932)))</f>
        <v>#NAME?</v>
      </c>
      <c r="P932" s="4">
        <v>250</v>
      </c>
      <c r="Q932" s="4">
        <v>270</v>
      </c>
      <c r="R932" s="4">
        <v>285</v>
      </c>
      <c r="S932" s="4" t="e">
        <f t="array" aca="1" ref="S932">MAX(P932:R932*(1-strike(P932:R932)))</f>
        <v>#NAME?</v>
      </c>
      <c r="T932" s="4" t="e">
        <f t="shared" si="14"/>
        <v>#NAME?</v>
      </c>
      <c r="U932" s="4">
        <v>897.5</v>
      </c>
      <c r="V932" s="4">
        <v>495.24</v>
      </c>
      <c r="W932" s="4">
        <v>1</v>
      </c>
      <c r="X932" s="5">
        <v>2015</v>
      </c>
      <c r="Y932" s="5" t="s">
        <v>29</v>
      </c>
      <c r="Z932" s="5" t="s">
        <v>171</v>
      </c>
      <c r="AA932" s="5">
        <v>125</v>
      </c>
    </row>
    <row r="933" spans="1:27">
      <c r="A933" s="3">
        <v>5</v>
      </c>
      <c r="B933" s="3" t="s">
        <v>779</v>
      </c>
      <c r="C933" s="3">
        <v>1980</v>
      </c>
      <c r="D933" s="3" t="s">
        <v>72</v>
      </c>
      <c r="E933" s="3">
        <v>146.47</v>
      </c>
      <c r="F933" s="3">
        <v>0.55510000000000004</v>
      </c>
      <c r="G933" s="3">
        <v>12</v>
      </c>
      <c r="H933" s="1">
        <v>425</v>
      </c>
      <c r="I933" s="3">
        <v>425</v>
      </c>
      <c r="J933" s="3">
        <v>440</v>
      </c>
      <c r="K933" s="4" t="e">
        <f t="array" aca="1" ref="K933">MAX(H933:J933*(1-strike(H933:J933)))</f>
        <v>#NAME?</v>
      </c>
      <c r="L933" s="3">
        <v>290</v>
      </c>
      <c r="M933" s="3">
        <v>302.5</v>
      </c>
      <c r="N933" s="3">
        <v>310</v>
      </c>
      <c r="O933" s="4" t="e">
        <f t="array" aca="1" ref="O933">MAX(L933:N933*(1-strike(L933:N933)))</f>
        <v>#NAME?</v>
      </c>
      <c r="P933" s="3">
        <v>320</v>
      </c>
      <c r="Q933" s="1">
        <v>342.5</v>
      </c>
      <c r="R933" s="1">
        <v>342.5</v>
      </c>
      <c r="S933" s="4" t="e">
        <f t="array" aca="1" ref="S933">MAX(P933:R933*(1-strike(P933:R933)))</f>
        <v>#NAME?</v>
      </c>
      <c r="T933" s="4" t="e">
        <f t="shared" si="14"/>
        <v>#NAME?</v>
      </c>
      <c r="U933" s="3">
        <v>1070</v>
      </c>
      <c r="V933" s="3">
        <v>593.98</v>
      </c>
      <c r="W933" s="3">
        <v>6</v>
      </c>
      <c r="X933" s="5">
        <v>2012</v>
      </c>
      <c r="Y933" s="5" t="s">
        <v>29</v>
      </c>
      <c r="Z933" s="5" t="s">
        <v>171</v>
      </c>
      <c r="AA933" s="5">
        <v>1320</v>
      </c>
    </row>
    <row r="934" spans="1:27">
      <c r="A934" s="3">
        <v>16</v>
      </c>
      <c r="B934" s="3" t="s">
        <v>780</v>
      </c>
      <c r="C934" s="3">
        <v>1974</v>
      </c>
      <c r="D934" s="3" t="s">
        <v>72</v>
      </c>
      <c r="E934" s="3">
        <v>96</v>
      </c>
      <c r="F934" s="3">
        <v>0.61909999999999998</v>
      </c>
      <c r="G934" s="3">
        <v>3</v>
      </c>
      <c r="H934" s="3">
        <v>300</v>
      </c>
      <c r="I934" s="1">
        <v>310</v>
      </c>
      <c r="J934" s="1">
        <v>310</v>
      </c>
      <c r="K934" s="4" t="e">
        <f t="array" aca="1" ref="K934">MAX(H934:J934*(1-strike(H934:J934)))</f>
        <v>#NAME?</v>
      </c>
      <c r="L934" s="1">
        <v>215</v>
      </c>
      <c r="M934" s="3">
        <v>215</v>
      </c>
      <c r="N934" s="1">
        <v>227.5</v>
      </c>
      <c r="O934" s="4" t="e">
        <f t="array" aca="1" ref="O934">MAX(L934:N934*(1-strike(L934:N934)))</f>
        <v>#NAME?</v>
      </c>
      <c r="P934" s="3">
        <v>270</v>
      </c>
      <c r="Q934" s="3">
        <v>290</v>
      </c>
      <c r="R934" s="1">
        <v>300</v>
      </c>
      <c r="S934" s="4" t="e">
        <f t="array" aca="1" ref="S934">MAX(P934:R934*(1-strike(P934:R934)))</f>
        <v>#NAME?</v>
      </c>
      <c r="T934" s="4" t="e">
        <f t="shared" si="14"/>
        <v>#NAME?</v>
      </c>
      <c r="U934" s="3">
        <v>805</v>
      </c>
      <c r="V934" s="3">
        <v>498.37</v>
      </c>
      <c r="W934" s="3">
        <v>1</v>
      </c>
      <c r="X934" s="5">
        <v>2012</v>
      </c>
      <c r="Y934" s="5" t="s">
        <v>29</v>
      </c>
      <c r="Z934" s="5" t="s">
        <v>171</v>
      </c>
      <c r="AA934" s="5">
        <v>1293</v>
      </c>
    </row>
    <row r="935" spans="1:27">
      <c r="A935" s="4">
        <v>6</v>
      </c>
      <c r="B935" s="4" t="s">
        <v>781</v>
      </c>
      <c r="C935" s="4">
        <v>1991</v>
      </c>
      <c r="D935" s="4" t="s">
        <v>125</v>
      </c>
      <c r="E935" s="4">
        <v>92</v>
      </c>
      <c r="F935" s="4">
        <v>0.63149999999999995</v>
      </c>
      <c r="G935" s="4">
        <v>5</v>
      </c>
      <c r="H935" s="4">
        <v>320</v>
      </c>
      <c r="I935" s="4">
        <v>332.5</v>
      </c>
      <c r="J935" s="4">
        <v>337.5</v>
      </c>
      <c r="K935" s="4" t="e">
        <f t="array" aca="1" ref="K935">MAX(H935:J935*(1-strike(H935:J935)))</f>
        <v>#NAME?</v>
      </c>
      <c r="L935" s="4">
        <v>240</v>
      </c>
      <c r="M935" s="4">
        <v>250</v>
      </c>
      <c r="N935" s="4">
        <v>255</v>
      </c>
      <c r="O935" s="4" t="e">
        <f t="array" aca="1" ref="O935">MAX(L935:N935*(1-strike(L935:N935)))</f>
        <v>#NAME?</v>
      </c>
      <c r="P935" s="4">
        <v>325</v>
      </c>
      <c r="Q935" s="4">
        <v>335</v>
      </c>
      <c r="R935" s="6">
        <v>342.5</v>
      </c>
      <c r="S935" s="4" t="e">
        <f t="array" aca="1" ref="S935">MAX(P935:R935*(1-strike(P935:R935)))</f>
        <v>#NAME?</v>
      </c>
      <c r="T935" s="4" t="e">
        <f t="shared" si="14"/>
        <v>#NAME?</v>
      </c>
      <c r="U935" s="4">
        <v>927.5</v>
      </c>
      <c r="V935" s="4">
        <v>585.72</v>
      </c>
      <c r="W935" s="4">
        <v>5</v>
      </c>
      <c r="X935" s="5">
        <v>2015</v>
      </c>
      <c r="Y935" s="5" t="s">
        <v>29</v>
      </c>
      <c r="Z935" s="5" t="s">
        <v>171</v>
      </c>
      <c r="AA935" s="5">
        <v>60</v>
      </c>
    </row>
    <row r="936" spans="1:27">
      <c r="A936" s="3">
        <v>11</v>
      </c>
      <c r="B936" s="3" t="s">
        <v>782</v>
      </c>
      <c r="C936" s="3">
        <v>1981</v>
      </c>
      <c r="D936" s="3" t="s">
        <v>113</v>
      </c>
      <c r="E936" s="3">
        <v>131.96</v>
      </c>
      <c r="F936" s="3">
        <v>0.56410000000000005</v>
      </c>
      <c r="G936" s="3">
        <v>17</v>
      </c>
      <c r="H936" s="3">
        <v>305</v>
      </c>
      <c r="I936" s="3">
        <v>317.5</v>
      </c>
      <c r="J936" s="3">
        <v>327.5</v>
      </c>
      <c r="K936" s="4" t="e">
        <f t="array" aca="1" ref="K936">MAX(H936:J936*(1-strike(H936:J936)))</f>
        <v>#NAME?</v>
      </c>
      <c r="L936" s="3">
        <v>245</v>
      </c>
      <c r="M936" s="3">
        <v>260</v>
      </c>
      <c r="N936" s="3">
        <v>267.5</v>
      </c>
      <c r="O936" s="4" t="e">
        <f t="array" aca="1" ref="O936">MAX(L936:N936*(1-strike(L936:N936)))</f>
        <v>#NAME?</v>
      </c>
      <c r="P936" s="3">
        <v>285</v>
      </c>
      <c r="Q936" s="3">
        <v>295</v>
      </c>
      <c r="R936" s="1">
        <v>305</v>
      </c>
      <c r="S936" s="4" t="e">
        <f t="array" aca="1" ref="S936">MAX(P936:R936*(1-strike(P936:R936)))</f>
        <v>#NAME?</v>
      </c>
      <c r="T936" s="4" t="e">
        <f t="shared" si="14"/>
        <v>#NAME?</v>
      </c>
      <c r="U936" s="3">
        <v>890</v>
      </c>
      <c r="V936" s="3">
        <v>502.08</v>
      </c>
      <c r="W936" s="3">
        <v>1</v>
      </c>
      <c r="X936" s="5">
        <v>2012</v>
      </c>
      <c r="Y936" s="5" t="s">
        <v>29</v>
      </c>
      <c r="Z936" s="5" t="s">
        <v>171</v>
      </c>
      <c r="AA936" s="5">
        <v>1326</v>
      </c>
    </row>
    <row r="937" spans="1:27">
      <c r="A937" s="3">
        <v>12</v>
      </c>
      <c r="B937" s="3" t="s">
        <v>782</v>
      </c>
      <c r="C937" s="3">
        <v>1981</v>
      </c>
      <c r="D937" s="3" t="s">
        <v>113</v>
      </c>
      <c r="E937" s="3">
        <v>132.69999999999999</v>
      </c>
      <c r="F937" s="3">
        <v>0.56359999999999999</v>
      </c>
      <c r="G937" s="3">
        <v>12</v>
      </c>
      <c r="H937" s="3">
        <v>340</v>
      </c>
      <c r="I937" s="3">
        <v>350</v>
      </c>
      <c r="J937" s="3">
        <v>357.5</v>
      </c>
      <c r="K937" s="4" t="e">
        <f t="array" aca="1" ref="K937">MAX(H937:J937*(1-strike(H937:J937)))</f>
        <v>#NAME?</v>
      </c>
      <c r="L937" s="3">
        <v>250</v>
      </c>
      <c r="M937" s="3">
        <v>262.5</v>
      </c>
      <c r="N937" s="3">
        <v>272.5</v>
      </c>
      <c r="O937" s="4" t="e">
        <f t="array" aca="1" ref="O937">MAX(L937:N937*(1-strike(L937:N937)))</f>
        <v>#NAME?</v>
      </c>
      <c r="P937" s="3">
        <v>285</v>
      </c>
      <c r="Q937" s="1">
        <v>305</v>
      </c>
      <c r="R937" s="1">
        <v>305</v>
      </c>
      <c r="S937" s="4" t="e">
        <f t="array" aca="1" ref="S937">MAX(P937:R937*(1-strike(P937:R937)))</f>
        <v>#NAME?</v>
      </c>
      <c r="T937" s="4" t="e">
        <f t="shared" si="14"/>
        <v>#NAME?</v>
      </c>
      <c r="U937" s="3">
        <v>915</v>
      </c>
      <c r="V937" s="3">
        <v>515.69000000000005</v>
      </c>
      <c r="W937" s="3">
        <v>1</v>
      </c>
      <c r="X937" s="5">
        <v>2013</v>
      </c>
      <c r="Y937" s="5" t="s">
        <v>29</v>
      </c>
      <c r="Z937" s="5" t="s">
        <v>171</v>
      </c>
      <c r="AA937" s="5">
        <v>923</v>
      </c>
    </row>
    <row r="938" spans="1:27">
      <c r="A938" s="4">
        <v>4</v>
      </c>
      <c r="B938" s="4" t="s">
        <v>782</v>
      </c>
      <c r="C938" s="4">
        <v>1981</v>
      </c>
      <c r="D938" s="4" t="s">
        <v>113</v>
      </c>
      <c r="E938" s="4">
        <v>134.19999999999999</v>
      </c>
      <c r="F938" s="4">
        <v>0.5625</v>
      </c>
      <c r="G938" s="4">
        <v>3</v>
      </c>
      <c r="H938" s="6">
        <v>360</v>
      </c>
      <c r="I938" s="4">
        <v>360</v>
      </c>
      <c r="J938" s="4">
        <v>372.5</v>
      </c>
      <c r="K938" s="4" t="e">
        <f t="array" aca="1" ref="K938">MAX(H938:J938*(1-strike(H938:J938)))</f>
        <v>#NAME?</v>
      </c>
      <c r="L938" s="4">
        <v>265</v>
      </c>
      <c r="M938" s="4">
        <v>275</v>
      </c>
      <c r="N938" s="6">
        <v>280</v>
      </c>
      <c r="O938" s="4" t="e">
        <f t="array" aca="1" ref="O938">MAX(L938:N938*(1-strike(L938:N938)))</f>
        <v>#NAME?</v>
      </c>
      <c r="P938" s="4">
        <v>320</v>
      </c>
      <c r="Q938" s="6">
        <v>337.5</v>
      </c>
      <c r="R938" s="4">
        <v>337.5</v>
      </c>
      <c r="S938" s="4" t="e">
        <f t="array" aca="1" ref="S938">MAX(P938:R938*(1-strike(P938:R938)))</f>
        <v>#NAME?</v>
      </c>
      <c r="T938" s="4" t="e">
        <f t="shared" si="14"/>
        <v>#NAME?</v>
      </c>
      <c r="U938" s="4">
        <v>985</v>
      </c>
      <c r="V938" s="4">
        <v>554.05999999999995</v>
      </c>
      <c r="W938" s="4">
        <v>7</v>
      </c>
      <c r="X938" s="5">
        <v>2014</v>
      </c>
      <c r="Y938" s="5" t="s">
        <v>29</v>
      </c>
      <c r="Z938" s="5" t="s">
        <v>171</v>
      </c>
      <c r="AA938" s="5">
        <v>557</v>
      </c>
    </row>
    <row r="939" spans="1:27">
      <c r="A939" s="4">
        <v>14</v>
      </c>
      <c r="B939" s="4" t="s">
        <v>783</v>
      </c>
      <c r="C939" s="4">
        <v>1993</v>
      </c>
      <c r="D939" s="4" t="s">
        <v>74</v>
      </c>
      <c r="E939" s="4">
        <v>93.98</v>
      </c>
      <c r="F939" s="4">
        <v>0.625</v>
      </c>
      <c r="G939" s="4">
        <v>14</v>
      </c>
      <c r="H939" s="4">
        <v>240</v>
      </c>
      <c r="I939" s="4">
        <v>255</v>
      </c>
      <c r="J939" s="6">
        <v>265</v>
      </c>
      <c r="K939" s="4" t="e">
        <f t="array" aca="1" ref="K939">MAX(H939:J939*(1-strike(H939:J939)))</f>
        <v>#NAME?</v>
      </c>
      <c r="L939" s="4">
        <v>145</v>
      </c>
      <c r="M939" s="6">
        <v>160</v>
      </c>
      <c r="N939" s="4"/>
      <c r="O939" s="4" t="e">
        <f t="array" aca="1" ref="O939">MAX(L939:N939*(1-strike(L939:N939)))</f>
        <v>#NAME?</v>
      </c>
      <c r="P939" s="4">
        <v>240</v>
      </c>
      <c r="Q939" s="4">
        <v>260</v>
      </c>
      <c r="R939" s="4">
        <v>272.5</v>
      </c>
      <c r="S939" s="4" t="e">
        <f t="array" aca="1" ref="S939">MAX(P939:R939*(1-strike(P939:R939)))</f>
        <v>#NAME?</v>
      </c>
      <c r="T939" s="4" t="e">
        <f t="shared" si="14"/>
        <v>#NAME?</v>
      </c>
      <c r="U939" s="4">
        <v>672.5</v>
      </c>
      <c r="V939" s="4">
        <v>420.31</v>
      </c>
      <c r="W939" s="4">
        <v>1</v>
      </c>
      <c r="X939" s="5">
        <v>2014</v>
      </c>
      <c r="Y939" s="5" t="s">
        <v>29</v>
      </c>
      <c r="Z939" s="5" t="s">
        <v>171</v>
      </c>
      <c r="AA939" s="5">
        <v>526</v>
      </c>
    </row>
    <row r="940" spans="1:27">
      <c r="A940" s="3" t="s">
        <v>37</v>
      </c>
      <c r="B940" s="3" t="s">
        <v>784</v>
      </c>
      <c r="C940" s="3">
        <v>1985</v>
      </c>
      <c r="D940" s="3" t="s">
        <v>280</v>
      </c>
      <c r="E940" s="3">
        <v>64.86</v>
      </c>
      <c r="F940" s="3">
        <v>0.79659999999999997</v>
      </c>
      <c r="G940" s="3">
        <v>17</v>
      </c>
      <c r="H940" s="3">
        <v>240</v>
      </c>
      <c r="I940" s="3">
        <v>265</v>
      </c>
      <c r="J940" s="1">
        <v>270</v>
      </c>
      <c r="K940" s="4" t="e">
        <f t="array" aca="1" ref="K940">MAX(H940:J940*(1-strike(H940:J940)))</f>
        <v>#NAME?</v>
      </c>
      <c r="L940" s="1">
        <v>195</v>
      </c>
      <c r="M940" s="1">
        <v>195</v>
      </c>
      <c r="N940" s="1">
        <v>195</v>
      </c>
      <c r="O940" s="4" t="e">
        <f t="array" aca="1" ref="O940">MAX(L940:N940*(1-strike(L940:N940)))</f>
        <v>#NAME?</v>
      </c>
      <c r="P940" s="1">
        <v>250</v>
      </c>
      <c r="Q940" s="1">
        <v>250</v>
      </c>
      <c r="R940" s="1">
        <v>250</v>
      </c>
      <c r="S940" s="4" t="e">
        <f t="array" aca="1" ref="S940">MAX(P940:R940*(1-strike(P940:R940)))</f>
        <v>#NAME?</v>
      </c>
      <c r="T940" s="4" t="e">
        <f t="shared" si="14"/>
        <v>#NAME?</v>
      </c>
      <c r="U940" s="3" t="s">
        <v>40</v>
      </c>
      <c r="V940" s="3" t="s">
        <v>37</v>
      </c>
      <c r="W940" s="3" t="s">
        <v>37</v>
      </c>
      <c r="X940" s="5">
        <v>2012</v>
      </c>
      <c r="Y940" s="5" t="s">
        <v>29</v>
      </c>
      <c r="Z940" s="5" t="s">
        <v>171</v>
      </c>
      <c r="AA940" s="5">
        <v>1215</v>
      </c>
    </row>
    <row r="941" spans="1:27">
      <c r="A941" s="3">
        <v>6</v>
      </c>
      <c r="B941" s="3" t="s">
        <v>154</v>
      </c>
      <c r="C941" s="3">
        <v>1987</v>
      </c>
      <c r="D941" s="3" t="s">
        <v>62</v>
      </c>
      <c r="E941" s="3">
        <v>158.27000000000001</v>
      </c>
      <c r="F941" s="3">
        <v>0.54910000000000003</v>
      </c>
      <c r="G941" s="3">
        <v>14</v>
      </c>
      <c r="H941" s="1">
        <v>440</v>
      </c>
      <c r="I941" s="3">
        <v>440</v>
      </c>
      <c r="J941" s="1">
        <v>450</v>
      </c>
      <c r="K941" s="4" t="e">
        <f t="array" aca="1" ref="K941">MAX(H941:J941*(1-strike(H941:J941)))</f>
        <v>#NAME?</v>
      </c>
      <c r="L941" s="1">
        <v>295</v>
      </c>
      <c r="M941" s="3">
        <v>295</v>
      </c>
      <c r="N941" s="1">
        <v>320</v>
      </c>
      <c r="O941" s="4" t="e">
        <f t="array" aca="1" ref="O941">MAX(L941:N941*(1-strike(L941:N941)))</f>
        <v>#NAME?</v>
      </c>
      <c r="P941" s="3">
        <v>315</v>
      </c>
      <c r="Q941" s="3">
        <v>332.5</v>
      </c>
      <c r="R941" s="1">
        <v>337.5</v>
      </c>
      <c r="S941" s="4" t="e">
        <f t="array" aca="1" ref="S941">MAX(P941:R941*(1-strike(P941:R941)))</f>
        <v>#NAME?</v>
      </c>
      <c r="T941" s="4" t="e">
        <f t="shared" si="14"/>
        <v>#NAME?</v>
      </c>
      <c r="U941" s="3">
        <v>1067.5</v>
      </c>
      <c r="V941" s="3">
        <v>586.16</v>
      </c>
      <c r="W941" s="3">
        <v>5</v>
      </c>
      <c r="X941" s="5">
        <v>2012</v>
      </c>
      <c r="Y941" s="5" t="s">
        <v>29</v>
      </c>
      <c r="Z941" s="5" t="s">
        <v>171</v>
      </c>
      <c r="AA941" s="5">
        <v>1321</v>
      </c>
    </row>
    <row r="942" spans="1:27">
      <c r="A942" s="4">
        <v>2</v>
      </c>
      <c r="B942" s="4" t="s">
        <v>154</v>
      </c>
      <c r="C942" s="4">
        <v>1987</v>
      </c>
      <c r="D942" s="4" t="s">
        <v>62</v>
      </c>
      <c r="E942" s="4">
        <v>167.02</v>
      </c>
      <c r="F942" s="4">
        <v>0.54469999999999996</v>
      </c>
      <c r="G942" s="4">
        <v>4</v>
      </c>
      <c r="H942" s="4">
        <v>365</v>
      </c>
      <c r="I942" s="4">
        <v>387.5</v>
      </c>
      <c r="J942" s="4">
        <v>410</v>
      </c>
      <c r="K942" s="4" t="e">
        <f t="array" aca="1" ref="K942">MAX(H942:J942*(1-strike(H942:J942)))</f>
        <v>#NAME?</v>
      </c>
      <c r="L942" s="4">
        <v>220</v>
      </c>
      <c r="M942" s="4">
        <v>232.5</v>
      </c>
      <c r="N942" s="6">
        <v>237.5</v>
      </c>
      <c r="O942" s="4" t="e">
        <f t="array" aca="1" ref="O942">MAX(L942:N942*(1-strike(L942:N942)))</f>
        <v>#NAME?</v>
      </c>
      <c r="P942" s="4">
        <v>315</v>
      </c>
      <c r="Q942" s="4">
        <v>335</v>
      </c>
      <c r="R942" s="6">
        <v>360</v>
      </c>
      <c r="S942" s="4" t="e">
        <f t="array" aca="1" ref="S942">MAX(P942:R942*(1-strike(P942:R942)))</f>
        <v>#NAME?</v>
      </c>
      <c r="T942" s="4" t="e">
        <f t="shared" si="14"/>
        <v>#NAME?</v>
      </c>
      <c r="U942" s="4">
        <v>977.5</v>
      </c>
      <c r="V942" s="4">
        <v>532.44000000000005</v>
      </c>
      <c r="W942" s="4">
        <v>9</v>
      </c>
      <c r="X942" s="5">
        <v>2015</v>
      </c>
      <c r="Y942" s="5" t="s">
        <v>29</v>
      </c>
      <c r="Z942" s="5" t="s">
        <v>30</v>
      </c>
      <c r="AA942" s="5">
        <v>324</v>
      </c>
    </row>
    <row r="943" spans="1:27">
      <c r="A943" s="4">
        <v>2</v>
      </c>
      <c r="B943" s="4" t="s">
        <v>154</v>
      </c>
      <c r="C943" s="4">
        <v>1987</v>
      </c>
      <c r="D943" s="4" t="s">
        <v>62</v>
      </c>
      <c r="E943" s="4">
        <v>167.27</v>
      </c>
      <c r="F943" s="4">
        <v>0.54449999999999998</v>
      </c>
      <c r="G943" s="4">
        <v>7</v>
      </c>
      <c r="H943" s="6">
        <v>455</v>
      </c>
      <c r="I943" s="4">
        <v>455</v>
      </c>
      <c r="J943" s="6">
        <v>477.5</v>
      </c>
      <c r="K943" s="4" t="e">
        <f t="array" aca="1" ref="K943">MAX(H943:J943*(1-strike(H943:J943)))</f>
        <v>#NAME?</v>
      </c>
      <c r="L943" s="4">
        <v>355</v>
      </c>
      <c r="M943" s="4">
        <v>365</v>
      </c>
      <c r="N943" s="6">
        <v>375</v>
      </c>
      <c r="O943" s="4" t="e">
        <f t="array" aca="1" ref="O943">MAX(L943:N943*(1-strike(L943:N943)))</f>
        <v>#NAME?</v>
      </c>
      <c r="P943" s="4">
        <v>325</v>
      </c>
      <c r="Q943" s="4">
        <v>345</v>
      </c>
      <c r="R943" s="6">
        <v>367.5</v>
      </c>
      <c r="S943" s="4" t="e">
        <f t="array" aca="1" ref="S943">MAX(P943:R943*(1-strike(P943:R943)))</f>
        <v>#NAME?</v>
      </c>
      <c r="T943" s="4" t="e">
        <f t="shared" si="14"/>
        <v>#NAME?</v>
      </c>
      <c r="U943" s="4">
        <v>1165</v>
      </c>
      <c r="V943" s="4">
        <v>634.34</v>
      </c>
      <c r="W943" s="4">
        <v>9</v>
      </c>
      <c r="X943" s="5">
        <v>2015</v>
      </c>
      <c r="Y943" s="5" t="s">
        <v>29</v>
      </c>
      <c r="Z943" s="5" t="s">
        <v>171</v>
      </c>
      <c r="AA943" s="5">
        <v>114</v>
      </c>
    </row>
    <row r="944" spans="1:27">
      <c r="A944" s="4">
        <v>13</v>
      </c>
      <c r="B944" s="4" t="s">
        <v>785</v>
      </c>
      <c r="C944" s="4">
        <v>1989</v>
      </c>
      <c r="D944" s="4" t="s">
        <v>56</v>
      </c>
      <c r="E944" s="4">
        <v>73.55</v>
      </c>
      <c r="F944" s="4">
        <v>0.72250000000000003</v>
      </c>
      <c r="G944" s="4">
        <v>12</v>
      </c>
      <c r="H944" s="4">
        <v>187.5</v>
      </c>
      <c r="I944" s="4">
        <v>197.5</v>
      </c>
      <c r="J944" s="4">
        <v>205</v>
      </c>
      <c r="K944" s="4" t="e">
        <f t="array" aca="1" ref="K944">MAX(H944:J944*(1-strike(H944:J944)))</f>
        <v>#NAME?</v>
      </c>
      <c r="L944" s="4">
        <v>130</v>
      </c>
      <c r="M944" s="4">
        <v>135</v>
      </c>
      <c r="N944" s="4">
        <v>137.5</v>
      </c>
      <c r="O944" s="4" t="e">
        <f t="array" aca="1" ref="O944">MAX(L944:N944*(1-strike(L944:N944)))</f>
        <v>#NAME?</v>
      </c>
      <c r="P944" s="4">
        <v>215</v>
      </c>
      <c r="Q944" s="4">
        <v>222.5</v>
      </c>
      <c r="R944" s="4">
        <v>240</v>
      </c>
      <c r="S944" s="4" t="e">
        <f t="array" aca="1" ref="S944">MAX(P944:R944*(1-strike(P944:R944)))</f>
        <v>#NAME?</v>
      </c>
      <c r="T944" s="4" t="e">
        <f t="shared" si="14"/>
        <v>#NAME?</v>
      </c>
      <c r="U944" s="4">
        <v>582.5</v>
      </c>
      <c r="V944" s="4">
        <v>420.83</v>
      </c>
      <c r="W944" s="4">
        <v>1</v>
      </c>
      <c r="X944" s="5">
        <v>2014</v>
      </c>
      <c r="Y944" s="5" t="s">
        <v>29</v>
      </c>
      <c r="Z944" s="5" t="s">
        <v>30</v>
      </c>
      <c r="AA944" s="5">
        <v>680</v>
      </c>
    </row>
    <row r="945" spans="1:27">
      <c r="A945" s="4">
        <v>12</v>
      </c>
      <c r="B945" s="4" t="s">
        <v>785</v>
      </c>
      <c r="C945" s="4">
        <v>1989</v>
      </c>
      <c r="D945" s="4" t="s">
        <v>56</v>
      </c>
      <c r="E945" s="4">
        <v>73.92</v>
      </c>
      <c r="F945" s="4">
        <v>0.71989999999999998</v>
      </c>
      <c r="G945" s="4">
        <v>19</v>
      </c>
      <c r="H945" s="4">
        <v>210</v>
      </c>
      <c r="I945" s="6">
        <v>217.5</v>
      </c>
      <c r="J945" s="6">
        <v>217.5</v>
      </c>
      <c r="K945" s="4" t="e">
        <f t="array" aca="1" ref="K945">MAX(H945:J945*(1-strike(H945:J945)))</f>
        <v>#NAME?</v>
      </c>
      <c r="L945" s="4">
        <v>132.5</v>
      </c>
      <c r="M945" s="4">
        <v>137.5</v>
      </c>
      <c r="N945" s="4">
        <v>140</v>
      </c>
      <c r="O945" s="4" t="e">
        <f t="array" aca="1" ref="O945">MAX(L945:N945*(1-strike(L945:N945)))</f>
        <v>#NAME?</v>
      </c>
      <c r="P945" s="4">
        <v>235</v>
      </c>
      <c r="Q945" s="6">
        <v>242.5</v>
      </c>
      <c r="R945" s="4">
        <v>250</v>
      </c>
      <c r="S945" s="4" t="e">
        <f t="array" aca="1" ref="S945">MAX(P945:R945*(1-strike(P945:R945)))</f>
        <v>#NAME?</v>
      </c>
      <c r="T945" s="4" t="e">
        <f t="shared" si="14"/>
        <v>#NAME?</v>
      </c>
      <c r="U945" s="4">
        <v>600</v>
      </c>
      <c r="V945" s="4">
        <v>431.94</v>
      </c>
      <c r="W945" s="4">
        <v>1</v>
      </c>
      <c r="X945" s="5">
        <v>2015</v>
      </c>
      <c r="Y945" s="5" t="s">
        <v>29</v>
      </c>
      <c r="Z945" s="5" t="s">
        <v>30</v>
      </c>
      <c r="AA945" s="5">
        <v>249</v>
      </c>
    </row>
    <row r="946" spans="1:27">
      <c r="A946" s="4">
        <v>8</v>
      </c>
      <c r="B946" s="4" t="s">
        <v>786</v>
      </c>
      <c r="C946" s="4">
        <v>1988</v>
      </c>
      <c r="D946" s="4" t="s">
        <v>80</v>
      </c>
      <c r="E946" s="4">
        <v>104.4</v>
      </c>
      <c r="F946" s="4">
        <v>0.5988</v>
      </c>
      <c r="G946" s="4">
        <v>5</v>
      </c>
      <c r="H946" s="4">
        <v>240</v>
      </c>
      <c r="I946" s="4">
        <v>252.5</v>
      </c>
      <c r="J946" s="4">
        <v>257.5</v>
      </c>
      <c r="K946" s="4" t="e">
        <f t="array" aca="1" ref="K946">MAX(H946:J946*(1-strike(H946:J946)))</f>
        <v>#NAME?</v>
      </c>
      <c r="L946" s="4">
        <v>177.5</v>
      </c>
      <c r="M946" s="4">
        <v>185</v>
      </c>
      <c r="N946" s="6">
        <v>190</v>
      </c>
      <c r="O946" s="4" t="e">
        <f t="array" aca="1" ref="O946">MAX(L946:N946*(1-strike(L946:N946)))</f>
        <v>#NAME?</v>
      </c>
      <c r="P946" s="4">
        <v>285</v>
      </c>
      <c r="Q946" s="4">
        <v>302.5</v>
      </c>
      <c r="R946" s="6">
        <v>315</v>
      </c>
      <c r="S946" s="4" t="e">
        <f t="array" aca="1" ref="S946">MAX(P946:R946*(1-strike(P946:R946)))</f>
        <v>#NAME?</v>
      </c>
      <c r="T946" s="4" t="e">
        <f t="shared" si="14"/>
        <v>#NAME?</v>
      </c>
      <c r="U946" s="4">
        <v>745</v>
      </c>
      <c r="V946" s="4">
        <v>446.11</v>
      </c>
      <c r="W946" s="4">
        <v>3</v>
      </c>
      <c r="X946" s="5">
        <v>2014</v>
      </c>
      <c r="Y946" s="5" t="s">
        <v>29</v>
      </c>
      <c r="Z946" s="5" t="s">
        <v>30</v>
      </c>
      <c r="AA946" s="5">
        <v>717</v>
      </c>
    </row>
    <row r="947" spans="1:27">
      <c r="A947" s="3">
        <v>7</v>
      </c>
      <c r="B947" s="3" t="s">
        <v>787</v>
      </c>
      <c r="C947" s="3">
        <v>1979</v>
      </c>
      <c r="D947" s="3" t="s">
        <v>35</v>
      </c>
      <c r="E947" s="3">
        <v>147.30000000000001</v>
      </c>
      <c r="F947" s="3">
        <v>0.55469999999999997</v>
      </c>
      <c r="G947" s="3">
        <v>2</v>
      </c>
      <c r="H947" s="3">
        <v>355</v>
      </c>
      <c r="I947" s="3">
        <v>367.5</v>
      </c>
      <c r="J947" s="3">
        <v>372.5</v>
      </c>
      <c r="K947" s="4" t="e">
        <f t="array" aca="1" ref="K947">MAX(H947:J947*(1-strike(H947:J947)))</f>
        <v>#NAME?</v>
      </c>
      <c r="L947" s="3">
        <v>347.5</v>
      </c>
      <c r="M947" s="3">
        <v>355</v>
      </c>
      <c r="N947" s="1">
        <v>363</v>
      </c>
      <c r="O947" s="4" t="e">
        <f t="array" aca="1" ref="O947">MAX(L947:N947*(1-strike(L947:N947)))</f>
        <v>#NAME?</v>
      </c>
      <c r="P947" s="3">
        <v>310</v>
      </c>
      <c r="Q947" s="3">
        <v>322.5</v>
      </c>
      <c r="R947" s="1">
        <v>330</v>
      </c>
      <c r="S947" s="4" t="e">
        <f t="array" aca="1" ref="S947">MAX(P947:R947*(1-strike(P947:R947)))</f>
        <v>#NAME?</v>
      </c>
      <c r="T947" s="4" t="e">
        <f t="shared" si="14"/>
        <v>#NAME?</v>
      </c>
      <c r="U947" s="3">
        <v>1050</v>
      </c>
      <c r="V947" s="3">
        <v>582.42999999999995</v>
      </c>
      <c r="W947" s="3">
        <v>4</v>
      </c>
      <c r="X947" s="5">
        <v>2013</v>
      </c>
      <c r="Y947" s="5" t="s">
        <v>29</v>
      </c>
      <c r="Z947" s="5" t="s">
        <v>171</v>
      </c>
      <c r="AA947" s="5">
        <v>918</v>
      </c>
    </row>
    <row r="948" spans="1:27">
      <c r="A948" s="4">
        <v>3</v>
      </c>
      <c r="B948" s="4" t="s">
        <v>787</v>
      </c>
      <c r="C948" s="4">
        <v>1979</v>
      </c>
      <c r="D948" s="4" t="s">
        <v>35</v>
      </c>
      <c r="E948" s="4">
        <v>150.9</v>
      </c>
      <c r="F948" s="4">
        <v>0.55279999999999996</v>
      </c>
      <c r="G948" s="4">
        <v>4</v>
      </c>
      <c r="H948" s="6">
        <v>362.5</v>
      </c>
      <c r="I948" s="4">
        <v>362.5</v>
      </c>
      <c r="J948" s="4">
        <v>370</v>
      </c>
      <c r="K948" s="4" t="e">
        <f t="array" aca="1" ref="K948">MAX(H948:J948*(1-strike(H948:J948)))</f>
        <v>#NAME?</v>
      </c>
      <c r="L948" s="4">
        <v>352.5</v>
      </c>
      <c r="M948" s="4">
        <v>360</v>
      </c>
      <c r="N948" s="6">
        <v>371.5</v>
      </c>
      <c r="O948" s="4" t="e">
        <f t="array" aca="1" ref="O948">MAX(L948:N948*(1-strike(L948:N948)))</f>
        <v>#NAME?</v>
      </c>
      <c r="P948" s="4">
        <v>305</v>
      </c>
      <c r="Q948" s="6">
        <v>332.5</v>
      </c>
      <c r="R948" s="6">
        <v>345</v>
      </c>
      <c r="S948" s="4" t="e">
        <f t="array" aca="1" ref="S948">MAX(P948:R948*(1-strike(P948:R948)))</f>
        <v>#NAME?</v>
      </c>
      <c r="T948" s="4" t="e">
        <f t="shared" si="14"/>
        <v>#NAME?</v>
      </c>
      <c r="U948" s="4">
        <v>1035</v>
      </c>
      <c r="V948" s="4">
        <v>572.15</v>
      </c>
      <c r="W948" s="4">
        <v>8</v>
      </c>
      <c r="X948" s="5">
        <v>2014</v>
      </c>
      <c r="Y948" s="5" t="s">
        <v>29</v>
      </c>
      <c r="Z948" s="5" t="s">
        <v>171</v>
      </c>
      <c r="AA948" s="5">
        <v>556</v>
      </c>
    </row>
    <row r="949" spans="1:27">
      <c r="A949" s="4" t="s">
        <v>37</v>
      </c>
      <c r="B949" s="4" t="s">
        <v>787</v>
      </c>
      <c r="C949" s="4">
        <v>1979</v>
      </c>
      <c r="D949" s="4" t="s">
        <v>35</v>
      </c>
      <c r="E949" s="4">
        <v>153.29</v>
      </c>
      <c r="F949" s="4">
        <v>0.55159999999999998</v>
      </c>
      <c r="G949" s="4">
        <v>4</v>
      </c>
      <c r="H949" s="4">
        <v>365</v>
      </c>
      <c r="I949" s="4">
        <v>372.5</v>
      </c>
      <c r="J949" s="6">
        <v>377.5</v>
      </c>
      <c r="K949" s="4" t="e">
        <f t="array" aca="1" ref="K949">MAX(H949:J949*(1-strike(H949:J949)))</f>
        <v>#NAME?</v>
      </c>
      <c r="L949" s="6">
        <v>367.5</v>
      </c>
      <c r="M949" s="6">
        <v>371.5</v>
      </c>
      <c r="N949" s="6">
        <v>375.5</v>
      </c>
      <c r="O949" s="4" t="e">
        <f t="array" aca="1" ref="O949">MAX(L949:N949*(1-strike(L949:N949)))</f>
        <v>#NAME?</v>
      </c>
      <c r="P949" s="4"/>
      <c r="Q949" s="4"/>
      <c r="R949" s="4"/>
      <c r="S949" s="4" t="e">
        <f t="array" aca="1" ref="S949">MAX(P949:R949*(1-strike(P949:R949)))</f>
        <v>#NAME?</v>
      </c>
      <c r="T949" s="4" t="e">
        <f t="shared" si="14"/>
        <v>#NAME?</v>
      </c>
      <c r="U949" s="4" t="s">
        <v>187</v>
      </c>
      <c r="V949" s="4" t="s">
        <v>37</v>
      </c>
      <c r="W949" s="4" t="s">
        <v>37</v>
      </c>
      <c r="X949" s="5">
        <v>2015</v>
      </c>
      <c r="Y949" s="5" t="s">
        <v>29</v>
      </c>
      <c r="Z949" s="5" t="s">
        <v>171</v>
      </c>
      <c r="AA949" s="5">
        <v>129</v>
      </c>
    </row>
    <row r="950" spans="1:27" ht="15" customHeight="1">
      <c r="A950" s="3">
        <v>4</v>
      </c>
      <c r="B950" s="3" t="s">
        <v>788</v>
      </c>
      <c r="C950" s="3">
        <v>1987</v>
      </c>
      <c r="D950" s="3" t="s">
        <v>119</v>
      </c>
      <c r="E950" s="3">
        <v>160.06</v>
      </c>
      <c r="F950" s="3">
        <v>0.54820000000000002</v>
      </c>
      <c r="G950" s="3">
        <v>15</v>
      </c>
      <c r="H950" s="3">
        <v>420</v>
      </c>
      <c r="I950" s="3">
        <v>442.5</v>
      </c>
      <c r="J950" s="1">
        <v>450</v>
      </c>
      <c r="K950" s="4" t="e">
        <f t="array" aca="1" ref="K950">MAX(H950:J950*(1-strike(H950:J950)))</f>
        <v>#NAME?</v>
      </c>
      <c r="L950" s="3">
        <v>310</v>
      </c>
      <c r="M950" s="3">
        <v>320</v>
      </c>
      <c r="N950" s="1">
        <v>327.5</v>
      </c>
      <c r="O950" s="4" t="e">
        <f t="array" aca="1" ref="O950">MAX(L950:N950*(1-strike(L950:N950)))</f>
        <v>#NAME?</v>
      </c>
      <c r="P950" s="3">
        <v>330</v>
      </c>
      <c r="Q950" s="1">
        <v>357.5</v>
      </c>
      <c r="R950" s="1">
        <v>370</v>
      </c>
      <c r="S950" s="4" t="e">
        <f t="array" aca="1" ref="S950">MAX(P950:R950*(1-strike(P950:R950)))</f>
        <v>#NAME?</v>
      </c>
      <c r="T950" s="4" t="e">
        <f t="shared" si="14"/>
        <v>#NAME?</v>
      </c>
      <c r="U950" s="3">
        <v>1092.5</v>
      </c>
      <c r="V950" s="3">
        <v>598.9</v>
      </c>
      <c r="W950" s="3">
        <v>7</v>
      </c>
      <c r="X950" s="5">
        <v>2012</v>
      </c>
      <c r="Y950" s="5" t="s">
        <v>29</v>
      </c>
      <c r="Z950" s="5" t="s">
        <v>171</v>
      </c>
      <c r="AA950" s="5">
        <v>1319</v>
      </c>
    </row>
    <row r="951" spans="1:27">
      <c r="A951" s="3" t="s">
        <v>37</v>
      </c>
      <c r="B951" s="3" t="s">
        <v>789</v>
      </c>
      <c r="C951" s="3">
        <v>1984</v>
      </c>
      <c r="D951" s="3" t="s">
        <v>85</v>
      </c>
      <c r="E951" s="3">
        <v>58.55</v>
      </c>
      <c r="F951" s="3">
        <v>0.87239999999999995</v>
      </c>
      <c r="G951" s="3">
        <v>3</v>
      </c>
      <c r="H951" s="1">
        <v>230</v>
      </c>
      <c r="I951" s="1">
        <v>230</v>
      </c>
      <c r="J951" s="1">
        <v>230</v>
      </c>
      <c r="K951" s="4" t="e">
        <f t="array" aca="1" ref="K951">MAX(H951:J951*(1-strike(H951:J951)))</f>
        <v>#NAME?</v>
      </c>
      <c r="L951" s="1">
        <v>130</v>
      </c>
      <c r="M951" s="1">
        <v>130</v>
      </c>
      <c r="N951" s="3">
        <v>130</v>
      </c>
      <c r="O951" s="4" t="e">
        <f t="array" aca="1" ref="O951">MAX(L951:N951*(1-strike(L951:N951)))</f>
        <v>#NAME?</v>
      </c>
      <c r="P951" s="3">
        <v>180</v>
      </c>
      <c r="Q951" s="1">
        <v>190</v>
      </c>
      <c r="R951" s="1">
        <v>190</v>
      </c>
      <c r="S951" s="4" t="e">
        <f t="array" aca="1" ref="S951">MAX(P951:R951*(1-strike(P951:R951)))</f>
        <v>#NAME?</v>
      </c>
      <c r="T951" s="4" t="e">
        <f t="shared" si="14"/>
        <v>#NAME?</v>
      </c>
      <c r="U951" s="3" t="s">
        <v>40</v>
      </c>
      <c r="V951" s="3" t="s">
        <v>37</v>
      </c>
      <c r="W951" s="3" t="s">
        <v>37</v>
      </c>
      <c r="X951" s="5">
        <v>2013</v>
      </c>
      <c r="Y951" s="5" t="s">
        <v>29</v>
      </c>
      <c r="Z951" s="5" t="s">
        <v>171</v>
      </c>
      <c r="AA951" s="5">
        <v>822</v>
      </c>
    </row>
    <row r="952" spans="1:27">
      <c r="A952" s="3">
        <v>4</v>
      </c>
      <c r="B952" s="3" t="s">
        <v>155</v>
      </c>
      <c r="C952" s="3">
        <v>1985</v>
      </c>
      <c r="D952" s="3" t="s">
        <v>77</v>
      </c>
      <c r="E952" s="3">
        <v>103.1</v>
      </c>
      <c r="F952" s="3">
        <v>0.60150000000000003</v>
      </c>
      <c r="G952" s="3">
        <v>5</v>
      </c>
      <c r="H952" s="3">
        <v>250</v>
      </c>
      <c r="I952" s="3">
        <v>270</v>
      </c>
      <c r="J952" s="3">
        <v>285</v>
      </c>
      <c r="K952" s="4" t="e">
        <f t="array" aca="1" ref="K952">MAX(H952:J952*(1-strike(H952:J952)))</f>
        <v>#NAME?</v>
      </c>
      <c r="L952" s="3">
        <v>197.5</v>
      </c>
      <c r="M952" s="3">
        <v>205</v>
      </c>
      <c r="N952" s="3">
        <v>210</v>
      </c>
      <c r="O952" s="4" t="e">
        <f t="array" aca="1" ref="O952">MAX(L952:N952*(1-strike(L952:N952)))</f>
        <v>#NAME?</v>
      </c>
      <c r="P952" s="3">
        <v>250</v>
      </c>
      <c r="Q952" s="3">
        <v>270</v>
      </c>
      <c r="R952" s="3">
        <v>285</v>
      </c>
      <c r="S952" s="4" t="e">
        <f t="array" aca="1" ref="S952">MAX(P952:R952*(1-strike(P952:R952)))</f>
        <v>#NAME?</v>
      </c>
      <c r="T952" s="4" t="e">
        <f t="shared" si="14"/>
        <v>#NAME?</v>
      </c>
      <c r="U952" s="3">
        <v>780</v>
      </c>
      <c r="V952" s="3">
        <v>469.17</v>
      </c>
      <c r="W952" s="3">
        <v>7</v>
      </c>
      <c r="X952" s="5">
        <v>2013</v>
      </c>
      <c r="Y952" s="5" t="s">
        <v>29</v>
      </c>
      <c r="Z952" s="5" t="s">
        <v>30</v>
      </c>
      <c r="AA952" s="5">
        <v>1074</v>
      </c>
    </row>
    <row r="953" spans="1:27">
      <c r="A953" s="4">
        <v>6</v>
      </c>
      <c r="B953" s="4" t="s">
        <v>155</v>
      </c>
      <c r="C953" s="4">
        <v>1985</v>
      </c>
      <c r="D953" s="4" t="s">
        <v>77</v>
      </c>
      <c r="E953" s="4">
        <v>103.69</v>
      </c>
      <c r="F953" s="4">
        <v>0.60019999999999996</v>
      </c>
      <c r="G953" s="4">
        <v>8</v>
      </c>
      <c r="H953" s="4">
        <v>262.5</v>
      </c>
      <c r="I953" s="4">
        <v>282.5</v>
      </c>
      <c r="J953" s="4">
        <v>295</v>
      </c>
      <c r="K953" s="4" t="e">
        <f t="array" aca="1" ref="K953">MAX(H953:J953*(1-strike(H953:J953)))</f>
        <v>#NAME?</v>
      </c>
      <c r="L953" s="4">
        <v>197.5</v>
      </c>
      <c r="M953" s="4">
        <v>207.5</v>
      </c>
      <c r="N953" s="4">
        <v>212.5</v>
      </c>
      <c r="O953" s="4" t="e">
        <f t="array" aca="1" ref="O953">MAX(L953:N953*(1-strike(L953:N953)))</f>
        <v>#NAME?</v>
      </c>
      <c r="P953" s="4">
        <v>255</v>
      </c>
      <c r="Q953" s="4">
        <v>275</v>
      </c>
      <c r="R953" s="4">
        <v>292.5</v>
      </c>
      <c r="S953" s="4" t="e">
        <f t="array" aca="1" ref="S953">MAX(P953:R953*(1-strike(P953:R953)))</f>
        <v>#NAME?</v>
      </c>
      <c r="T953" s="4" t="e">
        <f t="shared" si="14"/>
        <v>#NAME?</v>
      </c>
      <c r="U953" s="4">
        <v>800</v>
      </c>
      <c r="V953" s="4">
        <v>480.16</v>
      </c>
      <c r="W953" s="4">
        <v>5</v>
      </c>
      <c r="X953" s="5">
        <v>2015</v>
      </c>
      <c r="Y953" s="5" t="s">
        <v>29</v>
      </c>
      <c r="Z953" s="5" t="s">
        <v>30</v>
      </c>
      <c r="AA953" s="5">
        <v>298</v>
      </c>
    </row>
    <row r="954" spans="1:27">
      <c r="A954" s="4" t="s">
        <v>37</v>
      </c>
      <c r="B954" s="4" t="s">
        <v>790</v>
      </c>
      <c r="C954" s="4">
        <v>1988</v>
      </c>
      <c r="D954" s="4" t="s">
        <v>77</v>
      </c>
      <c r="E954" s="4">
        <v>58.54</v>
      </c>
      <c r="F954" s="4">
        <v>0.87309999999999999</v>
      </c>
      <c r="G954" s="4">
        <v>7</v>
      </c>
      <c r="H954" s="4">
        <v>210</v>
      </c>
      <c r="I954" s="4">
        <v>217.5</v>
      </c>
      <c r="J954" s="4">
        <v>222.5</v>
      </c>
      <c r="K954" s="4" t="e">
        <f t="array" aca="1" ref="K954">MAX(H954:J954*(1-strike(H954:J954)))</f>
        <v>#NAME?</v>
      </c>
      <c r="L954" s="6">
        <v>175</v>
      </c>
      <c r="M954" s="6">
        <v>175</v>
      </c>
      <c r="N954" s="6">
        <v>175</v>
      </c>
      <c r="O954" s="4" t="e">
        <f t="array" aca="1" ref="O954">MAX(L954:N954*(1-strike(L954:N954)))</f>
        <v>#NAME?</v>
      </c>
      <c r="P954" s="4">
        <v>190</v>
      </c>
      <c r="Q954" s="4">
        <v>200</v>
      </c>
      <c r="R954" s="4">
        <v>210</v>
      </c>
      <c r="S954" s="4" t="e">
        <f t="array" aca="1" ref="S954">MAX(P954:R954*(1-strike(P954:R954)))</f>
        <v>#NAME?</v>
      </c>
      <c r="T954" s="4" t="e">
        <f t="shared" si="14"/>
        <v>#NAME?</v>
      </c>
      <c r="U954" s="4" t="s">
        <v>187</v>
      </c>
      <c r="V954" s="4" t="s">
        <v>37</v>
      </c>
      <c r="W954" s="4" t="s">
        <v>37</v>
      </c>
      <c r="X954" s="5">
        <v>2014</v>
      </c>
      <c r="Y954" s="5" t="s">
        <v>29</v>
      </c>
      <c r="Z954" s="5" t="s">
        <v>171</v>
      </c>
      <c r="AA954" s="5">
        <v>450</v>
      </c>
    </row>
    <row r="955" spans="1:27">
      <c r="A955" s="3">
        <v>15</v>
      </c>
      <c r="B955" s="3" t="s">
        <v>791</v>
      </c>
      <c r="C955" s="3">
        <v>1968</v>
      </c>
      <c r="D955" s="3" t="s">
        <v>336</v>
      </c>
      <c r="E955" s="3">
        <v>82.22</v>
      </c>
      <c r="F955" s="3">
        <v>0.67130000000000001</v>
      </c>
      <c r="G955" s="3">
        <v>10</v>
      </c>
      <c r="H955" s="3">
        <v>325</v>
      </c>
      <c r="I955" s="1">
        <v>337.5</v>
      </c>
      <c r="J955" s="3">
        <v>340</v>
      </c>
      <c r="K955" s="4" t="e">
        <f t="array" aca="1" ref="K955">MAX(H955:J955*(1-strike(H955:J955)))</f>
        <v>#NAME?</v>
      </c>
      <c r="L955" s="3">
        <v>190</v>
      </c>
      <c r="M955" s="3">
        <v>197.5</v>
      </c>
      <c r="N955" s="1">
        <v>202.5</v>
      </c>
      <c r="O955" s="4" t="e">
        <f t="array" aca="1" ref="O955">MAX(L955:N955*(1-strike(L955:N955)))</f>
        <v>#NAME?</v>
      </c>
      <c r="P955" s="3">
        <v>255</v>
      </c>
      <c r="Q955" s="3">
        <v>265</v>
      </c>
      <c r="R955" s="1">
        <v>272.5</v>
      </c>
      <c r="S955" s="4" t="e">
        <f t="array" aca="1" ref="S955">MAX(P955:R955*(1-strike(P955:R955)))</f>
        <v>#NAME?</v>
      </c>
      <c r="T955" s="4" t="e">
        <f t="shared" si="14"/>
        <v>#NAME?</v>
      </c>
      <c r="U955" s="3">
        <v>802.5</v>
      </c>
      <c r="V955" s="3">
        <v>538.71</v>
      </c>
      <c r="W955" s="3">
        <v>1</v>
      </c>
      <c r="X955" s="5">
        <v>2012</v>
      </c>
      <c r="Y955" s="5" t="s">
        <v>29</v>
      </c>
      <c r="Z955" s="5" t="s">
        <v>171</v>
      </c>
      <c r="AA955" s="5">
        <v>1248</v>
      </c>
    </row>
    <row r="956" spans="1:27">
      <c r="A956" s="3">
        <v>8</v>
      </c>
      <c r="B956" s="3" t="s">
        <v>791</v>
      </c>
      <c r="C956" s="3">
        <v>1968</v>
      </c>
      <c r="D956" s="3" t="s">
        <v>336</v>
      </c>
      <c r="E956" s="3">
        <v>81.55</v>
      </c>
      <c r="F956" s="3">
        <v>0.67459999999999998</v>
      </c>
      <c r="G956" s="3">
        <v>5</v>
      </c>
      <c r="H956" s="1">
        <v>310</v>
      </c>
      <c r="I956" s="3">
        <v>310</v>
      </c>
      <c r="J956" s="3">
        <v>325</v>
      </c>
      <c r="K956" s="4" t="e">
        <f t="array" aca="1" ref="K956">MAX(H956:J956*(1-strike(H956:J956)))</f>
        <v>#NAME?</v>
      </c>
      <c r="L956" s="3">
        <v>170</v>
      </c>
      <c r="M956" s="1">
        <v>180</v>
      </c>
      <c r="N956" s="1">
        <v>180</v>
      </c>
      <c r="O956" s="4" t="e">
        <f t="array" aca="1" ref="O956">MAX(L956:N956*(1-strike(L956:N956)))</f>
        <v>#NAME?</v>
      </c>
      <c r="P956" s="3">
        <v>242.5</v>
      </c>
      <c r="Q956" s="1">
        <v>252.5</v>
      </c>
      <c r="R956" s="3">
        <v>260</v>
      </c>
      <c r="S956" s="4" t="e">
        <f t="array" aca="1" ref="S956">MAX(P956:R956*(1-strike(P956:R956)))</f>
        <v>#NAME?</v>
      </c>
      <c r="T956" s="4" t="e">
        <f t="shared" si="14"/>
        <v>#NAME?</v>
      </c>
      <c r="U956" s="3">
        <v>755</v>
      </c>
      <c r="V956" s="3">
        <v>509.32</v>
      </c>
      <c r="W956" s="3">
        <v>3</v>
      </c>
      <c r="X956" s="5">
        <v>2013</v>
      </c>
      <c r="Y956" s="5" t="s">
        <v>29</v>
      </c>
      <c r="Z956" s="5" t="s">
        <v>171</v>
      </c>
      <c r="AA956" s="5">
        <v>859</v>
      </c>
    </row>
    <row r="957" spans="1:27">
      <c r="A957" s="4">
        <v>7</v>
      </c>
      <c r="B957" s="4" t="s">
        <v>791</v>
      </c>
      <c r="C957" s="4">
        <v>1968</v>
      </c>
      <c r="D957" s="4" t="s">
        <v>336</v>
      </c>
      <c r="E957" s="4">
        <v>82.56</v>
      </c>
      <c r="F957" s="4">
        <v>0.6694</v>
      </c>
      <c r="G957" s="4">
        <v>4</v>
      </c>
      <c r="H957" s="6">
        <v>310</v>
      </c>
      <c r="I957" s="4">
        <v>310</v>
      </c>
      <c r="J957" s="4">
        <v>317.5</v>
      </c>
      <c r="K957" s="4" t="e">
        <f t="array" aca="1" ref="K957">MAX(H957:J957*(1-strike(H957:J957)))</f>
        <v>#NAME?</v>
      </c>
      <c r="L957" s="4">
        <v>190</v>
      </c>
      <c r="M957" s="6">
        <v>197.5</v>
      </c>
      <c r="N957" s="6">
        <v>197.5</v>
      </c>
      <c r="O957" s="4" t="e">
        <f t="array" aca="1" ref="O957">MAX(L957:N957*(1-strike(L957:N957)))</f>
        <v>#NAME?</v>
      </c>
      <c r="P957" s="4">
        <v>252.5</v>
      </c>
      <c r="Q957" s="4">
        <v>260</v>
      </c>
      <c r="R957" s="4">
        <v>267.5</v>
      </c>
      <c r="S957" s="4" t="e">
        <f t="array" aca="1" ref="S957">MAX(P957:R957*(1-strike(P957:R957)))</f>
        <v>#NAME?</v>
      </c>
      <c r="T957" s="4" t="e">
        <f t="shared" si="14"/>
        <v>#NAME?</v>
      </c>
      <c r="U957" s="4">
        <v>775</v>
      </c>
      <c r="V957" s="4">
        <v>518.78</v>
      </c>
      <c r="W957" s="4">
        <v>4</v>
      </c>
      <c r="X957" s="5">
        <v>2014</v>
      </c>
      <c r="Y957" s="5" t="s">
        <v>29</v>
      </c>
      <c r="Z957" s="5" t="s">
        <v>171</v>
      </c>
      <c r="AA957" s="5">
        <v>482</v>
      </c>
    </row>
    <row r="958" spans="1:27">
      <c r="A958" s="3">
        <v>6</v>
      </c>
      <c r="B958" s="3" t="s">
        <v>792</v>
      </c>
      <c r="C958" s="3">
        <v>1987</v>
      </c>
      <c r="D958" s="3" t="s">
        <v>228</v>
      </c>
      <c r="E958" s="3">
        <v>82.35</v>
      </c>
      <c r="F958" s="3">
        <v>0.67059999999999997</v>
      </c>
      <c r="G958" s="3">
        <v>20</v>
      </c>
      <c r="H958" s="3">
        <v>210</v>
      </c>
      <c r="I958" s="3">
        <v>220</v>
      </c>
      <c r="J958" s="3">
        <v>230</v>
      </c>
      <c r="K958" s="4" t="e">
        <f t="array" aca="1" ref="K958">MAX(H958:J958*(1-strike(H958:J958)))</f>
        <v>#NAME?</v>
      </c>
      <c r="L958" s="3">
        <v>160</v>
      </c>
      <c r="M958" s="3">
        <v>167.5</v>
      </c>
      <c r="N958" s="1">
        <v>170</v>
      </c>
      <c r="O958" s="4" t="e">
        <f t="array" aca="1" ref="O958">MAX(L958:N958*(1-strike(L958:N958)))</f>
        <v>#NAME?</v>
      </c>
      <c r="P958" s="3">
        <v>225</v>
      </c>
      <c r="Q958" s="3">
        <v>235</v>
      </c>
      <c r="R958" s="3">
        <v>242.5</v>
      </c>
      <c r="S958" s="4" t="e">
        <f t="array" aca="1" ref="S958">MAX(P958:R958*(1-strike(P958:R958)))</f>
        <v>#NAME?</v>
      </c>
      <c r="T958" s="4" t="e">
        <f t="shared" si="14"/>
        <v>#NAME?</v>
      </c>
      <c r="U958" s="3">
        <v>640</v>
      </c>
      <c r="V958" s="3">
        <v>429.22</v>
      </c>
      <c r="W958" s="3">
        <v>5</v>
      </c>
      <c r="X958" s="5">
        <v>2013</v>
      </c>
      <c r="Y958" s="5" t="s">
        <v>29</v>
      </c>
      <c r="Z958" s="5" t="s">
        <v>30</v>
      </c>
      <c r="AA958" s="5">
        <v>1049</v>
      </c>
    </row>
    <row r="959" spans="1:27">
      <c r="A959" s="4">
        <v>9</v>
      </c>
      <c r="B959" s="4" t="s">
        <v>792</v>
      </c>
      <c r="C959" s="4">
        <v>1987</v>
      </c>
      <c r="D959" s="4" t="s">
        <v>228</v>
      </c>
      <c r="E959" s="4">
        <v>91.25</v>
      </c>
      <c r="F959" s="4">
        <v>0.63400000000000001</v>
      </c>
      <c r="G959" s="4">
        <v>10</v>
      </c>
      <c r="H959" s="6">
        <v>230</v>
      </c>
      <c r="I959" s="4">
        <v>230</v>
      </c>
      <c r="J959" s="4">
        <v>242.5</v>
      </c>
      <c r="K959" s="4" t="e">
        <f t="array" aca="1" ref="K959">MAX(H959:J959*(1-strike(H959:J959)))</f>
        <v>#NAME?</v>
      </c>
      <c r="L959" s="4">
        <v>180</v>
      </c>
      <c r="M959" s="4">
        <v>190</v>
      </c>
      <c r="N959" s="4">
        <v>195</v>
      </c>
      <c r="O959" s="4" t="e">
        <f t="array" aca="1" ref="O959">MAX(L959:N959*(1-strike(L959:N959)))</f>
        <v>#NAME?</v>
      </c>
      <c r="P959" s="4">
        <v>270</v>
      </c>
      <c r="Q959" s="4">
        <v>285</v>
      </c>
      <c r="R959" s="6">
        <v>295</v>
      </c>
      <c r="S959" s="4" t="e">
        <f t="array" aca="1" ref="S959">MAX(P959:R959*(1-strike(P959:R959)))</f>
        <v>#NAME?</v>
      </c>
      <c r="T959" s="4" t="e">
        <f t="shared" si="14"/>
        <v>#NAME?</v>
      </c>
      <c r="U959" s="4">
        <v>722.5</v>
      </c>
      <c r="V959" s="4">
        <v>458.06</v>
      </c>
      <c r="W959" s="4">
        <v>2</v>
      </c>
      <c r="X959" s="5">
        <v>2014</v>
      </c>
      <c r="Y959" s="5" t="s">
        <v>29</v>
      </c>
      <c r="Z959" s="5" t="s">
        <v>30</v>
      </c>
      <c r="AA959" s="5">
        <v>705</v>
      </c>
    </row>
    <row r="960" spans="1:27">
      <c r="A960" s="4" t="s">
        <v>37</v>
      </c>
      <c r="B960" s="4" t="s">
        <v>792</v>
      </c>
      <c r="C960" s="4">
        <v>1987</v>
      </c>
      <c r="D960" s="4" t="s">
        <v>228</v>
      </c>
      <c r="E960" s="4">
        <v>92.39</v>
      </c>
      <c r="F960" s="4">
        <v>0.63019999999999998</v>
      </c>
      <c r="G960" s="4">
        <v>10</v>
      </c>
      <c r="H960" s="4">
        <v>245</v>
      </c>
      <c r="I960" s="6">
        <v>257.5</v>
      </c>
      <c r="J960" s="4">
        <v>257.5</v>
      </c>
      <c r="K960" s="4" t="e">
        <f t="array" aca="1" ref="K960">MAX(H960:J960*(1-strike(H960:J960)))</f>
        <v>#NAME?</v>
      </c>
      <c r="L960" s="4">
        <v>190</v>
      </c>
      <c r="M960" s="6">
        <v>200</v>
      </c>
      <c r="N960" s="6">
        <v>200</v>
      </c>
      <c r="O960" s="4" t="e">
        <f t="array" aca="1" ref="O960">MAX(L960:N960*(1-strike(L960:N960)))</f>
        <v>#NAME?</v>
      </c>
      <c r="P960" s="4"/>
      <c r="Q960" s="4"/>
      <c r="R960" s="4"/>
      <c r="S960" s="4" t="e">
        <f t="array" aca="1" ref="S960">MAX(P960:R960*(1-strike(P960:R960)))</f>
        <v>#NAME?</v>
      </c>
      <c r="T960" s="4" t="e">
        <f t="shared" si="14"/>
        <v>#NAME?</v>
      </c>
      <c r="U960" s="4" t="s">
        <v>187</v>
      </c>
      <c r="V960" s="4" t="s">
        <v>37</v>
      </c>
      <c r="W960" s="4" t="s">
        <v>37</v>
      </c>
      <c r="X960" s="5">
        <v>2015</v>
      </c>
      <c r="Y960" s="5" t="s">
        <v>29</v>
      </c>
      <c r="Z960" s="5" t="s">
        <v>30</v>
      </c>
      <c r="AA960" s="5">
        <v>290</v>
      </c>
    </row>
    <row r="961" spans="1:27">
      <c r="A961" s="3">
        <v>13</v>
      </c>
      <c r="B961" s="3" t="s">
        <v>793</v>
      </c>
      <c r="C961" s="3">
        <v>1979</v>
      </c>
      <c r="D961" s="3" t="s">
        <v>125</v>
      </c>
      <c r="E961" s="3">
        <v>82.13</v>
      </c>
      <c r="F961" s="3">
        <v>0.67179999999999995</v>
      </c>
      <c r="G961" s="3">
        <v>3</v>
      </c>
      <c r="H961" s="3">
        <v>280</v>
      </c>
      <c r="I961" s="1">
        <v>300</v>
      </c>
      <c r="J961" s="1">
        <v>300</v>
      </c>
      <c r="K961" s="4" t="e">
        <f t="array" aca="1" ref="K961">MAX(H961:J961*(1-strike(H961:J961)))</f>
        <v>#NAME?</v>
      </c>
      <c r="L961" s="1">
        <v>225</v>
      </c>
      <c r="M961" s="3">
        <v>225</v>
      </c>
      <c r="N961" s="1">
        <v>230</v>
      </c>
      <c r="O961" s="4" t="e">
        <f t="array" aca="1" ref="O961">MAX(L961:N961*(1-strike(L961:N961)))</f>
        <v>#NAME?</v>
      </c>
      <c r="P961" s="3">
        <v>285</v>
      </c>
      <c r="Q961" s="1">
        <v>300</v>
      </c>
      <c r="R961" s="3">
        <v>300</v>
      </c>
      <c r="S961" s="4" t="e">
        <f t="array" aca="1" ref="S961">MAX(P961:R961*(1-strike(P961:R961)))</f>
        <v>#NAME?</v>
      </c>
      <c r="T961" s="4" t="e">
        <f t="shared" si="14"/>
        <v>#NAME?</v>
      </c>
      <c r="U961" s="3">
        <v>805</v>
      </c>
      <c r="V961" s="3">
        <v>540.75</v>
      </c>
      <c r="W961" s="3">
        <v>1</v>
      </c>
      <c r="X961" s="5">
        <v>2012</v>
      </c>
      <c r="Y961" s="5" t="s">
        <v>29</v>
      </c>
      <c r="Z961" s="5" t="s">
        <v>171</v>
      </c>
      <c r="AA961" s="5">
        <v>1246</v>
      </c>
    </row>
    <row r="962" spans="1:27">
      <c r="A962" s="4">
        <v>6</v>
      </c>
      <c r="B962" s="4" t="s">
        <v>793</v>
      </c>
      <c r="C962" s="4">
        <v>1977</v>
      </c>
      <c r="D962" s="4" t="s">
        <v>125</v>
      </c>
      <c r="E962" s="4">
        <v>82.32</v>
      </c>
      <c r="F962" s="4">
        <v>0.67090000000000005</v>
      </c>
      <c r="G962" s="4">
        <v>15</v>
      </c>
      <c r="H962" s="4">
        <v>260</v>
      </c>
      <c r="I962" s="6">
        <v>280</v>
      </c>
      <c r="J962" s="6">
        <v>290</v>
      </c>
      <c r="K962" s="4" t="e">
        <f t="array" aca="1" ref="K962">MAX(H962:J962*(1-strike(H962:J962)))</f>
        <v>#NAME?</v>
      </c>
      <c r="L962" s="4">
        <v>220</v>
      </c>
      <c r="M962" s="6">
        <v>227.5</v>
      </c>
      <c r="N962" s="6">
        <v>230</v>
      </c>
      <c r="O962" s="4" t="e">
        <f t="array" aca="1" ref="O962">MAX(L962:N962*(1-strike(L962:N962)))</f>
        <v>#NAME?</v>
      </c>
      <c r="P962" s="4">
        <v>270</v>
      </c>
      <c r="Q962" s="4">
        <v>287.5</v>
      </c>
      <c r="R962" s="4">
        <v>295</v>
      </c>
      <c r="S962" s="4" t="e">
        <f t="array" aca="1" ref="S962">MAX(P962:R962*(1-strike(P962:R962)))</f>
        <v>#NAME?</v>
      </c>
      <c r="T962" s="4" t="e">
        <f t="shared" ref="T962:T1025" si="15">IF(AND(K962&lt;&gt;0,O962&lt;&gt;0,S962&lt;&gt;0),K962+O962+S962,0)</f>
        <v>#NAME?</v>
      </c>
      <c r="U962" s="4">
        <v>775</v>
      </c>
      <c r="V962" s="4">
        <v>519.95000000000005</v>
      </c>
      <c r="W962" s="4">
        <v>5</v>
      </c>
      <c r="X962" s="5">
        <v>2014</v>
      </c>
      <c r="Y962" s="5" t="s">
        <v>29</v>
      </c>
      <c r="Z962" s="5" t="s">
        <v>171</v>
      </c>
      <c r="AA962" s="5">
        <v>481</v>
      </c>
    </row>
    <row r="963" spans="1:27">
      <c r="A963" s="3">
        <v>1</v>
      </c>
      <c r="B963" s="3" t="s">
        <v>794</v>
      </c>
      <c r="C963" s="3">
        <v>1989</v>
      </c>
      <c r="D963" s="3" t="s">
        <v>119</v>
      </c>
      <c r="E963" s="3">
        <v>137.94</v>
      </c>
      <c r="F963" s="3">
        <v>0.56010000000000004</v>
      </c>
      <c r="G963" s="3">
        <v>4</v>
      </c>
      <c r="H963" s="3">
        <v>410</v>
      </c>
      <c r="I963" s="3">
        <v>425</v>
      </c>
      <c r="J963" s="3">
        <v>435</v>
      </c>
      <c r="K963" s="4" t="e">
        <f t="array" aca="1" ref="K963">MAX(H963:J963*(1-strike(H963:J963)))</f>
        <v>#NAME?</v>
      </c>
      <c r="L963" s="1">
        <v>345</v>
      </c>
      <c r="M963" s="3">
        <v>345</v>
      </c>
      <c r="N963" s="3">
        <v>357.5</v>
      </c>
      <c r="O963" s="4" t="e">
        <f t="array" aca="1" ref="O963">MAX(L963:N963*(1-strike(L963:N963)))</f>
        <v>#NAME?</v>
      </c>
      <c r="P963" s="3">
        <v>345</v>
      </c>
      <c r="Q963" s="1">
        <v>352.5</v>
      </c>
      <c r="R963" s="3">
        <v>355</v>
      </c>
      <c r="S963" s="4" t="e">
        <f t="array" aca="1" ref="S963">MAX(P963:R963*(1-strike(P963:R963)))</f>
        <v>#NAME?</v>
      </c>
      <c r="T963" s="4" t="e">
        <f t="shared" si="15"/>
        <v>#NAME?</v>
      </c>
      <c r="U963" s="3" t="s">
        <v>795</v>
      </c>
      <c r="V963" s="3">
        <v>642.66</v>
      </c>
      <c r="W963" s="3">
        <v>12</v>
      </c>
      <c r="X963" s="5">
        <v>2012</v>
      </c>
      <c r="Y963" s="5" t="s">
        <v>29</v>
      </c>
      <c r="Z963" s="5" t="s">
        <v>171</v>
      </c>
      <c r="AA963" s="5">
        <v>1316</v>
      </c>
    </row>
    <row r="964" spans="1:27">
      <c r="A964" s="3">
        <v>3</v>
      </c>
      <c r="B964" s="3" t="s">
        <v>794</v>
      </c>
      <c r="C964" s="3">
        <v>1989</v>
      </c>
      <c r="D964" s="3" t="s">
        <v>119</v>
      </c>
      <c r="E964" s="3">
        <v>143.19999999999999</v>
      </c>
      <c r="F964" s="3">
        <v>0.55700000000000005</v>
      </c>
      <c r="G964" s="3">
        <v>16</v>
      </c>
      <c r="H964" s="3">
        <v>430</v>
      </c>
      <c r="I964" s="3">
        <v>445</v>
      </c>
      <c r="J964" s="1">
        <v>455</v>
      </c>
      <c r="K964" s="4" t="e">
        <f t="array" aca="1" ref="K964">MAX(H964:J964*(1-strike(H964:J964)))</f>
        <v>#NAME?</v>
      </c>
      <c r="L964" s="3">
        <v>352.5</v>
      </c>
      <c r="M964" s="3">
        <v>362.5</v>
      </c>
      <c r="N964" s="3">
        <v>370</v>
      </c>
      <c r="O964" s="4" t="e">
        <f t="array" aca="1" ref="O964">MAX(L964:N964*(1-strike(L964:N964)))</f>
        <v>#NAME?</v>
      </c>
      <c r="P964" s="3">
        <v>340</v>
      </c>
      <c r="Q964" s="3">
        <v>355</v>
      </c>
      <c r="R964" s="1">
        <v>367.5</v>
      </c>
      <c r="S964" s="4" t="e">
        <f t="array" aca="1" ref="S964">MAX(P964:R964*(1-strike(P964:R964)))</f>
        <v>#NAME?</v>
      </c>
      <c r="T964" s="4" t="e">
        <f t="shared" si="15"/>
        <v>#NAME?</v>
      </c>
      <c r="U964" s="3">
        <v>1170</v>
      </c>
      <c r="V964" s="3">
        <v>651.69000000000005</v>
      </c>
      <c r="W964" s="3">
        <v>8</v>
      </c>
      <c r="X964" s="5">
        <v>2013</v>
      </c>
      <c r="Y964" s="5" t="s">
        <v>29</v>
      </c>
      <c r="Z964" s="5" t="s">
        <v>171</v>
      </c>
      <c r="AA964" s="5">
        <v>914</v>
      </c>
    </row>
    <row r="965" spans="1:27">
      <c r="A965" s="3" t="s">
        <v>37</v>
      </c>
      <c r="B965" s="3" t="s">
        <v>796</v>
      </c>
      <c r="C965" s="3">
        <v>1978</v>
      </c>
      <c r="D965" s="3" t="s">
        <v>137</v>
      </c>
      <c r="E965" s="3">
        <v>58.67</v>
      </c>
      <c r="F965" s="3">
        <v>0.87070000000000003</v>
      </c>
      <c r="G965" s="3">
        <v>1</v>
      </c>
      <c r="H965" s="1">
        <v>235</v>
      </c>
      <c r="I965" s="1">
        <v>240</v>
      </c>
      <c r="J965" s="1">
        <v>245</v>
      </c>
      <c r="K965" s="4" t="e">
        <f t="array" aca="1" ref="K965">MAX(H965:J965*(1-strike(H965:J965)))</f>
        <v>#NAME?</v>
      </c>
      <c r="L965" s="1">
        <v>150</v>
      </c>
      <c r="M965" s="1">
        <v>150</v>
      </c>
      <c r="N965" s="3">
        <v>150</v>
      </c>
      <c r="O965" s="4" t="e">
        <f t="array" aca="1" ref="O965">MAX(L965:N965*(1-strike(L965:N965)))</f>
        <v>#NAME?</v>
      </c>
      <c r="P965" s="3">
        <v>215</v>
      </c>
      <c r="Q965" s="3">
        <v>225</v>
      </c>
      <c r="R965" s="1">
        <v>230</v>
      </c>
      <c r="S965" s="4" t="e">
        <f t="array" aca="1" ref="S965">MAX(P965:R965*(1-strike(P965:R965)))</f>
        <v>#NAME?</v>
      </c>
      <c r="T965" s="4" t="e">
        <f t="shared" si="15"/>
        <v>#NAME?</v>
      </c>
      <c r="U965" s="3" t="s">
        <v>40</v>
      </c>
      <c r="V965" s="3" t="s">
        <v>37</v>
      </c>
      <c r="W965" s="3" t="s">
        <v>37</v>
      </c>
      <c r="X965" s="5">
        <v>2012</v>
      </c>
      <c r="Y965" s="5" t="s">
        <v>29</v>
      </c>
      <c r="Z965" s="5" t="s">
        <v>171</v>
      </c>
      <c r="AA965" s="5">
        <v>1201</v>
      </c>
    </row>
    <row r="966" spans="1:27">
      <c r="A966" s="4">
        <v>14</v>
      </c>
      <c r="B966" s="4" t="s">
        <v>797</v>
      </c>
      <c r="C966" s="4">
        <v>1989</v>
      </c>
      <c r="D966" s="4" t="s">
        <v>80</v>
      </c>
      <c r="E966" s="4">
        <v>145.44999999999999</v>
      </c>
      <c r="F966" s="4">
        <v>0.55569999999999997</v>
      </c>
      <c r="G966" s="4">
        <v>8</v>
      </c>
      <c r="H966" s="4">
        <v>295</v>
      </c>
      <c r="I966" s="4">
        <v>305</v>
      </c>
      <c r="J966" s="4">
        <v>312.5</v>
      </c>
      <c r="K966" s="4" t="e">
        <f t="array" aca="1" ref="K966">MAX(H966:J966*(1-strike(H966:J966)))</f>
        <v>#NAME?</v>
      </c>
      <c r="L966" s="4">
        <v>215</v>
      </c>
      <c r="M966" s="6">
        <v>222.5</v>
      </c>
      <c r="N966" s="6">
        <v>225</v>
      </c>
      <c r="O966" s="4" t="e">
        <f t="array" aca="1" ref="O966">MAX(L966:N966*(1-strike(L966:N966)))</f>
        <v>#NAME?</v>
      </c>
      <c r="P966" s="4">
        <v>300</v>
      </c>
      <c r="Q966" s="6">
        <v>327.5</v>
      </c>
      <c r="R966" s="6">
        <v>327.5</v>
      </c>
      <c r="S966" s="4" t="e">
        <f t="array" aca="1" ref="S966">MAX(P966:R966*(1-strike(P966:R966)))</f>
        <v>#NAME?</v>
      </c>
      <c r="T966" s="4" t="e">
        <f t="shared" si="15"/>
        <v>#NAME?</v>
      </c>
      <c r="U966" s="4">
        <v>827.5</v>
      </c>
      <c r="V966" s="4">
        <v>459.84</v>
      </c>
      <c r="W966" s="4">
        <v>1</v>
      </c>
      <c r="X966" s="5">
        <v>2015</v>
      </c>
      <c r="Y966" s="5" t="s">
        <v>29</v>
      </c>
      <c r="Z966" s="5" t="s">
        <v>30</v>
      </c>
      <c r="AA966" s="5">
        <v>336</v>
      </c>
    </row>
    <row r="967" spans="1:27">
      <c r="A967" s="4">
        <v>9</v>
      </c>
      <c r="B967" s="4" t="s">
        <v>798</v>
      </c>
      <c r="C967" s="4">
        <v>1980</v>
      </c>
      <c r="D967" s="4" t="s">
        <v>51</v>
      </c>
      <c r="E967" s="4">
        <v>99.75</v>
      </c>
      <c r="F967" s="4">
        <v>0.60919999999999996</v>
      </c>
      <c r="G967" s="4">
        <v>10</v>
      </c>
      <c r="H967" s="4">
        <v>220</v>
      </c>
      <c r="I967" s="4">
        <v>230</v>
      </c>
      <c r="J967" s="4">
        <v>240</v>
      </c>
      <c r="K967" s="4" t="e">
        <f t="array" aca="1" ref="K967">MAX(H967:J967*(1-strike(H967:J967)))</f>
        <v>#NAME?</v>
      </c>
      <c r="L967" s="4">
        <v>175</v>
      </c>
      <c r="M967" s="4">
        <v>182.5</v>
      </c>
      <c r="N967" s="4">
        <v>187.5</v>
      </c>
      <c r="O967" s="4" t="e">
        <f t="array" aca="1" ref="O967">MAX(L967:N967*(1-strike(L967:N967)))</f>
        <v>#NAME?</v>
      </c>
      <c r="P967" s="4">
        <v>280</v>
      </c>
      <c r="Q967" s="4">
        <v>290</v>
      </c>
      <c r="R967" s="4">
        <v>300</v>
      </c>
      <c r="S967" s="4" t="e">
        <f t="array" aca="1" ref="S967">MAX(P967:R967*(1-strike(P967:R967)))</f>
        <v>#NAME?</v>
      </c>
      <c r="T967" s="4" t="e">
        <f t="shared" si="15"/>
        <v>#NAME?</v>
      </c>
      <c r="U967" s="4">
        <v>727.5</v>
      </c>
      <c r="V967" s="4">
        <v>443.19</v>
      </c>
      <c r="W967" s="4">
        <v>2</v>
      </c>
      <c r="X967" s="5">
        <v>2014</v>
      </c>
      <c r="Y967" s="5" t="s">
        <v>29</v>
      </c>
      <c r="Z967" s="5" t="s">
        <v>30</v>
      </c>
      <c r="AA967" s="5">
        <v>718</v>
      </c>
    </row>
    <row r="968" spans="1:27" ht="15" customHeight="1">
      <c r="A968" s="4">
        <v>12</v>
      </c>
      <c r="B968" s="4" t="s">
        <v>798</v>
      </c>
      <c r="C968" s="4">
        <v>1980</v>
      </c>
      <c r="D968" s="4" t="s">
        <v>51</v>
      </c>
      <c r="E968" s="4">
        <v>100.15</v>
      </c>
      <c r="F968" s="4">
        <v>0.60819999999999996</v>
      </c>
      <c r="G968" s="4">
        <v>10</v>
      </c>
      <c r="H968" s="4">
        <v>225</v>
      </c>
      <c r="I968" s="4">
        <v>235</v>
      </c>
      <c r="J968" s="4">
        <v>242.5</v>
      </c>
      <c r="K968" s="4" t="e">
        <f t="array" aca="1" ref="K968">MAX(H968:J968*(1-strike(H968:J968)))</f>
        <v>#NAME?</v>
      </c>
      <c r="L968" s="4">
        <v>175</v>
      </c>
      <c r="M968" s="4">
        <v>182.5</v>
      </c>
      <c r="N968" s="6">
        <v>187.5</v>
      </c>
      <c r="O968" s="4" t="e">
        <f t="array" aca="1" ref="O968">MAX(L968:N968*(1-strike(L968:N968)))</f>
        <v>#NAME?</v>
      </c>
      <c r="P968" s="4">
        <v>285</v>
      </c>
      <c r="Q968" s="4">
        <v>300</v>
      </c>
      <c r="R968" s="4">
        <v>307.5</v>
      </c>
      <c r="S968" s="4" t="e">
        <f t="array" aca="1" ref="S968">MAX(P968:R968*(1-strike(P968:R968)))</f>
        <v>#NAME?</v>
      </c>
      <c r="T968" s="4" t="e">
        <f t="shared" si="15"/>
        <v>#NAME?</v>
      </c>
      <c r="U968" s="4">
        <v>732.5</v>
      </c>
      <c r="V968" s="4">
        <v>445.51</v>
      </c>
      <c r="W968" s="4">
        <v>1</v>
      </c>
      <c r="X968" s="5">
        <v>2015</v>
      </c>
      <c r="Y968" s="5" t="s">
        <v>29</v>
      </c>
      <c r="Z968" s="5" t="s">
        <v>30</v>
      </c>
      <c r="AA968" s="5">
        <v>304</v>
      </c>
    </row>
    <row r="969" spans="1:27">
      <c r="A969" s="4">
        <v>10</v>
      </c>
      <c r="B969" s="4" t="s">
        <v>799</v>
      </c>
      <c r="C969" s="4">
        <v>1988</v>
      </c>
      <c r="D969" s="4" t="s">
        <v>62</v>
      </c>
      <c r="E969" s="4">
        <v>58.82</v>
      </c>
      <c r="F969" s="4">
        <v>0.86890000000000001</v>
      </c>
      <c r="G969" s="4">
        <v>2</v>
      </c>
      <c r="H969" s="4">
        <v>225</v>
      </c>
      <c r="I969" s="4">
        <v>237.5</v>
      </c>
      <c r="J969" s="6">
        <v>242.5</v>
      </c>
      <c r="K969" s="4" t="e">
        <f t="array" aca="1" ref="K969">MAX(H969:J969*(1-strike(H969:J969)))</f>
        <v>#NAME?</v>
      </c>
      <c r="L969" s="6">
        <v>135</v>
      </c>
      <c r="M969" s="6">
        <v>135</v>
      </c>
      <c r="N969" s="4">
        <v>135</v>
      </c>
      <c r="O969" s="4" t="e">
        <f t="array" aca="1" ref="O969">MAX(L969:N969*(1-strike(L969:N969)))</f>
        <v>#NAME?</v>
      </c>
      <c r="P969" s="4">
        <v>230</v>
      </c>
      <c r="Q969" s="6">
        <v>240</v>
      </c>
      <c r="R969" s="4">
        <v>242.5</v>
      </c>
      <c r="S969" s="4" t="e">
        <f t="array" aca="1" ref="S969">MAX(P969:R969*(1-strike(P969:R969)))</f>
        <v>#NAME?</v>
      </c>
      <c r="T969" s="4" t="e">
        <f t="shared" si="15"/>
        <v>#NAME?</v>
      </c>
      <c r="U969" s="4">
        <v>615</v>
      </c>
      <c r="V969" s="4">
        <v>534.37</v>
      </c>
      <c r="W969" s="4">
        <v>1</v>
      </c>
      <c r="X969" s="5">
        <v>2014</v>
      </c>
      <c r="Y969" s="5" t="s">
        <v>29</v>
      </c>
      <c r="Z969" s="5" t="s">
        <v>171</v>
      </c>
      <c r="AA969" s="5">
        <v>449</v>
      </c>
    </row>
    <row r="970" spans="1:27">
      <c r="A970" s="3">
        <v>9</v>
      </c>
      <c r="B970" s="3" t="s">
        <v>800</v>
      </c>
      <c r="C970" s="3">
        <v>1986</v>
      </c>
      <c r="D970" s="3" t="s">
        <v>62</v>
      </c>
      <c r="E970" s="3">
        <v>103.3</v>
      </c>
      <c r="F970" s="3">
        <v>0.60109999999999997</v>
      </c>
      <c r="G970" s="3">
        <v>3</v>
      </c>
      <c r="H970" s="3">
        <v>270</v>
      </c>
      <c r="I970" s="1">
        <v>280</v>
      </c>
      <c r="J970" s="1">
        <v>280</v>
      </c>
      <c r="K970" s="4" t="e">
        <f t="array" aca="1" ref="K970">MAX(H970:J970*(1-strike(H970:J970)))</f>
        <v>#NAME?</v>
      </c>
      <c r="L970" s="3">
        <v>187.5</v>
      </c>
      <c r="M970" s="3">
        <v>190</v>
      </c>
      <c r="N970" s="3">
        <v>197.5</v>
      </c>
      <c r="O970" s="4" t="e">
        <f t="array" aca="1" ref="O970">MAX(L970:N970*(1-strike(L970:N970)))</f>
        <v>#NAME?</v>
      </c>
      <c r="P970" s="3">
        <v>267.5</v>
      </c>
      <c r="Q970" s="3">
        <v>285</v>
      </c>
      <c r="R970" s="1">
        <v>297.5</v>
      </c>
      <c r="S970" s="4" t="e">
        <f t="array" aca="1" ref="S970">MAX(P970:R970*(1-strike(P970:R970)))</f>
        <v>#NAME?</v>
      </c>
      <c r="T970" s="4" t="e">
        <f t="shared" si="15"/>
        <v>#NAME?</v>
      </c>
      <c r="U970" s="3">
        <v>752.5</v>
      </c>
      <c r="V970" s="3">
        <v>452.33</v>
      </c>
      <c r="W970" s="3">
        <v>2</v>
      </c>
      <c r="X970" s="5">
        <v>2013</v>
      </c>
      <c r="Y970" s="5" t="s">
        <v>29</v>
      </c>
      <c r="Z970" s="5" t="s">
        <v>30</v>
      </c>
      <c r="AA970" s="5">
        <v>1079</v>
      </c>
    </row>
    <row r="971" spans="1:27">
      <c r="A971" s="3">
        <v>2</v>
      </c>
      <c r="B971" s="3" t="s">
        <v>158</v>
      </c>
      <c r="C971" s="3">
        <v>1985</v>
      </c>
      <c r="D971" s="3" t="s">
        <v>62</v>
      </c>
      <c r="E971" s="3">
        <v>117.95</v>
      </c>
      <c r="F971" s="3">
        <v>0.57730000000000004</v>
      </c>
      <c r="G971" s="3">
        <v>10</v>
      </c>
      <c r="H971" s="3">
        <v>315</v>
      </c>
      <c r="I971" s="3">
        <v>332.5</v>
      </c>
      <c r="J971" s="3">
        <v>345</v>
      </c>
      <c r="K971" s="4" t="e">
        <f t="array" aca="1" ref="K971">MAX(H971:J971*(1-strike(H971:J971)))</f>
        <v>#NAME?</v>
      </c>
      <c r="L971" s="3">
        <v>195</v>
      </c>
      <c r="M971" s="3">
        <v>202.5</v>
      </c>
      <c r="N971" s="1">
        <v>207.5</v>
      </c>
      <c r="O971" s="4" t="e">
        <f t="array" aca="1" ref="O971">MAX(L971:N971*(1-strike(L971:N971)))</f>
        <v>#NAME?</v>
      </c>
      <c r="P971" s="3">
        <v>345</v>
      </c>
      <c r="Q971" s="1">
        <v>365</v>
      </c>
      <c r="R971" s="1">
        <v>365</v>
      </c>
      <c r="S971" s="4" t="e">
        <f t="array" aca="1" ref="S971">MAX(P971:R971*(1-strike(P971:R971)))</f>
        <v>#NAME?</v>
      </c>
      <c r="T971" s="4" t="e">
        <f t="shared" si="15"/>
        <v>#NAME?</v>
      </c>
      <c r="U971" s="3">
        <v>892.5</v>
      </c>
      <c r="V971" s="3">
        <v>515.24</v>
      </c>
      <c r="W971" s="3">
        <v>9</v>
      </c>
      <c r="X971" s="5">
        <v>2013</v>
      </c>
      <c r="Y971" s="5" t="s">
        <v>29</v>
      </c>
      <c r="Z971" s="5" t="s">
        <v>30</v>
      </c>
      <c r="AA971" s="5">
        <v>1092</v>
      </c>
    </row>
    <row r="972" spans="1:27">
      <c r="A972" s="4">
        <v>2</v>
      </c>
      <c r="B972" s="4" t="s">
        <v>158</v>
      </c>
      <c r="C972" s="4">
        <v>1985</v>
      </c>
      <c r="D972" s="4" t="s">
        <v>62</v>
      </c>
      <c r="E972" s="4">
        <v>119</v>
      </c>
      <c r="F972" s="4">
        <v>0.57609999999999995</v>
      </c>
      <c r="G972" s="4">
        <v>10</v>
      </c>
      <c r="H972" s="4">
        <v>315</v>
      </c>
      <c r="I972" s="4">
        <v>335</v>
      </c>
      <c r="J972" s="4">
        <v>345</v>
      </c>
      <c r="K972" s="4" t="e">
        <f t="array" aca="1" ref="K972">MAX(H972:J972*(1-strike(H972:J972)))</f>
        <v>#NAME?</v>
      </c>
      <c r="L972" s="4">
        <v>192.5</v>
      </c>
      <c r="M972" s="4">
        <v>202.5</v>
      </c>
      <c r="N972" s="4">
        <v>210</v>
      </c>
      <c r="O972" s="4" t="e">
        <f t="array" aca="1" ref="O972">MAX(L972:N972*(1-strike(L972:N972)))</f>
        <v>#NAME?</v>
      </c>
      <c r="P972" s="4">
        <v>335</v>
      </c>
      <c r="Q972" s="4">
        <v>360</v>
      </c>
      <c r="R972" s="6">
        <v>390</v>
      </c>
      <c r="S972" s="4" t="e">
        <f t="array" aca="1" ref="S972">MAX(P972:R972*(1-strike(P972:R972)))</f>
        <v>#NAME?</v>
      </c>
      <c r="T972" s="4" t="e">
        <f t="shared" si="15"/>
        <v>#NAME?</v>
      </c>
      <c r="U972" s="4">
        <v>915</v>
      </c>
      <c r="V972" s="4">
        <v>527.13</v>
      </c>
      <c r="W972" s="4">
        <v>9</v>
      </c>
      <c r="X972" s="5">
        <v>2014</v>
      </c>
      <c r="Y972" s="5" t="s">
        <v>29</v>
      </c>
      <c r="Z972" s="5" t="s">
        <v>30</v>
      </c>
      <c r="AA972" s="5">
        <v>725</v>
      </c>
    </row>
    <row r="973" spans="1:27">
      <c r="A973" s="4">
        <v>4</v>
      </c>
      <c r="B973" s="4" t="s">
        <v>158</v>
      </c>
      <c r="C973" s="4">
        <v>1985</v>
      </c>
      <c r="D973" s="4" t="s">
        <v>62</v>
      </c>
      <c r="E973" s="4">
        <v>119.72</v>
      </c>
      <c r="F973" s="4">
        <v>0.57520000000000004</v>
      </c>
      <c r="G973" s="4">
        <v>2</v>
      </c>
      <c r="H973" s="4">
        <v>305</v>
      </c>
      <c r="I973" s="4">
        <v>325</v>
      </c>
      <c r="J973" s="6">
        <v>335</v>
      </c>
      <c r="K973" s="4" t="e">
        <f t="array" aca="1" ref="K973">MAX(H973:J973*(1-strike(H973:J973)))</f>
        <v>#NAME?</v>
      </c>
      <c r="L973" s="4">
        <v>190</v>
      </c>
      <c r="M973" s="4">
        <v>200</v>
      </c>
      <c r="N973" s="6">
        <v>207.5</v>
      </c>
      <c r="O973" s="4" t="e">
        <f t="array" aca="1" ref="O973">MAX(L973:N973*(1-strike(L973:N973)))</f>
        <v>#NAME?</v>
      </c>
      <c r="P973" s="4">
        <v>307.5</v>
      </c>
      <c r="Q973" s="4">
        <v>327.5</v>
      </c>
      <c r="R973" s="4">
        <v>335</v>
      </c>
      <c r="S973" s="4" t="e">
        <f t="array" aca="1" ref="S973">MAX(P973:R973*(1-strike(P973:R973)))</f>
        <v>#NAME?</v>
      </c>
      <c r="T973" s="4" t="e">
        <f t="shared" si="15"/>
        <v>#NAME?</v>
      </c>
      <c r="U973" s="4">
        <v>860</v>
      </c>
      <c r="V973" s="4">
        <v>494.67</v>
      </c>
      <c r="W973" s="4">
        <v>7</v>
      </c>
      <c r="X973" s="5">
        <v>2015</v>
      </c>
      <c r="Y973" s="5" t="s">
        <v>29</v>
      </c>
      <c r="Z973" s="5" t="s">
        <v>30</v>
      </c>
      <c r="AA973" s="5">
        <v>310</v>
      </c>
    </row>
    <row r="974" spans="1:27">
      <c r="A974" s="3">
        <v>2</v>
      </c>
      <c r="B974" s="3" t="s">
        <v>159</v>
      </c>
      <c r="C974" s="3">
        <v>1974</v>
      </c>
      <c r="D974" s="3" t="s">
        <v>39</v>
      </c>
      <c r="E974" s="3">
        <v>81.2</v>
      </c>
      <c r="F974" s="3">
        <v>0.6764</v>
      </c>
      <c r="G974" s="3">
        <v>3</v>
      </c>
      <c r="H974" s="3">
        <v>250</v>
      </c>
      <c r="I974" s="3">
        <v>255</v>
      </c>
      <c r="J974" s="1">
        <v>260</v>
      </c>
      <c r="K974" s="4" t="e">
        <f t="array" aca="1" ref="K974">MAX(H974:J974*(1-strike(H974:J974)))</f>
        <v>#NAME?</v>
      </c>
      <c r="L974" s="3">
        <v>165</v>
      </c>
      <c r="M974" s="1">
        <v>172.5</v>
      </c>
      <c r="N974" s="1">
        <v>172.5</v>
      </c>
      <c r="O974" s="4" t="e">
        <f t="array" aca="1" ref="O974">MAX(L974:N974*(1-strike(L974:N974)))</f>
        <v>#NAME?</v>
      </c>
      <c r="P974" s="3">
        <v>280</v>
      </c>
      <c r="Q974" s="3">
        <v>287.5</v>
      </c>
      <c r="R974" s="1">
        <v>290</v>
      </c>
      <c r="S974" s="4" t="e">
        <f t="array" aca="1" ref="S974">MAX(P974:R974*(1-strike(P974:R974)))</f>
        <v>#NAME?</v>
      </c>
      <c r="T974" s="4" t="e">
        <f t="shared" si="15"/>
        <v>#NAME?</v>
      </c>
      <c r="U974" s="3">
        <v>707.5</v>
      </c>
      <c r="V974" s="3">
        <v>478.55</v>
      </c>
      <c r="W974" s="3">
        <v>9</v>
      </c>
      <c r="X974" s="5">
        <v>2013</v>
      </c>
      <c r="Y974" s="5" t="s">
        <v>29</v>
      </c>
      <c r="Z974" s="5" t="s">
        <v>30</v>
      </c>
      <c r="AA974" s="5">
        <v>1045</v>
      </c>
    </row>
    <row r="975" spans="1:27">
      <c r="A975" s="3">
        <v>3</v>
      </c>
      <c r="B975" s="3" t="s">
        <v>801</v>
      </c>
      <c r="C975" s="3">
        <v>1974</v>
      </c>
      <c r="D975" s="3" t="s">
        <v>35</v>
      </c>
      <c r="E975" s="3">
        <v>92.44</v>
      </c>
      <c r="F975" s="3">
        <v>0.63</v>
      </c>
      <c r="G975" s="3">
        <v>12</v>
      </c>
      <c r="H975" s="3">
        <v>345</v>
      </c>
      <c r="I975" s="1">
        <v>362.5</v>
      </c>
      <c r="J975" s="3">
        <v>362.5</v>
      </c>
      <c r="K975" s="4" t="e">
        <f t="array" aca="1" ref="K975">MAX(H975:J975*(1-strike(H975:J975)))</f>
        <v>#NAME?</v>
      </c>
      <c r="L975" s="3">
        <v>225</v>
      </c>
      <c r="M975" s="3">
        <v>232.5</v>
      </c>
      <c r="N975" s="1">
        <v>237.5</v>
      </c>
      <c r="O975" s="4" t="e">
        <f t="array" aca="1" ref="O975">MAX(L975:N975*(1-strike(L975:N975)))</f>
        <v>#NAME?</v>
      </c>
      <c r="P975" s="3">
        <v>305</v>
      </c>
      <c r="Q975" s="3">
        <v>320</v>
      </c>
      <c r="R975" s="1">
        <v>327.5</v>
      </c>
      <c r="S975" s="4" t="e">
        <f t="array" aca="1" ref="S975">MAX(P975:R975*(1-strike(P975:R975)))</f>
        <v>#NAME?</v>
      </c>
      <c r="T975" s="4" t="e">
        <f t="shared" si="15"/>
        <v>#NAME?</v>
      </c>
      <c r="U975" s="3">
        <v>915</v>
      </c>
      <c r="V975" s="3">
        <v>576.42999999999995</v>
      </c>
      <c r="W975" s="3">
        <v>8</v>
      </c>
      <c r="X975" s="5">
        <v>2012</v>
      </c>
      <c r="Y975" s="5" t="s">
        <v>29</v>
      </c>
      <c r="Z975" s="5" t="s">
        <v>171</v>
      </c>
      <c r="AA975" s="5">
        <v>1258</v>
      </c>
    </row>
    <row r="976" spans="1:27">
      <c r="A976" s="4">
        <v>14</v>
      </c>
      <c r="B976" s="4" t="s">
        <v>802</v>
      </c>
      <c r="C976" s="4">
        <v>1989</v>
      </c>
      <c r="D976" s="4" t="s">
        <v>51</v>
      </c>
      <c r="E976" s="4">
        <v>72.8</v>
      </c>
      <c r="F976" s="4">
        <v>0.7278</v>
      </c>
      <c r="G976" s="4">
        <v>2</v>
      </c>
      <c r="H976" s="4">
        <v>185</v>
      </c>
      <c r="I976" s="4">
        <v>195</v>
      </c>
      <c r="J976" s="6">
        <v>200</v>
      </c>
      <c r="K976" s="4" t="e">
        <f t="array" aca="1" ref="K976">MAX(H976:J976*(1-strike(H976:J976)))</f>
        <v>#NAME?</v>
      </c>
      <c r="L976" s="4">
        <v>125</v>
      </c>
      <c r="M976" s="6">
        <v>130</v>
      </c>
      <c r="N976" s="4">
        <v>130</v>
      </c>
      <c r="O976" s="4" t="e">
        <f t="array" aca="1" ref="O976">MAX(L976:N976*(1-strike(L976:N976)))</f>
        <v>#NAME?</v>
      </c>
      <c r="P976" s="4">
        <v>215</v>
      </c>
      <c r="Q976" s="4">
        <v>225</v>
      </c>
      <c r="R976" s="4">
        <v>235</v>
      </c>
      <c r="S976" s="4" t="e">
        <f t="array" aca="1" ref="S976">MAX(P976:R976*(1-strike(P976:R976)))</f>
        <v>#NAME?</v>
      </c>
      <c r="T976" s="4" t="e">
        <f t="shared" si="15"/>
        <v>#NAME?</v>
      </c>
      <c r="U976" s="4">
        <v>560</v>
      </c>
      <c r="V976" s="4">
        <v>407.57</v>
      </c>
      <c r="W976" s="4">
        <v>1</v>
      </c>
      <c r="X976" s="5">
        <v>2014</v>
      </c>
      <c r="Y976" s="5" t="s">
        <v>29</v>
      </c>
      <c r="Z976" s="5" t="s">
        <v>30</v>
      </c>
      <c r="AA976" s="5">
        <v>681</v>
      </c>
    </row>
    <row r="977" spans="1:27">
      <c r="A977" s="3" t="s">
        <v>37</v>
      </c>
      <c r="B977" s="3" t="s">
        <v>803</v>
      </c>
      <c r="C977" s="3">
        <v>1989</v>
      </c>
      <c r="D977" s="3" t="s">
        <v>119</v>
      </c>
      <c r="E977" s="3">
        <v>82.05</v>
      </c>
      <c r="F977" s="3">
        <v>0.67220000000000002</v>
      </c>
      <c r="G977" s="3">
        <v>12</v>
      </c>
      <c r="H977" s="3">
        <v>235</v>
      </c>
      <c r="I977" s="3">
        <v>247.5</v>
      </c>
      <c r="J977" s="3">
        <v>255</v>
      </c>
      <c r="K977" s="4" t="e">
        <f t="array" aca="1" ref="K977">MAX(H977:J977*(1-strike(H977:J977)))</f>
        <v>#NAME?</v>
      </c>
      <c r="L977" s="3">
        <v>170</v>
      </c>
      <c r="M977" s="3">
        <v>182.5</v>
      </c>
      <c r="N977" s="3">
        <v>185</v>
      </c>
      <c r="O977" s="4" t="e">
        <f t="array" aca="1" ref="O977">MAX(L977:N977*(1-strike(L977:N977)))</f>
        <v>#NAME?</v>
      </c>
      <c r="P977" s="3">
        <v>245</v>
      </c>
      <c r="Q977" s="3">
        <v>260</v>
      </c>
      <c r="R977" s="3">
        <v>270</v>
      </c>
      <c r="S977" s="4" t="e">
        <f t="array" aca="1" ref="S977">MAX(P977:R977*(1-strike(P977:R977)))</f>
        <v>#NAME?</v>
      </c>
      <c r="T977" s="4" t="e">
        <f t="shared" si="15"/>
        <v>#NAME?</v>
      </c>
      <c r="U977" s="3" t="s">
        <v>361</v>
      </c>
      <c r="V977" s="3" t="s">
        <v>37</v>
      </c>
      <c r="W977" s="3" t="s">
        <v>37</v>
      </c>
      <c r="X977" s="5">
        <v>2013</v>
      </c>
      <c r="Y977" s="5" t="s">
        <v>29</v>
      </c>
      <c r="Z977" s="5" t="s">
        <v>30</v>
      </c>
      <c r="AA977" s="5">
        <v>1054</v>
      </c>
    </row>
    <row r="978" spans="1:27">
      <c r="A978" s="4">
        <v>2</v>
      </c>
      <c r="B978" s="4" t="s">
        <v>804</v>
      </c>
      <c r="C978" s="4">
        <v>1978</v>
      </c>
      <c r="D978" s="4" t="s">
        <v>62</v>
      </c>
      <c r="E978" s="4">
        <v>103.79</v>
      </c>
      <c r="F978" s="4">
        <v>0.6</v>
      </c>
      <c r="G978" s="4">
        <v>1</v>
      </c>
      <c r="H978" s="4">
        <v>295</v>
      </c>
      <c r="I978" s="4">
        <v>305</v>
      </c>
      <c r="J978" s="6">
        <v>315</v>
      </c>
      <c r="K978" s="4" t="e">
        <f t="array" aca="1" ref="K978">MAX(H978:J978*(1-strike(H978:J978)))</f>
        <v>#NAME?</v>
      </c>
      <c r="L978" s="4">
        <v>175</v>
      </c>
      <c r="M978" s="4">
        <v>182.5</v>
      </c>
      <c r="N978" s="4">
        <v>187.5</v>
      </c>
      <c r="O978" s="4" t="e">
        <f t="array" aca="1" ref="O978">MAX(L978:N978*(1-strike(L978:N978)))</f>
        <v>#NAME?</v>
      </c>
      <c r="P978" s="4">
        <v>320</v>
      </c>
      <c r="Q978" s="4">
        <v>330</v>
      </c>
      <c r="R978" s="6">
        <v>337.5</v>
      </c>
      <c r="S978" s="4" t="e">
        <f t="array" aca="1" ref="S978">MAX(P978:R978*(1-strike(P978:R978)))</f>
        <v>#NAME?</v>
      </c>
      <c r="T978" s="4" t="e">
        <f t="shared" si="15"/>
        <v>#NAME?</v>
      </c>
      <c r="U978" s="4">
        <v>822.5</v>
      </c>
      <c r="V978" s="4">
        <v>493.5</v>
      </c>
      <c r="W978" s="4">
        <v>9</v>
      </c>
      <c r="X978" s="5">
        <v>2015</v>
      </c>
      <c r="Y978" s="5" t="s">
        <v>29</v>
      </c>
      <c r="Z978" s="5" t="s">
        <v>30</v>
      </c>
      <c r="AA978" s="5">
        <v>294</v>
      </c>
    </row>
    <row r="979" spans="1:27">
      <c r="A979" s="3">
        <v>10</v>
      </c>
      <c r="B979" s="3" t="s">
        <v>805</v>
      </c>
      <c r="C979" s="3">
        <v>1982</v>
      </c>
      <c r="D979" s="3" t="s">
        <v>282</v>
      </c>
      <c r="E979" s="3">
        <v>141</v>
      </c>
      <c r="F979" s="3">
        <v>0.55820000000000003</v>
      </c>
      <c r="G979" s="3">
        <v>1</v>
      </c>
      <c r="H979" s="3">
        <v>385</v>
      </c>
      <c r="I979" s="3">
        <v>405</v>
      </c>
      <c r="J979" s="1">
        <v>420</v>
      </c>
      <c r="K979" s="4" t="e">
        <f t="array" aca="1" ref="K979">MAX(H979:J979*(1-strike(H979:J979)))</f>
        <v>#NAME?</v>
      </c>
      <c r="L979" s="3">
        <v>240</v>
      </c>
      <c r="M979" s="3">
        <v>250</v>
      </c>
      <c r="N979" s="3">
        <v>260</v>
      </c>
      <c r="O979" s="4" t="e">
        <f t="array" aca="1" ref="O979">MAX(L979:N979*(1-strike(L979:N979)))</f>
        <v>#NAME?</v>
      </c>
      <c r="P979" s="3">
        <v>260</v>
      </c>
      <c r="Q979" s="3">
        <v>275</v>
      </c>
      <c r="R979" s="1">
        <v>285</v>
      </c>
      <c r="S979" s="4" t="e">
        <f t="array" aca="1" ref="S979">MAX(P979:R979*(1-strike(P979:R979)))</f>
        <v>#NAME?</v>
      </c>
      <c r="T979" s="4" t="e">
        <f t="shared" si="15"/>
        <v>#NAME?</v>
      </c>
      <c r="U979" s="3">
        <v>940</v>
      </c>
      <c r="V979" s="3">
        <v>524.71</v>
      </c>
      <c r="W979" s="3">
        <v>1</v>
      </c>
      <c r="X979" s="5">
        <v>2013</v>
      </c>
      <c r="Y979" s="5" t="s">
        <v>29</v>
      </c>
      <c r="Z979" s="5" t="s">
        <v>171</v>
      </c>
      <c r="AA979" s="5">
        <v>921</v>
      </c>
    </row>
    <row r="980" spans="1:27" ht="15" customHeight="1">
      <c r="A980" s="3">
        <v>3</v>
      </c>
      <c r="B980" s="3" t="s">
        <v>806</v>
      </c>
      <c r="C980" s="3">
        <v>1980</v>
      </c>
      <c r="D980" s="3" t="s">
        <v>406</v>
      </c>
      <c r="E980" s="3">
        <v>160.30000000000001</v>
      </c>
      <c r="F980" s="3">
        <v>0.54810000000000003</v>
      </c>
      <c r="G980" s="3">
        <v>23</v>
      </c>
      <c r="H980" s="3">
        <v>350</v>
      </c>
      <c r="I980" s="1">
        <v>380</v>
      </c>
      <c r="J980" s="1">
        <v>380</v>
      </c>
      <c r="K980" s="4" t="e">
        <f t="array" aca="1" ref="K980">MAX(H980:J980*(1-strike(H980:J980)))</f>
        <v>#NAME?</v>
      </c>
      <c r="L980" s="3">
        <v>222.5</v>
      </c>
      <c r="M980" s="3">
        <v>230</v>
      </c>
      <c r="N980" s="3">
        <v>232.5</v>
      </c>
      <c r="O980" s="4" t="e">
        <f t="array" aca="1" ref="O980">MAX(L980:N980*(1-strike(L980:N980)))</f>
        <v>#NAME?</v>
      </c>
      <c r="P980" s="3">
        <v>280</v>
      </c>
      <c r="Q980" s="3">
        <v>300</v>
      </c>
      <c r="R980" s="3">
        <v>310</v>
      </c>
      <c r="S980" s="4" t="e">
        <f t="array" aca="1" ref="S980">MAX(P980:R980*(1-strike(P980:R980)))</f>
        <v>#NAME?</v>
      </c>
      <c r="T980" s="4" t="e">
        <f t="shared" si="15"/>
        <v>#NAME?</v>
      </c>
      <c r="U980" s="3">
        <v>892.5</v>
      </c>
      <c r="V980" s="3">
        <v>489.18</v>
      </c>
      <c r="W980" s="3">
        <v>8</v>
      </c>
      <c r="X980" s="5">
        <v>2013</v>
      </c>
      <c r="Y980" s="5" t="s">
        <v>29</v>
      </c>
      <c r="Z980" s="5" t="s">
        <v>30</v>
      </c>
      <c r="AA980" s="5">
        <v>1111</v>
      </c>
    </row>
    <row r="981" spans="1:27" ht="15" customHeight="1">
      <c r="A981" s="4">
        <v>4</v>
      </c>
      <c r="B981" s="4" t="s">
        <v>806</v>
      </c>
      <c r="C981" s="4">
        <v>1980</v>
      </c>
      <c r="D981" s="4" t="s">
        <v>406</v>
      </c>
      <c r="E981" s="4">
        <v>168.15</v>
      </c>
      <c r="F981" s="4">
        <v>0.54410000000000003</v>
      </c>
      <c r="G981" s="4">
        <v>7</v>
      </c>
      <c r="H981" s="4">
        <v>390</v>
      </c>
      <c r="I981" s="4">
        <v>410</v>
      </c>
      <c r="J981" s="6">
        <v>416</v>
      </c>
      <c r="K981" s="4" t="e">
        <f t="array" aca="1" ref="K981">MAX(H981:J981*(1-strike(H981:J981)))</f>
        <v>#NAME?</v>
      </c>
      <c r="L981" s="4">
        <v>230</v>
      </c>
      <c r="M981" s="4">
        <v>242.5</v>
      </c>
      <c r="N981" s="6">
        <v>245</v>
      </c>
      <c r="O981" s="4" t="e">
        <f t="array" aca="1" ref="O981">MAX(L981:N981*(1-strike(L981:N981)))</f>
        <v>#NAME?</v>
      </c>
      <c r="P981" s="4">
        <v>310</v>
      </c>
      <c r="Q981" s="4">
        <v>317.5</v>
      </c>
      <c r="R981" s="6">
        <v>320</v>
      </c>
      <c r="S981" s="4" t="e">
        <f t="array" aca="1" ref="S981">MAX(P981:R981*(1-strike(P981:R981)))</f>
        <v>#NAME?</v>
      </c>
      <c r="T981" s="4" t="e">
        <f t="shared" si="15"/>
        <v>#NAME?</v>
      </c>
      <c r="U981" s="4">
        <v>970</v>
      </c>
      <c r="V981" s="4">
        <v>527.78</v>
      </c>
      <c r="W981" s="4">
        <v>7</v>
      </c>
      <c r="X981" s="5">
        <v>2015</v>
      </c>
      <c r="Y981" s="5" t="s">
        <v>29</v>
      </c>
      <c r="Z981" s="5" t="s">
        <v>30</v>
      </c>
      <c r="AA981" s="5">
        <v>326</v>
      </c>
    </row>
    <row r="982" spans="1:27" ht="15" customHeight="1">
      <c r="A982" s="4">
        <v>10</v>
      </c>
      <c r="B982" s="4" t="s">
        <v>807</v>
      </c>
      <c r="C982" s="4">
        <v>1986</v>
      </c>
      <c r="D982" s="4" t="s">
        <v>80</v>
      </c>
      <c r="E982" s="4">
        <v>104.15</v>
      </c>
      <c r="F982" s="4">
        <v>0.59930000000000005</v>
      </c>
      <c r="G982" s="4">
        <v>1</v>
      </c>
      <c r="H982" s="6">
        <v>255</v>
      </c>
      <c r="I982" s="4">
        <v>255</v>
      </c>
      <c r="J982" s="6">
        <v>265</v>
      </c>
      <c r="K982" s="4" t="e">
        <f t="array" aca="1" ref="K982">MAX(H982:J982*(1-strike(H982:J982)))</f>
        <v>#NAME?</v>
      </c>
      <c r="L982" s="4">
        <v>155</v>
      </c>
      <c r="M982" s="4">
        <v>170</v>
      </c>
      <c r="N982" s="4">
        <v>180</v>
      </c>
      <c r="O982" s="4" t="e">
        <f t="array" aca="1" ref="O982">MAX(L982:N982*(1-strike(L982:N982)))</f>
        <v>#NAME?</v>
      </c>
      <c r="P982" s="4">
        <v>260</v>
      </c>
      <c r="Q982" s="4">
        <v>290</v>
      </c>
      <c r="R982" s="6">
        <v>310</v>
      </c>
      <c r="S982" s="4" t="e">
        <f t="array" aca="1" ref="S982">MAX(P982:R982*(1-strike(P982:R982)))</f>
        <v>#NAME?</v>
      </c>
      <c r="T982" s="4" t="e">
        <f t="shared" si="15"/>
        <v>#NAME?</v>
      </c>
      <c r="U982" s="4">
        <v>725</v>
      </c>
      <c r="V982" s="4">
        <v>434.49</v>
      </c>
      <c r="W982" s="4">
        <v>1</v>
      </c>
      <c r="X982" s="5">
        <v>2014</v>
      </c>
      <c r="Y982" s="5" t="s">
        <v>29</v>
      </c>
      <c r="Z982" s="5" t="s">
        <v>30</v>
      </c>
      <c r="AA982" s="5">
        <v>719</v>
      </c>
    </row>
    <row r="983" spans="1:27">
      <c r="A983" s="3" t="s">
        <v>37</v>
      </c>
      <c r="B983" s="3" t="s">
        <v>808</v>
      </c>
      <c r="C983" s="3">
        <v>1972</v>
      </c>
      <c r="D983" s="3" t="s">
        <v>318</v>
      </c>
      <c r="E983" s="3">
        <v>92.78</v>
      </c>
      <c r="F983" s="3">
        <v>0.62890000000000001</v>
      </c>
      <c r="G983" s="3">
        <v>7</v>
      </c>
      <c r="H983" s="1">
        <v>335</v>
      </c>
      <c r="I983" s="1">
        <v>335</v>
      </c>
      <c r="J983" s="1">
        <v>335</v>
      </c>
      <c r="K983" s="4" t="e">
        <f t="array" aca="1" ref="K983">MAX(H983:J983*(1-strike(H983:J983)))</f>
        <v>#NAME?</v>
      </c>
      <c r="L983" s="1">
        <v>257.5</v>
      </c>
      <c r="M983" s="1">
        <v>257.5</v>
      </c>
      <c r="N983" s="1">
        <v>257.5</v>
      </c>
      <c r="O983" s="4" t="e">
        <f t="array" aca="1" ref="O983">MAX(L983:N983*(1-strike(L983:N983)))</f>
        <v>#NAME?</v>
      </c>
      <c r="P983" s="3"/>
      <c r="Q983" s="3"/>
      <c r="R983" s="3"/>
      <c r="S983" s="4" t="e">
        <f t="array" aca="1" ref="S983">MAX(P983:R983*(1-strike(P983:R983)))</f>
        <v>#NAME?</v>
      </c>
      <c r="T983" s="4" t="e">
        <f t="shared" si="15"/>
        <v>#NAME?</v>
      </c>
      <c r="U983" s="3" t="s">
        <v>40</v>
      </c>
      <c r="V983" s="3" t="s">
        <v>37</v>
      </c>
      <c r="W983" s="3" t="s">
        <v>37</v>
      </c>
      <c r="X983" s="5">
        <v>2012</v>
      </c>
      <c r="Y983" s="5" t="s">
        <v>29</v>
      </c>
      <c r="Z983" s="5" t="s">
        <v>171</v>
      </c>
      <c r="AA983" s="5">
        <v>1272</v>
      </c>
    </row>
    <row r="984" spans="1:27">
      <c r="A984" s="3">
        <v>7</v>
      </c>
      <c r="B984" s="3" t="s">
        <v>808</v>
      </c>
      <c r="C984" s="3">
        <v>1972</v>
      </c>
      <c r="D984" s="3" t="s">
        <v>318</v>
      </c>
      <c r="E984" s="3">
        <v>92.67</v>
      </c>
      <c r="F984" s="3">
        <v>0.62929999999999997</v>
      </c>
      <c r="G984" s="3">
        <v>17</v>
      </c>
      <c r="H984" s="3">
        <v>325</v>
      </c>
      <c r="I984" s="3">
        <v>335</v>
      </c>
      <c r="J984" s="1">
        <v>340</v>
      </c>
      <c r="K984" s="4" t="e">
        <f t="array" aca="1" ref="K984">MAX(H984:J984*(1-strike(H984:J984)))</f>
        <v>#NAME?</v>
      </c>
      <c r="L984" s="3">
        <v>260</v>
      </c>
      <c r="M984" s="3">
        <v>265</v>
      </c>
      <c r="N984" s="1">
        <v>270</v>
      </c>
      <c r="O984" s="4" t="e">
        <f t="array" aca="1" ref="O984">MAX(L984:N984*(1-strike(L984:N984)))</f>
        <v>#NAME?</v>
      </c>
      <c r="P984" s="3">
        <v>290</v>
      </c>
      <c r="Q984" s="1">
        <v>300</v>
      </c>
      <c r="R984" s="3">
        <v>300</v>
      </c>
      <c r="S984" s="4" t="e">
        <f t="array" aca="1" ref="S984">MAX(P984:R984*(1-strike(P984:R984)))</f>
        <v>#NAME?</v>
      </c>
      <c r="T984" s="4" t="e">
        <f t="shared" si="15"/>
        <v>#NAME?</v>
      </c>
      <c r="U984" s="3">
        <v>900</v>
      </c>
      <c r="V984" s="3">
        <v>566.37</v>
      </c>
      <c r="W984" s="3">
        <v>4</v>
      </c>
      <c r="X984" s="5">
        <v>2013</v>
      </c>
      <c r="Y984" s="5" t="s">
        <v>29</v>
      </c>
      <c r="Z984" s="5" t="s">
        <v>171</v>
      </c>
      <c r="AA984" s="5">
        <v>869</v>
      </c>
    </row>
    <row r="985" spans="1:27">
      <c r="A985" s="4">
        <v>7</v>
      </c>
      <c r="B985" s="4" t="s">
        <v>808</v>
      </c>
      <c r="C985" s="4">
        <v>1972</v>
      </c>
      <c r="D985" s="4" t="s">
        <v>318</v>
      </c>
      <c r="E985" s="4">
        <v>103.38</v>
      </c>
      <c r="F985" s="4">
        <v>0.60089999999999999</v>
      </c>
      <c r="G985" s="4">
        <v>3</v>
      </c>
      <c r="H985" s="4">
        <v>342.5</v>
      </c>
      <c r="I985" s="4">
        <v>355</v>
      </c>
      <c r="J985" s="6">
        <v>360</v>
      </c>
      <c r="K985" s="4" t="e">
        <f t="array" aca="1" ref="K985">MAX(H985:J985*(1-strike(H985:J985)))</f>
        <v>#NAME?</v>
      </c>
      <c r="L985" s="6">
        <v>287.5</v>
      </c>
      <c r="M985" s="4">
        <v>287.5</v>
      </c>
      <c r="N985" s="6">
        <v>292.5</v>
      </c>
      <c r="O985" s="4" t="e">
        <f t="array" aca="1" ref="O985">MAX(L985:N985*(1-strike(L985:N985)))</f>
        <v>#NAME?</v>
      </c>
      <c r="P985" s="4">
        <v>290</v>
      </c>
      <c r="Q985" s="4">
        <v>302.5</v>
      </c>
      <c r="R985" s="4">
        <v>307.5</v>
      </c>
      <c r="S985" s="4" t="e">
        <f t="array" aca="1" ref="S985">MAX(P985:R985*(1-strike(P985:R985)))</f>
        <v>#NAME?</v>
      </c>
      <c r="T985" s="4" t="e">
        <f t="shared" si="15"/>
        <v>#NAME?</v>
      </c>
      <c r="U985" s="4">
        <v>950</v>
      </c>
      <c r="V985" s="4">
        <v>570.86</v>
      </c>
      <c r="W985" s="4">
        <v>4</v>
      </c>
      <c r="X985" s="5">
        <v>2015</v>
      </c>
      <c r="Y985" s="5" t="s">
        <v>29</v>
      </c>
      <c r="Z985" s="5" t="s">
        <v>171</v>
      </c>
      <c r="AA985" s="5">
        <v>79</v>
      </c>
    </row>
    <row r="986" spans="1:27">
      <c r="A986" s="3">
        <v>14</v>
      </c>
      <c r="B986" s="3" t="s">
        <v>809</v>
      </c>
      <c r="C986" s="3">
        <v>1963</v>
      </c>
      <c r="D986" s="3" t="s">
        <v>318</v>
      </c>
      <c r="E986" s="3">
        <v>91.78</v>
      </c>
      <c r="F986" s="3">
        <v>0.63219999999999998</v>
      </c>
      <c r="G986" s="3">
        <v>8</v>
      </c>
      <c r="H986" s="1">
        <v>300</v>
      </c>
      <c r="I986" s="3">
        <v>300</v>
      </c>
      <c r="J986" s="3">
        <v>315</v>
      </c>
      <c r="K986" s="4" t="e">
        <f t="array" aca="1" ref="K986">MAX(H986:J986*(1-strike(H986:J986)))</f>
        <v>#NAME?</v>
      </c>
      <c r="L986" s="3">
        <v>155</v>
      </c>
      <c r="M986" s="3">
        <v>165</v>
      </c>
      <c r="N986" s="3">
        <v>170</v>
      </c>
      <c r="O986" s="4" t="e">
        <f t="array" aca="1" ref="O986">MAX(L986:N986*(1-strike(L986:N986)))</f>
        <v>#NAME?</v>
      </c>
      <c r="P986" s="3">
        <v>300</v>
      </c>
      <c r="Q986" s="1">
        <v>310</v>
      </c>
      <c r="R986" s="1">
        <v>310</v>
      </c>
      <c r="S986" s="4" t="e">
        <f t="array" aca="1" ref="S986">MAX(P986:R986*(1-strike(P986:R986)))</f>
        <v>#NAME?</v>
      </c>
      <c r="T986" s="4" t="e">
        <f t="shared" si="15"/>
        <v>#NAME?</v>
      </c>
      <c r="U986" s="3">
        <v>785</v>
      </c>
      <c r="V986" s="3">
        <v>496.28</v>
      </c>
      <c r="W986" s="3">
        <v>1</v>
      </c>
      <c r="X986" s="5">
        <v>2013</v>
      </c>
      <c r="Y986" s="5" t="s">
        <v>29</v>
      </c>
      <c r="Z986" s="5" t="s">
        <v>171</v>
      </c>
      <c r="AA986" s="5">
        <v>876</v>
      </c>
    </row>
    <row r="987" spans="1:27">
      <c r="A987" s="4">
        <v>13</v>
      </c>
      <c r="B987" s="4" t="s">
        <v>810</v>
      </c>
      <c r="C987" s="4">
        <v>1990</v>
      </c>
      <c r="D987" s="4" t="s">
        <v>390</v>
      </c>
      <c r="E987" s="4">
        <v>104.45</v>
      </c>
      <c r="F987" s="4">
        <v>0.59870000000000001</v>
      </c>
      <c r="G987" s="4">
        <v>20</v>
      </c>
      <c r="H987" s="4">
        <v>325</v>
      </c>
      <c r="I987" s="6">
        <v>335</v>
      </c>
      <c r="J987" s="4">
        <v>335</v>
      </c>
      <c r="K987" s="4" t="e">
        <f t="array" aca="1" ref="K987">MAX(H987:J987*(1-strike(H987:J987)))</f>
        <v>#NAME?</v>
      </c>
      <c r="L987" s="4">
        <v>237.5</v>
      </c>
      <c r="M987" s="4">
        <v>245</v>
      </c>
      <c r="N987" s="4">
        <v>252.5</v>
      </c>
      <c r="O987" s="4" t="e">
        <f t="array" aca="1" ref="O987">MAX(L987:N987*(1-strike(L987:N987)))</f>
        <v>#NAME?</v>
      </c>
      <c r="P987" s="4">
        <v>295</v>
      </c>
      <c r="Q987" s="4">
        <v>305</v>
      </c>
      <c r="R987" s="4">
        <v>312.5</v>
      </c>
      <c r="S987" s="4" t="e">
        <f t="array" aca="1" ref="S987">MAX(P987:R987*(1-strike(P987:R987)))</f>
        <v>#NAME?</v>
      </c>
      <c r="T987" s="4" t="e">
        <f t="shared" si="15"/>
        <v>#NAME?</v>
      </c>
      <c r="U987" s="4">
        <v>900</v>
      </c>
      <c r="V987" s="4">
        <v>538.83000000000004</v>
      </c>
      <c r="W987" s="4">
        <v>1</v>
      </c>
      <c r="X987" s="5">
        <v>2015</v>
      </c>
      <c r="Y987" s="5" t="s">
        <v>29</v>
      </c>
      <c r="Z987" s="5" t="s">
        <v>171</v>
      </c>
      <c r="AA987" s="5">
        <v>85</v>
      </c>
    </row>
    <row r="988" spans="1:27">
      <c r="A988" s="3">
        <v>11</v>
      </c>
      <c r="B988" s="3" t="s">
        <v>811</v>
      </c>
      <c r="C988" s="3">
        <v>1981</v>
      </c>
      <c r="D988" s="3" t="s">
        <v>318</v>
      </c>
      <c r="E988" s="3">
        <v>104.02</v>
      </c>
      <c r="F988" s="3">
        <v>0.59950000000000003</v>
      </c>
      <c r="G988" s="3">
        <v>8</v>
      </c>
      <c r="H988" s="3">
        <v>285</v>
      </c>
      <c r="I988" s="3">
        <v>300</v>
      </c>
      <c r="J988" s="3">
        <v>310</v>
      </c>
      <c r="K988" s="4" t="e">
        <f t="array" aca="1" ref="K988">MAX(H988:J988*(1-strike(H988:J988)))</f>
        <v>#NAME?</v>
      </c>
      <c r="L988" s="3">
        <v>220</v>
      </c>
      <c r="M988" s="3">
        <v>225</v>
      </c>
      <c r="N988" s="3">
        <v>227.5</v>
      </c>
      <c r="O988" s="4" t="e">
        <f t="array" aca="1" ref="O988">MAX(L988:N988*(1-strike(L988:N988)))</f>
        <v>#NAME?</v>
      </c>
      <c r="P988" s="3">
        <v>265</v>
      </c>
      <c r="Q988" s="3">
        <v>272.5</v>
      </c>
      <c r="R988" s="1">
        <v>277.5</v>
      </c>
      <c r="S988" s="4" t="e">
        <f t="array" aca="1" ref="S988">MAX(P988:R988*(1-strike(P988:R988)))</f>
        <v>#NAME?</v>
      </c>
      <c r="T988" s="4" t="e">
        <f t="shared" si="15"/>
        <v>#NAME?</v>
      </c>
      <c r="U988" s="3">
        <v>810</v>
      </c>
      <c r="V988" s="3">
        <v>485.6</v>
      </c>
      <c r="W988" s="3">
        <v>1</v>
      </c>
      <c r="X988" s="5">
        <v>2013</v>
      </c>
      <c r="Y988" s="5" t="s">
        <v>29</v>
      </c>
      <c r="Z988" s="5" t="s">
        <v>171</v>
      </c>
      <c r="AA988" s="5">
        <v>892</v>
      </c>
    </row>
    <row r="989" spans="1:27">
      <c r="A989" s="4">
        <v>14</v>
      </c>
      <c r="B989" s="4" t="s">
        <v>812</v>
      </c>
      <c r="C989" s="4">
        <v>1990</v>
      </c>
      <c r="D989" s="4" t="s">
        <v>390</v>
      </c>
      <c r="E989" s="4">
        <v>73.36</v>
      </c>
      <c r="F989" s="4">
        <v>0.7238</v>
      </c>
      <c r="G989" s="4">
        <v>5</v>
      </c>
      <c r="H989" s="4">
        <v>227.5</v>
      </c>
      <c r="I989" s="6">
        <v>237.5</v>
      </c>
      <c r="J989" s="4">
        <v>237.5</v>
      </c>
      <c r="K989" s="4" t="e">
        <f t="array" aca="1" ref="K989">MAX(H989:J989*(1-strike(H989:J989)))</f>
        <v>#NAME?</v>
      </c>
      <c r="L989" s="4">
        <v>187.5</v>
      </c>
      <c r="M989" s="4">
        <v>195</v>
      </c>
      <c r="N989" s="6">
        <v>200</v>
      </c>
      <c r="O989" s="4" t="e">
        <f t="array" aca="1" ref="O989">MAX(L989:N989*(1-strike(L989:N989)))</f>
        <v>#NAME?</v>
      </c>
      <c r="P989" s="4">
        <v>240</v>
      </c>
      <c r="Q989" s="4">
        <v>250</v>
      </c>
      <c r="R989" s="4">
        <v>255</v>
      </c>
      <c r="S989" s="4" t="e">
        <f t="array" aca="1" ref="S989">MAX(P989:R989*(1-strike(P989:R989)))</f>
        <v>#NAME?</v>
      </c>
      <c r="T989" s="4" t="e">
        <f t="shared" si="15"/>
        <v>#NAME?</v>
      </c>
      <c r="U989" s="4">
        <v>687.5</v>
      </c>
      <c r="V989" s="4">
        <v>497.61</v>
      </c>
      <c r="W989" s="4">
        <v>1</v>
      </c>
      <c r="X989" s="5">
        <v>2015</v>
      </c>
      <c r="Y989" s="5" t="s">
        <v>29</v>
      </c>
      <c r="Z989" s="5" t="s">
        <v>171</v>
      </c>
      <c r="AA989" s="5">
        <v>36</v>
      </c>
    </row>
    <row r="990" spans="1:27">
      <c r="A990" s="3">
        <v>9</v>
      </c>
      <c r="B990" s="3" t="s">
        <v>813</v>
      </c>
      <c r="C990" s="3">
        <v>1978</v>
      </c>
      <c r="D990" s="3" t="s">
        <v>239</v>
      </c>
      <c r="E990" s="3">
        <v>92.83</v>
      </c>
      <c r="F990" s="3">
        <v>0.62870000000000004</v>
      </c>
      <c r="G990" s="3">
        <v>22</v>
      </c>
      <c r="H990" s="3">
        <v>315</v>
      </c>
      <c r="I990" s="3">
        <v>325</v>
      </c>
      <c r="J990" s="1">
        <v>337.5</v>
      </c>
      <c r="K990" s="4" t="e">
        <f t="array" aca="1" ref="K990">MAX(H990:J990*(1-strike(H990:J990)))</f>
        <v>#NAME?</v>
      </c>
      <c r="L990" s="1">
        <v>200</v>
      </c>
      <c r="M990" s="3">
        <v>200</v>
      </c>
      <c r="N990" s="1">
        <v>205</v>
      </c>
      <c r="O990" s="4" t="e">
        <f t="array" aca="1" ref="O990">MAX(L990:N990*(1-strike(L990:N990)))</f>
        <v>#NAME?</v>
      </c>
      <c r="P990" s="3">
        <v>290</v>
      </c>
      <c r="Q990" s="3">
        <v>302.5</v>
      </c>
      <c r="R990" s="3">
        <v>312.5</v>
      </c>
      <c r="S990" s="4" t="e">
        <f t="array" aca="1" ref="S990">MAX(P990:R990*(1-strike(P990:R990)))</f>
        <v>#NAME?</v>
      </c>
      <c r="T990" s="4" t="e">
        <f t="shared" si="15"/>
        <v>#NAME?</v>
      </c>
      <c r="U990" s="3">
        <v>837.5</v>
      </c>
      <c r="V990" s="3">
        <v>526.54</v>
      </c>
      <c r="W990" s="3">
        <v>2</v>
      </c>
      <c r="X990" s="5">
        <v>2012</v>
      </c>
      <c r="Y990" s="5" t="s">
        <v>29</v>
      </c>
      <c r="Z990" s="5" t="s">
        <v>171</v>
      </c>
      <c r="AA990" s="5">
        <v>1264</v>
      </c>
    </row>
    <row r="991" spans="1:27">
      <c r="A991" s="3">
        <v>14</v>
      </c>
      <c r="B991" s="3" t="s">
        <v>814</v>
      </c>
      <c r="C991" s="3">
        <v>1979</v>
      </c>
      <c r="D991" s="3" t="s">
        <v>815</v>
      </c>
      <c r="E991" s="3">
        <v>116.95</v>
      </c>
      <c r="F991" s="3">
        <v>0.5736</v>
      </c>
      <c r="G991" s="3">
        <v>35</v>
      </c>
      <c r="H991" s="1">
        <v>300</v>
      </c>
      <c r="I991" s="3">
        <v>300</v>
      </c>
      <c r="J991" s="3">
        <v>305</v>
      </c>
      <c r="K991" s="4" t="e">
        <f t="array" aca="1" ref="K991">MAX(H991:J991*(1-strike(H991:J991)))</f>
        <v>#NAME?</v>
      </c>
      <c r="L991" s="3">
        <v>160</v>
      </c>
      <c r="M991" s="1">
        <v>180</v>
      </c>
      <c r="N991" s="1">
        <v>180</v>
      </c>
      <c r="O991" s="4" t="e">
        <f t="array" aca="1" ref="O991">MAX(L991:N991*(1-strike(L991:N991)))</f>
        <v>#NAME?</v>
      </c>
      <c r="P991" s="3">
        <v>220</v>
      </c>
      <c r="Q991" s="3">
        <v>230</v>
      </c>
      <c r="R991" s="1">
        <v>232.5</v>
      </c>
      <c r="S991" s="4" t="e">
        <f t="array" aca="1" ref="S991">MAX(P991:R991*(1-strike(P991:R991)))</f>
        <v>#NAME?</v>
      </c>
      <c r="T991" s="4" t="e">
        <f t="shared" si="15"/>
        <v>#NAME?</v>
      </c>
      <c r="U991" s="3">
        <v>695</v>
      </c>
      <c r="V991" s="3">
        <v>398.61</v>
      </c>
      <c r="W991" s="3">
        <v>1</v>
      </c>
      <c r="X991" s="5">
        <v>2012</v>
      </c>
      <c r="Y991" s="5" t="s">
        <v>29</v>
      </c>
      <c r="Z991" s="5" t="s">
        <v>171</v>
      </c>
      <c r="AA991" s="5">
        <v>1312</v>
      </c>
    </row>
    <row r="992" spans="1:27">
      <c r="A992" s="3">
        <v>9</v>
      </c>
      <c r="B992" s="3" t="s">
        <v>816</v>
      </c>
      <c r="C992" s="3">
        <v>1978</v>
      </c>
      <c r="D992" s="3" t="s">
        <v>352</v>
      </c>
      <c r="E992" s="3">
        <v>82.53</v>
      </c>
      <c r="F992" s="3">
        <v>0.66979999999999995</v>
      </c>
      <c r="G992" s="3">
        <v>19</v>
      </c>
      <c r="H992" s="3">
        <v>310</v>
      </c>
      <c r="I992" s="1">
        <v>320</v>
      </c>
      <c r="J992" s="3">
        <v>325</v>
      </c>
      <c r="K992" s="4" t="e">
        <f t="array" aca="1" ref="K992">MAX(H992:J992*(1-strike(H992:J992)))</f>
        <v>#NAME?</v>
      </c>
      <c r="L992" s="3">
        <v>192.5</v>
      </c>
      <c r="M992" s="1">
        <v>200</v>
      </c>
      <c r="N992" s="3">
        <v>200</v>
      </c>
      <c r="O992" s="4" t="e">
        <f t="array" aca="1" ref="O992">MAX(L992:N992*(1-strike(L992:N992)))</f>
        <v>#NAME?</v>
      </c>
      <c r="P992" s="3">
        <v>307.5</v>
      </c>
      <c r="Q992" s="3">
        <v>317.5</v>
      </c>
      <c r="R992" s="3">
        <v>325</v>
      </c>
      <c r="S992" s="4" t="e">
        <f t="array" aca="1" ref="S992">MAX(P992:R992*(1-strike(P992:R992)))</f>
        <v>#NAME?</v>
      </c>
      <c r="T992" s="4" t="e">
        <f t="shared" si="15"/>
        <v>#NAME?</v>
      </c>
      <c r="U992" s="3">
        <v>850</v>
      </c>
      <c r="V992" s="3">
        <v>569.28</v>
      </c>
      <c r="W992" s="3">
        <v>2</v>
      </c>
      <c r="X992" s="5">
        <v>2012</v>
      </c>
      <c r="Y992" s="5" t="s">
        <v>29</v>
      </c>
      <c r="Z992" s="5" t="s">
        <v>171</v>
      </c>
      <c r="AA992" s="5">
        <v>1242</v>
      </c>
    </row>
    <row r="993" spans="1:27" ht="15" customHeight="1">
      <c r="A993" s="4" t="s">
        <v>37</v>
      </c>
      <c r="B993" s="4" t="s">
        <v>816</v>
      </c>
      <c r="C993" s="4">
        <v>1978</v>
      </c>
      <c r="D993" s="4" t="s">
        <v>352</v>
      </c>
      <c r="E993" s="4">
        <v>82.75</v>
      </c>
      <c r="F993" s="4">
        <v>0.66869999999999996</v>
      </c>
      <c r="G993" s="4">
        <v>1</v>
      </c>
      <c r="H993" s="4">
        <v>305</v>
      </c>
      <c r="I993" s="6">
        <v>315</v>
      </c>
      <c r="J993" s="6">
        <v>315</v>
      </c>
      <c r="K993" s="4" t="e">
        <f t="array" aca="1" ref="K993">MAX(H993:J993*(1-strike(H993:J993)))</f>
        <v>#NAME?</v>
      </c>
      <c r="L993" s="6">
        <v>205</v>
      </c>
      <c r="M993" s="6">
        <v>205</v>
      </c>
      <c r="N993" s="6">
        <v>205</v>
      </c>
      <c r="O993" s="4" t="e">
        <f t="array" aca="1" ref="O993">MAX(L993:N993*(1-strike(L993:N993)))</f>
        <v>#NAME?</v>
      </c>
      <c r="P993" s="6">
        <v>290</v>
      </c>
      <c r="Q993" s="4">
        <v>290</v>
      </c>
      <c r="R993" s="4"/>
      <c r="S993" s="4" t="e">
        <f t="array" aca="1" ref="S993">MAX(P993:R993*(1-strike(P993:R993)))</f>
        <v>#NAME?</v>
      </c>
      <c r="T993" s="4" t="e">
        <f t="shared" si="15"/>
        <v>#NAME?</v>
      </c>
      <c r="U993" s="4" t="s">
        <v>187</v>
      </c>
      <c r="V993" s="4" t="s">
        <v>37</v>
      </c>
      <c r="W993" s="4" t="s">
        <v>37</v>
      </c>
      <c r="X993" s="5">
        <v>2015</v>
      </c>
      <c r="Y993" s="5" t="s">
        <v>29</v>
      </c>
      <c r="Z993" s="5" t="s">
        <v>171</v>
      </c>
      <c r="AA993" s="5">
        <v>53</v>
      </c>
    </row>
    <row r="994" spans="1:27">
      <c r="A994" s="3" t="s">
        <v>37</v>
      </c>
      <c r="B994" s="3" t="s">
        <v>817</v>
      </c>
      <c r="C994" s="3">
        <v>1985</v>
      </c>
      <c r="D994" s="3" t="s">
        <v>28</v>
      </c>
      <c r="E994" s="3">
        <v>82.85</v>
      </c>
      <c r="F994" s="3">
        <v>0.66820000000000002</v>
      </c>
      <c r="G994" s="3">
        <v>4</v>
      </c>
      <c r="H994" s="1">
        <v>340</v>
      </c>
      <c r="I994" s="1">
        <v>340</v>
      </c>
      <c r="J994" s="1">
        <v>340</v>
      </c>
      <c r="K994" s="4" t="e">
        <f t="array" aca="1" ref="K994">MAX(H994:J994*(1-strike(H994:J994)))</f>
        <v>#NAME?</v>
      </c>
      <c r="L994" s="3">
        <v>225</v>
      </c>
      <c r="M994" s="3">
        <v>240</v>
      </c>
      <c r="N994" s="1">
        <v>245</v>
      </c>
      <c r="O994" s="4" t="e">
        <f t="array" aca="1" ref="O994">MAX(L994:N994*(1-strike(L994:N994)))</f>
        <v>#NAME?</v>
      </c>
      <c r="P994" s="1">
        <v>295</v>
      </c>
      <c r="Q994" s="3"/>
      <c r="R994" s="3"/>
      <c r="S994" s="4" t="e">
        <f t="array" aca="1" ref="S994">MAX(P994:R994*(1-strike(P994:R994)))</f>
        <v>#NAME?</v>
      </c>
      <c r="T994" s="4" t="e">
        <f t="shared" si="15"/>
        <v>#NAME?</v>
      </c>
      <c r="U994" s="3" t="s">
        <v>40</v>
      </c>
      <c r="V994" s="3" t="s">
        <v>37</v>
      </c>
      <c r="W994" s="3" t="s">
        <v>37</v>
      </c>
      <c r="X994" s="5">
        <v>2013</v>
      </c>
      <c r="Y994" s="5" t="s">
        <v>29</v>
      </c>
      <c r="Z994" s="5" t="s">
        <v>171</v>
      </c>
      <c r="AA994" s="5">
        <v>861</v>
      </c>
    </row>
    <row r="995" spans="1:27">
      <c r="A995" s="4" t="s">
        <v>37</v>
      </c>
      <c r="B995" s="4" t="s">
        <v>817</v>
      </c>
      <c r="C995" s="4">
        <v>1985</v>
      </c>
      <c r="D995" s="4" t="s">
        <v>28</v>
      </c>
      <c r="E995" s="4">
        <v>82.94</v>
      </c>
      <c r="F995" s="4">
        <v>0.66800000000000004</v>
      </c>
      <c r="G995" s="4">
        <v>12</v>
      </c>
      <c r="H995" s="6">
        <v>340</v>
      </c>
      <c r="I995" s="4">
        <v>340</v>
      </c>
      <c r="J995" s="4">
        <v>350</v>
      </c>
      <c r="K995" s="4" t="e">
        <f t="array" aca="1" ref="K995">MAX(H995:J995*(1-strike(H995:J995)))</f>
        <v>#NAME?</v>
      </c>
      <c r="L995" s="4">
        <v>240</v>
      </c>
      <c r="M995" s="4">
        <v>250</v>
      </c>
      <c r="N995" s="4">
        <v>255</v>
      </c>
      <c r="O995" s="4" t="e">
        <f t="array" aca="1" ref="O995">MAX(L995:N995*(1-strike(L995:N995)))</f>
        <v>#NAME?</v>
      </c>
      <c r="P995" s="6">
        <v>315</v>
      </c>
      <c r="Q995" s="6">
        <v>315</v>
      </c>
      <c r="R995" s="6">
        <v>315</v>
      </c>
      <c r="S995" s="4" t="e">
        <f t="array" aca="1" ref="S995">MAX(P995:R995*(1-strike(P995:R995)))</f>
        <v>#NAME?</v>
      </c>
      <c r="T995" s="4" t="e">
        <f t="shared" si="15"/>
        <v>#NAME?</v>
      </c>
      <c r="U995" s="4" t="s">
        <v>187</v>
      </c>
      <c r="V995" s="4" t="s">
        <v>37</v>
      </c>
      <c r="W995" s="4" t="s">
        <v>37</v>
      </c>
      <c r="X995" s="5">
        <v>2014</v>
      </c>
      <c r="Y995" s="5" t="s">
        <v>29</v>
      </c>
      <c r="Z995" s="5" t="s">
        <v>171</v>
      </c>
      <c r="AA995" s="5">
        <v>489</v>
      </c>
    </row>
    <row r="996" spans="1:27">
      <c r="A996" s="4">
        <v>7</v>
      </c>
      <c r="B996" s="4" t="s">
        <v>818</v>
      </c>
      <c r="C996" s="4">
        <v>1986</v>
      </c>
      <c r="D996" s="4" t="s">
        <v>39</v>
      </c>
      <c r="E996" s="4">
        <v>65.239999999999995</v>
      </c>
      <c r="F996" s="4">
        <v>0.79279999999999995</v>
      </c>
      <c r="G996" s="4">
        <v>11</v>
      </c>
      <c r="H996" s="4">
        <v>180</v>
      </c>
      <c r="I996" s="4">
        <v>192.5</v>
      </c>
      <c r="J996" s="4">
        <v>195</v>
      </c>
      <c r="K996" s="4" t="e">
        <f t="array" aca="1" ref="K996">MAX(H996:J996*(1-strike(H996:J996)))</f>
        <v>#NAME?</v>
      </c>
      <c r="L996" s="4">
        <v>145</v>
      </c>
      <c r="M996" s="4">
        <v>152.5</v>
      </c>
      <c r="N996" s="6">
        <v>160</v>
      </c>
      <c r="O996" s="4" t="e">
        <f t="array" aca="1" ref="O996">MAX(L996:N996*(1-strike(L996:N996)))</f>
        <v>#NAME?</v>
      </c>
      <c r="P996" s="4">
        <v>200</v>
      </c>
      <c r="Q996" s="6">
        <v>212.5</v>
      </c>
      <c r="R996" s="6">
        <v>212.5</v>
      </c>
      <c r="S996" s="4" t="e">
        <f t="array" aca="1" ref="S996">MAX(P996:R996*(1-strike(P996:R996)))</f>
        <v>#NAME?</v>
      </c>
      <c r="T996" s="4" t="e">
        <f t="shared" si="15"/>
        <v>#NAME?</v>
      </c>
      <c r="U996" s="4">
        <v>547.5</v>
      </c>
      <c r="V996" s="4">
        <v>434.06</v>
      </c>
      <c r="W996" s="4">
        <v>4</v>
      </c>
      <c r="X996" s="5">
        <v>2015</v>
      </c>
      <c r="Y996" s="5" t="s">
        <v>29</v>
      </c>
      <c r="Z996" s="5" t="s">
        <v>30</v>
      </c>
      <c r="AA996" s="5">
        <v>233</v>
      </c>
    </row>
    <row r="997" spans="1:27">
      <c r="A997" s="3">
        <v>1</v>
      </c>
      <c r="B997" s="3" t="s">
        <v>819</v>
      </c>
      <c r="C997" s="3">
        <v>1985</v>
      </c>
      <c r="D997" s="3" t="s">
        <v>28</v>
      </c>
      <c r="E997" s="3">
        <v>82.68</v>
      </c>
      <c r="F997" s="3">
        <v>0.66900000000000004</v>
      </c>
      <c r="G997" s="3">
        <v>21</v>
      </c>
      <c r="H997" s="3">
        <v>340</v>
      </c>
      <c r="I997" s="3">
        <v>350</v>
      </c>
      <c r="J997" s="3">
        <v>360</v>
      </c>
      <c r="K997" s="4" t="e">
        <f t="array" aca="1" ref="K997">MAX(H997:J997*(1-strike(H997:J997)))</f>
        <v>#NAME?</v>
      </c>
      <c r="L997" s="3">
        <v>230</v>
      </c>
      <c r="M997" s="3">
        <v>240</v>
      </c>
      <c r="N997" s="3">
        <v>245</v>
      </c>
      <c r="O997" s="4" t="e">
        <f t="array" aca="1" ref="O997">MAX(L997:N997*(1-strike(L997:N997)))</f>
        <v>#NAME?</v>
      </c>
      <c r="P997" s="3">
        <v>315</v>
      </c>
      <c r="Q997" s="3">
        <v>320</v>
      </c>
      <c r="R997" s="1">
        <v>335</v>
      </c>
      <c r="S997" s="4" t="e">
        <f t="array" aca="1" ref="S997">MAX(P997:R997*(1-strike(P997:R997)))</f>
        <v>#NAME?</v>
      </c>
      <c r="T997" s="4" t="e">
        <f t="shared" si="15"/>
        <v>#NAME?</v>
      </c>
      <c r="U997" s="3" t="s">
        <v>820</v>
      </c>
      <c r="V997" s="3">
        <v>618.82000000000005</v>
      </c>
      <c r="W997" s="3">
        <v>12</v>
      </c>
      <c r="X997" s="5">
        <v>2012</v>
      </c>
      <c r="Y997" s="5" t="s">
        <v>29</v>
      </c>
      <c r="Z997" s="5" t="s">
        <v>171</v>
      </c>
      <c r="AA997" s="5">
        <v>1234</v>
      </c>
    </row>
    <row r="998" spans="1:27">
      <c r="A998" s="4">
        <v>17</v>
      </c>
      <c r="B998" s="4" t="s">
        <v>821</v>
      </c>
      <c r="C998" s="4">
        <v>1982</v>
      </c>
      <c r="D998" s="4" t="s">
        <v>252</v>
      </c>
      <c r="E998" s="4">
        <v>84.07</v>
      </c>
      <c r="F998" s="4">
        <v>0.66249999999999998</v>
      </c>
      <c r="G998" s="4">
        <v>8</v>
      </c>
      <c r="H998" s="4">
        <v>120</v>
      </c>
      <c r="I998" s="6">
        <v>130</v>
      </c>
      <c r="J998" s="4"/>
      <c r="K998" s="4" t="e">
        <f t="array" aca="1" ref="K998">MAX(H998:J998*(1-strike(H998:J998)))</f>
        <v>#NAME?</v>
      </c>
      <c r="L998" s="4">
        <v>80</v>
      </c>
      <c r="M998" s="4">
        <v>90</v>
      </c>
      <c r="N998" s="4">
        <v>100</v>
      </c>
      <c r="O998" s="4" t="e">
        <f t="array" aca="1" ref="O998">MAX(L998:N998*(1-strike(L998:N998)))</f>
        <v>#NAME?</v>
      </c>
      <c r="P998" s="4">
        <v>130</v>
      </c>
      <c r="Q998" s="4">
        <v>150</v>
      </c>
      <c r="R998" s="4">
        <v>165</v>
      </c>
      <c r="S998" s="4" t="e">
        <f t="array" aca="1" ref="S998">MAX(P998:R998*(1-strike(P998:R998)))</f>
        <v>#NAME?</v>
      </c>
      <c r="T998" s="4" t="e">
        <f t="shared" si="15"/>
        <v>#NAME?</v>
      </c>
      <c r="U998" s="4">
        <v>385</v>
      </c>
      <c r="V998" s="4">
        <v>255.06</v>
      </c>
      <c r="W998" s="4">
        <v>1</v>
      </c>
      <c r="X998" s="5">
        <v>2015</v>
      </c>
      <c r="Y998" s="5" t="s">
        <v>29</v>
      </c>
      <c r="Z998" s="5" t="s">
        <v>171</v>
      </c>
      <c r="AA998" s="5">
        <v>71</v>
      </c>
    </row>
    <row r="999" spans="1:27">
      <c r="A999" s="4">
        <v>13</v>
      </c>
      <c r="B999" s="4" t="s">
        <v>822</v>
      </c>
      <c r="C999" s="4">
        <v>1983</v>
      </c>
      <c r="D999" s="4" t="s">
        <v>142</v>
      </c>
      <c r="E999" s="4">
        <v>90.33</v>
      </c>
      <c r="F999" s="4">
        <v>0.63719999999999999</v>
      </c>
      <c r="G999" s="4">
        <v>17</v>
      </c>
      <c r="H999" s="4">
        <v>225</v>
      </c>
      <c r="I999" s="6">
        <v>240</v>
      </c>
      <c r="J999" s="6">
        <v>240</v>
      </c>
      <c r="K999" s="4" t="e">
        <f t="array" aca="1" ref="K999">MAX(H999:J999*(1-strike(H999:J999)))</f>
        <v>#NAME?</v>
      </c>
      <c r="L999" s="4">
        <v>160</v>
      </c>
      <c r="M999" s="4">
        <v>165</v>
      </c>
      <c r="N999" s="4">
        <v>167.5</v>
      </c>
      <c r="O999" s="4" t="e">
        <f t="array" aca="1" ref="O999">MAX(L999:N999*(1-strike(L999:N999)))</f>
        <v>#NAME?</v>
      </c>
      <c r="P999" s="4">
        <v>275</v>
      </c>
      <c r="Q999" s="4">
        <v>285</v>
      </c>
      <c r="R999" s="6">
        <v>292.5</v>
      </c>
      <c r="S999" s="4" t="e">
        <f t="array" aca="1" ref="S999">MAX(P999:R999*(1-strike(P999:R999)))</f>
        <v>#NAME?</v>
      </c>
      <c r="T999" s="4" t="e">
        <f t="shared" si="15"/>
        <v>#NAME?</v>
      </c>
      <c r="U999" s="4">
        <v>677.5</v>
      </c>
      <c r="V999" s="4">
        <v>431.7</v>
      </c>
      <c r="W999" s="4">
        <v>1</v>
      </c>
      <c r="X999" s="5">
        <v>2015</v>
      </c>
      <c r="Y999" s="5" t="s">
        <v>29</v>
      </c>
      <c r="Z999" s="5" t="s">
        <v>30</v>
      </c>
      <c r="AA999" s="5">
        <v>285</v>
      </c>
    </row>
    <row r="1000" spans="1:27">
      <c r="A1000" s="3">
        <v>18</v>
      </c>
      <c r="B1000" s="3" t="s">
        <v>823</v>
      </c>
      <c r="C1000" s="3">
        <v>1983</v>
      </c>
      <c r="D1000" s="3" t="s">
        <v>485</v>
      </c>
      <c r="E1000" s="3">
        <v>80.16</v>
      </c>
      <c r="F1000" s="3">
        <v>0.68179999999999996</v>
      </c>
      <c r="G1000" s="3">
        <v>2</v>
      </c>
      <c r="H1000" s="3">
        <v>225</v>
      </c>
      <c r="I1000" s="3">
        <v>235</v>
      </c>
      <c r="J1000" s="3">
        <v>242.5</v>
      </c>
      <c r="K1000" s="4" t="e">
        <f t="array" aca="1" ref="K1000">MAX(H1000:J1000*(1-strike(H1000:J1000)))</f>
        <v>#NAME?</v>
      </c>
      <c r="L1000" s="3">
        <v>137.5</v>
      </c>
      <c r="M1000" s="3">
        <v>147.5</v>
      </c>
      <c r="N1000" s="3">
        <v>152.5</v>
      </c>
      <c r="O1000" s="4" t="e">
        <f t="array" aca="1" ref="O1000">MAX(L1000:N1000*(1-strike(L1000:N1000)))</f>
        <v>#NAME?</v>
      </c>
      <c r="P1000" s="3">
        <v>260</v>
      </c>
      <c r="Q1000" s="3">
        <v>267.5</v>
      </c>
      <c r="R1000" s="3">
        <v>275</v>
      </c>
      <c r="S1000" s="4" t="e">
        <f t="array" aca="1" ref="S1000">MAX(P1000:R1000*(1-strike(P1000:R1000)))</f>
        <v>#NAME?</v>
      </c>
      <c r="T1000" s="4" t="e">
        <f t="shared" si="15"/>
        <v>#NAME?</v>
      </c>
      <c r="U1000" s="3">
        <v>670</v>
      </c>
      <c r="V1000" s="3">
        <v>456.83</v>
      </c>
      <c r="W1000" s="3">
        <v>1</v>
      </c>
      <c r="X1000" s="5">
        <v>2012</v>
      </c>
      <c r="Y1000" s="5" t="s">
        <v>29</v>
      </c>
      <c r="Z1000" s="5" t="s">
        <v>171</v>
      </c>
      <c r="AA1000" s="5">
        <v>1251</v>
      </c>
    </row>
    <row r="1001" spans="1:27">
      <c r="A1001" s="4">
        <v>11</v>
      </c>
      <c r="B1001" s="4" t="s">
        <v>823</v>
      </c>
      <c r="C1001" s="4">
        <v>1983</v>
      </c>
      <c r="D1001" s="4" t="s">
        <v>485</v>
      </c>
      <c r="E1001" s="4">
        <v>81.06</v>
      </c>
      <c r="F1001" s="4">
        <v>0.67689999999999995</v>
      </c>
      <c r="G1001" s="4">
        <v>8</v>
      </c>
      <c r="H1001" s="4">
        <v>250</v>
      </c>
      <c r="I1001" s="4">
        <v>260</v>
      </c>
      <c r="J1001" s="6">
        <v>267.5</v>
      </c>
      <c r="K1001" s="4" t="e">
        <f t="array" aca="1" ref="K1001">MAX(H1001:J1001*(1-strike(H1001:J1001)))</f>
        <v>#NAME?</v>
      </c>
      <c r="L1001" s="4">
        <v>150</v>
      </c>
      <c r="M1001" s="6">
        <v>162.5</v>
      </c>
      <c r="N1001" s="6">
        <v>162.5</v>
      </c>
      <c r="O1001" s="4" t="e">
        <f t="array" aca="1" ref="O1001">MAX(L1001:N1001*(1-strike(L1001:N1001)))</f>
        <v>#NAME?</v>
      </c>
      <c r="P1001" s="4">
        <v>270</v>
      </c>
      <c r="Q1001" s="4">
        <v>280</v>
      </c>
      <c r="R1001" s="6">
        <v>285</v>
      </c>
      <c r="S1001" s="4" t="e">
        <f t="array" aca="1" ref="S1001">MAX(P1001:R1001*(1-strike(P1001:R1001)))</f>
        <v>#NAME?</v>
      </c>
      <c r="T1001" s="4" t="e">
        <f t="shared" si="15"/>
        <v>#NAME?</v>
      </c>
      <c r="U1001" s="4">
        <v>690</v>
      </c>
      <c r="V1001" s="4">
        <v>467.06</v>
      </c>
      <c r="W1001" s="4">
        <v>1</v>
      </c>
      <c r="X1001" s="5">
        <v>2014</v>
      </c>
      <c r="Y1001" s="5" t="s">
        <v>29</v>
      </c>
      <c r="Z1001" s="5" t="s">
        <v>171</v>
      </c>
      <c r="AA1001" s="5">
        <v>486</v>
      </c>
    </row>
    <row r="1002" spans="1:27">
      <c r="A1002" s="4">
        <v>7</v>
      </c>
      <c r="B1002" s="4" t="s">
        <v>160</v>
      </c>
      <c r="C1002" s="4">
        <v>1983</v>
      </c>
      <c r="D1002" s="4" t="s">
        <v>125</v>
      </c>
      <c r="E1002" s="4">
        <v>92.76</v>
      </c>
      <c r="F1002" s="4">
        <v>0.629</v>
      </c>
      <c r="G1002" s="4">
        <v>9</v>
      </c>
      <c r="H1002" s="4">
        <v>260</v>
      </c>
      <c r="I1002" s="4">
        <v>272.5</v>
      </c>
      <c r="J1002" s="4">
        <v>277.5</v>
      </c>
      <c r="K1002" s="4" t="e">
        <f t="array" aca="1" ref="K1002">MAX(H1002:J1002*(1-strike(H1002:J1002)))</f>
        <v>#NAME?</v>
      </c>
      <c r="L1002" s="4">
        <v>190</v>
      </c>
      <c r="M1002" s="6">
        <v>195</v>
      </c>
      <c r="N1002" s="6">
        <v>195</v>
      </c>
      <c r="O1002" s="4" t="e">
        <f t="array" aca="1" ref="O1002">MAX(L1002:N1002*(1-strike(L1002:N1002)))</f>
        <v>#NAME?</v>
      </c>
      <c r="P1002" s="4">
        <v>260</v>
      </c>
      <c r="Q1002" s="4">
        <v>277.5</v>
      </c>
      <c r="R1002" s="4">
        <v>287.5</v>
      </c>
      <c r="S1002" s="4" t="e">
        <f t="array" aca="1" ref="S1002">MAX(P1002:R1002*(1-strike(P1002:R1002)))</f>
        <v>#NAME?</v>
      </c>
      <c r="T1002" s="4" t="e">
        <f t="shared" si="15"/>
        <v>#NAME?</v>
      </c>
      <c r="U1002" s="4">
        <v>755</v>
      </c>
      <c r="V1002" s="4">
        <v>474.89</v>
      </c>
      <c r="W1002" s="4">
        <v>4</v>
      </c>
      <c r="X1002" s="5">
        <v>2015</v>
      </c>
      <c r="Y1002" s="5" t="s">
        <v>29</v>
      </c>
      <c r="Z1002" s="5" t="s">
        <v>30</v>
      </c>
      <c r="AA1002" s="5">
        <v>279</v>
      </c>
    </row>
    <row r="1003" spans="1:27" ht="15" customHeight="1">
      <c r="A1003" s="3">
        <v>6</v>
      </c>
      <c r="B1003" s="3" t="s">
        <v>824</v>
      </c>
      <c r="C1003" s="3">
        <v>1981</v>
      </c>
      <c r="D1003" s="3" t="s">
        <v>125</v>
      </c>
      <c r="E1003" s="3">
        <v>82.8</v>
      </c>
      <c r="F1003" s="3">
        <v>0.66849999999999998</v>
      </c>
      <c r="G1003" s="3">
        <v>14</v>
      </c>
      <c r="H1003" s="3">
        <v>270</v>
      </c>
      <c r="I1003" s="3">
        <v>287.5</v>
      </c>
      <c r="J1003" s="3">
        <v>300</v>
      </c>
      <c r="K1003" s="4" t="e">
        <f t="array" aca="1" ref="K1003">MAX(H1003:J1003*(1-strike(H1003:J1003)))</f>
        <v>#NAME?</v>
      </c>
      <c r="L1003" s="3">
        <v>197.5</v>
      </c>
      <c r="M1003" s="3">
        <v>207.5</v>
      </c>
      <c r="N1003" s="3">
        <v>212.5</v>
      </c>
      <c r="O1003" s="4" t="e">
        <f t="array" aca="1" ref="O1003">MAX(L1003:N1003*(1-strike(L1003:N1003)))</f>
        <v>#NAME?</v>
      </c>
      <c r="P1003" s="3">
        <v>302.5</v>
      </c>
      <c r="Q1003" s="1">
        <v>312.5</v>
      </c>
      <c r="R1003" s="1">
        <v>312.5</v>
      </c>
      <c r="S1003" s="4" t="e">
        <f t="array" aca="1" ref="S1003">MAX(P1003:R1003*(1-strike(P1003:R1003)))</f>
        <v>#NAME?</v>
      </c>
      <c r="T1003" s="4" t="e">
        <f t="shared" si="15"/>
        <v>#NAME?</v>
      </c>
      <c r="U1003" s="3">
        <v>815</v>
      </c>
      <c r="V1003" s="3">
        <v>544.83000000000004</v>
      </c>
      <c r="W1003" s="3">
        <v>5</v>
      </c>
      <c r="X1003" s="5">
        <v>2013</v>
      </c>
      <c r="Y1003" s="5" t="s">
        <v>29</v>
      </c>
      <c r="Z1003" s="5" t="s">
        <v>171</v>
      </c>
      <c r="AA1003" s="5">
        <v>857</v>
      </c>
    </row>
    <row r="1004" spans="1:27">
      <c r="A1004" s="3">
        <v>5</v>
      </c>
      <c r="B1004" s="3" t="s">
        <v>161</v>
      </c>
      <c r="C1004" s="3">
        <v>1988</v>
      </c>
      <c r="D1004" s="3" t="s">
        <v>45</v>
      </c>
      <c r="E1004" s="3">
        <v>104.23</v>
      </c>
      <c r="F1004" s="3">
        <v>0.59909999999999997</v>
      </c>
      <c r="G1004" s="3">
        <v>17</v>
      </c>
      <c r="H1004" s="3">
        <v>355</v>
      </c>
      <c r="I1004" s="1">
        <v>365</v>
      </c>
      <c r="J1004" s="3">
        <v>365</v>
      </c>
      <c r="K1004" s="4" t="e">
        <f t="array" aca="1" ref="K1004">MAX(H1004:J1004*(1-strike(H1004:J1004)))</f>
        <v>#NAME?</v>
      </c>
      <c r="L1004" s="3">
        <v>242.5</v>
      </c>
      <c r="M1004" s="1">
        <v>247.5</v>
      </c>
      <c r="N1004" s="1">
        <v>250</v>
      </c>
      <c r="O1004" s="4" t="e">
        <f t="array" aca="1" ref="O1004">MAX(L1004:N1004*(1-strike(L1004:N1004)))</f>
        <v>#NAME?</v>
      </c>
      <c r="P1004" s="3">
        <v>307.5</v>
      </c>
      <c r="Q1004" s="3">
        <v>315</v>
      </c>
      <c r="R1004" s="3">
        <v>320</v>
      </c>
      <c r="S1004" s="4" t="e">
        <f t="array" aca="1" ref="S1004">MAX(P1004:R1004*(1-strike(P1004:R1004)))</f>
        <v>#NAME?</v>
      </c>
      <c r="T1004" s="4" t="e">
        <f t="shared" si="15"/>
        <v>#NAME?</v>
      </c>
      <c r="U1004" s="3">
        <v>927.5</v>
      </c>
      <c r="V1004" s="3">
        <v>555.70000000000005</v>
      </c>
      <c r="W1004" s="3">
        <v>6</v>
      </c>
      <c r="X1004" s="5">
        <v>2012</v>
      </c>
      <c r="Y1004" s="5" t="s">
        <v>29</v>
      </c>
      <c r="Z1004" s="5" t="s">
        <v>171</v>
      </c>
      <c r="AA1004" s="5">
        <v>1282</v>
      </c>
    </row>
    <row r="1005" spans="1:27">
      <c r="A1005" s="3">
        <v>4</v>
      </c>
      <c r="B1005" s="3" t="s">
        <v>161</v>
      </c>
      <c r="C1005" s="3">
        <v>1988</v>
      </c>
      <c r="D1005" s="3" t="s">
        <v>45</v>
      </c>
      <c r="E1005" s="3">
        <v>104.38</v>
      </c>
      <c r="F1005" s="3">
        <v>0.5988</v>
      </c>
      <c r="G1005" s="3">
        <v>9</v>
      </c>
      <c r="H1005" s="3">
        <v>357.5</v>
      </c>
      <c r="I1005" s="3">
        <v>367.5</v>
      </c>
      <c r="J1005" s="3">
        <v>375</v>
      </c>
      <c r="K1005" s="4" t="e">
        <f t="array" aca="1" ref="K1005">MAX(H1005:J1005*(1-strike(H1005:J1005)))</f>
        <v>#NAME?</v>
      </c>
      <c r="L1005" s="3">
        <v>257.5</v>
      </c>
      <c r="M1005" s="3">
        <v>262.5</v>
      </c>
      <c r="N1005" s="1">
        <v>267.5</v>
      </c>
      <c r="O1005" s="4" t="e">
        <f t="array" aca="1" ref="O1005">MAX(L1005:N1005*(1-strike(L1005:N1005)))</f>
        <v>#NAME?</v>
      </c>
      <c r="P1005" s="3">
        <v>310</v>
      </c>
      <c r="Q1005" s="3">
        <v>320</v>
      </c>
      <c r="R1005" s="3">
        <v>325</v>
      </c>
      <c r="S1005" s="4" t="e">
        <f t="array" aca="1" ref="S1005">MAX(P1005:R1005*(1-strike(P1005:R1005)))</f>
        <v>#NAME?</v>
      </c>
      <c r="T1005" s="4" t="e">
        <f t="shared" si="15"/>
        <v>#NAME?</v>
      </c>
      <c r="U1005" s="3">
        <v>962.5</v>
      </c>
      <c r="V1005" s="3">
        <v>576.35</v>
      </c>
      <c r="W1005" s="3">
        <v>7</v>
      </c>
      <c r="X1005" s="5">
        <v>2013</v>
      </c>
      <c r="Y1005" s="5" t="s">
        <v>29</v>
      </c>
      <c r="Z1005" s="5" t="s">
        <v>171</v>
      </c>
      <c r="AA1005" s="5">
        <v>885</v>
      </c>
    </row>
    <row r="1006" spans="1:27">
      <c r="A1006" s="4">
        <v>4</v>
      </c>
      <c r="B1006" s="4" t="s">
        <v>161</v>
      </c>
      <c r="C1006" s="4">
        <v>1988</v>
      </c>
      <c r="D1006" s="4" t="s">
        <v>45</v>
      </c>
      <c r="E1006" s="4">
        <v>104.38</v>
      </c>
      <c r="F1006" s="4">
        <v>0.5988</v>
      </c>
      <c r="G1006" s="4">
        <v>11</v>
      </c>
      <c r="H1006" s="6">
        <v>375</v>
      </c>
      <c r="I1006" s="4">
        <v>375</v>
      </c>
      <c r="J1006" s="6">
        <v>385</v>
      </c>
      <c r="K1006" s="4" t="e">
        <f t="array" aca="1" ref="K1006">MAX(H1006:J1006*(1-strike(H1006:J1006)))</f>
        <v>#NAME?</v>
      </c>
      <c r="L1006" s="4">
        <v>267.5</v>
      </c>
      <c r="M1006" s="4">
        <v>272.5</v>
      </c>
      <c r="N1006" s="6">
        <v>277.5</v>
      </c>
      <c r="O1006" s="4" t="e">
        <f t="array" aca="1" ref="O1006">MAX(L1006:N1006*(1-strike(L1006:N1006)))</f>
        <v>#NAME?</v>
      </c>
      <c r="P1006" s="4">
        <v>320</v>
      </c>
      <c r="Q1006" s="4">
        <v>332.5</v>
      </c>
      <c r="R1006" s="4">
        <v>350</v>
      </c>
      <c r="S1006" s="4" t="e">
        <f t="array" aca="1" ref="S1006">MAX(P1006:R1006*(1-strike(P1006:R1006)))</f>
        <v>#NAME?</v>
      </c>
      <c r="T1006" s="4" t="e">
        <f t="shared" si="15"/>
        <v>#NAME?</v>
      </c>
      <c r="U1006" s="4">
        <v>997.5</v>
      </c>
      <c r="V1006" s="4">
        <v>597.29999999999995</v>
      </c>
      <c r="W1006" s="4">
        <v>7</v>
      </c>
      <c r="X1006" s="5">
        <v>2014</v>
      </c>
      <c r="Y1006" s="5" t="s">
        <v>29</v>
      </c>
      <c r="Z1006" s="5" t="s">
        <v>171</v>
      </c>
      <c r="AA1006" s="5">
        <v>516</v>
      </c>
    </row>
    <row r="1007" spans="1:27">
      <c r="A1007" s="4">
        <v>2</v>
      </c>
      <c r="B1007" s="4" t="s">
        <v>161</v>
      </c>
      <c r="C1007" s="4">
        <v>1988</v>
      </c>
      <c r="D1007" s="4" t="s">
        <v>45</v>
      </c>
      <c r="E1007" s="4">
        <v>104.54</v>
      </c>
      <c r="F1007" s="4">
        <v>0.59850000000000003</v>
      </c>
      <c r="G1007" s="4">
        <v>4</v>
      </c>
      <c r="H1007" s="4">
        <v>380</v>
      </c>
      <c r="I1007" s="6">
        <v>390</v>
      </c>
      <c r="J1007" s="4">
        <v>390</v>
      </c>
      <c r="K1007" s="4" t="e">
        <f t="array" aca="1" ref="K1007">MAX(H1007:J1007*(1-strike(H1007:J1007)))</f>
        <v>#NAME?</v>
      </c>
      <c r="L1007" s="4">
        <v>280</v>
      </c>
      <c r="M1007" s="4">
        <v>285</v>
      </c>
      <c r="N1007" s="4">
        <v>290</v>
      </c>
      <c r="O1007" s="4" t="e">
        <f t="array" aca="1" ref="O1007">MAX(L1007:N1007*(1-strike(L1007:N1007)))</f>
        <v>#NAME?</v>
      </c>
      <c r="P1007" s="4">
        <v>335</v>
      </c>
      <c r="Q1007" s="4">
        <v>350</v>
      </c>
      <c r="R1007" s="6">
        <v>357.5</v>
      </c>
      <c r="S1007" s="4" t="e">
        <f t="array" aca="1" ref="S1007">MAX(P1007:R1007*(1-strike(P1007:R1007)))</f>
        <v>#NAME?</v>
      </c>
      <c r="T1007" s="4" t="e">
        <f t="shared" si="15"/>
        <v>#NAME?</v>
      </c>
      <c r="U1007" s="4">
        <v>1030</v>
      </c>
      <c r="V1007" s="4">
        <v>616.46</v>
      </c>
      <c r="W1007" s="4">
        <v>9</v>
      </c>
      <c r="X1007" s="5">
        <v>2015</v>
      </c>
      <c r="Y1007" s="5" t="s">
        <v>29</v>
      </c>
      <c r="Z1007" s="5" t="s">
        <v>171</v>
      </c>
      <c r="AA1007" s="5">
        <v>74</v>
      </c>
    </row>
    <row r="1008" spans="1:27">
      <c r="A1008" s="3">
        <v>6</v>
      </c>
      <c r="B1008" s="3" t="s">
        <v>825</v>
      </c>
      <c r="C1008" s="3">
        <v>1976</v>
      </c>
      <c r="D1008" s="3" t="s">
        <v>62</v>
      </c>
      <c r="E1008" s="3">
        <v>73.7</v>
      </c>
      <c r="F1008" s="3">
        <v>0.72140000000000004</v>
      </c>
      <c r="G1008" s="3">
        <v>12</v>
      </c>
      <c r="H1008" s="3">
        <v>260</v>
      </c>
      <c r="I1008" s="3">
        <v>270</v>
      </c>
      <c r="J1008" s="3">
        <v>275</v>
      </c>
      <c r="K1008" s="4" t="e">
        <f t="array" aca="1" ref="K1008">MAX(H1008:J1008*(1-strike(H1008:J1008)))</f>
        <v>#NAME?</v>
      </c>
      <c r="L1008" s="3">
        <v>175</v>
      </c>
      <c r="M1008" s="3">
        <v>185</v>
      </c>
      <c r="N1008" s="3">
        <v>190</v>
      </c>
      <c r="O1008" s="4" t="e">
        <f t="array" aca="1" ref="O1008">MAX(L1008:N1008*(1-strike(L1008:N1008)))</f>
        <v>#NAME?</v>
      </c>
      <c r="P1008" s="3">
        <v>285</v>
      </c>
      <c r="Q1008" s="3">
        <v>302.5</v>
      </c>
      <c r="R1008" s="3">
        <v>307.5</v>
      </c>
      <c r="S1008" s="4" t="e">
        <f t="array" aca="1" ref="S1008">MAX(P1008:R1008*(1-strike(P1008:R1008)))</f>
        <v>#NAME?</v>
      </c>
      <c r="T1008" s="4" t="e">
        <f t="shared" si="15"/>
        <v>#NAME?</v>
      </c>
      <c r="U1008" s="3">
        <v>772.5</v>
      </c>
      <c r="V1008" s="3">
        <v>557.28</v>
      </c>
      <c r="W1008" s="3">
        <v>5</v>
      </c>
      <c r="X1008" s="5">
        <v>2013</v>
      </c>
      <c r="Y1008" s="5" t="s">
        <v>29</v>
      </c>
      <c r="Z1008" s="5" t="s">
        <v>171</v>
      </c>
      <c r="AA1008" s="5">
        <v>841</v>
      </c>
    </row>
    <row r="1009" spans="1:27">
      <c r="A1009" s="4">
        <v>4</v>
      </c>
      <c r="B1009" s="4" t="s">
        <v>825</v>
      </c>
      <c r="C1009" s="4">
        <v>1976</v>
      </c>
      <c r="D1009" s="4" t="s">
        <v>62</v>
      </c>
      <c r="E1009" s="4">
        <v>73.8</v>
      </c>
      <c r="F1009" s="4">
        <v>0.72070000000000001</v>
      </c>
      <c r="G1009" s="4">
        <v>6</v>
      </c>
      <c r="H1009" s="4">
        <v>265</v>
      </c>
      <c r="I1009" s="6">
        <v>272.5</v>
      </c>
      <c r="J1009" s="4">
        <v>275</v>
      </c>
      <c r="K1009" s="4" t="e">
        <f t="array" aca="1" ref="K1009">MAX(H1009:J1009*(1-strike(H1009:J1009)))</f>
        <v>#NAME?</v>
      </c>
      <c r="L1009" s="4">
        <v>187.5</v>
      </c>
      <c r="M1009" s="4">
        <v>197.5</v>
      </c>
      <c r="N1009" s="4">
        <v>202.5</v>
      </c>
      <c r="O1009" s="4" t="e">
        <f t="array" aca="1" ref="O1009">MAX(L1009:N1009*(1-strike(L1009:N1009)))</f>
        <v>#NAME?</v>
      </c>
      <c r="P1009" s="4">
        <v>292.5</v>
      </c>
      <c r="Q1009" s="4">
        <v>307.5</v>
      </c>
      <c r="R1009" s="6">
        <v>312.5</v>
      </c>
      <c r="S1009" s="4" t="e">
        <f t="array" aca="1" ref="S1009">MAX(P1009:R1009*(1-strike(P1009:R1009)))</f>
        <v>#NAME?</v>
      </c>
      <c r="T1009" s="4" t="e">
        <f t="shared" si="15"/>
        <v>#NAME?</v>
      </c>
      <c r="U1009" s="4">
        <v>785</v>
      </c>
      <c r="V1009" s="4">
        <v>565.75</v>
      </c>
      <c r="W1009" s="4">
        <v>7</v>
      </c>
      <c r="X1009" s="5">
        <v>2014</v>
      </c>
      <c r="Y1009" s="5" t="s">
        <v>29</v>
      </c>
      <c r="Z1009" s="5" t="s">
        <v>171</v>
      </c>
      <c r="AA1009" s="5">
        <v>464</v>
      </c>
    </row>
    <row r="1010" spans="1:27">
      <c r="A1010" s="3" t="s">
        <v>37</v>
      </c>
      <c r="B1010" s="3" t="s">
        <v>826</v>
      </c>
      <c r="C1010" s="3">
        <v>1990</v>
      </c>
      <c r="D1010" s="3" t="s">
        <v>74</v>
      </c>
      <c r="E1010" s="3">
        <v>58.63</v>
      </c>
      <c r="F1010" s="3">
        <v>0.87129999999999996</v>
      </c>
      <c r="G1010" s="3">
        <v>4</v>
      </c>
      <c r="H1010" s="3">
        <v>245</v>
      </c>
      <c r="I1010" s="3">
        <v>255</v>
      </c>
      <c r="J1010" s="3">
        <v>257.5</v>
      </c>
      <c r="K1010" s="4" t="e">
        <f t="array" aca="1" ref="K1010">MAX(H1010:J1010*(1-strike(H1010:J1010)))</f>
        <v>#NAME?</v>
      </c>
      <c r="L1010" s="1">
        <v>145</v>
      </c>
      <c r="M1010" s="1">
        <v>145</v>
      </c>
      <c r="N1010" s="1">
        <v>145</v>
      </c>
      <c r="O1010" s="4" t="e">
        <f t="array" aca="1" ref="O1010">MAX(L1010:N1010*(1-strike(L1010:N1010)))</f>
        <v>#NAME?</v>
      </c>
      <c r="P1010" s="3">
        <v>225</v>
      </c>
      <c r="Q1010" s="3">
        <v>235</v>
      </c>
      <c r="R1010" s="1">
        <v>257.5</v>
      </c>
      <c r="S1010" s="4" t="e">
        <f t="array" aca="1" ref="S1010">MAX(P1010:R1010*(1-strike(P1010:R1010)))</f>
        <v>#NAME?</v>
      </c>
      <c r="T1010" s="4" t="e">
        <f t="shared" si="15"/>
        <v>#NAME?</v>
      </c>
      <c r="U1010" s="3" t="s">
        <v>40</v>
      </c>
      <c r="V1010" s="3" t="s">
        <v>37</v>
      </c>
      <c r="W1010" s="3" t="s">
        <v>37</v>
      </c>
      <c r="X1010" s="5">
        <v>2013</v>
      </c>
      <c r="Y1010" s="5" t="s">
        <v>29</v>
      </c>
      <c r="Z1010" s="5" t="s">
        <v>171</v>
      </c>
      <c r="AA1010" s="5">
        <v>823</v>
      </c>
    </row>
    <row r="1011" spans="1:27" ht="15" customHeight="1">
      <c r="A1011" s="4">
        <v>9</v>
      </c>
      <c r="B1011" s="4" t="s">
        <v>826</v>
      </c>
      <c r="C1011" s="4">
        <v>1990</v>
      </c>
      <c r="D1011" s="4" t="s">
        <v>74</v>
      </c>
      <c r="E1011" s="4">
        <v>58.56</v>
      </c>
      <c r="F1011" s="4">
        <v>0.87170000000000003</v>
      </c>
      <c r="G1011" s="4">
        <v>1</v>
      </c>
      <c r="H1011" s="6">
        <v>240</v>
      </c>
      <c r="I1011" s="4">
        <v>240</v>
      </c>
      <c r="J1011" s="4"/>
      <c r="K1011" s="4" t="e">
        <f t="array" aca="1" ref="K1011">MAX(H1011:J1011*(1-strike(H1011:J1011)))</f>
        <v>#NAME?</v>
      </c>
      <c r="L1011" s="4">
        <v>130</v>
      </c>
      <c r="M1011" s="6">
        <v>145</v>
      </c>
      <c r="N1011" s="4">
        <v>145</v>
      </c>
      <c r="O1011" s="4" t="e">
        <f t="array" aca="1" ref="O1011">MAX(L1011:N1011*(1-strike(L1011:N1011)))</f>
        <v>#NAME?</v>
      </c>
      <c r="P1011" s="4">
        <v>230</v>
      </c>
      <c r="Q1011" s="6">
        <v>245</v>
      </c>
      <c r="R1011" s="4"/>
      <c r="S1011" s="4" t="e">
        <f t="array" aca="1" ref="S1011">MAX(P1011:R1011*(1-strike(P1011:R1011)))</f>
        <v>#NAME?</v>
      </c>
      <c r="T1011" s="4" t="e">
        <f t="shared" si="15"/>
        <v>#NAME?</v>
      </c>
      <c r="U1011" s="4">
        <v>615</v>
      </c>
      <c r="V1011" s="4">
        <v>536.1</v>
      </c>
      <c r="W1011" s="4">
        <v>2</v>
      </c>
      <c r="X1011" s="5">
        <v>2014</v>
      </c>
      <c r="Y1011" s="5" t="s">
        <v>29</v>
      </c>
      <c r="Z1011" s="5" t="s">
        <v>171</v>
      </c>
      <c r="AA1011" s="5">
        <v>448</v>
      </c>
    </row>
    <row r="1012" spans="1:27">
      <c r="A1012" s="4">
        <v>3</v>
      </c>
      <c r="B1012" s="4" t="s">
        <v>826</v>
      </c>
      <c r="C1012" s="4">
        <v>1990</v>
      </c>
      <c r="D1012" s="4" t="s">
        <v>74</v>
      </c>
      <c r="E1012" s="4">
        <v>58.32</v>
      </c>
      <c r="F1012" s="4">
        <v>0.87560000000000004</v>
      </c>
      <c r="G1012" s="4">
        <v>2</v>
      </c>
      <c r="H1012" s="4">
        <v>245</v>
      </c>
      <c r="I1012" s="6">
        <v>257.5</v>
      </c>
      <c r="J1012" s="6">
        <v>260</v>
      </c>
      <c r="K1012" s="4" t="e">
        <f t="array" aca="1" ref="K1012">MAX(H1012:J1012*(1-strike(H1012:J1012)))</f>
        <v>#NAME?</v>
      </c>
      <c r="L1012" s="4">
        <v>140</v>
      </c>
      <c r="M1012" s="4">
        <v>150</v>
      </c>
      <c r="N1012" s="4">
        <v>157.5</v>
      </c>
      <c r="O1012" s="4" t="e">
        <f t="array" aca="1" ref="O1012">MAX(L1012:N1012*(1-strike(L1012:N1012)))</f>
        <v>#NAME?</v>
      </c>
      <c r="P1012" s="4">
        <v>230</v>
      </c>
      <c r="Q1012" s="4">
        <v>245</v>
      </c>
      <c r="R1012" s="4">
        <v>252.5</v>
      </c>
      <c r="S1012" s="4" t="e">
        <f t="array" aca="1" ref="S1012">MAX(P1012:R1012*(1-strike(P1012:R1012)))</f>
        <v>#NAME?</v>
      </c>
      <c r="T1012" s="4" t="e">
        <f t="shared" si="15"/>
        <v>#NAME?</v>
      </c>
      <c r="U1012" s="4">
        <v>655</v>
      </c>
      <c r="V1012" s="4">
        <v>573.52</v>
      </c>
      <c r="W1012" s="4">
        <v>8</v>
      </c>
      <c r="X1012" s="5">
        <v>2015</v>
      </c>
      <c r="Y1012" s="5" t="s">
        <v>29</v>
      </c>
      <c r="Z1012" s="5" t="s">
        <v>171</v>
      </c>
      <c r="AA1012" s="5">
        <v>4</v>
      </c>
    </row>
    <row r="1013" spans="1:27">
      <c r="A1013" s="4">
        <v>4</v>
      </c>
      <c r="B1013" s="4" t="s">
        <v>827</v>
      </c>
      <c r="C1013" s="4">
        <v>1989</v>
      </c>
      <c r="D1013" s="4" t="s">
        <v>113</v>
      </c>
      <c r="E1013" s="4">
        <v>81.45</v>
      </c>
      <c r="F1013" s="4">
        <v>0.67510000000000003</v>
      </c>
      <c r="G1013" s="4">
        <v>11</v>
      </c>
      <c r="H1013" s="4">
        <v>240</v>
      </c>
      <c r="I1013" s="4">
        <v>247.5</v>
      </c>
      <c r="J1013" s="6">
        <v>250</v>
      </c>
      <c r="K1013" s="4" t="e">
        <f t="array" aca="1" ref="K1013">MAX(H1013:J1013*(1-strike(H1013:J1013)))</f>
        <v>#NAME?</v>
      </c>
      <c r="L1013" s="4">
        <v>165</v>
      </c>
      <c r="M1013" s="6">
        <v>170</v>
      </c>
      <c r="N1013" s="6">
        <v>170</v>
      </c>
      <c r="O1013" s="4" t="e">
        <f t="array" aca="1" ref="O1013">MAX(L1013:N1013*(1-strike(L1013:N1013)))</f>
        <v>#NAME?</v>
      </c>
      <c r="P1013" s="4">
        <v>290</v>
      </c>
      <c r="Q1013" s="6">
        <v>295</v>
      </c>
      <c r="R1013" s="6">
        <v>295</v>
      </c>
      <c r="S1013" s="4" t="e">
        <f t="array" aca="1" ref="S1013">MAX(P1013:R1013*(1-strike(P1013:R1013)))</f>
        <v>#NAME?</v>
      </c>
      <c r="T1013" s="4" t="e">
        <f t="shared" si="15"/>
        <v>#NAME?</v>
      </c>
      <c r="U1013" s="4">
        <v>702.5</v>
      </c>
      <c r="V1013" s="4">
        <v>474.26</v>
      </c>
      <c r="W1013" s="4">
        <v>7</v>
      </c>
      <c r="X1013" s="5">
        <v>2015</v>
      </c>
      <c r="Y1013" s="5" t="s">
        <v>29</v>
      </c>
      <c r="Z1013" s="5" t="s">
        <v>30</v>
      </c>
      <c r="AA1013" s="5">
        <v>259</v>
      </c>
    </row>
    <row r="1014" spans="1:27">
      <c r="A1014" s="4">
        <v>15</v>
      </c>
      <c r="B1014" s="4" t="s">
        <v>828</v>
      </c>
      <c r="C1014" s="4">
        <v>1990</v>
      </c>
      <c r="D1014" s="4" t="s">
        <v>51</v>
      </c>
      <c r="E1014" s="4">
        <v>91.76</v>
      </c>
      <c r="F1014" s="4">
        <v>0.63229999999999997</v>
      </c>
      <c r="G1014" s="4">
        <v>20</v>
      </c>
      <c r="H1014" s="4">
        <v>207.5</v>
      </c>
      <c r="I1014" s="4">
        <v>215</v>
      </c>
      <c r="J1014" s="6">
        <v>220</v>
      </c>
      <c r="K1014" s="4" t="e">
        <f t="array" aca="1" ref="K1014">MAX(H1014:J1014*(1-strike(H1014:J1014)))</f>
        <v>#NAME?</v>
      </c>
      <c r="L1014" s="4">
        <v>140</v>
      </c>
      <c r="M1014" s="4">
        <v>145</v>
      </c>
      <c r="N1014" s="4">
        <v>147.5</v>
      </c>
      <c r="O1014" s="4" t="e">
        <f t="array" aca="1" ref="O1014">MAX(L1014:N1014*(1-strike(L1014:N1014)))</f>
        <v>#NAME?</v>
      </c>
      <c r="P1014" s="4">
        <v>260</v>
      </c>
      <c r="Q1014" s="6">
        <v>280</v>
      </c>
      <c r="R1014" s="4">
        <v>280</v>
      </c>
      <c r="S1014" s="4" t="e">
        <f t="array" aca="1" ref="S1014">MAX(P1014:R1014*(1-strike(P1014:R1014)))</f>
        <v>#NAME?</v>
      </c>
      <c r="T1014" s="4" t="e">
        <f t="shared" si="15"/>
        <v>#NAME?</v>
      </c>
      <c r="U1014" s="4">
        <v>642.5</v>
      </c>
      <c r="V1014" s="4">
        <v>406.25</v>
      </c>
      <c r="W1014" s="4">
        <v>1</v>
      </c>
      <c r="X1014" s="5">
        <v>2015</v>
      </c>
      <c r="Y1014" s="5" t="s">
        <v>29</v>
      </c>
      <c r="Z1014" s="5" t="s">
        <v>30</v>
      </c>
      <c r="AA1014" s="5">
        <v>287</v>
      </c>
    </row>
    <row r="1015" spans="1:27">
      <c r="A1015" s="3">
        <v>4</v>
      </c>
      <c r="B1015" s="3" t="s">
        <v>829</v>
      </c>
      <c r="C1015" s="3">
        <v>1985</v>
      </c>
      <c r="D1015" s="3" t="s">
        <v>56</v>
      </c>
      <c r="E1015" s="3">
        <v>82.2</v>
      </c>
      <c r="F1015" s="3">
        <v>0.6714</v>
      </c>
      <c r="G1015" s="3">
        <v>7</v>
      </c>
      <c r="H1015" s="3">
        <v>230</v>
      </c>
      <c r="I1015" s="1">
        <v>242.5</v>
      </c>
      <c r="J1015" s="3">
        <v>242.5</v>
      </c>
      <c r="K1015" s="4" t="e">
        <f t="array" aca="1" ref="K1015">MAX(H1015:J1015*(1-strike(H1015:J1015)))</f>
        <v>#NAME?</v>
      </c>
      <c r="L1015" s="3">
        <v>135</v>
      </c>
      <c r="M1015" s="3">
        <v>145</v>
      </c>
      <c r="N1015" s="1">
        <v>150</v>
      </c>
      <c r="O1015" s="4" t="e">
        <f t="array" aca="1" ref="O1015">MAX(L1015:N1015*(1-strike(L1015:N1015)))</f>
        <v>#NAME?</v>
      </c>
      <c r="P1015" s="3">
        <v>270</v>
      </c>
      <c r="Q1015" s="3">
        <v>285</v>
      </c>
      <c r="R1015" s="1">
        <v>290</v>
      </c>
      <c r="S1015" s="4" t="e">
        <f t="array" aca="1" ref="S1015">MAX(P1015:R1015*(1-strike(P1015:R1015)))</f>
        <v>#NAME?</v>
      </c>
      <c r="T1015" s="4" t="e">
        <f t="shared" si="15"/>
        <v>#NAME?</v>
      </c>
      <c r="U1015" s="3">
        <v>672.5</v>
      </c>
      <c r="V1015" s="3">
        <v>451.52</v>
      </c>
      <c r="W1015" s="3">
        <v>7</v>
      </c>
      <c r="X1015" s="5">
        <v>2013</v>
      </c>
      <c r="Y1015" s="5" t="s">
        <v>29</v>
      </c>
      <c r="Z1015" s="5" t="s">
        <v>30</v>
      </c>
      <c r="AA1015" s="5">
        <v>1047</v>
      </c>
    </row>
    <row r="1016" spans="1:27">
      <c r="A1016" s="4">
        <v>7</v>
      </c>
      <c r="B1016" s="4" t="s">
        <v>829</v>
      </c>
      <c r="C1016" s="4">
        <v>1985</v>
      </c>
      <c r="D1016" s="4" t="s">
        <v>56</v>
      </c>
      <c r="E1016" s="4">
        <v>82.4</v>
      </c>
      <c r="F1016" s="4">
        <v>0.6704</v>
      </c>
      <c r="G1016" s="4">
        <v>15</v>
      </c>
      <c r="H1016" s="4">
        <v>235</v>
      </c>
      <c r="I1016" s="4">
        <v>252.5</v>
      </c>
      <c r="J1016" s="4">
        <v>257.5</v>
      </c>
      <c r="K1016" s="4" t="e">
        <f t="array" aca="1" ref="K1016">MAX(H1016:J1016*(1-strike(H1016:J1016)))</f>
        <v>#NAME?</v>
      </c>
      <c r="L1016" s="4">
        <v>142.5</v>
      </c>
      <c r="M1016" s="4">
        <v>152.5</v>
      </c>
      <c r="N1016" s="6">
        <v>155</v>
      </c>
      <c r="O1016" s="4" t="e">
        <f t="array" aca="1" ref="O1016">MAX(L1016:N1016*(1-strike(L1016:N1016)))</f>
        <v>#NAME?</v>
      </c>
      <c r="P1016" s="4">
        <v>270</v>
      </c>
      <c r="Q1016" s="6">
        <v>290</v>
      </c>
      <c r="R1016" s="6">
        <v>290</v>
      </c>
      <c r="S1016" s="4" t="e">
        <f t="array" aca="1" ref="S1016">MAX(P1016:R1016*(1-strike(P1016:R1016)))</f>
        <v>#NAME?</v>
      </c>
      <c r="T1016" s="4" t="e">
        <f t="shared" si="15"/>
        <v>#NAME?</v>
      </c>
      <c r="U1016" s="4">
        <v>680</v>
      </c>
      <c r="V1016" s="4">
        <v>455.87</v>
      </c>
      <c r="W1016" s="4">
        <v>4</v>
      </c>
      <c r="X1016" s="5">
        <v>2014</v>
      </c>
      <c r="Y1016" s="5" t="s">
        <v>29</v>
      </c>
      <c r="Z1016" s="5" t="s">
        <v>30</v>
      </c>
      <c r="AA1016" s="5">
        <v>689</v>
      </c>
    </row>
    <row r="1017" spans="1:27">
      <c r="A1017" s="3">
        <v>4</v>
      </c>
      <c r="B1017" s="3" t="s">
        <v>830</v>
      </c>
      <c r="C1017" s="3">
        <v>1965</v>
      </c>
      <c r="D1017" s="3" t="s">
        <v>85</v>
      </c>
      <c r="E1017" s="3">
        <v>92.36</v>
      </c>
      <c r="F1017" s="3">
        <v>0.63029999999999997</v>
      </c>
      <c r="G1017" s="3">
        <v>10</v>
      </c>
      <c r="H1017" s="3">
        <v>340</v>
      </c>
      <c r="I1017" s="1">
        <v>360</v>
      </c>
      <c r="J1017" s="1">
        <v>360</v>
      </c>
      <c r="K1017" s="4" t="e">
        <f t="array" aca="1" ref="K1017">MAX(H1017:J1017*(1-strike(H1017:J1017)))</f>
        <v>#NAME?</v>
      </c>
      <c r="L1017" s="3">
        <v>280</v>
      </c>
      <c r="M1017" s="3">
        <v>290</v>
      </c>
      <c r="N1017" s="3">
        <v>300</v>
      </c>
      <c r="O1017" s="4" t="e">
        <f t="array" aca="1" ref="O1017">MAX(L1017:N1017*(1-strike(L1017:N1017)))</f>
        <v>#NAME?</v>
      </c>
      <c r="P1017" s="3">
        <v>270</v>
      </c>
      <c r="Q1017" s="1">
        <v>282.5</v>
      </c>
      <c r="R1017" s="1">
        <v>282.5</v>
      </c>
      <c r="S1017" s="4" t="e">
        <f t="array" aca="1" ref="S1017">MAX(P1017:R1017*(1-strike(P1017:R1017)))</f>
        <v>#NAME?</v>
      </c>
      <c r="T1017" s="4" t="e">
        <f t="shared" si="15"/>
        <v>#NAME?</v>
      </c>
      <c r="U1017" s="3" t="s">
        <v>831</v>
      </c>
      <c r="V1017" s="3">
        <v>573.53</v>
      </c>
      <c r="W1017" s="3">
        <v>7</v>
      </c>
      <c r="X1017" s="5">
        <v>2012</v>
      </c>
      <c r="Y1017" s="5" t="s">
        <v>29</v>
      </c>
      <c r="Z1017" s="5" t="s">
        <v>171</v>
      </c>
      <c r="AA1017" s="5">
        <v>1259</v>
      </c>
    </row>
    <row r="1018" spans="1:27">
      <c r="A1018" s="3">
        <v>5</v>
      </c>
      <c r="B1018" s="3" t="s">
        <v>830</v>
      </c>
      <c r="C1018" s="3">
        <v>1965</v>
      </c>
      <c r="D1018" s="3" t="s">
        <v>85</v>
      </c>
      <c r="E1018" s="3">
        <v>89.96</v>
      </c>
      <c r="F1018" s="3">
        <v>0.63849999999999996</v>
      </c>
      <c r="G1018" s="3">
        <v>14</v>
      </c>
      <c r="H1018" s="3">
        <v>330</v>
      </c>
      <c r="I1018" s="3">
        <v>345</v>
      </c>
      <c r="J1018" s="1">
        <v>355</v>
      </c>
      <c r="K1018" s="4" t="e">
        <f t="array" aca="1" ref="K1018">MAX(H1018:J1018*(1-strike(H1018:J1018)))</f>
        <v>#NAME?</v>
      </c>
      <c r="L1018" s="3">
        <v>270</v>
      </c>
      <c r="M1018" s="3">
        <v>280</v>
      </c>
      <c r="N1018" s="3">
        <v>290</v>
      </c>
      <c r="O1018" s="4" t="e">
        <f t="array" aca="1" ref="O1018">MAX(L1018:N1018*(1-strike(L1018:N1018)))</f>
        <v>#NAME?</v>
      </c>
      <c r="P1018" s="3">
        <v>270</v>
      </c>
      <c r="Q1018" s="3">
        <v>280</v>
      </c>
      <c r="R1018" s="1">
        <v>290</v>
      </c>
      <c r="S1018" s="4" t="e">
        <f t="array" aca="1" ref="S1018">MAX(P1018:R1018*(1-strike(P1018:R1018)))</f>
        <v>#NAME?</v>
      </c>
      <c r="T1018" s="4" t="e">
        <f t="shared" si="15"/>
        <v>#NAME?</v>
      </c>
      <c r="U1018" s="3">
        <v>915</v>
      </c>
      <c r="V1018" s="3">
        <v>584.23</v>
      </c>
      <c r="W1018" s="3">
        <v>6</v>
      </c>
      <c r="X1018" s="5">
        <v>2013</v>
      </c>
      <c r="Y1018" s="5" t="s">
        <v>29</v>
      </c>
      <c r="Z1018" s="5" t="s">
        <v>171</v>
      </c>
      <c r="AA1018" s="5">
        <v>867</v>
      </c>
    </row>
    <row r="1019" spans="1:27">
      <c r="A1019" s="4">
        <v>7</v>
      </c>
      <c r="B1019" s="4" t="s">
        <v>830</v>
      </c>
      <c r="C1019" s="4">
        <v>1965</v>
      </c>
      <c r="D1019" s="4" t="s">
        <v>85</v>
      </c>
      <c r="E1019" s="4">
        <v>91.48</v>
      </c>
      <c r="F1019" s="4">
        <v>0.6331</v>
      </c>
      <c r="G1019" s="4">
        <v>17</v>
      </c>
      <c r="H1019" s="4">
        <v>330</v>
      </c>
      <c r="I1019" s="4">
        <v>350</v>
      </c>
      <c r="J1019" s="4">
        <v>360</v>
      </c>
      <c r="K1019" s="4" t="e">
        <f t="array" aca="1" ref="K1019">MAX(H1019:J1019*(1-strike(H1019:J1019)))</f>
        <v>#NAME?</v>
      </c>
      <c r="L1019" s="4">
        <v>290</v>
      </c>
      <c r="M1019" s="6">
        <v>297.5</v>
      </c>
      <c r="N1019" s="6">
        <v>297.5</v>
      </c>
      <c r="O1019" s="4" t="e">
        <f t="array" aca="1" ref="O1019">MAX(L1019:N1019*(1-strike(L1019:N1019)))</f>
        <v>#NAME?</v>
      </c>
      <c r="P1019" s="4">
        <v>270</v>
      </c>
      <c r="Q1019" s="4">
        <v>285</v>
      </c>
      <c r="R1019" s="4">
        <v>292.5</v>
      </c>
      <c r="S1019" s="4" t="e">
        <f t="array" aca="1" ref="S1019">MAX(P1019:R1019*(1-strike(P1019:R1019)))</f>
        <v>#NAME?</v>
      </c>
      <c r="T1019" s="4" t="e">
        <f t="shared" si="15"/>
        <v>#NAME?</v>
      </c>
      <c r="U1019" s="4" t="s">
        <v>832</v>
      </c>
      <c r="V1019" s="4">
        <v>596.70000000000005</v>
      </c>
      <c r="W1019" s="4">
        <v>4</v>
      </c>
      <c r="X1019" s="5">
        <v>2014</v>
      </c>
      <c r="Y1019" s="5" t="s">
        <v>29</v>
      </c>
      <c r="Z1019" s="5" t="s">
        <v>171</v>
      </c>
      <c r="AA1019" s="5">
        <v>499</v>
      </c>
    </row>
    <row r="1020" spans="1:27">
      <c r="A1020" s="4">
        <v>7</v>
      </c>
      <c r="B1020" s="4" t="s">
        <v>830</v>
      </c>
      <c r="C1020" s="4">
        <v>1965</v>
      </c>
      <c r="D1020" s="4" t="s">
        <v>85</v>
      </c>
      <c r="E1020" s="4">
        <v>92.92</v>
      </c>
      <c r="F1020" s="4">
        <v>0.62839999999999996</v>
      </c>
      <c r="G1020" s="4">
        <v>2</v>
      </c>
      <c r="H1020" s="4">
        <v>340</v>
      </c>
      <c r="I1020" s="6">
        <v>342.5</v>
      </c>
      <c r="J1020" s="6">
        <v>360</v>
      </c>
      <c r="K1020" s="4" t="e">
        <f t="array" aca="1" ref="K1020">MAX(H1020:J1020*(1-strike(H1020:J1020)))</f>
        <v>#NAME?</v>
      </c>
      <c r="L1020" s="4">
        <v>280</v>
      </c>
      <c r="M1020" s="4">
        <v>295</v>
      </c>
      <c r="N1020" s="6">
        <v>302.5</v>
      </c>
      <c r="O1020" s="4" t="e">
        <f t="array" aca="1" ref="O1020">MAX(L1020:N1020*(1-strike(L1020:N1020)))</f>
        <v>#NAME?</v>
      </c>
      <c r="P1020" s="4">
        <v>280</v>
      </c>
      <c r="Q1020" s="4">
        <v>290</v>
      </c>
      <c r="R1020" s="6">
        <v>300</v>
      </c>
      <c r="S1020" s="4" t="e">
        <f t="array" aca="1" ref="S1020">MAX(P1020:R1020*(1-strike(P1020:R1020)))</f>
        <v>#NAME?</v>
      </c>
      <c r="T1020" s="4" t="e">
        <f t="shared" si="15"/>
        <v>#NAME?</v>
      </c>
      <c r="U1020" s="4" t="s">
        <v>833</v>
      </c>
      <c r="V1020" s="4">
        <v>581.27</v>
      </c>
      <c r="W1020" s="4">
        <v>4</v>
      </c>
      <c r="X1020" s="5">
        <v>2015</v>
      </c>
      <c r="Y1020" s="5" t="s">
        <v>29</v>
      </c>
      <c r="Z1020" s="5" t="s">
        <v>171</v>
      </c>
      <c r="AA1020" s="5">
        <v>61</v>
      </c>
    </row>
    <row r="1021" spans="1:27">
      <c r="A1021" s="3">
        <v>10</v>
      </c>
      <c r="B1021" s="3" t="s">
        <v>834</v>
      </c>
      <c r="C1021" s="3">
        <v>1986</v>
      </c>
      <c r="D1021" s="3" t="s">
        <v>109</v>
      </c>
      <c r="E1021" s="3">
        <v>69.489999999999995</v>
      </c>
      <c r="F1021" s="3">
        <v>0.75360000000000005</v>
      </c>
      <c r="G1021" s="3">
        <v>5</v>
      </c>
      <c r="H1021" s="1">
        <v>245</v>
      </c>
      <c r="I1021" s="1">
        <v>245</v>
      </c>
      <c r="J1021" s="3">
        <v>245</v>
      </c>
      <c r="K1021" s="4" t="e">
        <f t="array" aca="1" ref="K1021">MAX(H1021:J1021*(1-strike(H1021:J1021)))</f>
        <v>#NAME?</v>
      </c>
      <c r="L1021" s="3">
        <v>160</v>
      </c>
      <c r="M1021" s="3">
        <v>165</v>
      </c>
      <c r="N1021" s="1">
        <v>170</v>
      </c>
      <c r="O1021" s="4" t="e">
        <f t="array" aca="1" ref="O1021">MAX(L1021:N1021*(1-strike(L1021:N1021)))</f>
        <v>#NAME?</v>
      </c>
      <c r="P1021" s="1">
        <v>215</v>
      </c>
      <c r="Q1021" s="3">
        <v>215</v>
      </c>
      <c r="R1021" s="1">
        <v>230</v>
      </c>
      <c r="S1021" s="4" t="e">
        <f t="array" aca="1" ref="S1021">MAX(P1021:R1021*(1-strike(P1021:R1021)))</f>
        <v>#NAME?</v>
      </c>
      <c r="T1021" s="4" t="e">
        <f t="shared" si="15"/>
        <v>#NAME?</v>
      </c>
      <c r="U1021" s="3">
        <v>625</v>
      </c>
      <c r="V1021" s="3">
        <v>470.99</v>
      </c>
      <c r="W1021" s="3">
        <v>1</v>
      </c>
      <c r="X1021" s="5">
        <v>2012</v>
      </c>
      <c r="Y1021" s="5" t="s">
        <v>29</v>
      </c>
      <c r="Z1021" s="5" t="s">
        <v>171</v>
      </c>
      <c r="AA1021" s="5">
        <v>1226</v>
      </c>
    </row>
    <row r="1022" spans="1:27" ht="15" customHeight="1">
      <c r="A1022" s="4">
        <v>7</v>
      </c>
      <c r="B1022" s="4" t="s">
        <v>835</v>
      </c>
      <c r="C1022" s="4">
        <v>1979</v>
      </c>
      <c r="D1022" s="4" t="s">
        <v>62</v>
      </c>
      <c r="E1022" s="4">
        <v>118.54</v>
      </c>
      <c r="F1022" s="4">
        <v>0.5766</v>
      </c>
      <c r="G1022" s="4">
        <v>13</v>
      </c>
      <c r="H1022" s="4">
        <v>380</v>
      </c>
      <c r="I1022" s="4">
        <v>395</v>
      </c>
      <c r="J1022" s="6">
        <v>402.5</v>
      </c>
      <c r="K1022" s="4" t="e">
        <f t="array" aca="1" ref="K1022">MAX(H1022:J1022*(1-strike(H1022:J1022)))</f>
        <v>#NAME?</v>
      </c>
      <c r="L1022" s="4">
        <v>257.5</v>
      </c>
      <c r="M1022" s="4">
        <v>265</v>
      </c>
      <c r="N1022" s="6">
        <v>272.5</v>
      </c>
      <c r="O1022" s="4" t="e">
        <f t="array" aca="1" ref="O1022">MAX(L1022:N1022*(1-strike(L1022:N1022)))</f>
        <v>#NAME?</v>
      </c>
      <c r="P1022" s="4">
        <v>350</v>
      </c>
      <c r="Q1022" s="4">
        <v>365</v>
      </c>
      <c r="R1022" s="6">
        <v>375</v>
      </c>
      <c r="S1022" s="4" t="e">
        <f t="array" aca="1" ref="S1022">MAX(P1022:R1022*(1-strike(P1022:R1022)))</f>
        <v>#NAME?</v>
      </c>
      <c r="T1022" s="4" t="e">
        <f t="shared" si="15"/>
        <v>#NAME?</v>
      </c>
      <c r="U1022" s="4">
        <v>1025</v>
      </c>
      <c r="V1022" s="4">
        <v>591.01</v>
      </c>
      <c r="W1022" s="4">
        <v>4</v>
      </c>
      <c r="X1022" s="5">
        <v>2014</v>
      </c>
      <c r="Y1022" s="5" t="s">
        <v>29</v>
      </c>
      <c r="Z1022" s="5" t="s">
        <v>171</v>
      </c>
      <c r="AA1022" s="5">
        <v>539</v>
      </c>
    </row>
    <row r="1023" spans="1:27">
      <c r="A1023" s="3" t="s">
        <v>37</v>
      </c>
      <c r="B1023" s="3" t="s">
        <v>836</v>
      </c>
      <c r="C1023" s="3">
        <v>1975</v>
      </c>
      <c r="D1023" s="3" t="s">
        <v>85</v>
      </c>
      <c r="E1023" s="3">
        <v>104.37</v>
      </c>
      <c r="F1023" s="3">
        <v>0.59889999999999999</v>
      </c>
      <c r="G1023" s="3">
        <v>1</v>
      </c>
      <c r="H1023" s="1">
        <v>385</v>
      </c>
      <c r="I1023" s="3">
        <v>385</v>
      </c>
      <c r="J1023" s="1">
        <v>395</v>
      </c>
      <c r="K1023" s="4" t="e">
        <f t="array" aca="1" ref="K1023">MAX(H1023:J1023*(1-strike(H1023:J1023)))</f>
        <v>#NAME?</v>
      </c>
      <c r="L1023" s="1">
        <v>260</v>
      </c>
      <c r="M1023" s="1">
        <v>260</v>
      </c>
      <c r="N1023" s="1">
        <v>260</v>
      </c>
      <c r="O1023" s="4" t="e">
        <f t="array" aca="1" ref="O1023">MAX(L1023:N1023*(1-strike(L1023:N1023)))</f>
        <v>#NAME?</v>
      </c>
      <c r="P1023" s="3">
        <v>300</v>
      </c>
      <c r="Q1023" s="3">
        <v>320</v>
      </c>
      <c r="R1023" s="1">
        <v>342.5</v>
      </c>
      <c r="S1023" s="4" t="e">
        <f t="array" aca="1" ref="S1023">MAX(P1023:R1023*(1-strike(P1023:R1023)))</f>
        <v>#NAME?</v>
      </c>
      <c r="T1023" s="4" t="e">
        <f t="shared" si="15"/>
        <v>#NAME?</v>
      </c>
      <c r="U1023" s="3" t="s">
        <v>40</v>
      </c>
      <c r="V1023" s="3" t="s">
        <v>37</v>
      </c>
      <c r="W1023" s="3" t="s">
        <v>37</v>
      </c>
      <c r="X1023" s="5">
        <v>2012</v>
      </c>
      <c r="Y1023" s="5" t="s">
        <v>29</v>
      </c>
      <c r="Z1023" s="5" t="s">
        <v>171</v>
      </c>
      <c r="AA1023" s="5">
        <v>1296</v>
      </c>
    </row>
    <row r="1024" spans="1:27">
      <c r="A1024" s="3">
        <v>1</v>
      </c>
      <c r="B1024" s="3" t="s">
        <v>164</v>
      </c>
      <c r="C1024" s="3">
        <v>1990</v>
      </c>
      <c r="D1024" s="3" t="s">
        <v>85</v>
      </c>
      <c r="E1024" s="3">
        <v>92.95</v>
      </c>
      <c r="F1024" s="3">
        <v>0.62829999999999997</v>
      </c>
      <c r="G1024" s="3">
        <v>12</v>
      </c>
      <c r="H1024" s="3">
        <v>240</v>
      </c>
      <c r="I1024" s="3">
        <v>255</v>
      </c>
      <c r="J1024" s="3">
        <v>265</v>
      </c>
      <c r="K1024" s="4" t="e">
        <f t="array" aca="1" ref="K1024">MAX(H1024:J1024*(1-strike(H1024:J1024)))</f>
        <v>#NAME?</v>
      </c>
      <c r="L1024" s="3">
        <v>180</v>
      </c>
      <c r="M1024" s="3">
        <v>185</v>
      </c>
      <c r="N1024" s="3">
        <v>190</v>
      </c>
      <c r="O1024" s="4" t="e">
        <f t="array" aca="1" ref="O1024">MAX(L1024:N1024*(1-strike(L1024:N1024)))</f>
        <v>#NAME?</v>
      </c>
      <c r="P1024" s="3">
        <v>330</v>
      </c>
      <c r="Q1024" s="3">
        <v>345</v>
      </c>
      <c r="R1024" s="3">
        <v>355</v>
      </c>
      <c r="S1024" s="4" t="e">
        <f t="array" aca="1" ref="S1024">MAX(P1024:R1024*(1-strike(P1024:R1024)))</f>
        <v>#NAME?</v>
      </c>
      <c r="T1024" s="4" t="e">
        <f t="shared" si="15"/>
        <v>#NAME?</v>
      </c>
      <c r="U1024" s="3" t="s">
        <v>491</v>
      </c>
      <c r="V1024" s="3">
        <v>508.96</v>
      </c>
      <c r="W1024" s="3">
        <v>12</v>
      </c>
      <c r="X1024" s="5">
        <v>2013</v>
      </c>
      <c r="Y1024" s="5" t="s">
        <v>29</v>
      </c>
      <c r="Z1024" s="5" t="s">
        <v>30</v>
      </c>
      <c r="AA1024" s="5">
        <v>1056</v>
      </c>
    </row>
    <row r="1025" spans="1:27">
      <c r="A1025" s="4">
        <v>1</v>
      </c>
      <c r="B1025" s="4" t="s">
        <v>164</v>
      </c>
      <c r="C1025" s="4">
        <v>1990</v>
      </c>
      <c r="D1025" s="4" t="s">
        <v>85</v>
      </c>
      <c r="E1025" s="4">
        <v>92.25</v>
      </c>
      <c r="F1025" s="4">
        <v>0.63060000000000005</v>
      </c>
      <c r="G1025" s="4">
        <v>3</v>
      </c>
      <c r="H1025" s="4">
        <v>255</v>
      </c>
      <c r="I1025" s="4">
        <v>275</v>
      </c>
      <c r="J1025" s="4">
        <v>285</v>
      </c>
      <c r="K1025" s="4" t="e">
        <f t="array" aca="1" ref="K1025">MAX(H1025:J1025*(1-strike(H1025:J1025)))</f>
        <v>#NAME?</v>
      </c>
      <c r="L1025" s="4">
        <v>170</v>
      </c>
      <c r="M1025" s="4">
        <v>180</v>
      </c>
      <c r="N1025" s="4">
        <v>190</v>
      </c>
      <c r="O1025" s="4" t="e">
        <f t="array" aca="1" ref="O1025">MAX(L1025:N1025*(1-strike(L1025:N1025)))</f>
        <v>#NAME?</v>
      </c>
      <c r="P1025" s="4">
        <v>350</v>
      </c>
      <c r="Q1025" s="4">
        <v>360</v>
      </c>
      <c r="R1025" s="4">
        <v>372.5</v>
      </c>
      <c r="S1025" s="4" t="e">
        <f t="array" aca="1" ref="S1025">MAX(P1025:R1025*(1-strike(P1025:R1025)))</f>
        <v>#NAME?</v>
      </c>
      <c r="T1025" s="4" t="e">
        <f t="shared" si="15"/>
        <v>#NAME?</v>
      </c>
      <c r="U1025" s="4">
        <v>847.5</v>
      </c>
      <c r="V1025" s="4">
        <v>534.48</v>
      </c>
      <c r="W1025" s="4">
        <v>12</v>
      </c>
      <c r="X1025" s="5">
        <v>2014</v>
      </c>
      <c r="Y1025" s="5" t="s">
        <v>29</v>
      </c>
      <c r="Z1025" s="5" t="s">
        <v>30</v>
      </c>
      <c r="AA1025" s="5">
        <v>697</v>
      </c>
    </row>
    <row r="1026" spans="1:27">
      <c r="A1026" s="4">
        <v>1</v>
      </c>
      <c r="B1026" s="4" t="s">
        <v>164</v>
      </c>
      <c r="C1026" s="4">
        <v>1990</v>
      </c>
      <c r="D1026" s="4" t="s">
        <v>85</v>
      </c>
      <c r="E1026" s="4">
        <v>92.52</v>
      </c>
      <c r="F1026" s="4">
        <v>0.62970000000000004</v>
      </c>
      <c r="G1026" s="4">
        <v>14</v>
      </c>
      <c r="H1026" s="4">
        <v>265</v>
      </c>
      <c r="I1026" s="4">
        <v>280</v>
      </c>
      <c r="J1026" s="4">
        <v>290</v>
      </c>
      <c r="K1026" s="4" t="e">
        <f t="array" aca="1" ref="K1026">MAX(H1026:J1026*(1-strike(H1026:J1026)))</f>
        <v>#NAME?</v>
      </c>
      <c r="L1026" s="4">
        <v>180</v>
      </c>
      <c r="M1026" s="4">
        <v>187.5</v>
      </c>
      <c r="N1026" s="6">
        <v>190</v>
      </c>
      <c r="O1026" s="4" t="e">
        <f t="array" aca="1" ref="O1026">MAX(L1026:N1026*(1-strike(L1026:N1026)))</f>
        <v>#NAME?</v>
      </c>
      <c r="P1026" s="4">
        <v>335</v>
      </c>
      <c r="Q1026" s="4">
        <v>355</v>
      </c>
      <c r="R1026" s="6">
        <v>373</v>
      </c>
      <c r="S1026" s="4" t="e">
        <f t="array" aca="1" ref="S1026">MAX(P1026:R1026*(1-strike(P1026:R1026)))</f>
        <v>#NAME?</v>
      </c>
      <c r="T1026" s="4" t="e">
        <f t="shared" ref="T1026:T1089" si="16">IF(AND(K1026&lt;&gt;0,O1026&lt;&gt;0,S1026&lt;&gt;0),K1026+O1026+S1026,0)</f>
        <v>#NAME?</v>
      </c>
      <c r="U1026" s="4">
        <v>832.5</v>
      </c>
      <c r="V1026" s="4">
        <v>524.23</v>
      </c>
      <c r="W1026" s="4">
        <v>12</v>
      </c>
      <c r="X1026" s="5">
        <v>2015</v>
      </c>
      <c r="Y1026" s="5" t="s">
        <v>29</v>
      </c>
      <c r="Z1026" s="5" t="s">
        <v>30</v>
      </c>
      <c r="AA1026" s="5">
        <v>273</v>
      </c>
    </row>
    <row r="1027" spans="1:27">
      <c r="A1027" s="4">
        <v>1</v>
      </c>
      <c r="B1027" s="4" t="s">
        <v>837</v>
      </c>
      <c r="C1027" s="4">
        <v>1986</v>
      </c>
      <c r="D1027" s="4" t="s">
        <v>62</v>
      </c>
      <c r="E1027" s="4">
        <v>162.4</v>
      </c>
      <c r="F1027" s="4">
        <v>0.54700000000000004</v>
      </c>
      <c r="G1027" s="4">
        <v>1</v>
      </c>
      <c r="H1027" s="4">
        <v>372.5</v>
      </c>
      <c r="I1027" s="4">
        <v>397.5</v>
      </c>
      <c r="J1027" s="4">
        <v>412.5</v>
      </c>
      <c r="K1027" s="4" t="e">
        <f t="array" aca="1" ref="K1027">MAX(H1027:J1027*(1-strike(H1027:J1027)))</f>
        <v>#NAME?</v>
      </c>
      <c r="L1027" s="4">
        <v>220</v>
      </c>
      <c r="M1027" s="4">
        <v>230</v>
      </c>
      <c r="N1027" s="4">
        <v>235</v>
      </c>
      <c r="O1027" s="4" t="e">
        <f t="array" aca="1" ref="O1027">MAX(L1027:N1027*(1-strike(L1027:N1027)))</f>
        <v>#NAME?</v>
      </c>
      <c r="P1027" s="6">
        <v>300</v>
      </c>
      <c r="Q1027" s="4">
        <v>300</v>
      </c>
      <c r="R1027" s="4">
        <v>325</v>
      </c>
      <c r="S1027" s="4" t="e">
        <f t="array" aca="1" ref="S1027">MAX(P1027:R1027*(1-strike(P1027:R1027)))</f>
        <v>#NAME?</v>
      </c>
      <c r="T1027" s="4" t="e">
        <f t="shared" si="16"/>
        <v>#NAME?</v>
      </c>
      <c r="U1027" s="4" t="s">
        <v>838</v>
      </c>
      <c r="V1027" s="4">
        <v>531.96</v>
      </c>
      <c r="W1027" s="4">
        <v>12</v>
      </c>
      <c r="X1027" s="5">
        <v>2014</v>
      </c>
      <c r="Y1027" s="5" t="s">
        <v>29</v>
      </c>
      <c r="Z1027" s="5" t="s">
        <v>30</v>
      </c>
      <c r="AA1027" s="5">
        <v>735</v>
      </c>
    </row>
    <row r="1028" spans="1:27">
      <c r="A1028" s="4">
        <v>1</v>
      </c>
      <c r="B1028" s="4" t="s">
        <v>837</v>
      </c>
      <c r="C1028" s="4">
        <v>1986</v>
      </c>
      <c r="D1028" s="4" t="s">
        <v>62</v>
      </c>
      <c r="E1028" s="4">
        <v>171.65</v>
      </c>
      <c r="F1028" s="4">
        <v>0.5423</v>
      </c>
      <c r="G1028" s="4">
        <v>6</v>
      </c>
      <c r="H1028" s="4">
        <v>390</v>
      </c>
      <c r="I1028" s="4">
        <v>415.5</v>
      </c>
      <c r="J1028" s="4">
        <v>425.5</v>
      </c>
      <c r="K1028" s="4" t="e">
        <f t="array" aca="1" ref="K1028">MAX(H1028:J1028*(1-strike(H1028:J1028)))</f>
        <v>#NAME?</v>
      </c>
      <c r="L1028" s="4">
        <v>225</v>
      </c>
      <c r="M1028" s="4">
        <v>235</v>
      </c>
      <c r="N1028" s="6">
        <v>242.5</v>
      </c>
      <c r="O1028" s="4" t="e">
        <f t="array" aca="1" ref="O1028">MAX(L1028:N1028*(1-strike(L1028:N1028)))</f>
        <v>#NAME?</v>
      </c>
      <c r="P1028" s="4">
        <v>305</v>
      </c>
      <c r="Q1028" s="4">
        <v>325</v>
      </c>
      <c r="R1028" s="4">
        <v>340</v>
      </c>
      <c r="S1028" s="4" t="e">
        <f t="array" aca="1" ref="S1028">MAX(P1028:R1028*(1-strike(P1028:R1028)))</f>
        <v>#NAME?</v>
      </c>
      <c r="T1028" s="4" t="e">
        <f t="shared" si="16"/>
        <v>#NAME?</v>
      </c>
      <c r="U1028" s="4" t="s">
        <v>839</v>
      </c>
      <c r="V1028" s="4">
        <v>542.57000000000005</v>
      </c>
      <c r="W1028" s="4">
        <v>12</v>
      </c>
      <c r="X1028" s="5">
        <v>2015</v>
      </c>
      <c r="Y1028" s="5" t="s">
        <v>29</v>
      </c>
      <c r="Z1028" s="5" t="s">
        <v>30</v>
      </c>
      <c r="AA1028" s="5">
        <v>323</v>
      </c>
    </row>
    <row r="1029" spans="1:27">
      <c r="A1029" s="3">
        <v>10</v>
      </c>
      <c r="B1029" s="3" t="s">
        <v>840</v>
      </c>
      <c r="C1029" s="3">
        <v>1989</v>
      </c>
      <c r="D1029" s="3" t="s">
        <v>45</v>
      </c>
      <c r="E1029" s="3">
        <v>105.32</v>
      </c>
      <c r="F1029" s="3">
        <v>0.59689999999999999</v>
      </c>
      <c r="G1029" s="3">
        <v>10</v>
      </c>
      <c r="H1029" s="3">
        <v>300</v>
      </c>
      <c r="I1029" s="3">
        <v>315</v>
      </c>
      <c r="J1029" s="3">
        <v>330</v>
      </c>
      <c r="K1029" s="4" t="e">
        <f t="array" aca="1" ref="K1029">MAX(H1029:J1029*(1-strike(H1029:J1029)))</f>
        <v>#NAME?</v>
      </c>
      <c r="L1029" s="3">
        <v>250</v>
      </c>
      <c r="M1029" s="3">
        <v>255</v>
      </c>
      <c r="N1029" s="3">
        <v>260</v>
      </c>
      <c r="O1029" s="4" t="e">
        <f t="array" aca="1" ref="O1029">MAX(L1029:N1029*(1-strike(L1029:N1029)))</f>
        <v>#NAME?</v>
      </c>
      <c r="P1029" s="3">
        <v>280</v>
      </c>
      <c r="Q1029" s="3">
        <v>300</v>
      </c>
      <c r="R1029" s="3">
        <v>310</v>
      </c>
      <c r="S1029" s="4" t="e">
        <f t="array" aca="1" ref="S1029">MAX(P1029:R1029*(1-strike(P1029:R1029)))</f>
        <v>#NAME?</v>
      </c>
      <c r="T1029" s="4" t="e">
        <f t="shared" si="16"/>
        <v>#NAME?</v>
      </c>
      <c r="U1029" s="3">
        <v>900</v>
      </c>
      <c r="V1029" s="3">
        <v>537.21</v>
      </c>
      <c r="W1029" s="3">
        <v>1</v>
      </c>
      <c r="X1029" s="5">
        <v>2013</v>
      </c>
      <c r="Y1029" s="5" t="s">
        <v>29</v>
      </c>
      <c r="Z1029" s="5" t="s">
        <v>171</v>
      </c>
      <c r="AA1029" s="5">
        <v>904</v>
      </c>
    </row>
    <row r="1030" spans="1:27">
      <c r="A1030" s="3">
        <v>10</v>
      </c>
      <c r="B1030" s="3" t="s">
        <v>841</v>
      </c>
      <c r="C1030" s="3">
        <v>1967</v>
      </c>
      <c r="D1030" s="3" t="s">
        <v>51</v>
      </c>
      <c r="E1030" s="3">
        <v>115.8</v>
      </c>
      <c r="F1030" s="3">
        <v>0.57999999999999996</v>
      </c>
      <c r="G1030" s="3">
        <v>11</v>
      </c>
      <c r="H1030" s="3">
        <v>265</v>
      </c>
      <c r="I1030" s="3">
        <v>285</v>
      </c>
      <c r="J1030" s="1">
        <v>290</v>
      </c>
      <c r="K1030" s="4" t="e">
        <f t="array" aca="1" ref="K1030">MAX(H1030:J1030*(1-strike(H1030:J1030)))</f>
        <v>#NAME?</v>
      </c>
      <c r="L1030" s="3">
        <v>165</v>
      </c>
      <c r="M1030" s="3">
        <v>172.5</v>
      </c>
      <c r="N1030" s="3">
        <v>177.5</v>
      </c>
      <c r="O1030" s="4" t="e">
        <f t="array" aca="1" ref="O1030">MAX(L1030:N1030*(1-strike(L1030:N1030)))</f>
        <v>#NAME?</v>
      </c>
      <c r="P1030" s="1">
        <v>305</v>
      </c>
      <c r="Q1030" s="1">
        <v>305</v>
      </c>
      <c r="R1030" s="3">
        <v>305</v>
      </c>
      <c r="S1030" s="4" t="e">
        <f t="array" aca="1" ref="S1030">MAX(P1030:R1030*(1-strike(P1030:R1030)))</f>
        <v>#NAME?</v>
      </c>
      <c r="T1030" s="4" t="e">
        <f t="shared" si="16"/>
        <v>#NAME?</v>
      </c>
      <c r="U1030" s="3">
        <v>767.5</v>
      </c>
      <c r="V1030" s="3">
        <v>445.15</v>
      </c>
      <c r="W1030" s="3">
        <v>1</v>
      </c>
      <c r="X1030" s="5">
        <v>2013</v>
      </c>
      <c r="Y1030" s="5" t="s">
        <v>29</v>
      </c>
      <c r="Z1030" s="5" t="s">
        <v>30</v>
      </c>
      <c r="AA1030" s="5">
        <v>1100</v>
      </c>
    </row>
    <row r="1031" spans="1:27" ht="15" customHeight="1">
      <c r="A1031" s="3">
        <v>3</v>
      </c>
      <c r="B1031" s="3" t="s">
        <v>167</v>
      </c>
      <c r="C1031" s="3">
        <v>1978</v>
      </c>
      <c r="D1031" s="3" t="s">
        <v>85</v>
      </c>
      <c r="E1031" s="3">
        <v>58.77</v>
      </c>
      <c r="F1031" s="3">
        <v>0.86929999999999996</v>
      </c>
      <c r="G1031" s="3">
        <v>25</v>
      </c>
      <c r="H1031" s="1">
        <v>245</v>
      </c>
      <c r="I1031" s="3">
        <v>250</v>
      </c>
      <c r="J1031" s="3">
        <v>257.5</v>
      </c>
      <c r="K1031" s="4" t="e">
        <f t="array" aca="1" ref="K1031">MAX(H1031:J1031*(1-strike(H1031:J1031)))</f>
        <v>#NAME?</v>
      </c>
      <c r="L1031" s="3">
        <v>165</v>
      </c>
      <c r="M1031" s="3">
        <v>170</v>
      </c>
      <c r="N1031" s="1">
        <v>175</v>
      </c>
      <c r="O1031" s="4" t="e">
        <f t="array" aca="1" ref="O1031">MAX(L1031:N1031*(1-strike(L1031:N1031)))</f>
        <v>#NAME?</v>
      </c>
      <c r="P1031" s="3">
        <v>205</v>
      </c>
      <c r="Q1031" s="3">
        <v>215</v>
      </c>
      <c r="R1031" s="3">
        <v>227.5</v>
      </c>
      <c r="S1031" s="4" t="e">
        <f t="array" aca="1" ref="S1031">MAX(P1031:R1031*(1-strike(P1031:R1031)))</f>
        <v>#NAME?</v>
      </c>
      <c r="T1031" s="4" t="e">
        <f t="shared" si="16"/>
        <v>#NAME?</v>
      </c>
      <c r="U1031" s="3">
        <v>655</v>
      </c>
      <c r="V1031" s="3">
        <v>569.4</v>
      </c>
      <c r="W1031" s="3">
        <v>8</v>
      </c>
      <c r="X1031" s="5">
        <v>2012</v>
      </c>
      <c r="Y1031" s="5" t="s">
        <v>29</v>
      </c>
      <c r="Z1031" s="5" t="s">
        <v>171</v>
      </c>
      <c r="AA1031" s="5">
        <v>1194</v>
      </c>
    </row>
    <row r="1032" spans="1:27">
      <c r="A1032" s="3">
        <v>1</v>
      </c>
      <c r="B1032" s="3" t="s">
        <v>167</v>
      </c>
      <c r="C1032" s="3">
        <v>1978</v>
      </c>
      <c r="D1032" s="3" t="s">
        <v>85</v>
      </c>
      <c r="E1032" s="3">
        <v>58.55</v>
      </c>
      <c r="F1032" s="3">
        <v>0.87239999999999995</v>
      </c>
      <c r="G1032" s="3">
        <v>9</v>
      </c>
      <c r="H1032" s="3">
        <v>200</v>
      </c>
      <c r="I1032" s="3">
        <v>210</v>
      </c>
      <c r="J1032" s="3">
        <v>215</v>
      </c>
      <c r="K1032" s="4" t="e">
        <f t="array" aca="1" ref="K1032">MAX(H1032:J1032*(1-strike(H1032:J1032)))</f>
        <v>#NAME?</v>
      </c>
      <c r="L1032" s="3">
        <v>140</v>
      </c>
      <c r="M1032" s="3">
        <v>145</v>
      </c>
      <c r="N1032" s="3">
        <v>147.5</v>
      </c>
      <c r="O1032" s="4" t="e">
        <f t="array" aca="1" ref="O1032">MAX(L1032:N1032*(1-strike(L1032:N1032)))</f>
        <v>#NAME?</v>
      </c>
      <c r="P1032" s="3">
        <v>195</v>
      </c>
      <c r="Q1032" s="3">
        <v>207.5</v>
      </c>
      <c r="R1032" s="1">
        <v>210</v>
      </c>
      <c r="S1032" s="4" t="e">
        <f t="array" aca="1" ref="S1032">MAX(P1032:R1032*(1-strike(P1032:R1032)))</f>
        <v>#NAME?</v>
      </c>
      <c r="T1032" s="4" t="e">
        <f t="shared" si="16"/>
        <v>#NAME?</v>
      </c>
      <c r="U1032" s="3">
        <v>570</v>
      </c>
      <c r="V1032" s="3">
        <v>497.27</v>
      </c>
      <c r="W1032" s="3">
        <v>12</v>
      </c>
      <c r="X1032" s="5">
        <v>2013</v>
      </c>
      <c r="Y1032" s="5" t="s">
        <v>29</v>
      </c>
      <c r="Z1032" s="5" t="s">
        <v>30</v>
      </c>
      <c r="AA1032" s="5">
        <v>1018</v>
      </c>
    </row>
    <row r="1033" spans="1:27">
      <c r="A1033" s="4">
        <v>2</v>
      </c>
      <c r="B1033" s="4" t="s">
        <v>167</v>
      </c>
      <c r="C1033" s="4">
        <v>1978</v>
      </c>
      <c r="D1033" s="4" t="s">
        <v>85</v>
      </c>
      <c r="E1033" s="4">
        <v>58.3</v>
      </c>
      <c r="F1033" s="4">
        <v>0.87590000000000001</v>
      </c>
      <c r="G1033" s="4">
        <v>7</v>
      </c>
      <c r="H1033" s="4">
        <v>200</v>
      </c>
      <c r="I1033" s="4">
        <v>210</v>
      </c>
      <c r="J1033" s="4">
        <v>215</v>
      </c>
      <c r="K1033" s="4" t="e">
        <f t="array" aca="1" ref="K1033">MAX(H1033:J1033*(1-strike(H1033:J1033)))</f>
        <v>#NAME?</v>
      </c>
      <c r="L1033" s="4">
        <v>142.5</v>
      </c>
      <c r="M1033" s="4">
        <v>150</v>
      </c>
      <c r="N1033" s="4">
        <v>152.5</v>
      </c>
      <c r="O1033" s="4" t="e">
        <f t="array" aca="1" ref="O1033">MAX(L1033:N1033*(1-strike(L1033:N1033)))</f>
        <v>#NAME?</v>
      </c>
      <c r="P1033" s="4">
        <v>197.5</v>
      </c>
      <c r="Q1033" s="4">
        <v>205</v>
      </c>
      <c r="R1033" s="6">
        <v>210</v>
      </c>
      <c r="S1033" s="4" t="e">
        <f t="array" aca="1" ref="S1033">MAX(P1033:R1033*(1-strike(P1033:R1033)))</f>
        <v>#NAME?</v>
      </c>
      <c r="T1033" s="4" t="e">
        <f t="shared" si="16"/>
        <v>#NAME?</v>
      </c>
      <c r="U1033" s="4">
        <v>572.5</v>
      </c>
      <c r="V1033" s="4">
        <v>501.45</v>
      </c>
      <c r="W1033" s="4">
        <v>9</v>
      </c>
      <c r="X1033" s="5">
        <v>2014</v>
      </c>
      <c r="Y1033" s="5" t="s">
        <v>29</v>
      </c>
      <c r="Z1033" s="5" t="s">
        <v>30</v>
      </c>
      <c r="AA1033" s="5">
        <v>649</v>
      </c>
    </row>
    <row r="1034" spans="1:27">
      <c r="A1034" s="4">
        <v>5</v>
      </c>
      <c r="B1034" s="4" t="s">
        <v>167</v>
      </c>
      <c r="C1034" s="4">
        <v>1978</v>
      </c>
      <c r="D1034" s="4" t="s">
        <v>85</v>
      </c>
      <c r="E1034" s="4">
        <v>58.46</v>
      </c>
      <c r="F1034" s="4">
        <v>0.87309999999999999</v>
      </c>
      <c r="G1034" s="4">
        <v>9</v>
      </c>
      <c r="H1034" s="4">
        <v>240</v>
      </c>
      <c r="I1034" s="4">
        <v>250</v>
      </c>
      <c r="J1034" s="4"/>
      <c r="K1034" s="4" t="e">
        <f t="array" aca="1" ref="K1034">MAX(H1034:J1034*(1-strike(H1034:J1034)))</f>
        <v>#NAME?</v>
      </c>
      <c r="L1034" s="4">
        <v>172.5</v>
      </c>
      <c r="M1034" s="6">
        <v>177.5</v>
      </c>
      <c r="N1034" s="4">
        <v>177.5</v>
      </c>
      <c r="O1034" s="4" t="e">
        <f t="array" aca="1" ref="O1034">MAX(L1034:N1034*(1-strike(L1034:N1034)))</f>
        <v>#NAME?</v>
      </c>
      <c r="P1034" s="4">
        <v>210</v>
      </c>
      <c r="Q1034" s="4">
        <v>217.5</v>
      </c>
      <c r="R1034" s="6">
        <v>222.5</v>
      </c>
      <c r="S1034" s="4" t="e">
        <f t="array" aca="1" ref="S1034">MAX(P1034:R1034*(1-strike(P1034:R1034)))</f>
        <v>#NAME?</v>
      </c>
      <c r="T1034" s="4" t="e">
        <f t="shared" si="16"/>
        <v>#NAME?</v>
      </c>
      <c r="U1034" s="4">
        <v>645</v>
      </c>
      <c r="V1034" s="4">
        <v>563.15</v>
      </c>
      <c r="W1034" s="4">
        <v>6</v>
      </c>
      <c r="X1034" s="5">
        <v>2014</v>
      </c>
      <c r="Y1034" s="5" t="s">
        <v>29</v>
      </c>
      <c r="Z1034" s="5" t="s">
        <v>171</v>
      </c>
      <c r="AA1034" s="5">
        <v>444</v>
      </c>
    </row>
    <row r="1035" spans="1:27">
      <c r="A1035" s="4">
        <v>3</v>
      </c>
      <c r="B1035" s="4" t="s">
        <v>167</v>
      </c>
      <c r="C1035" s="4">
        <v>1978</v>
      </c>
      <c r="D1035" s="4" t="s">
        <v>85</v>
      </c>
      <c r="E1035" s="4">
        <v>58.3</v>
      </c>
      <c r="F1035" s="4">
        <v>0.87590000000000001</v>
      </c>
      <c r="G1035" s="4">
        <v>6</v>
      </c>
      <c r="H1035" s="4">
        <v>200</v>
      </c>
      <c r="I1035" s="4">
        <v>210</v>
      </c>
      <c r="J1035" s="4">
        <v>215</v>
      </c>
      <c r="K1035" s="4" t="e">
        <f t="array" aca="1" ref="K1035">MAX(H1035:J1035*(1-strike(H1035:J1035)))</f>
        <v>#NAME?</v>
      </c>
      <c r="L1035" s="4">
        <v>140</v>
      </c>
      <c r="M1035" s="4">
        <v>147.5</v>
      </c>
      <c r="N1035" s="6">
        <v>152.5</v>
      </c>
      <c r="O1035" s="4" t="e">
        <f t="array" aca="1" ref="O1035">MAX(L1035:N1035*(1-strike(L1035:N1035)))</f>
        <v>#NAME?</v>
      </c>
      <c r="P1035" s="4">
        <v>190</v>
      </c>
      <c r="Q1035" s="4">
        <v>200</v>
      </c>
      <c r="R1035" s="4">
        <v>205</v>
      </c>
      <c r="S1035" s="4" t="e">
        <f t="array" aca="1" ref="S1035">MAX(P1035:R1035*(1-strike(P1035:R1035)))</f>
        <v>#NAME?</v>
      </c>
      <c r="T1035" s="4" t="e">
        <f t="shared" si="16"/>
        <v>#NAME?</v>
      </c>
      <c r="U1035" s="4">
        <v>567.5</v>
      </c>
      <c r="V1035" s="4">
        <v>497.07</v>
      </c>
      <c r="W1035" s="4">
        <v>8</v>
      </c>
      <c r="X1035" s="5">
        <v>2015</v>
      </c>
      <c r="Y1035" s="5" t="s">
        <v>29</v>
      </c>
      <c r="Z1035" s="5" t="s">
        <v>30</v>
      </c>
      <c r="AA1035" s="5">
        <v>221</v>
      </c>
    </row>
    <row r="1036" spans="1:27">
      <c r="A1036" s="4">
        <v>5</v>
      </c>
      <c r="B1036" s="4" t="s">
        <v>167</v>
      </c>
      <c r="C1036" s="4">
        <v>1978</v>
      </c>
      <c r="D1036" s="4" t="s">
        <v>85</v>
      </c>
      <c r="E1036" s="4">
        <v>58.62</v>
      </c>
      <c r="F1036" s="4">
        <v>0.87139999999999995</v>
      </c>
      <c r="G1036" s="4">
        <v>8</v>
      </c>
      <c r="H1036" s="4">
        <v>245</v>
      </c>
      <c r="I1036" s="4">
        <v>255</v>
      </c>
      <c r="J1036" s="6">
        <v>260</v>
      </c>
      <c r="K1036" s="4" t="e">
        <f t="array" aca="1" ref="K1036">MAX(H1036:J1036*(1-strike(H1036:J1036)))</f>
        <v>#NAME?</v>
      </c>
      <c r="L1036" s="4">
        <v>170</v>
      </c>
      <c r="M1036" s="4">
        <v>175</v>
      </c>
      <c r="N1036" s="4">
        <v>177.5</v>
      </c>
      <c r="O1036" s="4" t="e">
        <f t="array" aca="1" ref="O1036">MAX(L1036:N1036*(1-strike(L1036:N1036)))</f>
        <v>#NAME?</v>
      </c>
      <c r="P1036" s="4">
        <v>210</v>
      </c>
      <c r="Q1036" s="4">
        <v>217.5</v>
      </c>
      <c r="R1036" s="6">
        <v>220</v>
      </c>
      <c r="S1036" s="4" t="e">
        <f t="array" aca="1" ref="S1036">MAX(P1036:R1036*(1-strike(P1036:R1036)))</f>
        <v>#NAME?</v>
      </c>
      <c r="T1036" s="4" t="e">
        <f t="shared" si="16"/>
        <v>#NAME?</v>
      </c>
      <c r="U1036" s="4">
        <v>650</v>
      </c>
      <c r="V1036" s="4">
        <v>566.41</v>
      </c>
      <c r="W1036" s="4">
        <v>6</v>
      </c>
      <c r="X1036" s="5">
        <v>2015</v>
      </c>
      <c r="Y1036" s="5" t="s">
        <v>29</v>
      </c>
      <c r="Z1036" s="5" t="s">
        <v>171</v>
      </c>
      <c r="AA1036" s="5">
        <v>6</v>
      </c>
    </row>
    <row r="1037" spans="1:27">
      <c r="A1037" s="3" t="s">
        <v>37</v>
      </c>
      <c r="B1037" s="3" t="s">
        <v>842</v>
      </c>
      <c r="C1037" s="3">
        <v>1980</v>
      </c>
      <c r="D1037" s="3" t="s">
        <v>77</v>
      </c>
      <c r="E1037" s="3">
        <v>109.92</v>
      </c>
      <c r="F1037" s="3">
        <v>0.5887</v>
      </c>
      <c r="G1037" s="3">
        <v>30</v>
      </c>
      <c r="H1037" s="1">
        <v>305</v>
      </c>
      <c r="I1037" s="3">
        <v>305</v>
      </c>
      <c r="J1037" s="1">
        <v>315</v>
      </c>
      <c r="K1037" s="4" t="e">
        <f t="array" aca="1" ref="K1037">MAX(H1037:J1037*(1-strike(H1037:J1037)))</f>
        <v>#NAME?</v>
      </c>
      <c r="L1037" s="1">
        <v>255</v>
      </c>
      <c r="M1037" s="1">
        <v>255</v>
      </c>
      <c r="N1037" s="1">
        <v>255</v>
      </c>
      <c r="O1037" s="4" t="e">
        <f t="array" aca="1" ref="O1037">MAX(L1037:N1037*(1-strike(L1037:N1037)))</f>
        <v>#NAME?</v>
      </c>
      <c r="P1037" s="3">
        <v>250</v>
      </c>
      <c r="Q1037" s="3">
        <v>260</v>
      </c>
      <c r="R1037" s="3">
        <v>265</v>
      </c>
      <c r="S1037" s="4" t="e">
        <f t="array" aca="1" ref="S1037">MAX(P1037:R1037*(1-strike(P1037:R1037)))</f>
        <v>#NAME?</v>
      </c>
      <c r="T1037" s="4" t="e">
        <f t="shared" si="16"/>
        <v>#NAME?</v>
      </c>
      <c r="U1037" s="3" t="s">
        <v>40</v>
      </c>
      <c r="V1037" s="3" t="s">
        <v>37</v>
      </c>
      <c r="W1037" s="3" t="s">
        <v>37</v>
      </c>
      <c r="X1037" s="5">
        <v>2012</v>
      </c>
      <c r="Y1037" s="5" t="s">
        <v>29</v>
      </c>
      <c r="Z1037" s="5" t="s">
        <v>171</v>
      </c>
      <c r="AA1037" s="5">
        <v>1313</v>
      </c>
    </row>
    <row r="1038" spans="1:27">
      <c r="A1038" s="4">
        <v>18</v>
      </c>
      <c r="B1038" s="4" t="s">
        <v>843</v>
      </c>
      <c r="C1038" s="4">
        <v>1994</v>
      </c>
      <c r="D1038" s="4" t="s">
        <v>74</v>
      </c>
      <c r="E1038" s="4">
        <v>103.78</v>
      </c>
      <c r="F1038" s="4">
        <v>0.6</v>
      </c>
      <c r="G1038" s="4">
        <v>10</v>
      </c>
      <c r="H1038" s="4">
        <v>375</v>
      </c>
      <c r="I1038" s="6">
        <v>400</v>
      </c>
      <c r="J1038" s="4">
        <v>400</v>
      </c>
      <c r="K1038" s="4" t="e">
        <f t="array" aca="1" ref="K1038">MAX(H1038:J1038*(1-strike(H1038:J1038)))</f>
        <v>#NAME?</v>
      </c>
      <c r="L1038" s="4">
        <v>75</v>
      </c>
      <c r="M1038" s="4"/>
      <c r="N1038" s="4"/>
      <c r="O1038" s="4" t="e">
        <f t="array" aca="1" ref="O1038">MAX(L1038:N1038*(1-strike(L1038:N1038)))</f>
        <v>#NAME?</v>
      </c>
      <c r="P1038" s="4">
        <v>175</v>
      </c>
      <c r="Q1038" s="4">
        <v>275</v>
      </c>
      <c r="R1038" s="6">
        <v>300</v>
      </c>
      <c r="S1038" s="4" t="e">
        <f t="array" aca="1" ref="S1038">MAX(P1038:R1038*(1-strike(P1038:R1038)))</f>
        <v>#NAME?</v>
      </c>
      <c r="T1038" s="4" t="e">
        <f t="shared" si="16"/>
        <v>#NAME?</v>
      </c>
      <c r="U1038" s="4">
        <v>750</v>
      </c>
      <c r="V1038" s="4">
        <v>450</v>
      </c>
      <c r="W1038" s="4">
        <v>1</v>
      </c>
      <c r="X1038" s="5">
        <v>2015</v>
      </c>
      <c r="Y1038" s="5" t="s">
        <v>29</v>
      </c>
      <c r="Z1038" s="5" t="s">
        <v>171</v>
      </c>
      <c r="AA1038" s="5">
        <v>90</v>
      </c>
    </row>
    <row r="1039" spans="1:27">
      <c r="A1039" s="3" t="s">
        <v>37</v>
      </c>
      <c r="B1039" s="3" t="s">
        <v>844</v>
      </c>
      <c r="C1039" s="3">
        <v>1982</v>
      </c>
      <c r="D1039" s="3" t="s">
        <v>39</v>
      </c>
      <c r="E1039" s="3">
        <v>92.35</v>
      </c>
      <c r="F1039" s="3">
        <v>0.63029999999999997</v>
      </c>
      <c r="G1039" s="3">
        <v>18</v>
      </c>
      <c r="H1039" s="1">
        <v>350</v>
      </c>
      <c r="I1039" s="1">
        <v>350</v>
      </c>
      <c r="J1039" s="1">
        <v>350</v>
      </c>
      <c r="K1039" s="4" t="e">
        <f t="array" aca="1" ref="K1039">MAX(H1039:J1039*(1-strike(H1039:J1039)))</f>
        <v>#NAME?</v>
      </c>
      <c r="L1039" s="3">
        <v>230</v>
      </c>
      <c r="M1039" s="3">
        <v>240</v>
      </c>
      <c r="N1039" s="1">
        <v>247.5</v>
      </c>
      <c r="O1039" s="4" t="e">
        <f t="array" aca="1" ref="O1039">MAX(L1039:N1039*(1-strike(L1039:N1039)))</f>
        <v>#NAME?</v>
      </c>
      <c r="P1039" s="1">
        <v>320</v>
      </c>
      <c r="Q1039" s="1">
        <v>320</v>
      </c>
      <c r="R1039" s="1">
        <v>320</v>
      </c>
      <c r="S1039" s="4" t="e">
        <f t="array" aca="1" ref="S1039">MAX(P1039:R1039*(1-strike(P1039:R1039)))</f>
        <v>#NAME?</v>
      </c>
      <c r="T1039" s="4" t="e">
        <f t="shared" si="16"/>
        <v>#NAME?</v>
      </c>
      <c r="U1039" s="3" t="s">
        <v>40</v>
      </c>
      <c r="V1039" s="3" t="s">
        <v>37</v>
      </c>
      <c r="W1039" s="3" t="s">
        <v>37</v>
      </c>
      <c r="X1039" s="5">
        <v>2012</v>
      </c>
      <c r="Y1039" s="5" t="s">
        <v>29</v>
      </c>
      <c r="Z1039" s="5" t="s">
        <v>171</v>
      </c>
      <c r="AA1039" s="5">
        <v>1270</v>
      </c>
    </row>
    <row r="1040" spans="1:27" ht="15" customHeight="1">
      <c r="A1040" s="4">
        <v>8</v>
      </c>
      <c r="B1040" s="4" t="s">
        <v>844</v>
      </c>
      <c r="C1040" s="4">
        <v>1982</v>
      </c>
      <c r="D1040" s="4" t="s">
        <v>39</v>
      </c>
      <c r="E1040" s="4">
        <v>92.54</v>
      </c>
      <c r="F1040" s="4">
        <v>0.62980000000000003</v>
      </c>
      <c r="G1040" s="4">
        <v>15</v>
      </c>
      <c r="H1040" s="4">
        <v>342.5</v>
      </c>
      <c r="I1040" s="6">
        <v>360</v>
      </c>
      <c r="J1040" s="6">
        <v>360</v>
      </c>
      <c r="K1040" s="4" t="e">
        <f t="array" aca="1" ref="K1040">MAX(H1040:J1040*(1-strike(H1040:J1040)))</f>
        <v>#NAME?</v>
      </c>
      <c r="L1040" s="4">
        <v>252.5</v>
      </c>
      <c r="M1040" s="6">
        <v>262.5</v>
      </c>
      <c r="N1040" s="6">
        <v>262.5</v>
      </c>
      <c r="O1040" s="4" t="e">
        <f t="array" aca="1" ref="O1040">MAX(L1040:N1040*(1-strike(L1040:N1040)))</f>
        <v>#NAME?</v>
      </c>
      <c r="P1040" s="4">
        <v>305</v>
      </c>
      <c r="Q1040" s="4">
        <v>320</v>
      </c>
      <c r="R1040" s="4">
        <v>330</v>
      </c>
      <c r="S1040" s="4" t="e">
        <f t="array" aca="1" ref="S1040">MAX(P1040:R1040*(1-strike(P1040:R1040)))</f>
        <v>#NAME?</v>
      </c>
      <c r="T1040" s="4" t="e">
        <f t="shared" si="16"/>
        <v>#NAME?</v>
      </c>
      <c r="U1040" s="4">
        <v>925</v>
      </c>
      <c r="V1040" s="4">
        <v>582.57000000000005</v>
      </c>
      <c r="W1040" s="4">
        <v>3</v>
      </c>
      <c r="X1040" s="5">
        <v>2014</v>
      </c>
      <c r="Y1040" s="5" t="s">
        <v>29</v>
      </c>
      <c r="Z1040" s="5" t="s">
        <v>171</v>
      </c>
      <c r="AA1040" s="5">
        <v>500</v>
      </c>
    </row>
    <row r="1041" spans="1:27">
      <c r="A1041" s="4">
        <v>6</v>
      </c>
      <c r="B1041" s="4" t="s">
        <v>845</v>
      </c>
      <c r="C1041" s="4">
        <v>1990</v>
      </c>
      <c r="D1041" s="4" t="s">
        <v>39</v>
      </c>
      <c r="E1041" s="4">
        <v>112.68</v>
      </c>
      <c r="F1041" s="4">
        <v>0.58430000000000004</v>
      </c>
      <c r="G1041" s="4">
        <v>11</v>
      </c>
      <c r="H1041" s="4">
        <v>400</v>
      </c>
      <c r="I1041" s="6">
        <v>415</v>
      </c>
      <c r="J1041" s="6">
        <v>415</v>
      </c>
      <c r="K1041" s="4" t="e">
        <f t="array" aca="1" ref="K1041">MAX(H1041:J1041*(1-strike(H1041:J1041)))</f>
        <v>#NAME?</v>
      </c>
      <c r="L1041" s="6">
        <v>280</v>
      </c>
      <c r="M1041" s="4">
        <v>280</v>
      </c>
      <c r="N1041" s="6">
        <v>290</v>
      </c>
      <c r="O1041" s="4" t="e">
        <f t="array" aca="1" ref="O1041">MAX(L1041:N1041*(1-strike(L1041:N1041)))</f>
        <v>#NAME?</v>
      </c>
      <c r="P1041" s="4">
        <v>335</v>
      </c>
      <c r="Q1041" s="4">
        <v>350</v>
      </c>
      <c r="R1041" s="6">
        <v>372.5</v>
      </c>
      <c r="S1041" s="4" t="e">
        <f t="array" aca="1" ref="S1041">MAX(P1041:R1041*(1-strike(P1041:R1041)))</f>
        <v>#NAME?</v>
      </c>
      <c r="T1041" s="4" t="e">
        <f t="shared" si="16"/>
        <v>#NAME?</v>
      </c>
      <c r="U1041" s="4">
        <v>1030</v>
      </c>
      <c r="V1041" s="4">
        <v>601.83000000000004</v>
      </c>
      <c r="W1041" s="4">
        <v>5</v>
      </c>
      <c r="X1041" s="5">
        <v>2014</v>
      </c>
      <c r="Y1041" s="5" t="s">
        <v>29</v>
      </c>
      <c r="Z1041" s="5" t="s">
        <v>171</v>
      </c>
      <c r="AA1041" s="5">
        <v>538</v>
      </c>
    </row>
    <row r="1042" spans="1:27">
      <c r="A1042" s="4">
        <v>3</v>
      </c>
      <c r="B1042" s="4" t="s">
        <v>845</v>
      </c>
      <c r="C1042" s="4">
        <v>1990</v>
      </c>
      <c r="D1042" s="4" t="s">
        <v>39</v>
      </c>
      <c r="E1042" s="4">
        <v>113.58</v>
      </c>
      <c r="F1042" s="4">
        <v>0.58299999999999996</v>
      </c>
      <c r="G1042" s="4">
        <v>14</v>
      </c>
      <c r="H1042" s="4">
        <v>400</v>
      </c>
      <c r="I1042" s="6">
        <v>417.5</v>
      </c>
      <c r="J1042" s="6">
        <v>417.5</v>
      </c>
      <c r="K1042" s="4" t="e">
        <f t="array" aca="1" ref="K1042">MAX(H1042:J1042*(1-strike(H1042:J1042)))</f>
        <v>#NAME?</v>
      </c>
      <c r="L1042" s="4">
        <v>290</v>
      </c>
      <c r="M1042" s="4">
        <v>300</v>
      </c>
      <c r="N1042" s="4">
        <v>310</v>
      </c>
      <c r="O1042" s="4" t="e">
        <f t="array" aca="1" ref="O1042">MAX(L1042:N1042*(1-strike(L1042:N1042)))</f>
        <v>#NAME?</v>
      </c>
      <c r="P1042" s="4">
        <v>330</v>
      </c>
      <c r="Q1042" s="4">
        <v>352.5</v>
      </c>
      <c r="R1042" s="4">
        <v>360</v>
      </c>
      <c r="S1042" s="4" t="e">
        <f t="array" aca="1" ref="S1042">MAX(P1042:R1042*(1-strike(P1042:R1042)))</f>
        <v>#NAME?</v>
      </c>
      <c r="T1042" s="4" t="e">
        <f t="shared" si="16"/>
        <v>#NAME?</v>
      </c>
      <c r="U1042" s="4">
        <v>1070</v>
      </c>
      <c r="V1042" s="4">
        <v>623.80999999999995</v>
      </c>
      <c r="W1042" s="4">
        <v>8</v>
      </c>
      <c r="X1042" s="5">
        <v>2015</v>
      </c>
      <c r="Y1042" s="5" t="s">
        <v>29</v>
      </c>
      <c r="Z1042" s="5" t="s">
        <v>171</v>
      </c>
      <c r="AA1042" s="5">
        <v>98</v>
      </c>
    </row>
    <row r="1043" spans="1:27">
      <c r="A1043" s="4">
        <v>10</v>
      </c>
      <c r="B1043" s="4" t="s">
        <v>846</v>
      </c>
      <c r="C1043" s="4">
        <v>1989</v>
      </c>
      <c r="D1043" s="4" t="s">
        <v>77</v>
      </c>
      <c r="E1043" s="4">
        <v>80.48</v>
      </c>
      <c r="F1043" s="4">
        <v>0.68010000000000004</v>
      </c>
      <c r="G1043" s="4">
        <v>3</v>
      </c>
      <c r="H1043" s="4">
        <v>225</v>
      </c>
      <c r="I1043" s="4">
        <v>235</v>
      </c>
      <c r="J1043" s="4">
        <v>240</v>
      </c>
      <c r="K1043" s="4" t="e">
        <f t="array" aca="1" ref="K1043">MAX(H1043:J1043*(1-strike(H1043:J1043)))</f>
        <v>#NAME?</v>
      </c>
      <c r="L1043" s="4">
        <v>145</v>
      </c>
      <c r="M1043" s="4">
        <v>150</v>
      </c>
      <c r="N1043" s="6">
        <v>155</v>
      </c>
      <c r="O1043" s="4" t="e">
        <f t="array" aca="1" ref="O1043">MAX(L1043:N1043*(1-strike(L1043:N1043)))</f>
        <v>#NAME?</v>
      </c>
      <c r="P1043" s="4">
        <v>245</v>
      </c>
      <c r="Q1043" s="4">
        <v>260</v>
      </c>
      <c r="R1043" s="6">
        <v>265</v>
      </c>
      <c r="S1043" s="4" t="e">
        <f t="array" aca="1" ref="S1043">MAX(P1043:R1043*(1-strike(P1043:R1043)))</f>
        <v>#NAME?</v>
      </c>
      <c r="T1043" s="4" t="e">
        <f t="shared" si="16"/>
        <v>#NAME?</v>
      </c>
      <c r="U1043" s="4">
        <v>650</v>
      </c>
      <c r="V1043" s="4">
        <v>442.06</v>
      </c>
      <c r="W1043" s="4">
        <v>1</v>
      </c>
      <c r="X1043" s="5">
        <v>2015</v>
      </c>
      <c r="Y1043" s="5" t="s">
        <v>29</v>
      </c>
      <c r="Z1043" s="5" t="s">
        <v>30</v>
      </c>
      <c r="AA1043" s="5">
        <v>265</v>
      </c>
    </row>
    <row r="1044" spans="1:27">
      <c r="A1044" s="4">
        <v>2</v>
      </c>
      <c r="B1044" s="4" t="s">
        <v>847</v>
      </c>
      <c r="C1044" s="4">
        <v>1985</v>
      </c>
      <c r="D1044" s="4" t="s">
        <v>28</v>
      </c>
      <c r="E1044" s="4">
        <v>82.6</v>
      </c>
      <c r="F1044" s="4">
        <v>0.6694</v>
      </c>
      <c r="G1044" s="4">
        <v>18</v>
      </c>
      <c r="H1044" s="4">
        <v>250</v>
      </c>
      <c r="I1044" s="4">
        <v>260</v>
      </c>
      <c r="J1044" s="6">
        <v>270</v>
      </c>
      <c r="K1044" s="4" t="e">
        <f t="array" aca="1" ref="K1044">MAX(H1044:J1044*(1-strike(H1044:J1044)))</f>
        <v>#NAME?</v>
      </c>
      <c r="L1044" s="4">
        <v>162.5</v>
      </c>
      <c r="M1044" s="6">
        <v>167.5</v>
      </c>
      <c r="N1044" s="4">
        <v>167.5</v>
      </c>
      <c r="O1044" s="4" t="e">
        <f t="array" aca="1" ref="O1044">MAX(L1044:N1044*(1-strike(L1044:N1044)))</f>
        <v>#NAME?</v>
      </c>
      <c r="P1044" s="4">
        <v>290</v>
      </c>
      <c r="Q1044" s="4">
        <v>300</v>
      </c>
      <c r="R1044" s="6">
        <v>305</v>
      </c>
      <c r="S1044" s="4" t="e">
        <f t="array" aca="1" ref="S1044">MAX(P1044:R1044*(1-strike(P1044:R1044)))</f>
        <v>#NAME?</v>
      </c>
      <c r="T1044" s="4" t="e">
        <f t="shared" si="16"/>
        <v>#NAME?</v>
      </c>
      <c r="U1044" s="4">
        <v>727.5</v>
      </c>
      <c r="V1044" s="4">
        <v>486.99</v>
      </c>
      <c r="W1044" s="4">
        <v>9</v>
      </c>
      <c r="X1044" s="5">
        <v>2015</v>
      </c>
      <c r="Y1044" s="5" t="s">
        <v>29</v>
      </c>
      <c r="Z1044" s="5" t="s">
        <v>30</v>
      </c>
      <c r="AA1044" s="5">
        <v>257</v>
      </c>
    </row>
    <row r="1045" spans="1:27">
      <c r="A1045" s="4">
        <v>14</v>
      </c>
      <c r="B1045" s="4" t="s">
        <v>848</v>
      </c>
      <c r="C1045" s="4">
        <v>1981</v>
      </c>
      <c r="D1045" s="4" t="s">
        <v>113</v>
      </c>
      <c r="E1045" s="4">
        <v>92.6</v>
      </c>
      <c r="F1045" s="4">
        <v>0.62949999999999995</v>
      </c>
      <c r="G1045" s="4">
        <v>9</v>
      </c>
      <c r="H1045" s="4">
        <v>295</v>
      </c>
      <c r="I1045" s="4">
        <v>305</v>
      </c>
      <c r="J1045" s="4">
        <v>312.5</v>
      </c>
      <c r="K1045" s="4" t="e">
        <f t="array" aca="1" ref="K1045">MAX(H1045:J1045*(1-strike(H1045:J1045)))</f>
        <v>#NAME?</v>
      </c>
      <c r="L1045" s="4">
        <v>205</v>
      </c>
      <c r="M1045" s="6">
        <v>212.5</v>
      </c>
      <c r="N1045" s="4">
        <v>212.5</v>
      </c>
      <c r="O1045" s="4" t="e">
        <f t="array" aca="1" ref="O1045">MAX(L1045:N1045*(1-strike(L1045:N1045)))</f>
        <v>#NAME?</v>
      </c>
      <c r="P1045" s="4">
        <v>255</v>
      </c>
      <c r="Q1045" s="4">
        <v>265</v>
      </c>
      <c r="R1045" s="6">
        <v>275</v>
      </c>
      <c r="S1045" s="4" t="e">
        <f t="array" aca="1" ref="S1045">MAX(P1045:R1045*(1-strike(P1045:R1045)))</f>
        <v>#NAME?</v>
      </c>
      <c r="T1045" s="4" t="e">
        <f t="shared" si="16"/>
        <v>#NAME?</v>
      </c>
      <c r="U1045" s="4">
        <v>790</v>
      </c>
      <c r="V1045" s="4">
        <v>497.3</v>
      </c>
      <c r="W1045" s="4">
        <v>1</v>
      </c>
      <c r="X1045" s="5">
        <v>2014</v>
      </c>
      <c r="Y1045" s="5" t="s">
        <v>29</v>
      </c>
      <c r="Z1045" s="5" t="s">
        <v>171</v>
      </c>
      <c r="AA1045" s="5">
        <v>506</v>
      </c>
    </row>
    <row r="1046" spans="1:27">
      <c r="A1046" s="4">
        <v>11</v>
      </c>
      <c r="B1046" s="4" t="s">
        <v>849</v>
      </c>
      <c r="C1046" s="4">
        <v>1991</v>
      </c>
      <c r="D1046" s="4" t="s">
        <v>49</v>
      </c>
      <c r="E1046" s="4">
        <v>102.71</v>
      </c>
      <c r="F1046" s="4">
        <v>0.60229999999999995</v>
      </c>
      <c r="G1046" s="4">
        <v>13</v>
      </c>
      <c r="H1046" s="4">
        <v>240</v>
      </c>
      <c r="I1046" s="4">
        <v>255</v>
      </c>
      <c r="J1046" s="6">
        <v>260</v>
      </c>
      <c r="K1046" s="4" t="e">
        <f t="array" aca="1" ref="K1046">MAX(H1046:J1046*(1-strike(H1046:J1046)))</f>
        <v>#NAME?</v>
      </c>
      <c r="L1046" s="4">
        <v>175</v>
      </c>
      <c r="M1046" s="4">
        <v>182.5</v>
      </c>
      <c r="N1046" s="6">
        <v>187.5</v>
      </c>
      <c r="O1046" s="4" t="e">
        <f t="array" aca="1" ref="O1046">MAX(L1046:N1046*(1-strike(L1046:N1046)))</f>
        <v>#NAME?</v>
      </c>
      <c r="P1046" s="4">
        <v>280</v>
      </c>
      <c r="Q1046" s="4">
        <v>295</v>
      </c>
      <c r="R1046" s="4">
        <v>302.5</v>
      </c>
      <c r="S1046" s="4" t="e">
        <f t="array" aca="1" ref="S1046">MAX(P1046:R1046*(1-strike(P1046:R1046)))</f>
        <v>#NAME?</v>
      </c>
      <c r="T1046" s="4" t="e">
        <f t="shared" si="16"/>
        <v>#NAME?</v>
      </c>
      <c r="U1046" s="4">
        <v>740</v>
      </c>
      <c r="V1046" s="4">
        <v>445.7</v>
      </c>
      <c r="W1046" s="4">
        <v>1</v>
      </c>
      <c r="X1046" s="5">
        <v>2015</v>
      </c>
      <c r="Y1046" s="5" t="s">
        <v>29</v>
      </c>
      <c r="Z1046" s="5" t="s">
        <v>30</v>
      </c>
      <c r="AA1046" s="5">
        <v>303</v>
      </c>
    </row>
    <row r="1047" spans="1:27">
      <c r="A1047" s="4">
        <v>7</v>
      </c>
      <c r="B1047" s="4" t="s">
        <v>850</v>
      </c>
      <c r="C1047" s="4">
        <v>1987</v>
      </c>
      <c r="D1047" s="4" t="s">
        <v>485</v>
      </c>
      <c r="E1047" s="4">
        <v>65.5</v>
      </c>
      <c r="F1047" s="4">
        <v>0.79010000000000002</v>
      </c>
      <c r="G1047" s="4">
        <v>15</v>
      </c>
      <c r="H1047" s="4">
        <v>215</v>
      </c>
      <c r="I1047" s="6">
        <v>225</v>
      </c>
      <c r="J1047" s="6">
        <v>225</v>
      </c>
      <c r="K1047" s="4" t="e">
        <f t="array" aca="1" ref="K1047">MAX(H1047:J1047*(1-strike(H1047:J1047)))</f>
        <v>#NAME?</v>
      </c>
      <c r="L1047" s="4">
        <v>122.5</v>
      </c>
      <c r="M1047" s="4">
        <v>125</v>
      </c>
      <c r="N1047" s="6">
        <v>130</v>
      </c>
      <c r="O1047" s="4" t="e">
        <f t="array" aca="1" ref="O1047">MAX(L1047:N1047*(1-strike(L1047:N1047)))</f>
        <v>#NAME?</v>
      </c>
      <c r="P1047" s="4">
        <v>200</v>
      </c>
      <c r="Q1047" s="6">
        <v>210</v>
      </c>
      <c r="R1047" s="6">
        <v>210</v>
      </c>
      <c r="S1047" s="4" t="e">
        <f t="array" aca="1" ref="S1047">MAX(P1047:R1047*(1-strike(P1047:R1047)))</f>
        <v>#NAME?</v>
      </c>
      <c r="T1047" s="4" t="e">
        <f t="shared" si="16"/>
        <v>#NAME?</v>
      </c>
      <c r="U1047" s="4">
        <v>540</v>
      </c>
      <c r="V1047" s="4">
        <v>426.65</v>
      </c>
      <c r="W1047" s="4">
        <v>4</v>
      </c>
      <c r="X1047" s="5">
        <v>2014</v>
      </c>
      <c r="Y1047" s="5" t="s">
        <v>29</v>
      </c>
      <c r="Z1047" s="5" t="s">
        <v>171</v>
      </c>
      <c r="AA1047" s="5">
        <v>458</v>
      </c>
    </row>
    <row r="1048" spans="1:27">
      <c r="A1048" s="4">
        <v>6</v>
      </c>
      <c r="B1048" s="4" t="s">
        <v>169</v>
      </c>
      <c r="C1048" s="4">
        <v>1981</v>
      </c>
      <c r="D1048" s="4" t="s">
        <v>851</v>
      </c>
      <c r="E1048" s="4">
        <v>93.1</v>
      </c>
      <c r="F1048" s="4">
        <v>0.85260000000000002</v>
      </c>
      <c r="G1048" s="4">
        <v>11</v>
      </c>
      <c r="H1048" s="4">
        <v>200</v>
      </c>
      <c r="I1048" s="4">
        <v>210</v>
      </c>
      <c r="J1048" s="4">
        <v>215</v>
      </c>
      <c r="K1048" s="4" t="e">
        <f t="array" aca="1" ref="K1048">MAX(H1048:J1048*(1-strike(H1048:J1048)))</f>
        <v>#NAME?</v>
      </c>
      <c r="L1048" s="4">
        <v>125</v>
      </c>
      <c r="M1048" s="6">
        <v>127.5</v>
      </c>
      <c r="N1048" s="6">
        <v>127.5</v>
      </c>
      <c r="O1048" s="4" t="e">
        <f t="array" aca="1" ref="O1048">MAX(L1048:N1048*(1-strike(L1048:N1048)))</f>
        <v>#NAME?</v>
      </c>
      <c r="P1048" s="4">
        <v>205</v>
      </c>
      <c r="Q1048" s="4">
        <v>217.5</v>
      </c>
      <c r="R1048" s="6">
        <v>222.5</v>
      </c>
      <c r="S1048" s="4" t="e">
        <f t="array" aca="1" ref="S1048">MAX(P1048:R1048*(1-strike(P1048:R1048)))</f>
        <v>#NAME?</v>
      </c>
      <c r="T1048" s="4" t="e">
        <f t="shared" si="16"/>
        <v>#NAME?</v>
      </c>
      <c r="U1048" s="4">
        <v>557.5</v>
      </c>
      <c r="V1048" s="4">
        <v>475.32</v>
      </c>
      <c r="W1048" s="4">
        <v>5</v>
      </c>
      <c r="X1048" s="5">
        <v>2014</v>
      </c>
      <c r="Y1048" s="5" t="s">
        <v>852</v>
      </c>
      <c r="Z1048" s="5" t="s">
        <v>171</v>
      </c>
      <c r="AA1048" s="5">
        <v>640</v>
      </c>
    </row>
    <row r="1049" spans="1:27">
      <c r="A1049" s="3">
        <v>10</v>
      </c>
      <c r="B1049" s="3" t="s">
        <v>853</v>
      </c>
      <c r="C1049" s="3">
        <v>1981</v>
      </c>
      <c r="D1049" s="3" t="s">
        <v>418</v>
      </c>
      <c r="E1049" s="3">
        <v>75.73</v>
      </c>
      <c r="F1049" s="3">
        <v>0.94499999999999995</v>
      </c>
      <c r="G1049" s="3">
        <v>4</v>
      </c>
      <c r="H1049" s="1">
        <v>150</v>
      </c>
      <c r="I1049" s="3">
        <v>150</v>
      </c>
      <c r="J1049" s="1">
        <v>170</v>
      </c>
      <c r="K1049" s="4" t="e">
        <f t="array" aca="1" ref="K1049">MAX(H1049:J1049*(1-strike(H1049:J1049)))</f>
        <v>#NAME?</v>
      </c>
      <c r="L1049" s="3">
        <v>60</v>
      </c>
      <c r="M1049" s="1">
        <v>75</v>
      </c>
      <c r="N1049" s="1">
        <v>75</v>
      </c>
      <c r="O1049" s="4" t="e">
        <f t="array" aca="1" ref="O1049">MAX(L1049:N1049*(1-strike(L1049:N1049)))</f>
        <v>#NAME?</v>
      </c>
      <c r="P1049" s="3">
        <v>150</v>
      </c>
      <c r="Q1049" s="3">
        <v>160</v>
      </c>
      <c r="R1049" s="1">
        <v>175</v>
      </c>
      <c r="S1049" s="4" t="e">
        <f t="array" aca="1" ref="S1049">MAX(P1049:R1049*(1-strike(P1049:R1049)))</f>
        <v>#NAME?</v>
      </c>
      <c r="T1049" s="4" t="e">
        <f t="shared" si="16"/>
        <v>#NAME?</v>
      </c>
      <c r="U1049" s="3">
        <v>370</v>
      </c>
      <c r="V1049" s="3">
        <v>349.63</v>
      </c>
      <c r="W1049" s="3">
        <v>1</v>
      </c>
      <c r="X1049" s="5">
        <v>2012</v>
      </c>
      <c r="Y1049" s="5" t="s">
        <v>852</v>
      </c>
      <c r="Z1049" s="5" t="s">
        <v>171</v>
      </c>
      <c r="AA1049" s="5">
        <v>1412</v>
      </c>
    </row>
    <row r="1050" spans="1:27" ht="15" customHeight="1">
      <c r="A1050" s="4" t="s">
        <v>37</v>
      </c>
      <c r="B1050" s="4" t="s">
        <v>853</v>
      </c>
      <c r="C1050" s="4">
        <v>1981</v>
      </c>
      <c r="D1050" s="4" t="s">
        <v>854</v>
      </c>
      <c r="E1050" s="4">
        <v>69.88</v>
      </c>
      <c r="F1050" s="4">
        <v>0.99580000000000002</v>
      </c>
      <c r="G1050" s="4">
        <v>1</v>
      </c>
      <c r="H1050" s="6">
        <v>170</v>
      </c>
      <c r="I1050" s="6">
        <v>170</v>
      </c>
      <c r="J1050" s="6">
        <v>170</v>
      </c>
      <c r="K1050" s="4" t="e">
        <f t="array" aca="1" ref="K1050">MAX(H1050:J1050*(1-strike(H1050:J1050)))</f>
        <v>#NAME?</v>
      </c>
      <c r="L1050" s="4">
        <v>70</v>
      </c>
      <c r="M1050" s="6">
        <v>80</v>
      </c>
      <c r="N1050" s="6">
        <v>80</v>
      </c>
      <c r="O1050" s="4" t="e">
        <f t="array" aca="1" ref="O1050">MAX(L1050:N1050*(1-strike(L1050:N1050)))</f>
        <v>#NAME?</v>
      </c>
      <c r="P1050" s="4">
        <v>170</v>
      </c>
      <c r="Q1050" s="6">
        <v>182.5</v>
      </c>
      <c r="R1050" s="6">
        <v>182.5</v>
      </c>
      <c r="S1050" s="4" t="e">
        <f t="array" aca="1" ref="S1050">MAX(P1050:R1050*(1-strike(P1050:R1050)))</f>
        <v>#NAME?</v>
      </c>
      <c r="T1050" s="4" t="e">
        <f t="shared" si="16"/>
        <v>#NAME?</v>
      </c>
      <c r="U1050" s="4" t="s">
        <v>187</v>
      </c>
      <c r="V1050" s="4" t="s">
        <v>37</v>
      </c>
      <c r="W1050" s="4" t="s">
        <v>37</v>
      </c>
      <c r="X1050" s="5">
        <v>2014</v>
      </c>
      <c r="Y1050" s="5" t="s">
        <v>852</v>
      </c>
      <c r="Z1050" s="5" t="s">
        <v>171</v>
      </c>
      <c r="AA1050" s="5">
        <v>623</v>
      </c>
    </row>
    <row r="1051" spans="1:27" ht="15" customHeight="1">
      <c r="A1051" s="3">
        <v>3</v>
      </c>
      <c r="B1051" s="3" t="s">
        <v>855</v>
      </c>
      <c r="C1051" s="3">
        <v>1967</v>
      </c>
      <c r="D1051" s="3" t="s">
        <v>119</v>
      </c>
      <c r="E1051" s="3">
        <v>56</v>
      </c>
      <c r="F1051" s="2">
        <v>11766</v>
      </c>
      <c r="G1051" s="3">
        <v>7</v>
      </c>
      <c r="H1051" s="1">
        <v>140</v>
      </c>
      <c r="I1051" s="3">
        <v>145</v>
      </c>
      <c r="J1051" s="3">
        <v>152.5</v>
      </c>
      <c r="K1051" s="4" t="e">
        <f t="array" aca="1" ref="K1051">MAX(H1051:J1051*(1-strike(H1051:J1051)))</f>
        <v>#NAME?</v>
      </c>
      <c r="L1051" s="3">
        <v>80</v>
      </c>
      <c r="M1051" s="3">
        <v>85</v>
      </c>
      <c r="N1051" s="1">
        <v>87.5</v>
      </c>
      <c r="O1051" s="4" t="e">
        <f t="array" aca="1" ref="O1051">MAX(L1051:N1051*(1-strike(L1051:N1051)))</f>
        <v>#NAME?</v>
      </c>
      <c r="P1051" s="3">
        <v>150</v>
      </c>
      <c r="Q1051" s="3">
        <v>160</v>
      </c>
      <c r="R1051" s="3">
        <v>167.5</v>
      </c>
      <c r="S1051" s="4" t="e">
        <f t="array" aca="1" ref="S1051">MAX(P1051:R1051*(1-strike(P1051:R1051)))</f>
        <v>#NAME?</v>
      </c>
      <c r="T1051" s="4" t="e">
        <f t="shared" si="16"/>
        <v>#NAME?</v>
      </c>
      <c r="U1051" s="3" t="s">
        <v>856</v>
      </c>
      <c r="V1051" s="3">
        <v>476.52</v>
      </c>
      <c r="W1051" s="3">
        <v>8</v>
      </c>
      <c r="X1051" s="5">
        <v>2014</v>
      </c>
      <c r="Y1051" s="5" t="s">
        <v>852</v>
      </c>
      <c r="Z1051" s="5" t="s">
        <v>30</v>
      </c>
      <c r="AA1051" s="5">
        <v>765</v>
      </c>
    </row>
    <row r="1052" spans="1:27">
      <c r="A1052" s="3">
        <v>5</v>
      </c>
      <c r="B1052" s="3" t="s">
        <v>857</v>
      </c>
      <c r="C1052" s="3">
        <v>1989</v>
      </c>
      <c r="D1052" s="3" t="s">
        <v>39</v>
      </c>
      <c r="E1052" s="3">
        <v>93.5</v>
      </c>
      <c r="F1052" s="3">
        <v>0.85129999999999995</v>
      </c>
      <c r="G1052" s="3">
        <v>10</v>
      </c>
      <c r="H1052" s="3">
        <v>170</v>
      </c>
      <c r="I1052" s="1">
        <v>177.5</v>
      </c>
      <c r="J1052" s="1">
        <v>177.5</v>
      </c>
      <c r="K1052" s="4" t="e">
        <f t="array" aca="1" ref="K1052">MAX(H1052:J1052*(1-strike(H1052:J1052)))</f>
        <v>#NAME?</v>
      </c>
      <c r="L1052" s="3">
        <v>100</v>
      </c>
      <c r="M1052" s="3">
        <v>107.5</v>
      </c>
      <c r="N1052" s="1">
        <v>112.5</v>
      </c>
      <c r="O1052" s="4" t="e">
        <f t="array" aca="1" ref="O1052">MAX(L1052:N1052*(1-strike(L1052:N1052)))</f>
        <v>#NAME?</v>
      </c>
      <c r="P1052" s="3">
        <v>165</v>
      </c>
      <c r="Q1052" s="3">
        <v>175</v>
      </c>
      <c r="R1052" s="3">
        <v>185</v>
      </c>
      <c r="S1052" s="4" t="e">
        <f t="array" aca="1" ref="S1052">MAX(P1052:R1052*(1-strike(P1052:R1052)))</f>
        <v>#NAME?</v>
      </c>
      <c r="T1052" s="4" t="e">
        <f t="shared" si="16"/>
        <v>#NAME?</v>
      </c>
      <c r="U1052" s="3">
        <v>462.5</v>
      </c>
      <c r="V1052" s="3">
        <v>393.73</v>
      </c>
      <c r="W1052" s="3">
        <v>6</v>
      </c>
      <c r="X1052" s="5">
        <v>2013</v>
      </c>
      <c r="Y1052" s="5" t="s">
        <v>852</v>
      </c>
      <c r="Z1052" s="5" t="s">
        <v>30</v>
      </c>
      <c r="AA1052" s="5">
        <v>1185</v>
      </c>
    </row>
    <row r="1053" spans="1:27">
      <c r="A1053" s="3">
        <v>2</v>
      </c>
      <c r="B1053" s="3" t="s">
        <v>172</v>
      </c>
      <c r="C1053" s="3">
        <v>1982</v>
      </c>
      <c r="D1053" s="3" t="s">
        <v>35</v>
      </c>
      <c r="E1053" s="3">
        <v>62.4</v>
      </c>
      <c r="F1053" s="2">
        <v>10818</v>
      </c>
      <c r="G1053" s="3">
        <v>25</v>
      </c>
      <c r="H1053" s="3">
        <v>142.5</v>
      </c>
      <c r="I1053" s="3">
        <v>150</v>
      </c>
      <c r="J1053" s="1">
        <v>152.5</v>
      </c>
      <c r="K1053" s="4" t="e">
        <f t="array" aca="1" ref="K1053">MAX(H1053:J1053*(1-strike(H1053:J1053)))</f>
        <v>#NAME?</v>
      </c>
      <c r="L1053" s="3">
        <v>105</v>
      </c>
      <c r="M1053" s="3">
        <v>110</v>
      </c>
      <c r="N1053" s="3">
        <v>112.5</v>
      </c>
      <c r="O1053" s="4" t="e">
        <f t="array" aca="1" ref="O1053">MAX(L1053:N1053*(1-strike(L1053:N1053)))</f>
        <v>#NAME?</v>
      </c>
      <c r="P1053" s="3">
        <v>162.5</v>
      </c>
      <c r="Q1053" s="3">
        <v>172.5</v>
      </c>
      <c r="R1053" s="3">
        <v>177.5</v>
      </c>
      <c r="S1053" s="4" t="e">
        <f t="array" aca="1" ref="S1053">MAX(P1053:R1053*(1-strike(P1053:R1053)))</f>
        <v>#NAME?</v>
      </c>
      <c r="T1053" s="4" t="e">
        <f t="shared" si="16"/>
        <v>#NAME?</v>
      </c>
      <c r="U1053" s="3">
        <v>440</v>
      </c>
      <c r="V1053" s="3">
        <v>475.99</v>
      </c>
      <c r="W1053" s="3">
        <v>9</v>
      </c>
      <c r="X1053" s="5">
        <v>2014</v>
      </c>
      <c r="Y1053" s="5" t="s">
        <v>852</v>
      </c>
      <c r="Z1053" s="5" t="s">
        <v>30</v>
      </c>
      <c r="AA1053" s="5">
        <v>780</v>
      </c>
    </row>
    <row r="1054" spans="1:27">
      <c r="A1054" s="4">
        <v>5</v>
      </c>
      <c r="B1054" s="4" t="s">
        <v>858</v>
      </c>
      <c r="C1054" s="4">
        <v>1993</v>
      </c>
      <c r="D1054" s="4" t="s">
        <v>859</v>
      </c>
      <c r="E1054" s="4">
        <v>62.94</v>
      </c>
      <c r="F1054" s="7">
        <v>10753</v>
      </c>
      <c r="G1054" s="4">
        <v>6</v>
      </c>
      <c r="H1054" s="6">
        <v>185</v>
      </c>
      <c r="I1054" s="6">
        <v>185</v>
      </c>
      <c r="J1054" s="4">
        <v>190</v>
      </c>
      <c r="K1054" s="4" t="e">
        <f t="array" aca="1" ref="K1054">MAX(H1054:J1054*(1-strike(H1054:J1054)))</f>
        <v>#NAME?</v>
      </c>
      <c r="L1054" s="4">
        <v>125</v>
      </c>
      <c r="M1054" s="4">
        <v>130</v>
      </c>
      <c r="N1054" s="4">
        <v>135</v>
      </c>
      <c r="O1054" s="4" t="e">
        <f t="array" aca="1" ref="O1054">MAX(L1054:N1054*(1-strike(L1054:N1054)))</f>
        <v>#NAME?</v>
      </c>
      <c r="P1054" s="4">
        <v>165</v>
      </c>
      <c r="Q1054" s="4">
        <v>175</v>
      </c>
      <c r="R1054" s="4">
        <v>182.5</v>
      </c>
      <c r="S1054" s="4" t="e">
        <f t="array" aca="1" ref="S1054">MAX(P1054:R1054*(1-strike(P1054:R1054)))</f>
        <v>#NAME?</v>
      </c>
      <c r="T1054" s="4" t="e">
        <f t="shared" si="16"/>
        <v>#NAME?</v>
      </c>
      <c r="U1054" s="4">
        <v>507.5</v>
      </c>
      <c r="V1054" s="4">
        <v>545.71</v>
      </c>
      <c r="W1054" s="4">
        <v>6</v>
      </c>
      <c r="X1054" s="5">
        <v>2014</v>
      </c>
      <c r="Y1054" s="5" t="s">
        <v>852</v>
      </c>
      <c r="Z1054" s="5" t="s">
        <v>171</v>
      </c>
      <c r="AA1054" s="5">
        <v>607</v>
      </c>
    </row>
    <row r="1055" spans="1:27">
      <c r="A1055" s="3">
        <v>4</v>
      </c>
      <c r="B1055" s="3" t="s">
        <v>860</v>
      </c>
      <c r="C1055" s="3">
        <v>1985</v>
      </c>
      <c r="D1055" s="3" t="s">
        <v>119</v>
      </c>
      <c r="E1055" s="3">
        <v>62.8</v>
      </c>
      <c r="F1055" s="2">
        <v>10765</v>
      </c>
      <c r="G1055" s="3">
        <v>11</v>
      </c>
      <c r="H1055" s="3">
        <v>220</v>
      </c>
      <c r="I1055" s="1">
        <v>230.5</v>
      </c>
      <c r="J1055" s="1">
        <v>230.5</v>
      </c>
      <c r="K1055" s="4" t="e">
        <f t="array" aca="1" ref="K1055">MAX(H1055:J1055*(1-strike(H1055:J1055)))</f>
        <v>#NAME?</v>
      </c>
      <c r="L1055" s="3">
        <v>145</v>
      </c>
      <c r="M1055" s="3">
        <v>150</v>
      </c>
      <c r="N1055" s="3">
        <v>152.5</v>
      </c>
      <c r="O1055" s="4" t="e">
        <f t="array" aca="1" ref="O1055">MAX(L1055:N1055*(1-strike(L1055:N1055)))</f>
        <v>#NAME?</v>
      </c>
      <c r="P1055" s="3">
        <v>185</v>
      </c>
      <c r="Q1055" s="3">
        <v>197.5</v>
      </c>
      <c r="R1055" s="1">
        <v>202.5</v>
      </c>
      <c r="S1055" s="4" t="e">
        <f t="array" aca="1" ref="S1055">MAX(P1055:R1055*(1-strike(P1055:R1055)))</f>
        <v>#NAME?</v>
      </c>
      <c r="T1055" s="4" t="e">
        <f t="shared" si="16"/>
        <v>#NAME?</v>
      </c>
      <c r="U1055" s="3">
        <v>570</v>
      </c>
      <c r="V1055" s="3">
        <v>613.6</v>
      </c>
      <c r="W1055" s="3">
        <v>7</v>
      </c>
      <c r="X1055" s="5">
        <v>2012</v>
      </c>
      <c r="Y1055" s="5" t="s">
        <v>852</v>
      </c>
      <c r="Z1055" s="5" t="s">
        <v>171</v>
      </c>
      <c r="AA1055" s="5">
        <v>1374</v>
      </c>
    </row>
    <row r="1056" spans="1:27">
      <c r="A1056" s="3">
        <v>2</v>
      </c>
      <c r="B1056" s="3" t="s">
        <v>860</v>
      </c>
      <c r="C1056" s="3">
        <v>1985</v>
      </c>
      <c r="D1056" s="3" t="s">
        <v>119</v>
      </c>
      <c r="E1056" s="3">
        <v>62.8</v>
      </c>
      <c r="F1056" s="2">
        <v>10765</v>
      </c>
      <c r="G1056" s="3">
        <v>7</v>
      </c>
      <c r="H1056" s="3">
        <v>215</v>
      </c>
      <c r="I1056" s="1">
        <v>225</v>
      </c>
      <c r="J1056" s="3">
        <v>227.5</v>
      </c>
      <c r="K1056" s="4" t="e">
        <f t="array" aca="1" ref="K1056">MAX(H1056:J1056*(1-strike(H1056:J1056)))</f>
        <v>#NAME?</v>
      </c>
      <c r="L1056" s="3">
        <v>150</v>
      </c>
      <c r="M1056" s="1">
        <v>157.5</v>
      </c>
      <c r="N1056" s="1">
        <v>160</v>
      </c>
      <c r="O1056" s="4" t="e">
        <f t="array" aca="1" ref="O1056">MAX(L1056:N1056*(1-strike(L1056:N1056)))</f>
        <v>#NAME?</v>
      </c>
      <c r="P1056" s="3">
        <v>185</v>
      </c>
      <c r="Q1056" s="3">
        <v>192.5</v>
      </c>
      <c r="R1056" s="3">
        <v>202.5</v>
      </c>
      <c r="S1056" s="4" t="e">
        <f t="array" aca="1" ref="S1056">MAX(P1056:R1056*(1-strike(P1056:R1056)))</f>
        <v>#NAME?</v>
      </c>
      <c r="T1056" s="4" t="e">
        <f t="shared" si="16"/>
        <v>#NAME?</v>
      </c>
      <c r="U1056" s="3">
        <v>580</v>
      </c>
      <c r="V1056" s="3">
        <v>624.37</v>
      </c>
      <c r="W1056" s="3">
        <v>9</v>
      </c>
      <c r="X1056" s="5">
        <v>2013</v>
      </c>
      <c r="Y1056" s="5" t="s">
        <v>852</v>
      </c>
      <c r="Z1056" s="5" t="s">
        <v>171</v>
      </c>
      <c r="AA1056" s="5">
        <v>973</v>
      </c>
    </row>
    <row r="1057" spans="1:27">
      <c r="A1057" s="3">
        <v>7</v>
      </c>
      <c r="B1057" s="3" t="s">
        <v>861</v>
      </c>
      <c r="C1057" s="3">
        <v>1980</v>
      </c>
      <c r="D1057" s="3" t="s">
        <v>464</v>
      </c>
      <c r="E1057" s="3">
        <v>62.06</v>
      </c>
      <c r="F1057" s="2">
        <v>10863</v>
      </c>
      <c r="G1057" s="3">
        <v>6</v>
      </c>
      <c r="H1057" s="3">
        <v>200</v>
      </c>
      <c r="I1057" s="3">
        <v>210</v>
      </c>
      <c r="J1057" s="1">
        <v>220</v>
      </c>
      <c r="K1057" s="4" t="e">
        <f t="array" aca="1" ref="K1057">MAX(H1057:J1057*(1-strike(H1057:J1057)))</f>
        <v>#NAME?</v>
      </c>
      <c r="L1057" s="3">
        <v>105</v>
      </c>
      <c r="M1057" s="3">
        <v>110</v>
      </c>
      <c r="N1057" s="3">
        <v>112.5</v>
      </c>
      <c r="O1057" s="4" t="e">
        <f t="array" aca="1" ref="O1057">MAX(L1057:N1057*(1-strike(L1057:N1057)))</f>
        <v>#NAME?</v>
      </c>
      <c r="P1057" s="3">
        <v>200</v>
      </c>
      <c r="Q1057" s="3">
        <v>210</v>
      </c>
      <c r="R1057" s="1">
        <v>212.5</v>
      </c>
      <c r="S1057" s="4" t="e">
        <f t="array" aca="1" ref="S1057">MAX(P1057:R1057*(1-strike(P1057:R1057)))</f>
        <v>#NAME?</v>
      </c>
      <c r="T1057" s="4" t="e">
        <f t="shared" si="16"/>
        <v>#NAME?</v>
      </c>
      <c r="U1057" s="3">
        <v>532.5</v>
      </c>
      <c r="V1057" s="3">
        <v>578.46</v>
      </c>
      <c r="W1057" s="3">
        <v>4</v>
      </c>
      <c r="X1057" s="5">
        <v>2012</v>
      </c>
      <c r="Y1057" s="5" t="s">
        <v>852</v>
      </c>
      <c r="Z1057" s="5" t="s">
        <v>171</v>
      </c>
      <c r="AA1057" s="5">
        <v>1377</v>
      </c>
    </row>
    <row r="1058" spans="1:27">
      <c r="A1058" s="3">
        <v>8</v>
      </c>
      <c r="B1058" s="3" t="s">
        <v>175</v>
      </c>
      <c r="C1058" s="3">
        <v>1981</v>
      </c>
      <c r="D1058" s="3" t="s">
        <v>80</v>
      </c>
      <c r="E1058" s="3">
        <v>50.78</v>
      </c>
      <c r="F1058" s="2">
        <v>12696</v>
      </c>
      <c r="G1058" s="3">
        <v>8</v>
      </c>
      <c r="H1058" s="3">
        <v>155</v>
      </c>
      <c r="I1058" s="3">
        <v>162.5</v>
      </c>
      <c r="J1058" s="1">
        <v>167.5</v>
      </c>
      <c r="K1058" s="4" t="e">
        <f t="array" aca="1" ref="K1058">MAX(H1058:J1058*(1-strike(H1058:J1058)))</f>
        <v>#NAME?</v>
      </c>
      <c r="L1058" s="3">
        <v>82.5</v>
      </c>
      <c r="M1058" s="3">
        <v>87.5</v>
      </c>
      <c r="N1058" s="1">
        <v>90</v>
      </c>
      <c r="O1058" s="4" t="e">
        <f t="array" aca="1" ref="O1058">MAX(L1058:N1058*(1-strike(L1058:N1058)))</f>
        <v>#NAME?</v>
      </c>
      <c r="P1058" s="3">
        <v>155</v>
      </c>
      <c r="Q1058" s="3">
        <v>162.5</v>
      </c>
      <c r="R1058" s="3">
        <v>167.5</v>
      </c>
      <c r="S1058" s="4" t="e">
        <f t="array" aca="1" ref="S1058">MAX(P1058:R1058*(1-strike(P1058:R1058)))</f>
        <v>#NAME?</v>
      </c>
      <c r="T1058" s="4" t="e">
        <f t="shared" si="16"/>
        <v>#NAME?</v>
      </c>
      <c r="U1058" s="3">
        <v>417.5</v>
      </c>
      <c r="V1058" s="3">
        <v>530.04</v>
      </c>
      <c r="W1058" s="3">
        <v>3</v>
      </c>
      <c r="X1058" s="5">
        <v>2012</v>
      </c>
      <c r="Y1058" s="5" t="s">
        <v>852</v>
      </c>
      <c r="Z1058" s="5" t="s">
        <v>171</v>
      </c>
      <c r="AA1058" s="5">
        <v>1349</v>
      </c>
    </row>
    <row r="1059" spans="1:27">
      <c r="A1059" s="3">
        <v>7</v>
      </c>
      <c r="B1059" s="3" t="s">
        <v>175</v>
      </c>
      <c r="C1059" s="3">
        <v>1981</v>
      </c>
      <c r="D1059" s="3" t="s">
        <v>80</v>
      </c>
      <c r="E1059" s="3">
        <v>50.38</v>
      </c>
      <c r="F1059" s="2">
        <v>12773</v>
      </c>
      <c r="G1059" s="3">
        <v>20</v>
      </c>
      <c r="H1059" s="3">
        <v>157.5</v>
      </c>
      <c r="I1059" s="3">
        <v>162.5</v>
      </c>
      <c r="J1059" s="1">
        <v>167.5</v>
      </c>
      <c r="K1059" s="4" t="e">
        <f t="array" aca="1" ref="K1059">MAX(H1059:J1059*(1-strike(H1059:J1059)))</f>
        <v>#NAME?</v>
      </c>
      <c r="L1059" s="3">
        <v>85</v>
      </c>
      <c r="M1059" s="3">
        <v>87.5</v>
      </c>
      <c r="N1059" s="1">
        <v>90</v>
      </c>
      <c r="O1059" s="4" t="e">
        <f t="array" aca="1" ref="O1059">MAX(L1059:N1059*(1-strike(L1059:N1059)))</f>
        <v>#NAME?</v>
      </c>
      <c r="P1059" s="3">
        <v>157.5</v>
      </c>
      <c r="Q1059" s="3">
        <v>167.5</v>
      </c>
      <c r="R1059" s="3">
        <v>172.5</v>
      </c>
      <c r="S1059" s="4" t="e">
        <f t="array" aca="1" ref="S1059">MAX(P1059:R1059*(1-strike(P1059:R1059)))</f>
        <v>#NAME?</v>
      </c>
      <c r="T1059" s="4" t="e">
        <f t="shared" si="16"/>
        <v>#NAME?</v>
      </c>
      <c r="U1059" s="3">
        <v>422.5</v>
      </c>
      <c r="V1059" s="3">
        <v>539.66</v>
      </c>
      <c r="W1059" s="3">
        <v>4</v>
      </c>
      <c r="X1059" s="5">
        <v>2013</v>
      </c>
      <c r="Y1059" s="5" t="s">
        <v>852</v>
      </c>
      <c r="Z1059" s="5" t="s">
        <v>171</v>
      </c>
      <c r="AA1059" s="5">
        <v>945</v>
      </c>
    </row>
    <row r="1060" spans="1:27">
      <c r="A1060" s="3">
        <v>4</v>
      </c>
      <c r="B1060" s="3" t="s">
        <v>176</v>
      </c>
      <c r="C1060" s="3">
        <v>1970</v>
      </c>
      <c r="D1060" s="3" t="s">
        <v>45</v>
      </c>
      <c r="E1060" s="3">
        <v>81.78</v>
      </c>
      <c r="F1060" s="3">
        <v>0.90410000000000001</v>
      </c>
      <c r="G1060" s="3">
        <v>12</v>
      </c>
      <c r="H1060" s="3">
        <v>230</v>
      </c>
      <c r="I1060" s="3">
        <v>235</v>
      </c>
      <c r="J1060" s="3">
        <v>240</v>
      </c>
      <c r="K1060" s="4" t="e">
        <f t="array" aca="1" ref="K1060">MAX(H1060:J1060*(1-strike(H1060:J1060)))</f>
        <v>#NAME?</v>
      </c>
      <c r="L1060" s="3">
        <v>137.5</v>
      </c>
      <c r="M1060" s="3">
        <v>142.5</v>
      </c>
      <c r="N1060" s="3">
        <v>145</v>
      </c>
      <c r="O1060" s="4" t="e">
        <f t="array" aca="1" ref="O1060">MAX(L1060:N1060*(1-strike(L1060:N1060)))</f>
        <v>#NAME?</v>
      </c>
      <c r="P1060" s="3">
        <v>205</v>
      </c>
      <c r="Q1060" s="3">
        <v>215</v>
      </c>
      <c r="R1060" s="3">
        <v>220</v>
      </c>
      <c r="S1060" s="4" t="e">
        <f t="array" aca="1" ref="S1060">MAX(P1060:R1060*(1-strike(P1060:R1060)))</f>
        <v>#NAME?</v>
      </c>
      <c r="T1060" s="4" t="e">
        <f t="shared" si="16"/>
        <v>#NAME?</v>
      </c>
      <c r="U1060" s="3">
        <v>605</v>
      </c>
      <c r="V1060" s="3">
        <v>546.99</v>
      </c>
      <c r="W1060" s="3">
        <v>7</v>
      </c>
      <c r="X1060" s="5">
        <v>2012</v>
      </c>
      <c r="Y1060" s="5" t="s">
        <v>852</v>
      </c>
      <c r="Z1060" s="5" t="s">
        <v>171</v>
      </c>
      <c r="AA1060" s="5">
        <v>1406</v>
      </c>
    </row>
    <row r="1061" spans="1:27">
      <c r="A1061" s="3">
        <v>3</v>
      </c>
      <c r="B1061" s="3" t="s">
        <v>176</v>
      </c>
      <c r="C1061" s="3">
        <v>1970</v>
      </c>
      <c r="D1061" s="3" t="s">
        <v>45</v>
      </c>
      <c r="E1061" s="3">
        <v>82.14</v>
      </c>
      <c r="F1061" s="3">
        <v>0.90200000000000002</v>
      </c>
      <c r="G1061" s="3">
        <v>8</v>
      </c>
      <c r="H1061" s="1">
        <v>235</v>
      </c>
      <c r="I1061" s="3">
        <v>235</v>
      </c>
      <c r="J1061" s="1">
        <v>245</v>
      </c>
      <c r="K1061" s="4" t="e">
        <f t="array" aca="1" ref="K1061">MAX(H1061:J1061*(1-strike(H1061:J1061)))</f>
        <v>#NAME?</v>
      </c>
      <c r="L1061" s="3">
        <v>130</v>
      </c>
      <c r="M1061" s="3">
        <v>137.5</v>
      </c>
      <c r="N1061" s="3">
        <v>142.5</v>
      </c>
      <c r="O1061" s="4" t="e">
        <f t="array" aca="1" ref="O1061">MAX(L1061:N1061*(1-strike(L1061:N1061)))</f>
        <v>#NAME?</v>
      </c>
      <c r="P1061" s="3">
        <v>200</v>
      </c>
      <c r="Q1061" s="1">
        <v>210</v>
      </c>
      <c r="R1061" s="3">
        <v>210</v>
      </c>
      <c r="S1061" s="4" t="e">
        <f t="array" aca="1" ref="S1061">MAX(P1061:R1061*(1-strike(P1061:R1061)))</f>
        <v>#NAME?</v>
      </c>
      <c r="T1061" s="4" t="e">
        <f t="shared" si="16"/>
        <v>#NAME?</v>
      </c>
      <c r="U1061" s="3">
        <v>587.5</v>
      </c>
      <c r="V1061" s="3">
        <v>529.92999999999995</v>
      </c>
      <c r="W1061" s="3">
        <v>8</v>
      </c>
      <c r="X1061" s="5">
        <v>2013</v>
      </c>
      <c r="Y1061" s="5" t="s">
        <v>852</v>
      </c>
      <c r="Z1061" s="5" t="s">
        <v>171</v>
      </c>
      <c r="AA1061" s="5">
        <v>997</v>
      </c>
    </row>
    <row r="1062" spans="1:27" ht="15" customHeight="1">
      <c r="A1062" s="4">
        <v>5</v>
      </c>
      <c r="B1062" s="4" t="s">
        <v>176</v>
      </c>
      <c r="C1062" s="4">
        <v>1970</v>
      </c>
      <c r="D1062" s="4" t="s">
        <v>862</v>
      </c>
      <c r="E1062" s="4">
        <v>82.02</v>
      </c>
      <c r="F1062" s="4">
        <v>0.90280000000000005</v>
      </c>
      <c r="G1062" s="4">
        <v>8</v>
      </c>
      <c r="H1062" s="4">
        <v>230</v>
      </c>
      <c r="I1062" s="6">
        <v>237.5</v>
      </c>
      <c r="J1062" s="4">
        <v>237.5</v>
      </c>
      <c r="K1062" s="4" t="e">
        <f t="array" aca="1" ref="K1062">MAX(H1062:J1062*(1-strike(H1062:J1062)))</f>
        <v>#NAME?</v>
      </c>
      <c r="L1062" s="4">
        <v>135</v>
      </c>
      <c r="M1062" s="4">
        <v>140</v>
      </c>
      <c r="N1062" s="6">
        <v>145</v>
      </c>
      <c r="O1062" s="4" t="e">
        <f t="array" aca="1" ref="O1062">MAX(L1062:N1062*(1-strike(L1062:N1062)))</f>
        <v>#NAME?</v>
      </c>
      <c r="P1062" s="4">
        <v>190</v>
      </c>
      <c r="Q1062" s="4">
        <v>197.5</v>
      </c>
      <c r="R1062" s="6">
        <v>212.5</v>
      </c>
      <c r="S1062" s="4" t="e">
        <f t="array" aca="1" ref="S1062">MAX(P1062:R1062*(1-strike(P1062:R1062)))</f>
        <v>#NAME?</v>
      </c>
      <c r="T1062" s="4" t="e">
        <f t="shared" si="16"/>
        <v>#NAME?</v>
      </c>
      <c r="U1062" s="4">
        <v>575</v>
      </c>
      <c r="V1062" s="4">
        <v>519.11</v>
      </c>
      <c r="W1062" s="4">
        <v>6</v>
      </c>
      <c r="X1062" s="5">
        <v>2014</v>
      </c>
      <c r="Y1062" s="5" t="s">
        <v>852</v>
      </c>
      <c r="Z1062" s="5" t="s">
        <v>171</v>
      </c>
      <c r="AA1062" s="5">
        <v>630</v>
      </c>
    </row>
    <row r="1063" spans="1:27">
      <c r="A1063" s="3">
        <v>9</v>
      </c>
      <c r="B1063" s="3" t="s">
        <v>863</v>
      </c>
      <c r="C1063" s="3">
        <v>1993</v>
      </c>
      <c r="D1063" s="3" t="s">
        <v>113</v>
      </c>
      <c r="E1063" s="3">
        <v>61.1</v>
      </c>
      <c r="F1063" s="2">
        <v>10994</v>
      </c>
      <c r="G1063" s="3">
        <v>17</v>
      </c>
      <c r="H1063" s="3">
        <v>85</v>
      </c>
      <c r="I1063" s="3">
        <v>92.5</v>
      </c>
      <c r="J1063" s="1">
        <v>100</v>
      </c>
      <c r="K1063" s="4" t="e">
        <f t="array" aca="1" ref="K1063">MAX(H1063:J1063*(1-strike(H1063:J1063)))</f>
        <v>#NAME?</v>
      </c>
      <c r="L1063" s="3">
        <v>52.5</v>
      </c>
      <c r="M1063" s="1">
        <v>57.5</v>
      </c>
      <c r="N1063" s="1">
        <v>57.5</v>
      </c>
      <c r="O1063" s="4" t="e">
        <f t="array" aca="1" ref="O1063">MAX(L1063:N1063*(1-strike(L1063:N1063)))</f>
        <v>#NAME?</v>
      </c>
      <c r="P1063" s="3">
        <v>105</v>
      </c>
      <c r="Q1063" s="3">
        <v>115</v>
      </c>
      <c r="R1063" s="1">
        <v>122.5</v>
      </c>
      <c r="S1063" s="4" t="e">
        <f t="array" aca="1" ref="S1063">MAX(P1063:R1063*(1-strike(P1063:R1063)))</f>
        <v>#NAME?</v>
      </c>
      <c r="T1063" s="4" t="e">
        <f t="shared" si="16"/>
        <v>#NAME?</v>
      </c>
      <c r="U1063" s="3">
        <v>260</v>
      </c>
      <c r="V1063" s="3">
        <v>285.83999999999997</v>
      </c>
      <c r="W1063" s="3">
        <v>2</v>
      </c>
      <c r="X1063" s="5">
        <v>2012</v>
      </c>
      <c r="Y1063" s="5" t="s">
        <v>852</v>
      </c>
      <c r="Z1063" s="5" t="s">
        <v>30</v>
      </c>
      <c r="AA1063" s="5">
        <v>1583</v>
      </c>
    </row>
    <row r="1064" spans="1:27">
      <c r="A1064" s="3">
        <v>5</v>
      </c>
      <c r="B1064" s="3" t="s">
        <v>864</v>
      </c>
      <c r="C1064" s="3">
        <v>1985</v>
      </c>
      <c r="D1064" s="3" t="s">
        <v>35</v>
      </c>
      <c r="E1064" s="3">
        <v>71.349999999999994</v>
      </c>
      <c r="F1064" s="3">
        <v>0.98199999999999998</v>
      </c>
      <c r="G1064" s="3">
        <v>3</v>
      </c>
      <c r="H1064" s="3">
        <v>127.5</v>
      </c>
      <c r="I1064" s="3">
        <v>135</v>
      </c>
      <c r="J1064" s="3">
        <v>140</v>
      </c>
      <c r="K1064" s="4" t="e">
        <f t="array" aca="1" ref="K1064">MAX(H1064:J1064*(1-strike(H1064:J1064)))</f>
        <v>#NAME?</v>
      </c>
      <c r="L1064" s="3">
        <v>95</v>
      </c>
      <c r="M1064" s="3">
        <v>102.5</v>
      </c>
      <c r="N1064" s="1">
        <v>105</v>
      </c>
      <c r="O1064" s="4" t="e">
        <f t="array" aca="1" ref="O1064">MAX(L1064:N1064*(1-strike(L1064:N1064)))</f>
        <v>#NAME?</v>
      </c>
      <c r="P1064" s="3">
        <v>137.5</v>
      </c>
      <c r="Q1064" s="3">
        <v>145</v>
      </c>
      <c r="R1064" s="1">
        <v>165</v>
      </c>
      <c r="S1064" s="4" t="e">
        <f t="array" aca="1" ref="S1064">MAX(P1064:R1064*(1-strike(P1064:R1064)))</f>
        <v>#NAME?</v>
      </c>
      <c r="T1064" s="4" t="e">
        <f t="shared" si="16"/>
        <v>#NAME?</v>
      </c>
      <c r="U1064" s="3">
        <v>387.5</v>
      </c>
      <c r="V1064" s="3">
        <v>380.5</v>
      </c>
      <c r="W1064" s="3">
        <v>6</v>
      </c>
      <c r="X1064" s="5">
        <v>2012</v>
      </c>
      <c r="Y1064" s="5" t="s">
        <v>852</v>
      </c>
      <c r="Z1064" s="5" t="s">
        <v>30</v>
      </c>
      <c r="AA1064" s="5">
        <v>1589</v>
      </c>
    </row>
    <row r="1065" spans="1:27">
      <c r="A1065" s="3">
        <v>5</v>
      </c>
      <c r="B1065" s="3" t="s">
        <v>864</v>
      </c>
      <c r="C1065" s="3">
        <v>1985</v>
      </c>
      <c r="D1065" s="3" t="s">
        <v>35</v>
      </c>
      <c r="E1065" s="3">
        <v>70.599999999999994</v>
      </c>
      <c r="F1065" s="3">
        <v>0.98899999999999999</v>
      </c>
      <c r="G1065" s="3">
        <v>24</v>
      </c>
      <c r="H1065" s="3">
        <v>130</v>
      </c>
      <c r="I1065" s="3">
        <v>137.5</v>
      </c>
      <c r="J1065" s="3">
        <v>142.5</v>
      </c>
      <c r="K1065" s="4" t="e">
        <f t="array" aca="1" ref="K1065">MAX(H1065:J1065*(1-strike(H1065:J1065)))</f>
        <v>#NAME?</v>
      </c>
      <c r="L1065" s="3">
        <v>100</v>
      </c>
      <c r="M1065" s="3">
        <v>105</v>
      </c>
      <c r="N1065" s="1">
        <v>110</v>
      </c>
      <c r="O1065" s="4" t="e">
        <f t="array" aca="1" ref="O1065">MAX(L1065:N1065*(1-strike(L1065:N1065)))</f>
        <v>#NAME?</v>
      </c>
      <c r="P1065" s="3">
        <v>145</v>
      </c>
      <c r="Q1065" s="3">
        <v>155</v>
      </c>
      <c r="R1065" s="1">
        <v>160</v>
      </c>
      <c r="S1065" s="4" t="e">
        <f t="array" aca="1" ref="S1065">MAX(P1065:R1065*(1-strike(P1065:R1065)))</f>
        <v>#NAME?</v>
      </c>
      <c r="T1065" s="4" t="e">
        <f t="shared" si="16"/>
        <v>#NAME?</v>
      </c>
      <c r="U1065" s="3">
        <v>402.5</v>
      </c>
      <c r="V1065" s="3">
        <v>398.07</v>
      </c>
      <c r="W1065" s="3">
        <v>6</v>
      </c>
      <c r="X1065" s="5">
        <v>2013</v>
      </c>
      <c r="Y1065" s="5" t="s">
        <v>852</v>
      </c>
      <c r="Z1065" s="5" t="s">
        <v>30</v>
      </c>
      <c r="AA1065" s="5">
        <v>1167</v>
      </c>
    </row>
    <row r="1066" spans="1:27">
      <c r="A1066" s="3">
        <v>14</v>
      </c>
      <c r="B1066" s="3" t="s">
        <v>865</v>
      </c>
      <c r="C1066" s="3">
        <v>1988</v>
      </c>
      <c r="D1066" s="3" t="s">
        <v>336</v>
      </c>
      <c r="E1066" s="3">
        <v>51.71</v>
      </c>
      <c r="F1066" s="2">
        <v>12520</v>
      </c>
      <c r="G1066" s="3">
        <v>2</v>
      </c>
      <c r="H1066" s="1">
        <v>120</v>
      </c>
      <c r="I1066" s="3">
        <v>120</v>
      </c>
      <c r="J1066" s="3">
        <v>125</v>
      </c>
      <c r="K1066" s="4" t="e">
        <f t="array" aca="1" ref="K1066">MAX(H1066:J1066*(1-strike(H1066:J1066)))</f>
        <v>#NAME?</v>
      </c>
      <c r="L1066" s="3">
        <v>60</v>
      </c>
      <c r="M1066" s="3">
        <v>65</v>
      </c>
      <c r="N1066" s="1">
        <v>70</v>
      </c>
      <c r="O1066" s="4" t="e">
        <f t="array" aca="1" ref="O1066">MAX(L1066:N1066*(1-strike(L1066:N1066)))</f>
        <v>#NAME?</v>
      </c>
      <c r="P1066" s="3">
        <v>130</v>
      </c>
      <c r="Q1066" s="1">
        <v>135</v>
      </c>
      <c r="R1066" s="1">
        <v>135</v>
      </c>
      <c r="S1066" s="4" t="e">
        <f t="array" aca="1" ref="S1066">MAX(P1066:R1066*(1-strike(P1066:R1066)))</f>
        <v>#NAME?</v>
      </c>
      <c r="T1066" s="4" t="e">
        <f t="shared" si="16"/>
        <v>#NAME?</v>
      </c>
      <c r="U1066" s="3">
        <v>320</v>
      </c>
      <c r="V1066" s="3">
        <v>400.64</v>
      </c>
      <c r="W1066" s="3">
        <v>1</v>
      </c>
      <c r="X1066" s="5">
        <v>2012</v>
      </c>
      <c r="Y1066" s="5" t="s">
        <v>852</v>
      </c>
      <c r="Z1066" s="5" t="s">
        <v>171</v>
      </c>
      <c r="AA1066" s="5">
        <v>1355</v>
      </c>
    </row>
    <row r="1067" spans="1:27">
      <c r="A1067" s="3">
        <v>9</v>
      </c>
      <c r="B1067" s="3" t="s">
        <v>866</v>
      </c>
      <c r="C1067" s="3">
        <v>1986</v>
      </c>
      <c r="D1067" s="3" t="s">
        <v>336</v>
      </c>
      <c r="E1067" s="3">
        <v>78.97</v>
      </c>
      <c r="F1067" s="3">
        <v>0.92169999999999996</v>
      </c>
      <c r="G1067" s="3">
        <v>18</v>
      </c>
      <c r="H1067" s="1">
        <v>160</v>
      </c>
      <c r="I1067" s="3">
        <v>160</v>
      </c>
      <c r="J1067" s="1">
        <v>170</v>
      </c>
      <c r="K1067" s="4" t="e">
        <f t="array" aca="1" ref="K1067">MAX(H1067:J1067*(1-strike(H1067:J1067)))</f>
        <v>#NAME?</v>
      </c>
      <c r="L1067" s="3">
        <v>100</v>
      </c>
      <c r="M1067" s="3">
        <v>110</v>
      </c>
      <c r="N1067" s="1">
        <v>120</v>
      </c>
      <c r="O1067" s="4" t="e">
        <f t="array" aca="1" ref="O1067">MAX(L1067:N1067*(1-strike(L1067:N1067)))</f>
        <v>#NAME?</v>
      </c>
      <c r="P1067" s="3">
        <v>140</v>
      </c>
      <c r="Q1067" s="1">
        <v>155</v>
      </c>
      <c r="R1067" s="3">
        <v>155</v>
      </c>
      <c r="S1067" s="4" t="e">
        <f t="array" aca="1" ref="S1067">MAX(P1067:R1067*(1-strike(P1067:R1067)))</f>
        <v>#NAME?</v>
      </c>
      <c r="T1067" s="4" t="e">
        <f t="shared" si="16"/>
        <v>#NAME?</v>
      </c>
      <c r="U1067" s="3">
        <v>425</v>
      </c>
      <c r="V1067" s="3">
        <v>391.72</v>
      </c>
      <c r="W1067" s="3">
        <v>2</v>
      </c>
      <c r="X1067" s="5">
        <v>2012</v>
      </c>
      <c r="Y1067" s="5" t="s">
        <v>852</v>
      </c>
      <c r="Z1067" s="5" t="s">
        <v>171</v>
      </c>
      <c r="AA1067" s="5">
        <v>1411</v>
      </c>
    </row>
    <row r="1068" spans="1:27">
      <c r="A1068" s="3">
        <v>8</v>
      </c>
      <c r="B1068" s="3" t="s">
        <v>866</v>
      </c>
      <c r="C1068" s="3">
        <v>1986</v>
      </c>
      <c r="D1068" s="3" t="s">
        <v>336</v>
      </c>
      <c r="E1068" s="3">
        <v>83.91</v>
      </c>
      <c r="F1068" s="3">
        <v>0.89219999999999999</v>
      </c>
      <c r="G1068" s="3">
        <v>10</v>
      </c>
      <c r="H1068" s="3">
        <v>165</v>
      </c>
      <c r="I1068" s="3">
        <v>170</v>
      </c>
      <c r="J1068" s="1">
        <v>177.5</v>
      </c>
      <c r="K1068" s="4" t="e">
        <f t="array" aca="1" ref="K1068">MAX(H1068:J1068*(1-strike(H1068:J1068)))</f>
        <v>#NAME?</v>
      </c>
      <c r="L1068" s="1">
        <v>117.5</v>
      </c>
      <c r="M1068" s="3">
        <v>117.5</v>
      </c>
      <c r="N1068" s="1">
        <v>125</v>
      </c>
      <c r="O1068" s="4" t="e">
        <f t="array" aca="1" ref="O1068">MAX(L1068:N1068*(1-strike(L1068:N1068)))</f>
        <v>#NAME?</v>
      </c>
      <c r="P1068" s="1">
        <v>145</v>
      </c>
      <c r="Q1068" s="1">
        <v>150</v>
      </c>
      <c r="R1068" s="3">
        <v>150</v>
      </c>
      <c r="S1068" s="4" t="e">
        <f t="array" aca="1" ref="S1068">MAX(P1068:R1068*(1-strike(P1068:R1068)))</f>
        <v>#NAME?</v>
      </c>
      <c r="T1068" s="4" t="e">
        <f t="shared" si="16"/>
        <v>#NAME?</v>
      </c>
      <c r="U1068" s="3">
        <v>437.5</v>
      </c>
      <c r="V1068" s="3">
        <v>390.34</v>
      </c>
      <c r="W1068" s="3">
        <v>3</v>
      </c>
      <c r="X1068" s="5">
        <v>2013</v>
      </c>
      <c r="Y1068" s="5" t="s">
        <v>852</v>
      </c>
      <c r="Z1068" s="5" t="s">
        <v>171</v>
      </c>
      <c r="AA1068" s="5">
        <v>1002</v>
      </c>
    </row>
    <row r="1069" spans="1:27">
      <c r="A1069" s="3">
        <v>5</v>
      </c>
      <c r="B1069" s="3" t="s">
        <v>181</v>
      </c>
      <c r="C1069" s="3">
        <v>1986</v>
      </c>
      <c r="D1069" s="3" t="s">
        <v>49</v>
      </c>
      <c r="E1069" s="3">
        <v>51.63</v>
      </c>
      <c r="F1069" s="2">
        <v>12535</v>
      </c>
      <c r="G1069" s="3">
        <v>19</v>
      </c>
      <c r="H1069" s="3">
        <v>172.5</v>
      </c>
      <c r="I1069" s="1">
        <v>180</v>
      </c>
      <c r="J1069" s="1">
        <v>180</v>
      </c>
      <c r="K1069" s="4" t="e">
        <f t="array" aca="1" ref="K1069">MAX(H1069:J1069*(1-strike(H1069:J1069)))</f>
        <v>#NAME?</v>
      </c>
      <c r="L1069" s="1">
        <v>97.5</v>
      </c>
      <c r="M1069" s="3">
        <v>97.5</v>
      </c>
      <c r="N1069" s="1">
        <v>100</v>
      </c>
      <c r="O1069" s="4" t="e">
        <f t="array" aca="1" ref="O1069">MAX(L1069:N1069*(1-strike(L1069:N1069)))</f>
        <v>#NAME?</v>
      </c>
      <c r="P1069" s="3">
        <v>150</v>
      </c>
      <c r="Q1069" s="3">
        <v>160</v>
      </c>
      <c r="R1069" s="3">
        <v>167.5</v>
      </c>
      <c r="S1069" s="4" t="e">
        <f t="array" aca="1" ref="S1069">MAX(P1069:R1069*(1-strike(P1069:R1069)))</f>
        <v>#NAME?</v>
      </c>
      <c r="T1069" s="4" t="e">
        <f t="shared" si="16"/>
        <v>#NAME?</v>
      </c>
      <c r="U1069" s="3">
        <v>437.5</v>
      </c>
      <c r="V1069" s="3">
        <v>548.41</v>
      </c>
      <c r="W1069" s="3">
        <v>6</v>
      </c>
      <c r="X1069" s="5">
        <v>2012</v>
      </c>
      <c r="Y1069" s="5" t="s">
        <v>852</v>
      </c>
      <c r="Z1069" s="5" t="s">
        <v>171</v>
      </c>
      <c r="AA1069" s="5">
        <v>1346</v>
      </c>
    </row>
    <row r="1070" spans="1:27">
      <c r="A1070" s="4" t="s">
        <v>37</v>
      </c>
      <c r="B1070" s="4" t="s">
        <v>181</v>
      </c>
      <c r="C1070" s="4">
        <v>1986</v>
      </c>
      <c r="D1070" s="4" t="s">
        <v>867</v>
      </c>
      <c r="E1070" s="4">
        <v>51.76</v>
      </c>
      <c r="F1070" s="7">
        <v>12504</v>
      </c>
      <c r="G1070" s="4">
        <v>7</v>
      </c>
      <c r="H1070" s="4">
        <v>162.5</v>
      </c>
      <c r="I1070" s="6">
        <v>175</v>
      </c>
      <c r="J1070" s="4">
        <v>180</v>
      </c>
      <c r="K1070" s="4" t="e">
        <f t="array" aca="1" ref="K1070">MAX(H1070:J1070*(1-strike(H1070:J1070)))</f>
        <v>#NAME?</v>
      </c>
      <c r="L1070" s="6">
        <v>97.5</v>
      </c>
      <c r="M1070" s="6">
        <v>97.5</v>
      </c>
      <c r="N1070" s="6">
        <v>97.5</v>
      </c>
      <c r="O1070" s="4" t="e">
        <f t="array" aca="1" ref="O1070">MAX(L1070:N1070*(1-strike(L1070:N1070)))</f>
        <v>#NAME?</v>
      </c>
      <c r="P1070" s="4">
        <v>145</v>
      </c>
      <c r="Q1070" s="4">
        <v>152.5</v>
      </c>
      <c r="R1070" s="4">
        <v>157.5</v>
      </c>
      <c r="S1070" s="4" t="e">
        <f t="array" aca="1" ref="S1070">MAX(P1070:R1070*(1-strike(P1070:R1070)))</f>
        <v>#NAME?</v>
      </c>
      <c r="T1070" s="4" t="e">
        <f t="shared" si="16"/>
        <v>#NAME?</v>
      </c>
      <c r="U1070" s="4" t="s">
        <v>187</v>
      </c>
      <c r="V1070" s="4" t="s">
        <v>37</v>
      </c>
      <c r="W1070" s="4" t="s">
        <v>37</v>
      </c>
      <c r="X1070" s="5">
        <v>2014</v>
      </c>
      <c r="Y1070" s="5" t="s">
        <v>852</v>
      </c>
      <c r="Z1070" s="5" t="s">
        <v>171</v>
      </c>
      <c r="AA1070" s="5">
        <v>588</v>
      </c>
    </row>
    <row r="1071" spans="1:27">
      <c r="A1071" s="3">
        <v>3</v>
      </c>
      <c r="B1071" s="3" t="s">
        <v>868</v>
      </c>
      <c r="C1071" s="3">
        <v>1988</v>
      </c>
      <c r="D1071" s="3" t="s">
        <v>35</v>
      </c>
      <c r="E1071" s="3">
        <v>82.85</v>
      </c>
      <c r="F1071" s="3">
        <v>0.89800000000000002</v>
      </c>
      <c r="G1071" s="3">
        <v>1</v>
      </c>
      <c r="H1071" s="3">
        <v>152.5</v>
      </c>
      <c r="I1071" s="1">
        <v>162.5</v>
      </c>
      <c r="J1071" s="3">
        <v>162.5</v>
      </c>
      <c r="K1071" s="4" t="e">
        <f t="array" aca="1" ref="K1071">MAX(H1071:J1071*(1-strike(H1071:J1071)))</f>
        <v>#NAME?</v>
      </c>
      <c r="L1071" s="3">
        <v>80</v>
      </c>
      <c r="M1071" s="3">
        <v>85</v>
      </c>
      <c r="N1071" s="1">
        <v>87.5</v>
      </c>
      <c r="O1071" s="4" t="e">
        <f t="array" aca="1" ref="O1071">MAX(L1071:N1071*(1-strike(L1071:N1071)))</f>
        <v>#NAME?</v>
      </c>
      <c r="P1071" s="3">
        <v>162.5</v>
      </c>
      <c r="Q1071" s="3">
        <v>175</v>
      </c>
      <c r="R1071" s="1">
        <v>177.5</v>
      </c>
      <c r="S1071" s="4" t="e">
        <f t="array" aca="1" ref="S1071">MAX(P1071:R1071*(1-strike(P1071:R1071)))</f>
        <v>#NAME?</v>
      </c>
      <c r="T1071" s="4" t="e">
        <f t="shared" si="16"/>
        <v>#NAME?</v>
      </c>
      <c r="U1071" s="3">
        <v>422.5</v>
      </c>
      <c r="V1071" s="3">
        <v>379.4</v>
      </c>
      <c r="W1071" s="3">
        <v>8</v>
      </c>
      <c r="X1071" s="5">
        <v>2012</v>
      </c>
      <c r="Y1071" s="5" t="s">
        <v>852</v>
      </c>
      <c r="Z1071" s="5" t="s">
        <v>30</v>
      </c>
      <c r="AA1071" s="5">
        <v>1597</v>
      </c>
    </row>
    <row r="1072" spans="1:27">
      <c r="A1072" s="3">
        <v>4</v>
      </c>
      <c r="B1072" s="3" t="s">
        <v>868</v>
      </c>
      <c r="C1072" s="3">
        <v>1988</v>
      </c>
      <c r="D1072" s="3" t="s">
        <v>35</v>
      </c>
      <c r="E1072" s="3">
        <v>83.6</v>
      </c>
      <c r="F1072" s="3">
        <v>0.89390000000000003</v>
      </c>
      <c r="G1072" s="3">
        <v>20</v>
      </c>
      <c r="H1072" s="3">
        <v>150</v>
      </c>
      <c r="I1072" s="1">
        <v>157.5</v>
      </c>
      <c r="J1072" s="3">
        <v>157.5</v>
      </c>
      <c r="K1072" s="4" t="e">
        <f t="array" aca="1" ref="K1072">MAX(H1072:J1072*(1-strike(H1072:J1072)))</f>
        <v>#NAME?</v>
      </c>
      <c r="L1072" s="3">
        <v>80</v>
      </c>
      <c r="M1072" s="3">
        <v>85</v>
      </c>
      <c r="N1072" s="1">
        <v>87.5</v>
      </c>
      <c r="O1072" s="4" t="e">
        <f t="array" aca="1" ref="O1072">MAX(L1072:N1072*(1-strike(L1072:N1072)))</f>
        <v>#NAME?</v>
      </c>
      <c r="P1072" s="3">
        <v>160</v>
      </c>
      <c r="Q1072" s="3">
        <v>172.5</v>
      </c>
      <c r="R1072" s="1">
        <v>187.5</v>
      </c>
      <c r="S1072" s="4" t="e">
        <f t="array" aca="1" ref="S1072">MAX(P1072:R1072*(1-strike(P1072:R1072)))</f>
        <v>#NAME?</v>
      </c>
      <c r="T1072" s="4" t="e">
        <f t="shared" si="16"/>
        <v>#NAME?</v>
      </c>
      <c r="U1072" s="3">
        <v>415</v>
      </c>
      <c r="V1072" s="3">
        <v>370.97</v>
      </c>
      <c r="W1072" s="3">
        <v>7</v>
      </c>
      <c r="X1072" s="5">
        <v>2013</v>
      </c>
      <c r="Y1072" s="5" t="s">
        <v>852</v>
      </c>
      <c r="Z1072" s="5" t="s">
        <v>30</v>
      </c>
      <c r="AA1072" s="5">
        <v>1175</v>
      </c>
    </row>
    <row r="1073" spans="1:27">
      <c r="A1073" s="3">
        <v>9</v>
      </c>
      <c r="B1073" s="3" t="s">
        <v>869</v>
      </c>
      <c r="C1073" s="3">
        <v>1987</v>
      </c>
      <c r="D1073" s="3" t="s">
        <v>62</v>
      </c>
      <c r="E1073" s="3">
        <v>56</v>
      </c>
      <c r="F1073" s="2">
        <v>11766</v>
      </c>
      <c r="G1073" s="3">
        <v>4</v>
      </c>
      <c r="H1073" s="3">
        <v>167.5</v>
      </c>
      <c r="I1073" s="3">
        <v>177.5</v>
      </c>
      <c r="J1073" s="3">
        <v>185</v>
      </c>
      <c r="K1073" s="4" t="e">
        <f t="array" aca="1" ref="K1073">MAX(H1073:J1073*(1-strike(H1073:J1073)))</f>
        <v>#NAME?</v>
      </c>
      <c r="L1073" s="3">
        <v>80</v>
      </c>
      <c r="M1073" s="1">
        <v>85</v>
      </c>
      <c r="N1073" s="1">
        <v>85</v>
      </c>
      <c r="O1073" s="4" t="e">
        <f t="array" aca="1" ref="O1073">MAX(L1073:N1073*(1-strike(L1073:N1073)))</f>
        <v>#NAME?</v>
      </c>
      <c r="P1073" s="3">
        <v>150</v>
      </c>
      <c r="Q1073" s="3">
        <v>160</v>
      </c>
      <c r="R1073" s="3">
        <v>165</v>
      </c>
      <c r="S1073" s="4" t="e">
        <f t="array" aca="1" ref="S1073">MAX(P1073:R1073*(1-strike(P1073:R1073)))</f>
        <v>#NAME?</v>
      </c>
      <c r="T1073" s="4" t="e">
        <f t="shared" si="16"/>
        <v>#NAME?</v>
      </c>
      <c r="U1073" s="3">
        <v>430</v>
      </c>
      <c r="V1073" s="3">
        <v>505.93</v>
      </c>
      <c r="W1073" s="3">
        <v>2</v>
      </c>
      <c r="X1073" s="5">
        <v>2012</v>
      </c>
      <c r="Y1073" s="5" t="s">
        <v>852</v>
      </c>
      <c r="Z1073" s="5" t="s">
        <v>171</v>
      </c>
      <c r="AA1073" s="5">
        <v>1365</v>
      </c>
    </row>
    <row r="1074" spans="1:27">
      <c r="A1074" s="3">
        <v>8</v>
      </c>
      <c r="B1074" s="3" t="s">
        <v>870</v>
      </c>
      <c r="C1074" s="3">
        <v>1984</v>
      </c>
      <c r="D1074" s="3" t="s">
        <v>194</v>
      </c>
      <c r="E1074" s="3">
        <v>62.75</v>
      </c>
      <c r="F1074" s="2">
        <v>10772</v>
      </c>
      <c r="G1074" s="3">
        <v>18</v>
      </c>
      <c r="H1074" s="3">
        <v>100</v>
      </c>
      <c r="I1074" s="3">
        <v>110</v>
      </c>
      <c r="J1074" s="1">
        <v>115</v>
      </c>
      <c r="K1074" s="4" t="e">
        <f t="array" aca="1" ref="K1074">MAX(H1074:J1074*(1-strike(H1074:J1074)))</f>
        <v>#NAME?</v>
      </c>
      <c r="L1074" s="3">
        <v>65</v>
      </c>
      <c r="M1074" s="3">
        <v>70</v>
      </c>
      <c r="N1074" s="3">
        <v>75</v>
      </c>
      <c r="O1074" s="4" t="e">
        <f t="array" aca="1" ref="O1074">MAX(L1074:N1074*(1-strike(L1074:N1074)))</f>
        <v>#NAME?</v>
      </c>
      <c r="P1074" s="3">
        <v>130</v>
      </c>
      <c r="Q1074" s="3">
        <v>147.5</v>
      </c>
      <c r="R1074" s="3">
        <v>162.5</v>
      </c>
      <c r="S1074" s="4" t="e">
        <f t="array" aca="1" ref="S1074">MAX(P1074:R1074*(1-strike(P1074:R1074)))</f>
        <v>#NAME?</v>
      </c>
      <c r="T1074" s="4" t="e">
        <f t="shared" si="16"/>
        <v>#NAME?</v>
      </c>
      <c r="U1074" s="3">
        <v>347.5</v>
      </c>
      <c r="V1074" s="3">
        <v>374.33</v>
      </c>
      <c r="W1074" s="3">
        <v>3</v>
      </c>
      <c r="X1074" s="5">
        <v>2014</v>
      </c>
      <c r="Y1074" s="5" t="s">
        <v>852</v>
      </c>
      <c r="Z1074" s="5" t="s">
        <v>30</v>
      </c>
      <c r="AA1074" s="5">
        <v>786</v>
      </c>
    </row>
    <row r="1075" spans="1:27">
      <c r="A1075" s="3">
        <v>6</v>
      </c>
      <c r="B1075" s="3" t="s">
        <v>871</v>
      </c>
      <c r="C1075" s="3">
        <v>1981</v>
      </c>
      <c r="D1075" s="3" t="s">
        <v>113</v>
      </c>
      <c r="E1075" s="3">
        <v>58.15</v>
      </c>
      <c r="F1075" s="2">
        <v>11424</v>
      </c>
      <c r="G1075" s="3">
        <v>6</v>
      </c>
      <c r="H1075" s="3">
        <v>115</v>
      </c>
      <c r="I1075" s="3">
        <v>125</v>
      </c>
      <c r="J1075" s="3">
        <v>137.5</v>
      </c>
      <c r="K1075" s="4" t="e">
        <f t="array" aca="1" ref="K1075">MAX(H1075:J1075*(1-strike(H1075:J1075)))</f>
        <v>#NAME?</v>
      </c>
      <c r="L1075" s="3">
        <v>80</v>
      </c>
      <c r="M1075" s="3">
        <v>85</v>
      </c>
      <c r="N1075" s="3">
        <v>90</v>
      </c>
      <c r="O1075" s="4" t="e">
        <f t="array" aca="1" ref="O1075">MAX(L1075:N1075*(1-strike(L1075:N1075)))</f>
        <v>#NAME?</v>
      </c>
      <c r="P1075" s="3">
        <v>135</v>
      </c>
      <c r="Q1075" s="3">
        <v>145</v>
      </c>
      <c r="R1075" s="1">
        <v>155</v>
      </c>
      <c r="S1075" s="4" t="e">
        <f t="array" aca="1" ref="S1075">MAX(P1075:R1075*(1-strike(P1075:R1075)))</f>
        <v>#NAME?</v>
      </c>
      <c r="T1075" s="4" t="e">
        <f t="shared" si="16"/>
        <v>#NAME?</v>
      </c>
      <c r="U1075" s="3">
        <v>372.5</v>
      </c>
      <c r="V1075" s="3">
        <v>425.54</v>
      </c>
      <c r="W1075" s="3">
        <v>5</v>
      </c>
      <c r="X1075" s="5">
        <v>2013</v>
      </c>
      <c r="Y1075" s="5" t="s">
        <v>852</v>
      </c>
      <c r="Z1075" s="5" t="s">
        <v>30</v>
      </c>
      <c r="AA1075" s="5">
        <v>1157</v>
      </c>
    </row>
    <row r="1076" spans="1:27" ht="15" customHeight="1">
      <c r="A1076" s="3">
        <v>5</v>
      </c>
      <c r="B1076" s="3" t="s">
        <v>871</v>
      </c>
      <c r="C1076" s="3">
        <v>1981</v>
      </c>
      <c r="D1076" s="3" t="s">
        <v>113</v>
      </c>
      <c r="E1076" s="3">
        <v>55.35</v>
      </c>
      <c r="F1076" s="2">
        <v>11875</v>
      </c>
      <c r="G1076" s="3">
        <v>10</v>
      </c>
      <c r="H1076" s="3">
        <v>125</v>
      </c>
      <c r="I1076" s="3">
        <v>135</v>
      </c>
      <c r="J1076" s="1">
        <v>140</v>
      </c>
      <c r="K1076" s="4" t="e">
        <f t="array" aca="1" ref="K1076">MAX(H1076:J1076*(1-strike(H1076:J1076)))</f>
        <v>#NAME?</v>
      </c>
      <c r="L1076" s="3">
        <v>87.5</v>
      </c>
      <c r="M1076" s="3">
        <v>92.5</v>
      </c>
      <c r="N1076" s="3">
        <v>95</v>
      </c>
      <c r="O1076" s="4" t="e">
        <f t="array" aca="1" ref="O1076">MAX(L1076:N1076*(1-strike(L1076:N1076)))</f>
        <v>#NAME?</v>
      </c>
      <c r="P1076" s="3">
        <v>142.5</v>
      </c>
      <c r="Q1076" s="3">
        <v>152.5</v>
      </c>
      <c r="R1076" s="1">
        <v>162.5</v>
      </c>
      <c r="S1076" s="4" t="e">
        <f t="array" aca="1" ref="S1076">MAX(P1076:R1076*(1-strike(P1076:R1076)))</f>
        <v>#NAME?</v>
      </c>
      <c r="T1076" s="4" t="e">
        <f t="shared" si="16"/>
        <v>#NAME?</v>
      </c>
      <c r="U1076" s="3">
        <v>382.5</v>
      </c>
      <c r="V1076" s="3">
        <v>454.2</v>
      </c>
      <c r="W1076" s="3">
        <v>6</v>
      </c>
      <c r="X1076" s="5">
        <v>2014</v>
      </c>
      <c r="Y1076" s="5" t="s">
        <v>852</v>
      </c>
      <c r="Z1076" s="5" t="s">
        <v>30</v>
      </c>
      <c r="AA1076" s="5">
        <v>767</v>
      </c>
    </row>
    <row r="1077" spans="1:27">
      <c r="A1077" s="3">
        <v>9</v>
      </c>
      <c r="B1077" s="3" t="s">
        <v>872</v>
      </c>
      <c r="C1077" s="3">
        <v>1982</v>
      </c>
      <c r="D1077" s="3" t="s">
        <v>45</v>
      </c>
      <c r="E1077" s="3">
        <v>62.87</v>
      </c>
      <c r="F1077" s="2">
        <v>10757</v>
      </c>
      <c r="G1077" s="3">
        <v>12</v>
      </c>
      <c r="H1077" s="3">
        <v>162.5</v>
      </c>
      <c r="I1077" s="3">
        <v>170</v>
      </c>
      <c r="J1077" s="3">
        <v>177.5</v>
      </c>
      <c r="K1077" s="4" t="e">
        <f t="array" aca="1" ref="K1077">MAX(H1077:J1077*(1-strike(H1077:J1077)))</f>
        <v>#NAME?</v>
      </c>
      <c r="L1077" s="3">
        <v>110</v>
      </c>
      <c r="M1077" s="3">
        <v>115</v>
      </c>
      <c r="N1077" s="1">
        <v>117.5</v>
      </c>
      <c r="O1077" s="4" t="e">
        <f t="array" aca="1" ref="O1077">MAX(L1077:N1077*(1-strike(L1077:N1077)))</f>
        <v>#NAME?</v>
      </c>
      <c r="P1077" s="1">
        <v>165</v>
      </c>
      <c r="Q1077" s="3">
        <v>172.5</v>
      </c>
      <c r="R1077" s="3">
        <v>177.5</v>
      </c>
      <c r="S1077" s="4" t="e">
        <f t="array" aca="1" ref="S1077">MAX(P1077:R1077*(1-strike(P1077:R1077)))</f>
        <v>#NAME?</v>
      </c>
      <c r="T1077" s="4" t="e">
        <f t="shared" si="16"/>
        <v>#NAME?</v>
      </c>
      <c r="U1077" s="3">
        <v>470</v>
      </c>
      <c r="V1077" s="3">
        <v>505.56</v>
      </c>
      <c r="W1077" s="3">
        <v>2</v>
      </c>
      <c r="X1077" s="5">
        <v>2012</v>
      </c>
      <c r="Y1077" s="5" t="s">
        <v>852</v>
      </c>
      <c r="Z1077" s="5" t="s">
        <v>171</v>
      </c>
      <c r="AA1077" s="5">
        <v>1379</v>
      </c>
    </row>
    <row r="1078" spans="1:27">
      <c r="A1078" s="3">
        <v>8</v>
      </c>
      <c r="B1078" s="3" t="s">
        <v>872</v>
      </c>
      <c r="C1078" s="3">
        <v>1982</v>
      </c>
      <c r="D1078" s="3" t="s">
        <v>45</v>
      </c>
      <c r="E1078" s="3">
        <v>62.46</v>
      </c>
      <c r="F1078" s="2">
        <v>10810</v>
      </c>
      <c r="G1078" s="3">
        <v>4</v>
      </c>
      <c r="H1078" s="3">
        <v>185</v>
      </c>
      <c r="I1078" s="3">
        <v>192.5</v>
      </c>
      <c r="J1078" s="1">
        <v>195</v>
      </c>
      <c r="K1078" s="4" t="e">
        <f t="array" aca="1" ref="K1078">MAX(H1078:J1078*(1-strike(H1078:J1078)))</f>
        <v>#NAME?</v>
      </c>
      <c r="L1078" s="3">
        <v>117.5</v>
      </c>
      <c r="M1078" s="3">
        <v>122.5</v>
      </c>
      <c r="N1078" s="1">
        <v>125</v>
      </c>
      <c r="O1078" s="4" t="e">
        <f t="array" aca="1" ref="O1078">MAX(L1078:N1078*(1-strike(L1078:N1078)))</f>
        <v>#NAME?</v>
      </c>
      <c r="P1078" s="3">
        <v>177.5</v>
      </c>
      <c r="Q1078" s="3">
        <v>185</v>
      </c>
      <c r="R1078" s="1">
        <v>190</v>
      </c>
      <c r="S1078" s="4" t="e">
        <f t="array" aca="1" ref="S1078">MAX(P1078:R1078*(1-strike(P1078:R1078)))</f>
        <v>#NAME?</v>
      </c>
      <c r="T1078" s="4" t="e">
        <f t="shared" si="16"/>
        <v>#NAME?</v>
      </c>
      <c r="U1078" s="3">
        <v>500</v>
      </c>
      <c r="V1078" s="3">
        <v>540.5</v>
      </c>
      <c r="W1078" s="3">
        <v>3</v>
      </c>
      <c r="X1078" s="5">
        <v>2013</v>
      </c>
      <c r="Y1078" s="5" t="s">
        <v>852</v>
      </c>
      <c r="Z1078" s="5" t="s">
        <v>171</v>
      </c>
      <c r="AA1078" s="5">
        <v>979</v>
      </c>
    </row>
    <row r="1079" spans="1:27">
      <c r="A1079" s="4">
        <v>7</v>
      </c>
      <c r="B1079" s="4" t="s">
        <v>872</v>
      </c>
      <c r="C1079" s="4">
        <v>1982</v>
      </c>
      <c r="D1079" s="4" t="s">
        <v>862</v>
      </c>
      <c r="E1079" s="4">
        <v>62.2</v>
      </c>
      <c r="F1079" s="7">
        <v>10844</v>
      </c>
      <c r="G1079" s="4">
        <v>1</v>
      </c>
      <c r="H1079" s="6">
        <v>182.5</v>
      </c>
      <c r="I1079" s="6">
        <v>182.5</v>
      </c>
      <c r="J1079" s="4">
        <v>182.5</v>
      </c>
      <c r="K1079" s="4" t="e">
        <f t="array" aca="1" ref="K1079">MAX(H1079:J1079*(1-strike(H1079:J1079)))</f>
        <v>#NAME?</v>
      </c>
      <c r="L1079" s="4">
        <v>120</v>
      </c>
      <c r="M1079" s="4">
        <v>125</v>
      </c>
      <c r="N1079" s="6">
        <v>130</v>
      </c>
      <c r="O1079" s="4" t="e">
        <f t="array" aca="1" ref="O1079">MAX(L1079:N1079*(1-strike(L1079:N1079)))</f>
        <v>#NAME?</v>
      </c>
      <c r="P1079" s="4">
        <v>177.5</v>
      </c>
      <c r="Q1079" s="4">
        <v>182.5</v>
      </c>
      <c r="R1079" s="6">
        <v>187.5</v>
      </c>
      <c r="S1079" s="4" t="e">
        <f t="array" aca="1" ref="S1079">MAX(P1079:R1079*(1-strike(P1079:R1079)))</f>
        <v>#NAME?</v>
      </c>
      <c r="T1079" s="4" t="e">
        <f t="shared" si="16"/>
        <v>#NAME?</v>
      </c>
      <c r="U1079" s="4">
        <v>490</v>
      </c>
      <c r="V1079" s="4">
        <v>531.35</v>
      </c>
      <c r="W1079" s="4">
        <v>4</v>
      </c>
      <c r="X1079" s="5">
        <v>2014</v>
      </c>
      <c r="Y1079" s="5" t="s">
        <v>852</v>
      </c>
      <c r="Z1079" s="5" t="s">
        <v>171</v>
      </c>
      <c r="AA1079" s="5">
        <v>609</v>
      </c>
    </row>
    <row r="1080" spans="1:27">
      <c r="A1080" s="3">
        <v>3</v>
      </c>
      <c r="B1080" s="3" t="s">
        <v>873</v>
      </c>
      <c r="C1080" s="3">
        <v>1991</v>
      </c>
      <c r="D1080" s="3" t="s">
        <v>85</v>
      </c>
      <c r="E1080" s="3">
        <v>85.8</v>
      </c>
      <c r="F1080" s="3">
        <v>0.88260000000000005</v>
      </c>
      <c r="G1080" s="3">
        <v>7</v>
      </c>
      <c r="H1080" s="3">
        <v>130</v>
      </c>
      <c r="I1080" s="3">
        <v>142.5</v>
      </c>
      <c r="J1080" s="3">
        <v>152.5</v>
      </c>
      <c r="K1080" s="4" t="e">
        <f t="array" aca="1" ref="K1080">MAX(H1080:J1080*(1-strike(H1080:J1080)))</f>
        <v>#NAME?</v>
      </c>
      <c r="L1080" s="3">
        <v>72.5</v>
      </c>
      <c r="M1080" s="3">
        <v>80</v>
      </c>
      <c r="N1080" s="1">
        <v>82.5</v>
      </c>
      <c r="O1080" s="4" t="e">
        <f t="array" aca="1" ref="O1080">MAX(L1080:N1080*(1-strike(L1080:N1080)))</f>
        <v>#NAME?</v>
      </c>
      <c r="P1080" s="3">
        <v>170</v>
      </c>
      <c r="Q1080" s="3">
        <v>180</v>
      </c>
      <c r="R1080" s="1">
        <v>185</v>
      </c>
      <c r="S1080" s="4" t="e">
        <f t="array" aca="1" ref="S1080">MAX(P1080:R1080*(1-strike(P1080:R1080)))</f>
        <v>#NAME?</v>
      </c>
      <c r="T1080" s="4" t="e">
        <f t="shared" si="16"/>
        <v>#NAME?</v>
      </c>
      <c r="U1080" s="3">
        <v>412.5</v>
      </c>
      <c r="V1080" s="3">
        <v>364.07</v>
      </c>
      <c r="W1080" s="3">
        <v>8</v>
      </c>
      <c r="X1080" s="5">
        <v>2012</v>
      </c>
      <c r="Y1080" s="5" t="s">
        <v>852</v>
      </c>
      <c r="Z1080" s="5" t="s">
        <v>30</v>
      </c>
      <c r="AA1080" s="5">
        <v>1604</v>
      </c>
    </row>
    <row r="1081" spans="1:27">
      <c r="A1081" s="3">
        <v>4</v>
      </c>
      <c r="B1081" s="3" t="s">
        <v>873</v>
      </c>
      <c r="C1081" s="3">
        <v>1991</v>
      </c>
      <c r="D1081" s="3" t="s">
        <v>85</v>
      </c>
      <c r="E1081" s="3">
        <v>82.9</v>
      </c>
      <c r="F1081" s="3">
        <v>0.89770000000000005</v>
      </c>
      <c r="G1081" s="3">
        <v>3</v>
      </c>
      <c r="H1081" s="3">
        <v>205</v>
      </c>
      <c r="I1081" s="3">
        <v>217.5</v>
      </c>
      <c r="J1081" s="3">
        <v>227.5</v>
      </c>
      <c r="K1081" s="4" t="e">
        <f t="array" aca="1" ref="K1081">MAX(H1081:J1081*(1-strike(H1081:J1081)))</f>
        <v>#NAME?</v>
      </c>
      <c r="L1081" s="3">
        <v>110</v>
      </c>
      <c r="M1081" s="3">
        <v>115</v>
      </c>
      <c r="N1081" s="1">
        <v>120</v>
      </c>
      <c r="O1081" s="4" t="e">
        <f t="array" aca="1" ref="O1081">MAX(L1081:N1081*(1-strike(L1081:N1081)))</f>
        <v>#NAME?</v>
      </c>
      <c r="P1081" s="3">
        <v>185</v>
      </c>
      <c r="Q1081" s="3">
        <v>202.5</v>
      </c>
      <c r="R1081" s="1">
        <v>215</v>
      </c>
      <c r="S1081" s="4" t="e">
        <f t="array" aca="1" ref="S1081">MAX(P1081:R1081*(1-strike(P1081:R1081)))</f>
        <v>#NAME?</v>
      </c>
      <c r="T1081" s="4" t="e">
        <f t="shared" si="16"/>
        <v>#NAME?</v>
      </c>
      <c r="U1081" s="3">
        <v>545</v>
      </c>
      <c r="V1081" s="3">
        <v>489.25</v>
      </c>
      <c r="W1081" s="3">
        <v>7</v>
      </c>
      <c r="X1081" s="5">
        <v>2013</v>
      </c>
      <c r="Y1081" s="5" t="s">
        <v>852</v>
      </c>
      <c r="Z1081" s="5" t="s">
        <v>171</v>
      </c>
      <c r="AA1081" s="5">
        <v>998</v>
      </c>
    </row>
    <row r="1082" spans="1:27">
      <c r="A1082" s="3">
        <v>5</v>
      </c>
      <c r="B1082" s="3" t="s">
        <v>874</v>
      </c>
      <c r="C1082" s="3">
        <v>1963</v>
      </c>
      <c r="D1082" s="3" t="s">
        <v>51</v>
      </c>
      <c r="E1082" s="3">
        <v>77.55</v>
      </c>
      <c r="F1082" s="3">
        <v>0.93149999999999999</v>
      </c>
      <c r="G1082" s="3">
        <v>4</v>
      </c>
      <c r="H1082" s="3">
        <v>115</v>
      </c>
      <c r="I1082" s="3">
        <v>125</v>
      </c>
      <c r="J1082" s="3">
        <v>135</v>
      </c>
      <c r="K1082" s="4" t="e">
        <f t="array" aca="1" ref="K1082">MAX(H1082:J1082*(1-strike(H1082:J1082)))</f>
        <v>#NAME?</v>
      </c>
      <c r="L1082" s="3">
        <v>70</v>
      </c>
      <c r="M1082" s="3">
        <v>77.5</v>
      </c>
      <c r="N1082" s="3">
        <v>80</v>
      </c>
      <c r="O1082" s="4" t="e">
        <f t="array" aca="1" ref="O1082">MAX(L1082:N1082*(1-strike(L1082:N1082)))</f>
        <v>#NAME?</v>
      </c>
      <c r="P1082" s="3">
        <v>150</v>
      </c>
      <c r="Q1082" s="3">
        <v>160</v>
      </c>
      <c r="R1082" s="1">
        <v>172.5</v>
      </c>
      <c r="S1082" s="4" t="e">
        <f t="array" aca="1" ref="S1082">MAX(P1082:R1082*(1-strike(P1082:R1082)))</f>
        <v>#NAME?</v>
      </c>
      <c r="T1082" s="4" t="e">
        <f t="shared" si="16"/>
        <v>#NAME?</v>
      </c>
      <c r="U1082" s="3">
        <v>375</v>
      </c>
      <c r="V1082" s="3">
        <v>349.29</v>
      </c>
      <c r="W1082" s="3">
        <v>6</v>
      </c>
      <c r="X1082" s="5">
        <v>2012</v>
      </c>
      <c r="Y1082" s="5" t="s">
        <v>852</v>
      </c>
      <c r="Z1082" s="5" t="s">
        <v>30</v>
      </c>
      <c r="AA1082" s="5">
        <v>1599</v>
      </c>
    </row>
    <row r="1083" spans="1:27">
      <c r="A1083" s="3">
        <v>6</v>
      </c>
      <c r="B1083" s="3" t="s">
        <v>875</v>
      </c>
      <c r="C1083" s="3">
        <v>1961</v>
      </c>
      <c r="D1083" s="3" t="s">
        <v>45</v>
      </c>
      <c r="E1083" s="3">
        <v>71.73</v>
      </c>
      <c r="F1083" s="3">
        <v>0.97850000000000004</v>
      </c>
      <c r="G1083" s="3">
        <v>14</v>
      </c>
      <c r="H1083" s="3">
        <v>200</v>
      </c>
      <c r="I1083" s="3">
        <v>215</v>
      </c>
      <c r="J1083" s="1">
        <v>220</v>
      </c>
      <c r="K1083" s="4" t="e">
        <f t="array" aca="1" ref="K1083">MAX(H1083:J1083*(1-strike(H1083:J1083)))</f>
        <v>#NAME?</v>
      </c>
      <c r="L1083" s="3">
        <v>130</v>
      </c>
      <c r="M1083" s="3">
        <v>135</v>
      </c>
      <c r="N1083" s="1">
        <v>140</v>
      </c>
      <c r="O1083" s="4" t="e">
        <f t="array" aca="1" ref="O1083">MAX(L1083:N1083*(1-strike(L1083:N1083)))</f>
        <v>#NAME?</v>
      </c>
      <c r="P1083" s="3">
        <v>195</v>
      </c>
      <c r="Q1083" s="3">
        <v>205</v>
      </c>
      <c r="R1083" s="1">
        <v>212.5</v>
      </c>
      <c r="S1083" s="4" t="e">
        <f t="array" aca="1" ref="S1083">MAX(P1083:R1083*(1-strike(P1083:R1083)))</f>
        <v>#NAME?</v>
      </c>
      <c r="T1083" s="4" t="e">
        <f t="shared" si="16"/>
        <v>#NAME?</v>
      </c>
      <c r="U1083" s="3">
        <v>555</v>
      </c>
      <c r="V1083" s="3">
        <v>543.08000000000004</v>
      </c>
      <c r="W1083" s="3">
        <v>5</v>
      </c>
      <c r="X1083" s="5">
        <v>2012</v>
      </c>
      <c r="Y1083" s="5" t="s">
        <v>852</v>
      </c>
      <c r="Z1083" s="5" t="s">
        <v>171</v>
      </c>
      <c r="AA1083" s="5">
        <v>1391</v>
      </c>
    </row>
    <row r="1084" spans="1:27">
      <c r="A1084" s="3">
        <v>3</v>
      </c>
      <c r="B1084" s="3" t="s">
        <v>184</v>
      </c>
      <c r="C1084" s="3">
        <v>1972</v>
      </c>
      <c r="D1084" s="3" t="s">
        <v>62</v>
      </c>
      <c r="E1084" s="3">
        <v>81.709999999999994</v>
      </c>
      <c r="F1084" s="3">
        <v>0.90449999999999997</v>
      </c>
      <c r="G1084" s="3">
        <v>3</v>
      </c>
      <c r="H1084" s="3">
        <v>215</v>
      </c>
      <c r="I1084" s="3">
        <v>227.5</v>
      </c>
      <c r="J1084" s="3">
        <v>237.5</v>
      </c>
      <c r="K1084" s="4" t="e">
        <f t="array" aca="1" ref="K1084">MAX(H1084:J1084*(1-strike(H1084:J1084)))</f>
        <v>#NAME?</v>
      </c>
      <c r="L1084" s="3">
        <v>157.5</v>
      </c>
      <c r="M1084" s="1">
        <v>167.5</v>
      </c>
      <c r="N1084" s="1">
        <v>167.5</v>
      </c>
      <c r="O1084" s="4" t="e">
        <f t="array" aca="1" ref="O1084">MAX(L1084:N1084*(1-strike(L1084:N1084)))</f>
        <v>#NAME?</v>
      </c>
      <c r="P1084" s="3">
        <v>205</v>
      </c>
      <c r="Q1084" s="3">
        <v>215</v>
      </c>
      <c r="R1084" s="3">
        <v>220</v>
      </c>
      <c r="S1084" s="4" t="e">
        <f t="array" aca="1" ref="S1084">MAX(P1084:R1084*(1-strike(P1084:R1084)))</f>
        <v>#NAME?</v>
      </c>
      <c r="T1084" s="4" t="e">
        <f t="shared" si="16"/>
        <v>#NAME?</v>
      </c>
      <c r="U1084" s="3">
        <v>615</v>
      </c>
      <c r="V1084" s="3">
        <v>556.29</v>
      </c>
      <c r="W1084" s="3">
        <v>8</v>
      </c>
      <c r="X1084" s="5">
        <v>2012</v>
      </c>
      <c r="Y1084" s="5" t="s">
        <v>852</v>
      </c>
      <c r="Z1084" s="5" t="s">
        <v>171</v>
      </c>
      <c r="AA1084" s="5">
        <v>1405</v>
      </c>
    </row>
    <row r="1085" spans="1:27">
      <c r="A1085" s="3">
        <v>2</v>
      </c>
      <c r="B1085" s="3" t="s">
        <v>184</v>
      </c>
      <c r="C1085" s="3">
        <v>1972</v>
      </c>
      <c r="D1085" s="3" t="s">
        <v>62</v>
      </c>
      <c r="E1085" s="3">
        <v>81.94</v>
      </c>
      <c r="F1085" s="3">
        <v>0.9032</v>
      </c>
      <c r="G1085" s="3">
        <v>2</v>
      </c>
      <c r="H1085" s="3">
        <v>220</v>
      </c>
      <c r="I1085" s="3">
        <v>227.5</v>
      </c>
      <c r="J1085" s="3">
        <v>232.5</v>
      </c>
      <c r="K1085" s="4" t="e">
        <f t="array" aca="1" ref="K1085">MAX(H1085:J1085*(1-strike(H1085:J1085)))</f>
        <v>#NAME?</v>
      </c>
      <c r="L1085" s="3">
        <v>162.5</v>
      </c>
      <c r="M1085" s="3">
        <v>170</v>
      </c>
      <c r="N1085" s="3">
        <v>177.5</v>
      </c>
      <c r="O1085" s="4" t="e">
        <f t="array" aca="1" ref="O1085">MAX(L1085:N1085*(1-strike(L1085:N1085)))</f>
        <v>#NAME?</v>
      </c>
      <c r="P1085" s="3">
        <v>205</v>
      </c>
      <c r="Q1085" s="3">
        <v>212.5</v>
      </c>
      <c r="R1085" s="1">
        <v>235</v>
      </c>
      <c r="S1085" s="4" t="e">
        <f t="array" aca="1" ref="S1085">MAX(P1085:R1085*(1-strike(P1085:R1085)))</f>
        <v>#NAME?</v>
      </c>
      <c r="T1085" s="4" t="e">
        <f t="shared" si="16"/>
        <v>#NAME?</v>
      </c>
      <c r="U1085" s="3">
        <v>622.5</v>
      </c>
      <c r="V1085" s="3">
        <v>562.24</v>
      </c>
      <c r="W1085" s="3">
        <v>9</v>
      </c>
      <c r="X1085" s="5">
        <v>2013</v>
      </c>
      <c r="Y1085" s="5" t="s">
        <v>852</v>
      </c>
      <c r="Z1085" s="5" t="s">
        <v>171</v>
      </c>
      <c r="AA1085" s="5">
        <v>996</v>
      </c>
    </row>
    <row r="1086" spans="1:27">
      <c r="A1086" s="4">
        <v>2</v>
      </c>
      <c r="B1086" s="4" t="s">
        <v>184</v>
      </c>
      <c r="C1086" s="4">
        <v>1972</v>
      </c>
      <c r="D1086" s="4" t="s">
        <v>876</v>
      </c>
      <c r="E1086" s="4">
        <v>82.26</v>
      </c>
      <c r="F1086" s="4">
        <v>0.90110000000000001</v>
      </c>
      <c r="G1086" s="4">
        <v>4</v>
      </c>
      <c r="H1086" s="4">
        <v>222.5</v>
      </c>
      <c r="I1086" s="4">
        <v>232.5</v>
      </c>
      <c r="J1086" s="4">
        <v>240</v>
      </c>
      <c r="K1086" s="4" t="e">
        <f t="array" aca="1" ref="K1086">MAX(H1086:J1086*(1-strike(H1086:J1086)))</f>
        <v>#NAME?</v>
      </c>
      <c r="L1086" s="4">
        <v>167.5</v>
      </c>
      <c r="M1086" s="4">
        <v>175</v>
      </c>
      <c r="N1086" s="4">
        <v>181</v>
      </c>
      <c r="O1086" s="4" t="e">
        <f t="array" aca="1" ref="O1086">MAX(L1086:N1086*(1-strike(L1086:N1086)))</f>
        <v>#NAME?</v>
      </c>
      <c r="P1086" s="4">
        <v>210</v>
      </c>
      <c r="Q1086" s="4">
        <v>217.5</v>
      </c>
      <c r="R1086" s="4">
        <v>222.5</v>
      </c>
      <c r="S1086" s="4" t="e">
        <f t="array" aca="1" ref="S1086">MAX(P1086:R1086*(1-strike(P1086:R1086)))</f>
        <v>#NAME?</v>
      </c>
      <c r="T1086" s="4" t="e">
        <f t="shared" si="16"/>
        <v>#NAME?</v>
      </c>
      <c r="U1086" s="4">
        <v>643.5</v>
      </c>
      <c r="V1086" s="4">
        <v>579.85</v>
      </c>
      <c r="W1086" s="4">
        <v>9</v>
      </c>
      <c r="X1086" s="5">
        <v>2014</v>
      </c>
      <c r="Y1086" s="5" t="s">
        <v>852</v>
      </c>
      <c r="Z1086" s="5" t="s">
        <v>171</v>
      </c>
      <c r="AA1086" s="5">
        <v>627</v>
      </c>
    </row>
    <row r="1087" spans="1:27">
      <c r="A1087" s="3" t="s">
        <v>37</v>
      </c>
      <c r="B1087" s="3" t="s">
        <v>185</v>
      </c>
      <c r="C1087" s="3">
        <v>1983</v>
      </c>
      <c r="D1087" s="3" t="s">
        <v>142</v>
      </c>
      <c r="E1087" s="3">
        <v>56.05</v>
      </c>
      <c r="F1087" s="2">
        <v>11758</v>
      </c>
      <c r="G1087" s="3">
        <v>2</v>
      </c>
      <c r="H1087" s="3">
        <v>150</v>
      </c>
      <c r="I1087" s="1">
        <v>160</v>
      </c>
      <c r="J1087" s="1">
        <v>160</v>
      </c>
      <c r="K1087" s="4" t="e">
        <f t="array" aca="1" ref="K1087">MAX(H1087:J1087*(1-strike(H1087:J1087)))</f>
        <v>#NAME?</v>
      </c>
      <c r="L1087" s="3">
        <v>75</v>
      </c>
      <c r="M1087" s="1">
        <v>77.5</v>
      </c>
      <c r="N1087" s="3">
        <v>77.5</v>
      </c>
      <c r="O1087" s="4" t="e">
        <f t="array" aca="1" ref="O1087">MAX(L1087:N1087*(1-strike(L1087:N1087)))</f>
        <v>#NAME?</v>
      </c>
      <c r="P1087" s="1">
        <v>180</v>
      </c>
      <c r="Q1087" s="1">
        <v>180</v>
      </c>
      <c r="R1087" s="1">
        <v>180</v>
      </c>
      <c r="S1087" s="4" t="e">
        <f t="array" aca="1" ref="S1087">MAX(P1087:R1087*(1-strike(P1087:R1087)))</f>
        <v>#NAME?</v>
      </c>
      <c r="T1087" s="4" t="e">
        <f t="shared" si="16"/>
        <v>#NAME?</v>
      </c>
      <c r="U1087" s="3" t="s">
        <v>40</v>
      </c>
      <c r="V1087" s="3" t="s">
        <v>37</v>
      </c>
      <c r="W1087" s="3" t="s">
        <v>37</v>
      </c>
      <c r="X1087" s="5">
        <v>2013</v>
      </c>
      <c r="Y1087" s="5" t="s">
        <v>852</v>
      </c>
      <c r="Z1087" s="5" t="s">
        <v>171</v>
      </c>
      <c r="AA1087" s="5">
        <v>966</v>
      </c>
    </row>
    <row r="1088" spans="1:27">
      <c r="A1088" s="4">
        <v>10</v>
      </c>
      <c r="B1088" s="4" t="s">
        <v>877</v>
      </c>
      <c r="C1088" s="4">
        <v>1980</v>
      </c>
      <c r="D1088" s="4" t="s">
        <v>878</v>
      </c>
      <c r="E1088" s="4">
        <v>51.26</v>
      </c>
      <c r="F1088" s="7">
        <v>12597</v>
      </c>
      <c r="G1088" s="4">
        <v>9</v>
      </c>
      <c r="H1088" s="4">
        <v>145</v>
      </c>
      <c r="I1088" s="4">
        <v>150</v>
      </c>
      <c r="J1088" s="4">
        <v>155</v>
      </c>
      <c r="K1088" s="4" t="e">
        <f t="array" aca="1" ref="K1088">MAX(H1088:J1088*(1-strike(H1088:J1088)))</f>
        <v>#NAME?</v>
      </c>
      <c r="L1088" s="6">
        <v>77.5</v>
      </c>
      <c r="M1088" s="4">
        <v>77.5</v>
      </c>
      <c r="N1088" s="4">
        <v>82.5</v>
      </c>
      <c r="O1088" s="4" t="e">
        <f t="array" aca="1" ref="O1088">MAX(L1088:N1088*(1-strike(L1088:N1088)))</f>
        <v>#NAME?</v>
      </c>
      <c r="P1088" s="4">
        <v>137.5</v>
      </c>
      <c r="Q1088" s="4">
        <v>142.5</v>
      </c>
      <c r="R1088" s="6">
        <v>147.5</v>
      </c>
      <c r="S1088" s="4" t="e">
        <f t="array" aca="1" ref="S1088">MAX(P1088:R1088*(1-strike(P1088:R1088)))</f>
        <v>#NAME?</v>
      </c>
      <c r="T1088" s="4" t="e">
        <f t="shared" si="16"/>
        <v>#NAME?</v>
      </c>
      <c r="U1088" s="4">
        <v>380</v>
      </c>
      <c r="V1088" s="4">
        <v>478.68</v>
      </c>
      <c r="W1088" s="4">
        <v>1</v>
      </c>
      <c r="X1088" s="5">
        <v>2014</v>
      </c>
      <c r="Y1088" s="5" t="s">
        <v>852</v>
      </c>
      <c r="Z1088" s="5" t="s">
        <v>171</v>
      </c>
      <c r="AA1088" s="5">
        <v>585</v>
      </c>
    </row>
    <row r="1089" spans="1:27">
      <c r="A1089" s="3">
        <v>4</v>
      </c>
      <c r="B1089" s="3" t="s">
        <v>879</v>
      </c>
      <c r="C1089" s="3">
        <v>1987</v>
      </c>
      <c r="D1089" s="3" t="s">
        <v>35</v>
      </c>
      <c r="E1089" s="3">
        <v>56.5</v>
      </c>
      <c r="F1089" s="2">
        <v>11684</v>
      </c>
      <c r="G1089" s="3">
        <v>13</v>
      </c>
      <c r="H1089" s="3">
        <v>115</v>
      </c>
      <c r="I1089" s="1">
        <v>122.5</v>
      </c>
      <c r="J1089" s="1">
        <v>125</v>
      </c>
      <c r="K1089" s="4" t="e">
        <f t="array" aca="1" ref="K1089">MAX(H1089:J1089*(1-strike(H1089:J1089)))</f>
        <v>#NAME?</v>
      </c>
      <c r="L1089" s="3">
        <v>75</v>
      </c>
      <c r="M1089" s="3">
        <v>80</v>
      </c>
      <c r="N1089" s="1">
        <v>82.5</v>
      </c>
      <c r="O1089" s="4" t="e">
        <f t="array" aca="1" ref="O1089">MAX(L1089:N1089*(1-strike(L1089:N1089)))</f>
        <v>#NAME?</v>
      </c>
      <c r="P1089" s="3">
        <v>165</v>
      </c>
      <c r="Q1089" s="3">
        <v>175</v>
      </c>
      <c r="R1089" s="1">
        <v>182.5</v>
      </c>
      <c r="S1089" s="4" t="e">
        <f t="array" aca="1" ref="S1089">MAX(P1089:R1089*(1-strike(P1089:R1089)))</f>
        <v>#NAME?</v>
      </c>
      <c r="T1089" s="4" t="e">
        <f t="shared" si="16"/>
        <v>#NAME?</v>
      </c>
      <c r="U1089" s="3">
        <v>370</v>
      </c>
      <c r="V1089" s="3">
        <v>432.3</v>
      </c>
      <c r="W1089" s="3">
        <v>7</v>
      </c>
      <c r="X1089" s="5">
        <v>2012</v>
      </c>
      <c r="Y1089" s="5" t="s">
        <v>852</v>
      </c>
      <c r="Z1089" s="5" t="s">
        <v>30</v>
      </c>
      <c r="AA1089" s="5">
        <v>1566</v>
      </c>
    </row>
    <row r="1090" spans="1:27">
      <c r="A1090" s="3">
        <v>5</v>
      </c>
      <c r="B1090" s="3" t="s">
        <v>879</v>
      </c>
      <c r="C1090" s="3">
        <v>1987</v>
      </c>
      <c r="D1090" s="3" t="s">
        <v>35</v>
      </c>
      <c r="E1090" s="3">
        <v>51.91</v>
      </c>
      <c r="F1090" s="2">
        <v>12483</v>
      </c>
      <c r="G1090" s="3">
        <v>13</v>
      </c>
      <c r="H1090" s="3">
        <v>155</v>
      </c>
      <c r="I1090" s="3">
        <v>162.5</v>
      </c>
      <c r="J1090" s="1">
        <v>170</v>
      </c>
      <c r="K1090" s="4" t="e">
        <f t="array" aca="1" ref="K1090">MAX(H1090:J1090*(1-strike(H1090:J1090)))</f>
        <v>#NAME?</v>
      </c>
      <c r="L1090" s="3">
        <v>95</v>
      </c>
      <c r="M1090" s="3">
        <v>100</v>
      </c>
      <c r="N1090" s="3">
        <v>102.5</v>
      </c>
      <c r="O1090" s="4" t="e">
        <f t="array" aca="1" ref="O1090">MAX(L1090:N1090*(1-strike(L1090:N1090)))</f>
        <v>#NAME?</v>
      </c>
      <c r="P1090" s="1">
        <v>155</v>
      </c>
      <c r="Q1090" s="3">
        <v>160</v>
      </c>
      <c r="R1090" s="3">
        <v>167.5</v>
      </c>
      <c r="S1090" s="4" t="e">
        <f t="array" aca="1" ref="S1090">MAX(P1090:R1090*(1-strike(P1090:R1090)))</f>
        <v>#NAME?</v>
      </c>
      <c r="T1090" s="4" t="e">
        <f t="shared" ref="T1090:T1153" si="17">IF(AND(K1090&lt;&gt;0,O1090&lt;&gt;0,S1090&lt;&gt;0),K1090+O1090+S1090,0)</f>
        <v>#NAME?</v>
      </c>
      <c r="U1090" s="3">
        <v>432.5</v>
      </c>
      <c r="V1090" s="3">
        <v>539.89</v>
      </c>
      <c r="W1090" s="3">
        <v>6</v>
      </c>
      <c r="X1090" s="5">
        <v>2013</v>
      </c>
      <c r="Y1090" s="5" t="s">
        <v>852</v>
      </c>
      <c r="Z1090" s="5" t="s">
        <v>171</v>
      </c>
      <c r="AA1090" s="5">
        <v>943</v>
      </c>
    </row>
    <row r="1091" spans="1:27">
      <c r="A1091" s="3">
        <v>1</v>
      </c>
      <c r="B1091" s="3" t="s">
        <v>880</v>
      </c>
      <c r="C1091" s="3">
        <v>1988</v>
      </c>
      <c r="D1091" s="3" t="s">
        <v>62</v>
      </c>
      <c r="E1091" s="3">
        <v>121.8</v>
      </c>
      <c r="F1091" s="3">
        <v>0.79749999999999999</v>
      </c>
      <c r="G1091" s="3">
        <v>17</v>
      </c>
      <c r="H1091" s="3">
        <v>205</v>
      </c>
      <c r="I1091" s="3">
        <v>222.5</v>
      </c>
      <c r="J1091" s="3">
        <v>230</v>
      </c>
      <c r="K1091" s="4" t="e">
        <f t="array" aca="1" ref="K1091">MAX(H1091:J1091*(1-strike(H1091:J1091)))</f>
        <v>#NAME?</v>
      </c>
      <c r="L1091" s="3">
        <v>112.5</v>
      </c>
      <c r="M1091" s="1">
        <v>132.5</v>
      </c>
      <c r="N1091" s="1">
        <v>132.5</v>
      </c>
      <c r="O1091" s="4" t="e">
        <f t="array" aca="1" ref="O1091">MAX(L1091:N1091*(1-strike(L1091:N1091)))</f>
        <v>#NAME?</v>
      </c>
      <c r="P1091" s="3">
        <v>202.5</v>
      </c>
      <c r="Q1091" s="3">
        <v>217.5</v>
      </c>
      <c r="R1091" s="1">
        <v>236.5</v>
      </c>
      <c r="S1091" s="4" t="e">
        <f t="array" aca="1" ref="S1091">MAX(P1091:R1091*(1-strike(P1091:R1091)))</f>
        <v>#NAME?</v>
      </c>
      <c r="T1091" s="4" t="e">
        <f t="shared" si="17"/>
        <v>#NAME?</v>
      </c>
      <c r="U1091" s="3">
        <v>560</v>
      </c>
      <c r="V1091" s="3">
        <v>446.6</v>
      </c>
      <c r="W1091" s="3">
        <v>12</v>
      </c>
      <c r="X1091" s="5">
        <v>2014</v>
      </c>
      <c r="Y1091" s="5" t="s">
        <v>852</v>
      </c>
      <c r="Z1091" s="5" t="s">
        <v>30</v>
      </c>
      <c r="AA1091" s="5">
        <v>808</v>
      </c>
    </row>
    <row r="1092" spans="1:27">
      <c r="A1092" s="4">
        <v>4</v>
      </c>
      <c r="B1092" s="4" t="s">
        <v>190</v>
      </c>
      <c r="C1092" s="4">
        <v>1980</v>
      </c>
      <c r="D1092" s="4" t="s">
        <v>867</v>
      </c>
      <c r="E1092" s="4">
        <v>62.24</v>
      </c>
      <c r="F1092" s="7">
        <v>10844</v>
      </c>
      <c r="G1092" s="4">
        <v>7</v>
      </c>
      <c r="H1092" s="6">
        <v>195</v>
      </c>
      <c r="I1092" s="4">
        <v>200</v>
      </c>
      <c r="J1092" s="4">
        <v>207.5</v>
      </c>
      <c r="K1092" s="4" t="e">
        <f t="array" aca="1" ref="K1092">MAX(H1092:J1092*(1-strike(H1092:J1092)))</f>
        <v>#NAME?</v>
      </c>
      <c r="L1092" s="4">
        <v>150</v>
      </c>
      <c r="M1092" s="6">
        <v>157.5</v>
      </c>
      <c r="N1092" s="6">
        <v>160</v>
      </c>
      <c r="O1092" s="4" t="e">
        <f t="array" aca="1" ref="O1092">MAX(L1092:N1092*(1-strike(L1092:N1092)))</f>
        <v>#NAME?</v>
      </c>
      <c r="P1092" s="4">
        <v>175</v>
      </c>
      <c r="Q1092" s="4">
        <v>185</v>
      </c>
      <c r="R1092" s="6">
        <v>197.5</v>
      </c>
      <c r="S1092" s="4" t="e">
        <f t="array" aca="1" ref="S1092">MAX(P1092:R1092*(1-strike(P1092:R1092)))</f>
        <v>#NAME?</v>
      </c>
      <c r="T1092" s="4" t="e">
        <f t="shared" si="17"/>
        <v>#NAME?</v>
      </c>
      <c r="U1092" s="4">
        <v>542.5</v>
      </c>
      <c r="V1092" s="4">
        <v>588.28</v>
      </c>
      <c r="W1092" s="4">
        <v>7</v>
      </c>
      <c r="X1092" s="5">
        <v>2014</v>
      </c>
      <c r="Y1092" s="5" t="s">
        <v>852</v>
      </c>
      <c r="Z1092" s="5" t="s">
        <v>171</v>
      </c>
      <c r="AA1092" s="5">
        <v>606</v>
      </c>
    </row>
    <row r="1093" spans="1:27" ht="15" customHeight="1">
      <c r="A1093" s="3">
        <v>14</v>
      </c>
      <c r="B1093" s="3" t="s">
        <v>881</v>
      </c>
      <c r="C1093" s="3">
        <v>1989</v>
      </c>
      <c r="D1093" s="3" t="s">
        <v>336</v>
      </c>
      <c r="E1093" s="3">
        <v>72</v>
      </c>
      <c r="F1093" s="3">
        <v>0.97599999999999998</v>
      </c>
      <c r="G1093" s="3">
        <v>5</v>
      </c>
      <c r="H1093" s="1">
        <v>177.5</v>
      </c>
      <c r="I1093" s="1">
        <v>177.5</v>
      </c>
      <c r="J1093" s="3">
        <v>177.5</v>
      </c>
      <c r="K1093" s="4" t="e">
        <f t="array" aca="1" ref="K1093">MAX(H1093:J1093*(1-strike(H1093:J1093)))</f>
        <v>#NAME?</v>
      </c>
      <c r="L1093" s="3">
        <v>85</v>
      </c>
      <c r="M1093" s="3">
        <v>90</v>
      </c>
      <c r="N1093" s="3">
        <v>92.5</v>
      </c>
      <c r="O1093" s="4" t="e">
        <f t="array" aca="1" ref="O1093">MAX(L1093:N1093*(1-strike(L1093:N1093)))</f>
        <v>#NAME?</v>
      </c>
      <c r="P1093" s="3">
        <v>175</v>
      </c>
      <c r="Q1093" s="3">
        <v>182.5</v>
      </c>
      <c r="R1093" s="1">
        <v>187.5</v>
      </c>
      <c r="S1093" s="4" t="e">
        <f t="array" aca="1" ref="S1093">MAX(P1093:R1093*(1-strike(P1093:R1093)))</f>
        <v>#NAME?</v>
      </c>
      <c r="T1093" s="4" t="e">
        <f t="shared" si="17"/>
        <v>#NAME?</v>
      </c>
      <c r="U1093" s="3">
        <v>452.5</v>
      </c>
      <c r="V1093" s="3">
        <v>441.64</v>
      </c>
      <c r="W1093" s="3">
        <v>1</v>
      </c>
      <c r="X1093" s="5">
        <v>2012</v>
      </c>
      <c r="Y1093" s="5" t="s">
        <v>852</v>
      </c>
      <c r="Z1093" s="5" t="s">
        <v>171</v>
      </c>
      <c r="AA1093" s="5">
        <v>1399</v>
      </c>
    </row>
    <row r="1094" spans="1:27">
      <c r="A1094" s="3">
        <v>11</v>
      </c>
      <c r="B1094" s="3" t="s">
        <v>881</v>
      </c>
      <c r="C1094" s="3">
        <v>1989</v>
      </c>
      <c r="D1094" s="3" t="s">
        <v>336</v>
      </c>
      <c r="E1094" s="3">
        <v>71.400000000000006</v>
      </c>
      <c r="F1094" s="3">
        <v>0.98150000000000004</v>
      </c>
      <c r="G1094" s="3">
        <v>9</v>
      </c>
      <c r="H1094" s="1">
        <v>175</v>
      </c>
      <c r="I1094" s="1">
        <v>175</v>
      </c>
      <c r="J1094" s="3">
        <v>175</v>
      </c>
      <c r="K1094" s="4" t="e">
        <f t="array" aca="1" ref="K1094">MAX(H1094:J1094*(1-strike(H1094:J1094)))</f>
        <v>#NAME?</v>
      </c>
      <c r="L1094" s="3">
        <v>87.5</v>
      </c>
      <c r="M1094" s="3">
        <v>92.5</v>
      </c>
      <c r="N1094" s="3">
        <v>97.5</v>
      </c>
      <c r="O1094" s="4" t="e">
        <f t="array" aca="1" ref="O1094">MAX(L1094:N1094*(1-strike(L1094:N1094)))</f>
        <v>#NAME?</v>
      </c>
      <c r="P1094" s="3">
        <v>175</v>
      </c>
      <c r="Q1094" s="1">
        <v>185</v>
      </c>
      <c r="R1094" s="1">
        <v>187.5</v>
      </c>
      <c r="S1094" s="4" t="e">
        <f t="array" aca="1" ref="S1094">MAX(P1094:R1094*(1-strike(P1094:R1094)))</f>
        <v>#NAME?</v>
      </c>
      <c r="T1094" s="4" t="e">
        <f t="shared" si="17"/>
        <v>#NAME?</v>
      </c>
      <c r="U1094" s="3">
        <v>447.5</v>
      </c>
      <c r="V1094" s="3">
        <v>439.22</v>
      </c>
      <c r="W1094" s="3">
        <v>1</v>
      </c>
      <c r="X1094" s="5">
        <v>2013</v>
      </c>
      <c r="Y1094" s="5" t="s">
        <v>852</v>
      </c>
      <c r="Z1094" s="5" t="s">
        <v>171</v>
      </c>
      <c r="AA1094" s="5">
        <v>992</v>
      </c>
    </row>
    <row r="1095" spans="1:27">
      <c r="A1095" s="3" t="s">
        <v>37</v>
      </c>
      <c r="B1095" s="3" t="s">
        <v>192</v>
      </c>
      <c r="C1095" s="3">
        <v>1969</v>
      </c>
      <c r="D1095" s="3" t="s">
        <v>54</v>
      </c>
      <c r="E1095" s="3">
        <v>56.59</v>
      </c>
      <c r="F1095" s="2">
        <v>11670</v>
      </c>
      <c r="G1095" s="3">
        <v>4</v>
      </c>
      <c r="H1095" s="1">
        <v>160</v>
      </c>
      <c r="I1095" s="1">
        <v>160</v>
      </c>
      <c r="J1095" s="1">
        <v>160</v>
      </c>
      <c r="K1095" s="4" t="e">
        <f t="array" aca="1" ref="K1095">MAX(H1095:J1095*(1-strike(H1095:J1095)))</f>
        <v>#NAME?</v>
      </c>
      <c r="L1095" s="1">
        <v>85</v>
      </c>
      <c r="M1095" s="3">
        <v>85</v>
      </c>
      <c r="N1095" s="1">
        <v>90</v>
      </c>
      <c r="O1095" s="4" t="e">
        <f t="array" aca="1" ref="O1095">MAX(L1095:N1095*(1-strike(L1095:N1095)))</f>
        <v>#NAME?</v>
      </c>
      <c r="P1095" s="1">
        <v>170</v>
      </c>
      <c r="Q1095" s="3">
        <v>170</v>
      </c>
      <c r="R1095" s="3">
        <v>172.5</v>
      </c>
      <c r="S1095" s="4" t="e">
        <f t="array" aca="1" ref="S1095">MAX(P1095:R1095*(1-strike(P1095:R1095)))</f>
        <v>#NAME?</v>
      </c>
      <c r="T1095" s="4" t="e">
        <f t="shared" si="17"/>
        <v>#NAME?</v>
      </c>
      <c r="U1095" s="3" t="s">
        <v>40</v>
      </c>
      <c r="V1095" s="3" t="s">
        <v>37</v>
      </c>
      <c r="W1095" s="3" t="s">
        <v>37</v>
      </c>
      <c r="X1095" s="5">
        <v>2013</v>
      </c>
      <c r="Y1095" s="5" t="s">
        <v>852</v>
      </c>
      <c r="Z1095" s="5" t="s">
        <v>171</v>
      </c>
      <c r="AA1095" s="5">
        <v>970</v>
      </c>
    </row>
    <row r="1096" spans="1:27">
      <c r="A1096" s="4">
        <v>7</v>
      </c>
      <c r="B1096" s="4" t="s">
        <v>192</v>
      </c>
      <c r="C1096" s="4">
        <v>1969</v>
      </c>
      <c r="D1096" s="4" t="s">
        <v>851</v>
      </c>
      <c r="E1096" s="4">
        <v>56.48</v>
      </c>
      <c r="F1096" s="7">
        <v>11684</v>
      </c>
      <c r="G1096" s="4">
        <v>11</v>
      </c>
      <c r="H1096" s="4">
        <v>155</v>
      </c>
      <c r="I1096" s="4">
        <v>160</v>
      </c>
      <c r="J1096" s="6">
        <v>167.5</v>
      </c>
      <c r="K1096" s="4" t="e">
        <f t="array" aca="1" ref="K1096">MAX(H1096:J1096*(1-strike(H1096:J1096)))</f>
        <v>#NAME?</v>
      </c>
      <c r="L1096" s="4">
        <v>90</v>
      </c>
      <c r="M1096" s="4">
        <v>95</v>
      </c>
      <c r="N1096" s="6">
        <v>97.5</v>
      </c>
      <c r="O1096" s="4" t="e">
        <f t="array" aca="1" ref="O1096">MAX(L1096:N1096*(1-strike(L1096:N1096)))</f>
        <v>#NAME?</v>
      </c>
      <c r="P1096" s="4">
        <v>170</v>
      </c>
      <c r="Q1096" s="4">
        <v>180</v>
      </c>
      <c r="R1096" s="6">
        <v>185</v>
      </c>
      <c r="S1096" s="4" t="e">
        <f t="array" aca="1" ref="S1096">MAX(P1096:R1096*(1-strike(P1096:R1096)))</f>
        <v>#NAME?</v>
      </c>
      <c r="T1096" s="4" t="e">
        <f t="shared" si="17"/>
        <v>#NAME?</v>
      </c>
      <c r="U1096" s="4">
        <v>435</v>
      </c>
      <c r="V1096" s="4">
        <v>508.25</v>
      </c>
      <c r="W1096" s="4">
        <v>4</v>
      </c>
      <c r="X1096" s="5">
        <v>2014</v>
      </c>
      <c r="Y1096" s="5" t="s">
        <v>852</v>
      </c>
      <c r="Z1096" s="5" t="s">
        <v>171</v>
      </c>
      <c r="AA1096" s="5">
        <v>596</v>
      </c>
    </row>
    <row r="1097" spans="1:27">
      <c r="A1097" s="3" t="s">
        <v>37</v>
      </c>
      <c r="B1097" s="3" t="s">
        <v>882</v>
      </c>
      <c r="C1097" s="3">
        <v>1986</v>
      </c>
      <c r="D1097" s="3" t="s">
        <v>39</v>
      </c>
      <c r="E1097" s="3">
        <v>69.8</v>
      </c>
      <c r="F1097" s="3">
        <v>0.99680000000000002</v>
      </c>
      <c r="G1097" s="3">
        <v>4</v>
      </c>
      <c r="H1097" s="1">
        <v>147.5</v>
      </c>
      <c r="I1097" s="1">
        <v>147.5</v>
      </c>
      <c r="J1097" s="1">
        <v>147.5</v>
      </c>
      <c r="K1097" s="4" t="e">
        <f t="array" aca="1" ref="K1097">MAX(H1097:J1097*(1-strike(H1097:J1097)))</f>
        <v>#NAME?</v>
      </c>
      <c r="L1097" s="1">
        <v>82.5</v>
      </c>
      <c r="M1097" s="3">
        <v>85</v>
      </c>
      <c r="N1097" s="1">
        <v>90</v>
      </c>
      <c r="O1097" s="4" t="e">
        <f t="array" aca="1" ref="O1097">MAX(L1097:N1097*(1-strike(L1097:N1097)))</f>
        <v>#NAME?</v>
      </c>
      <c r="P1097" s="3">
        <v>170</v>
      </c>
      <c r="Q1097" s="3">
        <v>180</v>
      </c>
      <c r="R1097" s="3">
        <v>185</v>
      </c>
      <c r="S1097" s="4" t="e">
        <f t="array" aca="1" ref="S1097">MAX(P1097:R1097*(1-strike(P1097:R1097)))</f>
        <v>#NAME?</v>
      </c>
      <c r="T1097" s="4" t="e">
        <f t="shared" si="17"/>
        <v>#NAME?</v>
      </c>
      <c r="U1097" s="3" t="s">
        <v>40</v>
      </c>
      <c r="V1097" s="3" t="s">
        <v>37</v>
      </c>
      <c r="W1097" s="3" t="s">
        <v>37</v>
      </c>
      <c r="X1097" s="5">
        <v>2012</v>
      </c>
      <c r="Y1097" s="5" t="s">
        <v>852</v>
      </c>
      <c r="Z1097" s="5" t="s">
        <v>30</v>
      </c>
      <c r="AA1097" s="5">
        <v>1593</v>
      </c>
    </row>
    <row r="1098" spans="1:27">
      <c r="A1098" s="3">
        <v>4</v>
      </c>
      <c r="B1098" s="3" t="s">
        <v>883</v>
      </c>
      <c r="C1098" s="3">
        <v>1988</v>
      </c>
      <c r="D1098" s="3" t="s">
        <v>119</v>
      </c>
      <c r="E1098" s="3">
        <v>72</v>
      </c>
      <c r="F1098" s="3">
        <v>0.97599999999999998</v>
      </c>
      <c r="G1098" s="3">
        <v>12</v>
      </c>
      <c r="H1098" s="1">
        <v>225</v>
      </c>
      <c r="I1098" s="3">
        <v>225</v>
      </c>
      <c r="J1098" s="3">
        <v>232.5</v>
      </c>
      <c r="K1098" s="4" t="e">
        <f t="array" aca="1" ref="K1098">MAX(H1098:J1098*(1-strike(H1098:J1098)))</f>
        <v>#NAME?</v>
      </c>
      <c r="L1098" s="1">
        <v>150</v>
      </c>
      <c r="M1098" s="3">
        <v>150</v>
      </c>
      <c r="N1098" s="3">
        <v>157.5</v>
      </c>
      <c r="O1098" s="4" t="e">
        <f t="array" aca="1" ref="O1098">MAX(L1098:N1098*(1-strike(L1098:N1098)))</f>
        <v>#NAME?</v>
      </c>
      <c r="P1098" s="1">
        <v>207.5</v>
      </c>
      <c r="Q1098" s="1">
        <v>207.5</v>
      </c>
      <c r="R1098" s="3">
        <v>207.5</v>
      </c>
      <c r="S1098" s="4" t="e">
        <f t="array" aca="1" ref="S1098">MAX(P1098:R1098*(1-strike(P1098:R1098)))</f>
        <v>#NAME?</v>
      </c>
      <c r="T1098" s="4" t="e">
        <f t="shared" si="17"/>
        <v>#NAME?</v>
      </c>
      <c r="U1098" s="3">
        <v>597.5</v>
      </c>
      <c r="V1098" s="3">
        <v>583.16</v>
      </c>
      <c r="W1098" s="3">
        <v>7</v>
      </c>
      <c r="X1098" s="5">
        <v>2012</v>
      </c>
      <c r="Y1098" s="5" t="s">
        <v>852</v>
      </c>
      <c r="Z1098" s="5" t="s">
        <v>171</v>
      </c>
      <c r="AA1098" s="5">
        <v>1389</v>
      </c>
    </row>
    <row r="1099" spans="1:27">
      <c r="A1099" s="3">
        <v>2</v>
      </c>
      <c r="B1099" s="3" t="s">
        <v>195</v>
      </c>
      <c r="C1099" s="3">
        <v>1985</v>
      </c>
      <c r="D1099" s="3" t="s">
        <v>49</v>
      </c>
      <c r="E1099" s="3">
        <v>70.989999999999995</v>
      </c>
      <c r="F1099" s="3">
        <v>0.98529999999999995</v>
      </c>
      <c r="G1099" s="3">
        <v>1</v>
      </c>
      <c r="H1099" s="3">
        <v>232.5</v>
      </c>
      <c r="I1099" s="1">
        <v>248</v>
      </c>
      <c r="J1099" s="3">
        <v>248</v>
      </c>
      <c r="K1099" s="4" t="e">
        <f t="array" aca="1" ref="K1099">MAX(H1099:J1099*(1-strike(H1099:J1099)))</f>
        <v>#NAME?</v>
      </c>
      <c r="L1099" s="3">
        <v>150</v>
      </c>
      <c r="M1099" s="3">
        <v>157.5</v>
      </c>
      <c r="N1099" s="1">
        <v>162.5</v>
      </c>
      <c r="O1099" s="4" t="e">
        <f t="array" aca="1" ref="O1099">MAX(L1099:N1099*(1-strike(L1099:N1099)))</f>
        <v>#NAME?</v>
      </c>
      <c r="P1099" s="3">
        <v>195</v>
      </c>
      <c r="Q1099" s="3">
        <v>205</v>
      </c>
      <c r="R1099" s="3">
        <v>210</v>
      </c>
      <c r="S1099" s="4" t="e">
        <f t="array" aca="1" ref="S1099">MAX(P1099:R1099*(1-strike(P1099:R1099)))</f>
        <v>#NAME?</v>
      </c>
      <c r="T1099" s="4" t="e">
        <f t="shared" si="17"/>
        <v>#NAME?</v>
      </c>
      <c r="U1099" s="3">
        <v>615.5</v>
      </c>
      <c r="V1099" s="3">
        <v>606.45000000000005</v>
      </c>
      <c r="W1099" s="3">
        <v>9</v>
      </c>
      <c r="X1099" s="5">
        <v>2012</v>
      </c>
      <c r="Y1099" s="5" t="s">
        <v>852</v>
      </c>
      <c r="Z1099" s="5" t="s">
        <v>171</v>
      </c>
      <c r="AA1099" s="5">
        <v>1387</v>
      </c>
    </row>
    <row r="1100" spans="1:27">
      <c r="A1100" s="3">
        <v>1</v>
      </c>
      <c r="B1100" s="3" t="s">
        <v>195</v>
      </c>
      <c r="C1100" s="3">
        <v>1985</v>
      </c>
      <c r="D1100" s="3" t="s">
        <v>49</v>
      </c>
      <c r="E1100" s="3">
        <v>69.25</v>
      </c>
      <c r="F1100" s="2">
        <v>10023</v>
      </c>
      <c r="G1100" s="3">
        <v>7</v>
      </c>
      <c r="H1100" s="3">
        <v>245</v>
      </c>
      <c r="I1100" s="3">
        <v>255</v>
      </c>
      <c r="J1100" s="1">
        <v>262.5</v>
      </c>
      <c r="K1100" s="4" t="e">
        <f t="array" aca="1" ref="K1100">MAX(H1100:J1100*(1-strike(H1100:J1100)))</f>
        <v>#NAME?</v>
      </c>
      <c r="L1100" s="3">
        <v>160</v>
      </c>
      <c r="M1100" s="3">
        <v>167.5</v>
      </c>
      <c r="N1100" s="3">
        <v>172.5</v>
      </c>
      <c r="O1100" s="4" t="e">
        <f t="array" aca="1" ref="O1100">MAX(L1100:N1100*(1-strike(L1100:N1100)))</f>
        <v>#NAME?</v>
      </c>
      <c r="P1100" s="3">
        <v>195</v>
      </c>
      <c r="Q1100" s="3">
        <v>205</v>
      </c>
      <c r="R1100" s="3">
        <v>215</v>
      </c>
      <c r="S1100" s="4" t="e">
        <f t="array" aca="1" ref="S1100">MAX(P1100:R1100*(1-strike(P1100:R1100)))</f>
        <v>#NAME?</v>
      </c>
      <c r="T1100" s="4" t="e">
        <f t="shared" si="17"/>
        <v>#NAME?</v>
      </c>
      <c r="U1100" s="3" t="s">
        <v>884</v>
      </c>
      <c r="V1100" s="3">
        <v>643.98</v>
      </c>
      <c r="W1100" s="3">
        <v>12</v>
      </c>
      <c r="X1100" s="5">
        <v>2013</v>
      </c>
      <c r="Y1100" s="5" t="s">
        <v>852</v>
      </c>
      <c r="Z1100" s="5" t="s">
        <v>171</v>
      </c>
      <c r="AA1100" s="5">
        <v>982</v>
      </c>
    </row>
    <row r="1101" spans="1:27">
      <c r="A1101" s="3">
        <v>2</v>
      </c>
      <c r="B1101" s="3" t="s">
        <v>195</v>
      </c>
      <c r="C1101" s="3">
        <v>1985</v>
      </c>
      <c r="D1101" s="3" t="s">
        <v>49</v>
      </c>
      <c r="E1101" s="3">
        <v>68.150000000000006</v>
      </c>
      <c r="F1101" s="2">
        <v>10136</v>
      </c>
      <c r="G1101" s="3">
        <v>1</v>
      </c>
      <c r="H1101" s="3">
        <v>175</v>
      </c>
      <c r="I1101" s="3">
        <v>185.5</v>
      </c>
      <c r="J1101" s="1">
        <v>190</v>
      </c>
      <c r="K1101" s="4" t="e">
        <f t="array" aca="1" ref="K1101">MAX(H1101:J1101*(1-strike(H1101:J1101)))</f>
        <v>#NAME?</v>
      </c>
      <c r="L1101" s="3">
        <v>115</v>
      </c>
      <c r="M1101" s="3">
        <v>120</v>
      </c>
      <c r="N1101" s="3">
        <v>122.5</v>
      </c>
      <c r="O1101" s="4" t="e">
        <f t="array" aca="1" ref="O1101">MAX(L1101:N1101*(1-strike(L1101:N1101)))</f>
        <v>#NAME?</v>
      </c>
      <c r="P1101" s="3">
        <v>192.5</v>
      </c>
      <c r="Q1101" s="3">
        <v>200</v>
      </c>
      <c r="R1101" s="1">
        <v>205</v>
      </c>
      <c r="S1101" s="4" t="e">
        <f t="array" aca="1" ref="S1101">MAX(P1101:R1101*(1-strike(P1101:R1101)))</f>
        <v>#NAME?</v>
      </c>
      <c r="T1101" s="4" t="e">
        <f t="shared" si="17"/>
        <v>#NAME?</v>
      </c>
      <c r="U1101" s="3" t="s">
        <v>885</v>
      </c>
      <c r="V1101" s="3">
        <v>514.92999999999995</v>
      </c>
      <c r="W1101" s="3">
        <v>9</v>
      </c>
      <c r="X1101" s="5">
        <v>2014</v>
      </c>
      <c r="Y1101" s="5" t="s">
        <v>852</v>
      </c>
      <c r="Z1101" s="5" t="s">
        <v>30</v>
      </c>
      <c r="AA1101" s="5">
        <v>792</v>
      </c>
    </row>
    <row r="1102" spans="1:27">
      <c r="A1102" s="4">
        <v>2</v>
      </c>
      <c r="B1102" s="4" t="s">
        <v>195</v>
      </c>
      <c r="C1102" s="4">
        <v>1985</v>
      </c>
      <c r="D1102" s="4" t="s">
        <v>867</v>
      </c>
      <c r="E1102" s="4">
        <v>69.459999999999994</v>
      </c>
      <c r="F1102" s="4">
        <v>0.99980000000000002</v>
      </c>
      <c r="G1102" s="4">
        <v>10</v>
      </c>
      <c r="H1102" s="6">
        <v>247.5</v>
      </c>
      <c r="I1102" s="4">
        <v>247.5</v>
      </c>
      <c r="J1102" s="6">
        <v>255.5</v>
      </c>
      <c r="K1102" s="4" t="e">
        <f t="array" aca="1" ref="K1102">MAX(H1102:J1102*(1-strike(H1102:J1102)))</f>
        <v>#NAME?</v>
      </c>
      <c r="L1102" s="4">
        <v>162.5</v>
      </c>
      <c r="M1102" s="4">
        <v>170</v>
      </c>
      <c r="N1102" s="6">
        <v>177.5</v>
      </c>
      <c r="O1102" s="4" t="e">
        <f t="array" aca="1" ref="O1102">MAX(L1102:N1102*(1-strike(L1102:N1102)))</f>
        <v>#NAME?</v>
      </c>
      <c r="P1102" s="4">
        <v>200</v>
      </c>
      <c r="Q1102" s="4">
        <v>207.5</v>
      </c>
      <c r="R1102" s="6">
        <v>210</v>
      </c>
      <c r="S1102" s="4" t="e">
        <f t="array" aca="1" ref="S1102">MAX(P1102:R1102*(1-strike(P1102:R1102)))</f>
        <v>#NAME?</v>
      </c>
      <c r="T1102" s="4" t="e">
        <f t="shared" si="17"/>
        <v>#NAME?</v>
      </c>
      <c r="U1102" s="4">
        <v>625</v>
      </c>
      <c r="V1102" s="4">
        <v>624.87</v>
      </c>
      <c r="W1102" s="4">
        <v>9</v>
      </c>
      <c r="X1102" s="5">
        <v>2014</v>
      </c>
      <c r="Y1102" s="5" t="s">
        <v>852</v>
      </c>
      <c r="Z1102" s="5" t="s">
        <v>171</v>
      </c>
      <c r="AA1102" s="5">
        <v>615</v>
      </c>
    </row>
    <row r="1103" spans="1:27">
      <c r="A1103" s="3" t="s">
        <v>37</v>
      </c>
      <c r="B1103" s="3" t="s">
        <v>886</v>
      </c>
      <c r="C1103" s="3">
        <v>1979</v>
      </c>
      <c r="D1103" s="3" t="s">
        <v>282</v>
      </c>
      <c r="E1103" s="3">
        <v>56.35</v>
      </c>
      <c r="F1103" s="2">
        <v>11709</v>
      </c>
      <c r="G1103" s="3">
        <v>11</v>
      </c>
      <c r="H1103" s="1">
        <v>190</v>
      </c>
      <c r="I1103" s="1">
        <v>190</v>
      </c>
      <c r="J1103" s="1">
        <v>190</v>
      </c>
      <c r="K1103" s="4" t="e">
        <f t="array" aca="1" ref="K1103">MAX(H1103:J1103*(1-strike(H1103:J1103)))</f>
        <v>#NAME?</v>
      </c>
      <c r="L1103" s="3">
        <v>97.5</v>
      </c>
      <c r="M1103" s="3">
        <v>102.5</v>
      </c>
      <c r="N1103" s="1">
        <v>107.5</v>
      </c>
      <c r="O1103" s="4" t="e">
        <f t="array" aca="1" ref="O1103">MAX(L1103:N1103*(1-strike(L1103:N1103)))</f>
        <v>#NAME?</v>
      </c>
      <c r="P1103" s="3">
        <v>175</v>
      </c>
      <c r="Q1103" s="3">
        <v>187.5</v>
      </c>
      <c r="R1103" s="1">
        <v>192.5</v>
      </c>
      <c r="S1103" s="4" t="e">
        <f t="array" aca="1" ref="S1103">MAX(P1103:R1103*(1-strike(P1103:R1103)))</f>
        <v>#NAME?</v>
      </c>
      <c r="T1103" s="4" t="e">
        <f t="shared" si="17"/>
        <v>#NAME?</v>
      </c>
      <c r="U1103" s="3" t="s">
        <v>40</v>
      </c>
      <c r="V1103" s="3" t="s">
        <v>37</v>
      </c>
      <c r="W1103" s="3" t="s">
        <v>37</v>
      </c>
      <c r="X1103" s="5">
        <v>2013</v>
      </c>
      <c r="Y1103" s="5" t="s">
        <v>852</v>
      </c>
      <c r="Z1103" s="5" t="s">
        <v>171</v>
      </c>
      <c r="AA1103" s="5">
        <v>968</v>
      </c>
    </row>
    <row r="1104" spans="1:27">
      <c r="A1104" s="3">
        <v>2</v>
      </c>
      <c r="B1104" s="3" t="s">
        <v>886</v>
      </c>
      <c r="C1104" s="3">
        <v>1979</v>
      </c>
      <c r="D1104" s="3" t="s">
        <v>282</v>
      </c>
      <c r="E1104" s="3">
        <v>56.6</v>
      </c>
      <c r="F1104" s="2">
        <v>11668</v>
      </c>
      <c r="G1104" s="3">
        <v>1</v>
      </c>
      <c r="H1104" s="1">
        <v>142.5</v>
      </c>
      <c r="I1104" s="1">
        <v>147.5</v>
      </c>
      <c r="J1104" s="3">
        <v>147.5</v>
      </c>
      <c r="K1104" s="4" t="e">
        <f t="array" aca="1" ref="K1104">MAX(H1104:J1104*(1-strike(H1104:J1104)))</f>
        <v>#NAME?</v>
      </c>
      <c r="L1104" s="3">
        <v>80</v>
      </c>
      <c r="M1104" s="3">
        <v>85</v>
      </c>
      <c r="N1104" s="3">
        <v>87.5</v>
      </c>
      <c r="O1104" s="4" t="e">
        <f t="array" aca="1" ref="O1104">MAX(L1104:N1104*(1-strike(L1104:N1104)))</f>
        <v>#NAME?</v>
      </c>
      <c r="P1104" s="3">
        <v>155</v>
      </c>
      <c r="Q1104" s="3">
        <v>165</v>
      </c>
      <c r="R1104" s="3">
        <v>172.5</v>
      </c>
      <c r="S1104" s="4" t="e">
        <f t="array" aca="1" ref="S1104">MAX(P1104:R1104*(1-strike(P1104:R1104)))</f>
        <v>#NAME?</v>
      </c>
      <c r="T1104" s="4" t="e">
        <f t="shared" si="17"/>
        <v>#NAME?</v>
      </c>
      <c r="U1104" s="3">
        <v>407.5</v>
      </c>
      <c r="V1104" s="3">
        <v>475.47</v>
      </c>
      <c r="W1104" s="3">
        <v>9</v>
      </c>
      <c r="X1104" s="5">
        <v>2014</v>
      </c>
      <c r="Y1104" s="5" t="s">
        <v>852</v>
      </c>
      <c r="Z1104" s="5" t="s">
        <v>30</v>
      </c>
      <c r="AA1104" s="5">
        <v>764</v>
      </c>
    </row>
    <row r="1105" spans="1:27">
      <c r="A1105" s="4" t="s">
        <v>37</v>
      </c>
      <c r="B1105" s="4" t="s">
        <v>886</v>
      </c>
      <c r="C1105" s="4">
        <v>1979</v>
      </c>
      <c r="D1105" s="4" t="s">
        <v>859</v>
      </c>
      <c r="E1105" s="4">
        <v>55.74</v>
      </c>
      <c r="F1105" s="7">
        <v>11816</v>
      </c>
      <c r="G1105" s="4">
        <v>1</v>
      </c>
      <c r="H1105" s="6">
        <v>180</v>
      </c>
      <c r="I1105" s="6">
        <v>180</v>
      </c>
      <c r="J1105" s="4">
        <v>180</v>
      </c>
      <c r="K1105" s="4" t="e">
        <f t="array" aca="1" ref="K1105">MAX(H1105:J1105*(1-strike(H1105:J1105)))</f>
        <v>#NAME?</v>
      </c>
      <c r="L1105" s="4">
        <v>95</v>
      </c>
      <c r="M1105" s="6">
        <v>100</v>
      </c>
      <c r="N1105" s="6">
        <v>100</v>
      </c>
      <c r="O1105" s="4" t="e">
        <f t="array" aca="1" ref="O1105">MAX(L1105:N1105*(1-strike(L1105:N1105)))</f>
        <v>#NAME?</v>
      </c>
      <c r="P1105" s="6">
        <v>170</v>
      </c>
      <c r="Q1105" s="6">
        <v>170</v>
      </c>
      <c r="R1105" s="6">
        <v>170</v>
      </c>
      <c r="S1105" s="4" t="e">
        <f t="array" aca="1" ref="S1105">MAX(P1105:R1105*(1-strike(P1105:R1105)))</f>
        <v>#NAME?</v>
      </c>
      <c r="T1105" s="4" t="e">
        <f t="shared" si="17"/>
        <v>#NAME?</v>
      </c>
      <c r="U1105" s="4" t="s">
        <v>187</v>
      </c>
      <c r="V1105" s="4" t="s">
        <v>37</v>
      </c>
      <c r="W1105" s="4" t="s">
        <v>37</v>
      </c>
      <c r="X1105" s="5">
        <v>2014</v>
      </c>
      <c r="Y1105" s="5" t="s">
        <v>852</v>
      </c>
      <c r="Z1105" s="5" t="s">
        <v>171</v>
      </c>
      <c r="AA1105" s="5">
        <v>600</v>
      </c>
    </row>
    <row r="1106" spans="1:27">
      <c r="A1106" s="3">
        <v>7</v>
      </c>
      <c r="B1106" s="3" t="s">
        <v>887</v>
      </c>
      <c r="C1106" s="3">
        <v>1988</v>
      </c>
      <c r="D1106" s="3" t="s">
        <v>282</v>
      </c>
      <c r="E1106" s="3">
        <v>55.91</v>
      </c>
      <c r="F1106" s="2">
        <v>11781</v>
      </c>
      <c r="G1106" s="3">
        <v>13</v>
      </c>
      <c r="H1106" s="3">
        <v>160</v>
      </c>
      <c r="I1106" s="1">
        <v>170</v>
      </c>
      <c r="J1106" s="3">
        <v>170</v>
      </c>
      <c r="K1106" s="4" t="e">
        <f t="array" aca="1" ref="K1106">MAX(H1106:J1106*(1-strike(H1106:J1106)))</f>
        <v>#NAME?</v>
      </c>
      <c r="L1106" s="3">
        <v>95</v>
      </c>
      <c r="M1106" s="3">
        <v>100</v>
      </c>
      <c r="N1106" s="3">
        <v>102.5</v>
      </c>
      <c r="O1106" s="4" t="e">
        <f t="array" aca="1" ref="O1106">MAX(L1106:N1106*(1-strike(L1106:N1106)))</f>
        <v>#NAME?</v>
      </c>
      <c r="P1106" s="3">
        <v>165</v>
      </c>
      <c r="Q1106" s="1">
        <v>175</v>
      </c>
      <c r="R1106" s="3">
        <v>175</v>
      </c>
      <c r="S1106" s="4" t="e">
        <f t="array" aca="1" ref="S1106">MAX(P1106:R1106*(1-strike(P1106:R1106)))</f>
        <v>#NAME?</v>
      </c>
      <c r="T1106" s="4" t="e">
        <f t="shared" si="17"/>
        <v>#NAME?</v>
      </c>
      <c r="U1106" s="3">
        <v>447.5</v>
      </c>
      <c r="V1106" s="3">
        <v>527.20000000000005</v>
      </c>
      <c r="W1106" s="3">
        <v>4</v>
      </c>
      <c r="X1106" s="5">
        <v>2013</v>
      </c>
      <c r="Y1106" s="5" t="s">
        <v>852</v>
      </c>
      <c r="Z1106" s="5" t="s">
        <v>171</v>
      </c>
      <c r="AA1106" s="5">
        <v>961</v>
      </c>
    </row>
    <row r="1107" spans="1:27">
      <c r="A1107" s="3" t="s">
        <v>37</v>
      </c>
      <c r="B1107" s="3" t="s">
        <v>196</v>
      </c>
      <c r="C1107" s="3">
        <v>1984</v>
      </c>
      <c r="D1107" s="3" t="s">
        <v>74</v>
      </c>
      <c r="E1107" s="3">
        <v>83.5</v>
      </c>
      <c r="F1107" s="3">
        <v>0.89439999999999997</v>
      </c>
      <c r="G1107" s="3">
        <v>2</v>
      </c>
      <c r="H1107" s="3">
        <v>190</v>
      </c>
      <c r="I1107" s="3">
        <v>197.5</v>
      </c>
      <c r="J1107" s="1">
        <v>200</v>
      </c>
      <c r="K1107" s="4" t="e">
        <f t="array" aca="1" ref="K1107">MAX(H1107:J1107*(1-strike(H1107:J1107)))</f>
        <v>#NAME?</v>
      </c>
      <c r="L1107" s="3">
        <v>95</v>
      </c>
      <c r="M1107" s="3">
        <v>100</v>
      </c>
      <c r="N1107" s="1">
        <v>102.5</v>
      </c>
      <c r="O1107" s="4" t="e">
        <f t="array" aca="1" ref="O1107">MAX(L1107:N1107*(1-strike(L1107:N1107)))</f>
        <v>#NAME?</v>
      </c>
      <c r="P1107" s="1">
        <v>175</v>
      </c>
      <c r="Q1107" s="1">
        <v>175</v>
      </c>
      <c r="R1107" s="1">
        <v>175</v>
      </c>
      <c r="S1107" s="4" t="e">
        <f t="array" aca="1" ref="S1107">MAX(P1107:R1107*(1-strike(P1107:R1107)))</f>
        <v>#NAME?</v>
      </c>
      <c r="T1107" s="4" t="e">
        <f t="shared" si="17"/>
        <v>#NAME?</v>
      </c>
      <c r="U1107" s="3" t="s">
        <v>40</v>
      </c>
      <c r="V1107" s="3" t="s">
        <v>37</v>
      </c>
      <c r="W1107" s="3" t="s">
        <v>37</v>
      </c>
      <c r="X1107" s="5">
        <v>2012</v>
      </c>
      <c r="Y1107" s="5" t="s">
        <v>852</v>
      </c>
      <c r="Z1107" s="5" t="s">
        <v>30</v>
      </c>
      <c r="AA1107" s="5">
        <v>1600</v>
      </c>
    </row>
    <row r="1108" spans="1:27">
      <c r="A1108" s="3">
        <v>1</v>
      </c>
      <c r="B1108" s="3" t="s">
        <v>196</v>
      </c>
      <c r="C1108" s="3">
        <v>1984</v>
      </c>
      <c r="D1108" s="3" t="s">
        <v>74</v>
      </c>
      <c r="E1108" s="3">
        <v>88.17</v>
      </c>
      <c r="F1108" s="3">
        <v>0.87170000000000003</v>
      </c>
      <c r="G1108" s="3">
        <v>14</v>
      </c>
      <c r="H1108" s="3">
        <v>225</v>
      </c>
      <c r="I1108" s="3">
        <v>245</v>
      </c>
      <c r="J1108" s="3">
        <v>255</v>
      </c>
      <c r="K1108" s="4" t="e">
        <f t="array" aca="1" ref="K1108">MAX(H1108:J1108*(1-strike(H1108:J1108)))</f>
        <v>#NAME?</v>
      </c>
      <c r="L1108" s="3">
        <v>135</v>
      </c>
      <c r="M1108" s="3">
        <v>142.5</v>
      </c>
      <c r="N1108" s="3">
        <v>147.5</v>
      </c>
      <c r="O1108" s="4" t="e">
        <f t="array" aca="1" ref="O1108">MAX(L1108:N1108*(1-strike(L1108:N1108)))</f>
        <v>#NAME?</v>
      </c>
      <c r="P1108" s="3">
        <v>205</v>
      </c>
      <c r="Q1108" s="3">
        <v>222.5</v>
      </c>
      <c r="R1108" s="3">
        <v>235</v>
      </c>
      <c r="S1108" s="4" t="e">
        <f t="array" aca="1" ref="S1108">MAX(P1108:R1108*(1-strike(P1108:R1108)))</f>
        <v>#NAME?</v>
      </c>
      <c r="T1108" s="4" t="e">
        <f t="shared" si="17"/>
        <v>#NAME?</v>
      </c>
      <c r="U1108" s="3">
        <v>637.5</v>
      </c>
      <c r="V1108" s="3">
        <v>555.72</v>
      </c>
      <c r="W1108" s="3">
        <v>12</v>
      </c>
      <c r="X1108" s="5">
        <v>2012</v>
      </c>
      <c r="Y1108" s="5" t="s">
        <v>852</v>
      </c>
      <c r="Z1108" s="5" t="s">
        <v>171</v>
      </c>
      <c r="AA1108" s="5">
        <v>1414</v>
      </c>
    </row>
    <row r="1109" spans="1:27">
      <c r="A1109" s="3">
        <v>3</v>
      </c>
      <c r="B1109" s="3" t="s">
        <v>196</v>
      </c>
      <c r="C1109" s="3">
        <v>1984</v>
      </c>
      <c r="D1109" s="3" t="s">
        <v>74</v>
      </c>
      <c r="E1109" s="3">
        <v>90.05</v>
      </c>
      <c r="F1109" s="3">
        <v>0.8639</v>
      </c>
      <c r="G1109" s="3">
        <v>15</v>
      </c>
      <c r="H1109" s="3">
        <v>260</v>
      </c>
      <c r="I1109" s="3">
        <v>270</v>
      </c>
      <c r="J1109" s="3">
        <v>275</v>
      </c>
      <c r="K1109" s="4" t="e">
        <f t="array" aca="1" ref="K1109">MAX(H1109:J1109*(1-strike(H1109:J1109)))</f>
        <v>#NAME?</v>
      </c>
      <c r="L1109" s="3">
        <v>147.5</v>
      </c>
      <c r="M1109" s="3">
        <v>152.5</v>
      </c>
      <c r="N1109" s="3">
        <v>155</v>
      </c>
      <c r="O1109" s="4" t="e">
        <f t="array" aca="1" ref="O1109">MAX(L1109:N1109*(1-strike(L1109:N1109)))</f>
        <v>#NAME?</v>
      </c>
      <c r="P1109" s="3">
        <v>215</v>
      </c>
      <c r="Q1109" s="1">
        <v>227.5</v>
      </c>
      <c r="R1109" s="3">
        <v>227.5</v>
      </c>
      <c r="S1109" s="4" t="e">
        <f t="array" aca="1" ref="S1109">MAX(P1109:R1109*(1-strike(P1109:R1109)))</f>
        <v>#NAME?</v>
      </c>
      <c r="T1109" s="4" t="e">
        <f t="shared" si="17"/>
        <v>#NAME?</v>
      </c>
      <c r="U1109" s="3">
        <v>657.5</v>
      </c>
      <c r="V1109" s="3">
        <v>568.01</v>
      </c>
      <c r="W1109" s="3">
        <v>8</v>
      </c>
      <c r="X1109" s="5">
        <v>2013</v>
      </c>
      <c r="Y1109" s="5" t="s">
        <v>852</v>
      </c>
      <c r="Z1109" s="5" t="s">
        <v>171</v>
      </c>
      <c r="AA1109" s="5">
        <v>1008</v>
      </c>
    </row>
    <row r="1110" spans="1:27">
      <c r="A1110" s="4" t="s">
        <v>37</v>
      </c>
      <c r="B1110" s="4" t="s">
        <v>196</v>
      </c>
      <c r="C1110" s="4">
        <v>1984</v>
      </c>
      <c r="D1110" s="4" t="s">
        <v>888</v>
      </c>
      <c r="E1110" s="4">
        <v>93.02</v>
      </c>
      <c r="F1110" s="4">
        <v>0.85299999999999998</v>
      </c>
      <c r="G1110" s="4">
        <v>14</v>
      </c>
      <c r="H1110" s="4">
        <v>270</v>
      </c>
      <c r="I1110" s="4">
        <v>277.5</v>
      </c>
      <c r="J1110" s="6">
        <v>282.5</v>
      </c>
      <c r="K1110" s="4" t="e">
        <f t="array" aca="1" ref="K1110">MAX(H1110:J1110*(1-strike(H1110:J1110)))</f>
        <v>#NAME?</v>
      </c>
      <c r="L1110" s="4">
        <v>150</v>
      </c>
      <c r="M1110" s="4">
        <v>157.5</v>
      </c>
      <c r="N1110" s="4">
        <v>162.5</v>
      </c>
      <c r="O1110" s="4" t="e">
        <f t="array" aca="1" ref="O1110">MAX(L1110:N1110*(1-strike(L1110:N1110)))</f>
        <v>#NAME?</v>
      </c>
      <c r="P1110" s="6">
        <v>220</v>
      </c>
      <c r="Q1110" s="6">
        <v>230</v>
      </c>
      <c r="R1110" s="6">
        <v>230</v>
      </c>
      <c r="S1110" s="4" t="e">
        <f t="array" aca="1" ref="S1110">MAX(P1110:R1110*(1-strike(P1110:R1110)))</f>
        <v>#NAME?</v>
      </c>
      <c r="T1110" s="4" t="e">
        <f t="shared" si="17"/>
        <v>#NAME?</v>
      </c>
      <c r="U1110" s="4" t="s">
        <v>187</v>
      </c>
      <c r="V1110" s="4" t="s">
        <v>37</v>
      </c>
      <c r="W1110" s="4" t="s">
        <v>37</v>
      </c>
      <c r="X1110" s="5">
        <v>2014</v>
      </c>
      <c r="Y1110" s="5" t="s">
        <v>852</v>
      </c>
      <c r="Z1110" s="5" t="s">
        <v>171</v>
      </c>
      <c r="AA1110" s="5">
        <v>642</v>
      </c>
    </row>
    <row r="1111" spans="1:27">
      <c r="A1111" s="3" t="s">
        <v>37</v>
      </c>
      <c r="B1111" s="3" t="s">
        <v>197</v>
      </c>
      <c r="C1111" s="3">
        <v>1990</v>
      </c>
      <c r="D1111" s="3" t="s">
        <v>74</v>
      </c>
      <c r="E1111" s="3">
        <v>123.02</v>
      </c>
      <c r="F1111" s="3">
        <v>0.79620000000000002</v>
      </c>
      <c r="G1111" s="3">
        <v>5</v>
      </c>
      <c r="H1111" s="1">
        <v>245</v>
      </c>
      <c r="I1111" s="3">
        <v>245</v>
      </c>
      <c r="J1111" s="1">
        <v>252.5</v>
      </c>
      <c r="K1111" s="4" t="e">
        <f t="array" aca="1" ref="K1111">MAX(H1111:J1111*(1-strike(H1111:J1111)))</f>
        <v>#NAME?</v>
      </c>
      <c r="L1111" s="1">
        <v>135</v>
      </c>
      <c r="M1111" s="1">
        <v>135</v>
      </c>
      <c r="N1111" s="1">
        <v>135</v>
      </c>
      <c r="O1111" s="4" t="e">
        <f t="array" aca="1" ref="O1111">MAX(L1111:N1111*(1-strike(L1111:N1111)))</f>
        <v>#NAME?</v>
      </c>
      <c r="P1111" s="3">
        <v>145</v>
      </c>
      <c r="Q1111" s="3">
        <v>160</v>
      </c>
      <c r="R1111" s="1">
        <v>170</v>
      </c>
      <c r="S1111" s="4" t="e">
        <f t="array" aca="1" ref="S1111">MAX(P1111:R1111*(1-strike(P1111:R1111)))</f>
        <v>#NAME?</v>
      </c>
      <c r="T1111" s="4" t="e">
        <f t="shared" si="17"/>
        <v>#NAME?</v>
      </c>
      <c r="U1111" s="3" t="s">
        <v>40</v>
      </c>
      <c r="V1111" s="3" t="s">
        <v>37</v>
      </c>
      <c r="W1111" s="3" t="s">
        <v>37</v>
      </c>
      <c r="X1111" s="5">
        <v>2012</v>
      </c>
      <c r="Y1111" s="5" t="s">
        <v>852</v>
      </c>
      <c r="Z1111" s="5" t="s">
        <v>171</v>
      </c>
      <c r="AA1111" s="5">
        <v>1421</v>
      </c>
    </row>
    <row r="1112" spans="1:27">
      <c r="A1112" s="3">
        <v>6</v>
      </c>
      <c r="B1112" s="3" t="s">
        <v>197</v>
      </c>
      <c r="C1112" s="3">
        <v>1990</v>
      </c>
      <c r="D1112" s="3" t="s">
        <v>74</v>
      </c>
      <c r="E1112" s="3">
        <v>123.95</v>
      </c>
      <c r="F1112" s="3">
        <v>0.79510000000000003</v>
      </c>
      <c r="G1112" s="3">
        <v>18</v>
      </c>
      <c r="H1112" s="3">
        <v>250</v>
      </c>
      <c r="I1112" s="1">
        <v>260</v>
      </c>
      <c r="J1112" s="3">
        <v>265</v>
      </c>
      <c r="K1112" s="4" t="e">
        <f t="array" aca="1" ref="K1112">MAX(H1112:J1112*(1-strike(H1112:J1112)))</f>
        <v>#NAME?</v>
      </c>
      <c r="L1112" s="3">
        <v>145</v>
      </c>
      <c r="M1112" s="3">
        <v>152.5</v>
      </c>
      <c r="N1112" s="3">
        <v>157.5</v>
      </c>
      <c r="O1112" s="4" t="e">
        <f t="array" aca="1" ref="O1112">MAX(L1112:N1112*(1-strike(L1112:N1112)))</f>
        <v>#NAME?</v>
      </c>
      <c r="P1112" s="3">
        <v>175</v>
      </c>
      <c r="Q1112" s="3">
        <v>185</v>
      </c>
      <c r="R1112" s="3">
        <v>190</v>
      </c>
      <c r="S1112" s="4" t="e">
        <f t="array" aca="1" ref="S1112">MAX(P1112:R1112*(1-strike(P1112:R1112)))</f>
        <v>#NAME?</v>
      </c>
      <c r="T1112" s="4" t="e">
        <f t="shared" si="17"/>
        <v>#NAME?</v>
      </c>
      <c r="U1112" s="3">
        <v>612.5</v>
      </c>
      <c r="V1112" s="3">
        <v>487</v>
      </c>
      <c r="W1112" s="3">
        <v>5</v>
      </c>
      <c r="X1112" s="5">
        <v>2013</v>
      </c>
      <c r="Y1112" s="5" t="s">
        <v>852</v>
      </c>
      <c r="Z1112" s="5" t="s">
        <v>171</v>
      </c>
      <c r="AA1112" s="5">
        <v>1011</v>
      </c>
    </row>
    <row r="1113" spans="1:27">
      <c r="A1113" s="4" t="s">
        <v>37</v>
      </c>
      <c r="B1113" s="4" t="s">
        <v>197</v>
      </c>
      <c r="C1113" s="4">
        <v>1990</v>
      </c>
      <c r="D1113" s="4" t="s">
        <v>888</v>
      </c>
      <c r="E1113" s="4">
        <v>124.48</v>
      </c>
      <c r="F1113" s="4">
        <v>0.79449999999999998</v>
      </c>
      <c r="G1113" s="4">
        <v>13</v>
      </c>
      <c r="H1113" s="6">
        <v>265</v>
      </c>
      <c r="I1113" s="6">
        <v>265</v>
      </c>
      <c r="J1113" s="6">
        <v>275</v>
      </c>
      <c r="K1113" s="4" t="e">
        <f t="array" aca="1" ref="K1113">MAX(H1113:J1113*(1-strike(H1113:J1113)))</f>
        <v>#NAME?</v>
      </c>
      <c r="L1113" s="4">
        <v>135</v>
      </c>
      <c r="M1113" s="4">
        <v>145</v>
      </c>
      <c r="N1113" s="4">
        <v>155</v>
      </c>
      <c r="O1113" s="4" t="e">
        <f t="array" aca="1" ref="O1113">MAX(L1113:N1113*(1-strike(L1113:N1113)))</f>
        <v>#NAME?</v>
      </c>
      <c r="P1113" s="4">
        <v>180</v>
      </c>
      <c r="Q1113" s="4">
        <v>190</v>
      </c>
      <c r="R1113" s="4">
        <v>195</v>
      </c>
      <c r="S1113" s="4" t="e">
        <f t="array" aca="1" ref="S1113">MAX(P1113:R1113*(1-strike(P1113:R1113)))</f>
        <v>#NAME?</v>
      </c>
      <c r="T1113" s="4" t="e">
        <f t="shared" si="17"/>
        <v>#NAME?</v>
      </c>
      <c r="U1113" s="4" t="s">
        <v>187</v>
      </c>
      <c r="V1113" s="4" t="s">
        <v>37</v>
      </c>
      <c r="W1113" s="4" t="s">
        <v>37</v>
      </c>
      <c r="X1113" s="5">
        <v>2014</v>
      </c>
      <c r="Y1113" s="5" t="s">
        <v>852</v>
      </c>
      <c r="Z1113" s="5" t="s">
        <v>171</v>
      </c>
      <c r="AA1113" s="5">
        <v>643</v>
      </c>
    </row>
    <row r="1114" spans="1:27">
      <c r="A1114" s="3">
        <v>1</v>
      </c>
      <c r="B1114" s="3" t="s">
        <v>198</v>
      </c>
      <c r="C1114" s="3">
        <v>1982</v>
      </c>
      <c r="D1114" s="3" t="s">
        <v>74</v>
      </c>
      <c r="E1114" s="3">
        <v>46.7</v>
      </c>
      <c r="F1114" s="2">
        <v>13511</v>
      </c>
      <c r="G1114" s="3">
        <v>3</v>
      </c>
      <c r="H1114" s="3">
        <v>132.5</v>
      </c>
      <c r="I1114" s="3">
        <v>140</v>
      </c>
      <c r="J1114" s="3">
        <v>145</v>
      </c>
      <c r="K1114" s="4" t="e">
        <f t="array" aca="1" ref="K1114">MAX(H1114:J1114*(1-strike(H1114:J1114)))</f>
        <v>#NAME?</v>
      </c>
      <c r="L1114" s="3">
        <v>67.5</v>
      </c>
      <c r="M1114" s="3">
        <v>72.5</v>
      </c>
      <c r="N1114" s="3">
        <v>77.5</v>
      </c>
      <c r="O1114" s="4" t="e">
        <f t="array" aca="1" ref="O1114">MAX(L1114:N1114*(1-strike(L1114:N1114)))</f>
        <v>#NAME?</v>
      </c>
      <c r="P1114" s="3">
        <v>160</v>
      </c>
      <c r="Q1114" s="3">
        <v>170</v>
      </c>
      <c r="R1114" s="3">
        <v>172.5</v>
      </c>
      <c r="S1114" s="4" t="e">
        <f t="array" aca="1" ref="S1114">MAX(P1114:R1114*(1-strike(P1114:R1114)))</f>
        <v>#NAME?</v>
      </c>
      <c r="T1114" s="4" t="e">
        <f t="shared" si="17"/>
        <v>#NAME?</v>
      </c>
      <c r="U1114" s="3" t="s">
        <v>889</v>
      </c>
      <c r="V1114" s="3">
        <v>533.67999999999995</v>
      </c>
      <c r="W1114" s="3">
        <v>12</v>
      </c>
      <c r="X1114" s="5">
        <v>2012</v>
      </c>
      <c r="Y1114" s="5" t="s">
        <v>852</v>
      </c>
      <c r="Z1114" s="5" t="s">
        <v>30</v>
      </c>
      <c r="AA1114" s="5">
        <v>1543</v>
      </c>
    </row>
    <row r="1115" spans="1:27" ht="15" customHeight="1">
      <c r="A1115" s="3">
        <v>1</v>
      </c>
      <c r="B1115" s="3" t="s">
        <v>198</v>
      </c>
      <c r="C1115" s="3">
        <v>1982</v>
      </c>
      <c r="D1115" s="3" t="s">
        <v>74</v>
      </c>
      <c r="E1115" s="3">
        <v>46.29</v>
      </c>
      <c r="F1115" s="2">
        <v>13596</v>
      </c>
      <c r="G1115" s="3">
        <v>15</v>
      </c>
      <c r="H1115" s="3">
        <v>177.5</v>
      </c>
      <c r="I1115" s="3">
        <v>185</v>
      </c>
      <c r="J1115" s="3">
        <v>190</v>
      </c>
      <c r="K1115" s="4" t="e">
        <f t="array" aca="1" ref="K1115">MAX(H1115:J1115*(1-strike(H1115:J1115)))</f>
        <v>#NAME?</v>
      </c>
      <c r="L1115" s="3">
        <v>80</v>
      </c>
      <c r="M1115" s="3">
        <v>85</v>
      </c>
      <c r="N1115" s="1">
        <v>87.5</v>
      </c>
      <c r="O1115" s="4" t="e">
        <f t="array" aca="1" ref="O1115">MAX(L1115:N1115*(1-strike(L1115:N1115)))</f>
        <v>#NAME?</v>
      </c>
      <c r="P1115" s="3">
        <v>170</v>
      </c>
      <c r="Q1115" s="3">
        <v>180</v>
      </c>
      <c r="R1115" s="1">
        <v>190</v>
      </c>
      <c r="S1115" s="4" t="e">
        <f t="array" aca="1" ref="S1115">MAX(P1115:R1115*(1-strike(P1115:R1115)))</f>
        <v>#NAME?</v>
      </c>
      <c r="T1115" s="4" t="e">
        <f t="shared" si="17"/>
        <v>#NAME?</v>
      </c>
      <c r="U1115" s="3">
        <v>455</v>
      </c>
      <c r="V1115" s="3">
        <v>618.62</v>
      </c>
      <c r="W1115" s="3">
        <v>12</v>
      </c>
      <c r="X1115" s="5">
        <v>2012</v>
      </c>
      <c r="Y1115" s="5" t="s">
        <v>852</v>
      </c>
      <c r="Z1115" s="5" t="s">
        <v>171</v>
      </c>
      <c r="AA1115" s="5">
        <v>1335</v>
      </c>
    </row>
    <row r="1116" spans="1:27">
      <c r="A1116" s="3">
        <v>1</v>
      </c>
      <c r="B1116" s="3" t="s">
        <v>198</v>
      </c>
      <c r="C1116" s="3">
        <v>1982</v>
      </c>
      <c r="D1116" s="3" t="s">
        <v>74</v>
      </c>
      <c r="E1116" s="3">
        <v>46.56</v>
      </c>
      <c r="F1116" s="2">
        <v>13540</v>
      </c>
      <c r="G1116" s="3">
        <v>5</v>
      </c>
      <c r="H1116" s="3">
        <v>190</v>
      </c>
      <c r="I1116" s="3">
        <v>195</v>
      </c>
      <c r="J1116" s="3">
        <v>197.5</v>
      </c>
      <c r="K1116" s="4" t="e">
        <f t="array" aca="1" ref="K1116">MAX(H1116:J1116*(1-strike(H1116:J1116)))</f>
        <v>#NAME?</v>
      </c>
      <c r="L1116" s="3">
        <v>85</v>
      </c>
      <c r="M1116" s="3">
        <v>92.5</v>
      </c>
      <c r="N1116" s="3">
        <v>97.5</v>
      </c>
      <c r="O1116" s="4" t="e">
        <f t="array" aca="1" ref="O1116">MAX(L1116:N1116*(1-strike(L1116:N1116)))</f>
        <v>#NAME?</v>
      </c>
      <c r="P1116" s="3">
        <v>170</v>
      </c>
      <c r="Q1116" s="3">
        <v>180</v>
      </c>
      <c r="R1116" s="3">
        <v>185.5</v>
      </c>
      <c r="S1116" s="4" t="e">
        <f t="array" aca="1" ref="S1116">MAX(P1116:R1116*(1-strike(P1116:R1116)))</f>
        <v>#NAME?</v>
      </c>
      <c r="T1116" s="4" t="e">
        <f t="shared" si="17"/>
        <v>#NAME?</v>
      </c>
      <c r="U1116" s="3" t="s">
        <v>890</v>
      </c>
      <c r="V1116" s="3">
        <v>650.6</v>
      </c>
      <c r="W1116" s="3">
        <v>12</v>
      </c>
      <c r="X1116" s="5">
        <v>2013</v>
      </c>
      <c r="Y1116" s="5" t="s">
        <v>852</v>
      </c>
      <c r="Z1116" s="5" t="s">
        <v>171</v>
      </c>
      <c r="AA1116" s="5">
        <v>933</v>
      </c>
    </row>
    <row r="1117" spans="1:27">
      <c r="A1117" s="4">
        <v>1</v>
      </c>
      <c r="B1117" s="4" t="s">
        <v>198</v>
      </c>
      <c r="C1117" s="4">
        <v>1982</v>
      </c>
      <c r="D1117" s="4" t="s">
        <v>888</v>
      </c>
      <c r="E1117" s="4">
        <v>45.6</v>
      </c>
      <c r="F1117" s="7">
        <v>13741</v>
      </c>
      <c r="G1117" s="4">
        <v>3</v>
      </c>
      <c r="H1117" s="4">
        <v>185</v>
      </c>
      <c r="I1117" s="4">
        <v>195</v>
      </c>
      <c r="J1117" s="4">
        <v>200</v>
      </c>
      <c r="K1117" s="4" t="e">
        <f t="array" aca="1" ref="K1117">MAX(H1117:J1117*(1-strike(H1117:J1117)))</f>
        <v>#NAME?</v>
      </c>
      <c r="L1117" s="4">
        <v>85</v>
      </c>
      <c r="M1117" s="4">
        <v>92.5</v>
      </c>
      <c r="N1117" s="4">
        <v>97.5</v>
      </c>
      <c r="O1117" s="4" t="e">
        <f t="array" aca="1" ref="O1117">MAX(L1117:N1117*(1-strike(L1117:N1117)))</f>
        <v>#NAME?</v>
      </c>
      <c r="P1117" s="4">
        <v>172.5</v>
      </c>
      <c r="Q1117" s="4">
        <v>182.5</v>
      </c>
      <c r="R1117" s="4">
        <v>186</v>
      </c>
      <c r="S1117" s="4" t="e">
        <f t="array" aca="1" ref="S1117">MAX(P1117:R1117*(1-strike(P1117:R1117)))</f>
        <v>#NAME?</v>
      </c>
      <c r="T1117" s="4" t="e">
        <f t="shared" si="17"/>
        <v>#NAME?</v>
      </c>
      <c r="U1117" s="4" t="s">
        <v>891</v>
      </c>
      <c r="V1117" s="4">
        <v>664.37</v>
      </c>
      <c r="W1117" s="4">
        <v>12</v>
      </c>
      <c r="X1117" s="5">
        <v>2014</v>
      </c>
      <c r="Y1117" s="5" t="s">
        <v>852</v>
      </c>
      <c r="Z1117" s="4" t="s">
        <v>171</v>
      </c>
      <c r="AA1117" s="5">
        <v>569</v>
      </c>
    </row>
    <row r="1118" spans="1:27">
      <c r="A1118" s="3">
        <v>4</v>
      </c>
      <c r="B1118" s="3" t="s">
        <v>892</v>
      </c>
      <c r="C1118" s="3">
        <v>1986</v>
      </c>
      <c r="D1118" s="3" t="s">
        <v>39</v>
      </c>
      <c r="E1118" s="3">
        <v>56.6</v>
      </c>
      <c r="F1118" s="2">
        <v>11668</v>
      </c>
      <c r="G1118" s="3">
        <v>8</v>
      </c>
      <c r="H1118" s="3">
        <v>130</v>
      </c>
      <c r="I1118" s="1">
        <v>137.5</v>
      </c>
      <c r="J1118" s="1">
        <v>137.5</v>
      </c>
      <c r="K1118" s="4" t="e">
        <f t="array" aca="1" ref="K1118">MAX(H1118:J1118*(1-strike(H1118:J1118)))</f>
        <v>#NAME?</v>
      </c>
      <c r="L1118" s="3">
        <v>77.5</v>
      </c>
      <c r="M1118" s="3">
        <v>82.5</v>
      </c>
      <c r="N1118" s="1">
        <v>85</v>
      </c>
      <c r="O1118" s="4" t="e">
        <f t="array" aca="1" ref="O1118">MAX(L1118:N1118*(1-strike(L1118:N1118)))</f>
        <v>#NAME?</v>
      </c>
      <c r="P1118" s="3">
        <v>132.5</v>
      </c>
      <c r="Q1118" s="3">
        <v>137.5</v>
      </c>
      <c r="R1118" s="3">
        <v>142.5</v>
      </c>
      <c r="S1118" s="4" t="e">
        <f t="array" aca="1" ref="S1118">MAX(P1118:R1118*(1-strike(P1118:R1118)))</f>
        <v>#NAME?</v>
      </c>
      <c r="T1118" s="4" t="e">
        <f t="shared" si="17"/>
        <v>#NAME?</v>
      </c>
      <c r="U1118" s="3">
        <v>355</v>
      </c>
      <c r="V1118" s="3">
        <v>414.21</v>
      </c>
      <c r="W1118" s="3">
        <v>7</v>
      </c>
      <c r="X1118" s="5">
        <v>2013</v>
      </c>
      <c r="Y1118" s="5" t="s">
        <v>852</v>
      </c>
      <c r="Z1118" s="5" t="s">
        <v>30</v>
      </c>
      <c r="AA1118" s="5">
        <v>1147</v>
      </c>
    </row>
    <row r="1119" spans="1:27">
      <c r="A1119" s="3">
        <v>6</v>
      </c>
      <c r="B1119" s="3" t="s">
        <v>201</v>
      </c>
      <c r="C1119" s="3">
        <v>1982</v>
      </c>
      <c r="D1119" s="3" t="s">
        <v>74</v>
      </c>
      <c r="E1119" s="3">
        <v>56.33</v>
      </c>
      <c r="F1119" s="2">
        <v>11712</v>
      </c>
      <c r="G1119" s="3">
        <v>8</v>
      </c>
      <c r="H1119" s="3">
        <v>170</v>
      </c>
      <c r="I1119" s="3">
        <v>175</v>
      </c>
      <c r="J1119" s="1">
        <v>177.5</v>
      </c>
      <c r="K1119" s="4" t="e">
        <f t="array" aca="1" ref="K1119">MAX(H1119:J1119*(1-strike(H1119:J1119)))</f>
        <v>#NAME?</v>
      </c>
      <c r="L1119" s="3">
        <v>90</v>
      </c>
      <c r="M1119" s="3">
        <v>97.5</v>
      </c>
      <c r="N1119" s="1">
        <v>102.5</v>
      </c>
      <c r="O1119" s="4" t="e">
        <f t="array" aca="1" ref="O1119">MAX(L1119:N1119*(1-strike(L1119:N1119)))</f>
        <v>#NAME?</v>
      </c>
      <c r="P1119" s="3">
        <v>185</v>
      </c>
      <c r="Q1119" s="1">
        <v>192.5</v>
      </c>
      <c r="R1119" s="1">
        <v>195</v>
      </c>
      <c r="S1119" s="4" t="e">
        <f t="array" aca="1" ref="S1119">MAX(P1119:R1119*(1-strike(P1119:R1119)))</f>
        <v>#NAME?</v>
      </c>
      <c r="T1119" s="4" t="e">
        <f t="shared" si="17"/>
        <v>#NAME?</v>
      </c>
      <c r="U1119" s="3">
        <v>457.5</v>
      </c>
      <c r="V1119" s="3">
        <v>535.83000000000004</v>
      </c>
      <c r="W1119" s="3">
        <v>5</v>
      </c>
      <c r="X1119" s="5">
        <v>2012</v>
      </c>
      <c r="Y1119" s="5" t="s">
        <v>852</v>
      </c>
      <c r="Z1119" s="5" t="s">
        <v>171</v>
      </c>
      <c r="AA1119" s="5">
        <v>1362</v>
      </c>
    </row>
    <row r="1120" spans="1:27">
      <c r="A1120" s="3">
        <v>4</v>
      </c>
      <c r="B1120" s="3" t="s">
        <v>201</v>
      </c>
      <c r="C1120" s="3">
        <v>1982</v>
      </c>
      <c r="D1120" s="3" t="s">
        <v>74</v>
      </c>
      <c r="E1120" s="3">
        <v>56.76</v>
      </c>
      <c r="F1120" s="2">
        <v>11642</v>
      </c>
      <c r="G1120" s="3">
        <v>1</v>
      </c>
      <c r="H1120" s="3">
        <v>165</v>
      </c>
      <c r="I1120" s="3">
        <v>172.5</v>
      </c>
      <c r="J1120" s="1">
        <v>177.5</v>
      </c>
      <c r="K1120" s="4" t="e">
        <f t="array" aca="1" ref="K1120">MAX(H1120:J1120*(1-strike(H1120:J1120)))</f>
        <v>#NAME?</v>
      </c>
      <c r="L1120" s="3">
        <v>92.5</v>
      </c>
      <c r="M1120" s="1">
        <v>97.5</v>
      </c>
      <c r="N1120" s="3">
        <v>100</v>
      </c>
      <c r="O1120" s="4" t="e">
        <f t="array" aca="1" ref="O1120">MAX(L1120:N1120*(1-strike(L1120:N1120)))</f>
        <v>#NAME?</v>
      </c>
      <c r="P1120" s="3">
        <v>190</v>
      </c>
      <c r="Q1120" s="3">
        <v>197.5</v>
      </c>
      <c r="R1120" s="3">
        <v>200</v>
      </c>
      <c r="S1120" s="4" t="e">
        <f t="array" aca="1" ref="S1120">MAX(P1120:R1120*(1-strike(P1120:R1120)))</f>
        <v>#NAME?</v>
      </c>
      <c r="T1120" s="4" t="e">
        <f t="shared" si="17"/>
        <v>#NAME?</v>
      </c>
      <c r="U1120" s="3">
        <v>472.5</v>
      </c>
      <c r="V1120" s="3">
        <v>550.08000000000004</v>
      </c>
      <c r="W1120" s="3">
        <v>7</v>
      </c>
      <c r="X1120" s="5">
        <v>2013</v>
      </c>
      <c r="Y1120" s="5" t="s">
        <v>852</v>
      </c>
      <c r="Z1120" s="5" t="s">
        <v>171</v>
      </c>
      <c r="AA1120" s="5">
        <v>958</v>
      </c>
    </row>
    <row r="1121" spans="1:27">
      <c r="A1121" s="4">
        <v>5</v>
      </c>
      <c r="B1121" s="4" t="s">
        <v>201</v>
      </c>
      <c r="C1121" s="4">
        <v>1982</v>
      </c>
      <c r="D1121" s="4" t="s">
        <v>888</v>
      </c>
      <c r="E1121" s="4">
        <v>56.16</v>
      </c>
      <c r="F1121" s="7">
        <v>11733</v>
      </c>
      <c r="G1121" s="4">
        <v>2</v>
      </c>
      <c r="H1121" s="6">
        <v>160</v>
      </c>
      <c r="I1121" s="4">
        <v>160</v>
      </c>
      <c r="J1121" s="4">
        <v>165</v>
      </c>
      <c r="K1121" s="4" t="e">
        <f t="array" aca="1" ref="K1121">MAX(H1121:J1121*(1-strike(H1121:J1121)))</f>
        <v>#NAME?</v>
      </c>
      <c r="L1121" s="4">
        <v>85</v>
      </c>
      <c r="M1121" s="4">
        <v>90</v>
      </c>
      <c r="N1121" s="4">
        <v>92.5</v>
      </c>
      <c r="O1121" s="4" t="e">
        <f t="array" aca="1" ref="O1121">MAX(L1121:N1121*(1-strike(L1121:N1121)))</f>
        <v>#NAME?</v>
      </c>
      <c r="P1121" s="4">
        <v>190</v>
      </c>
      <c r="Q1121" s="6">
        <v>197.5</v>
      </c>
      <c r="R1121" s="6">
        <v>197.5</v>
      </c>
      <c r="S1121" s="4" t="e">
        <f t="array" aca="1" ref="S1121">MAX(P1121:R1121*(1-strike(P1121:R1121)))</f>
        <v>#NAME?</v>
      </c>
      <c r="T1121" s="4" t="e">
        <f t="shared" si="17"/>
        <v>#NAME?</v>
      </c>
      <c r="U1121" s="4">
        <v>447.5</v>
      </c>
      <c r="V1121" s="4">
        <v>525.04999999999995</v>
      </c>
      <c r="W1121" s="4">
        <v>6</v>
      </c>
      <c r="X1121" s="5">
        <v>2014</v>
      </c>
      <c r="Y1121" s="5" t="s">
        <v>852</v>
      </c>
      <c r="Z1121" s="5" t="s">
        <v>171</v>
      </c>
      <c r="AA1121" s="5">
        <v>594</v>
      </c>
    </row>
    <row r="1122" spans="1:27">
      <c r="A1122" s="3">
        <v>6</v>
      </c>
      <c r="B1122" s="3" t="s">
        <v>202</v>
      </c>
      <c r="C1122" s="3">
        <v>1980</v>
      </c>
      <c r="D1122" s="3" t="s">
        <v>74</v>
      </c>
      <c r="E1122" s="3">
        <v>50.82</v>
      </c>
      <c r="F1122" s="2">
        <v>12688</v>
      </c>
      <c r="G1122" s="3">
        <v>4</v>
      </c>
      <c r="H1122" s="3">
        <v>165</v>
      </c>
      <c r="I1122" s="1">
        <v>172.5</v>
      </c>
      <c r="J1122" s="1">
        <v>172.5</v>
      </c>
      <c r="K1122" s="4" t="e">
        <f t="array" aca="1" ref="K1122">MAX(H1122:J1122*(1-strike(H1122:J1122)))</f>
        <v>#NAME?</v>
      </c>
      <c r="L1122" s="3">
        <v>75</v>
      </c>
      <c r="M1122" s="3">
        <v>80</v>
      </c>
      <c r="N1122" s="3">
        <v>82.5</v>
      </c>
      <c r="O1122" s="4" t="e">
        <f t="array" aca="1" ref="O1122">MAX(L1122:N1122*(1-strike(L1122:N1122)))</f>
        <v>#NAME?</v>
      </c>
      <c r="P1122" s="3">
        <v>180</v>
      </c>
      <c r="Q1122" s="3">
        <v>187.5</v>
      </c>
      <c r="R1122" s="1">
        <v>195.5</v>
      </c>
      <c r="S1122" s="4" t="e">
        <f t="array" aca="1" ref="S1122">MAX(P1122:R1122*(1-strike(P1122:R1122)))</f>
        <v>#NAME?</v>
      </c>
      <c r="T1122" s="4" t="e">
        <f t="shared" si="17"/>
        <v>#NAME?</v>
      </c>
      <c r="U1122" s="3">
        <v>435</v>
      </c>
      <c r="V1122" s="3">
        <v>551.92999999999995</v>
      </c>
      <c r="W1122" s="3">
        <v>5</v>
      </c>
      <c r="X1122" s="5">
        <v>2012</v>
      </c>
      <c r="Y1122" s="5" t="s">
        <v>852</v>
      </c>
      <c r="Z1122" s="5" t="s">
        <v>171</v>
      </c>
      <c r="AA1122" s="5">
        <v>1347</v>
      </c>
    </row>
    <row r="1123" spans="1:27">
      <c r="A1123" s="3">
        <v>9</v>
      </c>
      <c r="B1123" s="3" t="s">
        <v>202</v>
      </c>
      <c r="C1123" s="3">
        <v>1980</v>
      </c>
      <c r="D1123" s="3" t="s">
        <v>74</v>
      </c>
      <c r="E1123" s="3">
        <v>51.07</v>
      </c>
      <c r="F1123" s="2">
        <v>12641</v>
      </c>
      <c r="G1123" s="3">
        <v>10</v>
      </c>
      <c r="H1123" s="3">
        <v>150</v>
      </c>
      <c r="I1123" s="1">
        <v>155</v>
      </c>
      <c r="J1123" s="3"/>
      <c r="K1123" s="4" t="e">
        <f t="array" aca="1" ref="K1123">MAX(H1123:J1123*(1-strike(H1123:J1123)))</f>
        <v>#NAME?</v>
      </c>
      <c r="L1123" s="3">
        <v>65</v>
      </c>
      <c r="M1123" s="3">
        <v>72.5</v>
      </c>
      <c r="N1123" s="3">
        <v>77.5</v>
      </c>
      <c r="O1123" s="4" t="e">
        <f t="array" aca="1" ref="O1123">MAX(L1123:N1123*(1-strike(L1123:N1123)))</f>
        <v>#NAME?</v>
      </c>
      <c r="P1123" s="3">
        <v>172.5</v>
      </c>
      <c r="Q1123" s="3">
        <v>185</v>
      </c>
      <c r="R1123" s="1">
        <v>190</v>
      </c>
      <c r="S1123" s="4" t="e">
        <f t="array" aca="1" ref="S1123">MAX(P1123:R1123*(1-strike(P1123:R1123)))</f>
        <v>#NAME?</v>
      </c>
      <c r="T1123" s="4" t="e">
        <f t="shared" si="17"/>
        <v>#NAME?</v>
      </c>
      <c r="U1123" s="3">
        <v>412.5</v>
      </c>
      <c r="V1123" s="3">
        <v>521.44000000000005</v>
      </c>
      <c r="W1123" s="3">
        <v>2</v>
      </c>
      <c r="X1123" s="5">
        <v>2013</v>
      </c>
      <c r="Y1123" s="5" t="s">
        <v>852</v>
      </c>
      <c r="Z1123" s="5" t="s">
        <v>171</v>
      </c>
      <c r="AA1123" s="5">
        <v>947</v>
      </c>
    </row>
    <row r="1124" spans="1:27">
      <c r="A1124" s="4">
        <v>7</v>
      </c>
      <c r="B1124" s="4" t="s">
        <v>202</v>
      </c>
      <c r="C1124" s="4">
        <v>1980</v>
      </c>
      <c r="D1124" s="4" t="s">
        <v>888</v>
      </c>
      <c r="E1124" s="4">
        <v>49.78</v>
      </c>
      <c r="F1124" s="7">
        <v>12885</v>
      </c>
      <c r="G1124" s="4">
        <v>13</v>
      </c>
      <c r="H1124" s="4">
        <v>140</v>
      </c>
      <c r="I1124" s="4">
        <v>150</v>
      </c>
      <c r="J1124" s="4">
        <v>155</v>
      </c>
      <c r="K1124" s="4" t="e">
        <f t="array" aca="1" ref="K1124">MAX(H1124:J1124*(1-strike(H1124:J1124)))</f>
        <v>#NAME?</v>
      </c>
      <c r="L1124" s="4">
        <v>65</v>
      </c>
      <c r="M1124" s="4">
        <v>72.5</v>
      </c>
      <c r="N1124" s="4">
        <v>75</v>
      </c>
      <c r="O1124" s="4" t="e">
        <f t="array" aca="1" ref="O1124">MAX(L1124:N1124*(1-strike(L1124:N1124)))</f>
        <v>#NAME?</v>
      </c>
      <c r="P1124" s="4">
        <v>175</v>
      </c>
      <c r="Q1124" s="4">
        <v>187.5</v>
      </c>
      <c r="R1124" s="4">
        <v>192.5</v>
      </c>
      <c r="S1124" s="4" t="e">
        <f t="array" aca="1" ref="S1124">MAX(P1124:R1124*(1-strike(P1124:R1124)))</f>
        <v>#NAME?</v>
      </c>
      <c r="T1124" s="4" t="e">
        <f t="shared" si="17"/>
        <v>#NAME?</v>
      </c>
      <c r="U1124" s="4">
        <v>422.5</v>
      </c>
      <c r="V1124" s="4">
        <v>544.39</v>
      </c>
      <c r="W1124" s="4">
        <v>4</v>
      </c>
      <c r="X1124" s="5">
        <v>2014</v>
      </c>
      <c r="Y1124" s="5" t="s">
        <v>852</v>
      </c>
      <c r="Z1124" s="5" t="s">
        <v>171</v>
      </c>
      <c r="AA1124" s="5">
        <v>582</v>
      </c>
    </row>
    <row r="1125" spans="1:27">
      <c r="A1125" s="3">
        <v>9</v>
      </c>
      <c r="B1125" s="3" t="s">
        <v>203</v>
      </c>
      <c r="C1125" s="3">
        <v>1987</v>
      </c>
      <c r="D1125" s="3" t="s">
        <v>125</v>
      </c>
      <c r="E1125" s="3">
        <v>56.94</v>
      </c>
      <c r="F1125" s="2">
        <v>11614</v>
      </c>
      <c r="G1125" s="3">
        <v>3</v>
      </c>
      <c r="H1125" s="3">
        <v>135</v>
      </c>
      <c r="I1125" s="3">
        <v>150</v>
      </c>
      <c r="J1125" s="1">
        <v>160</v>
      </c>
      <c r="K1125" s="4" t="e">
        <f t="array" aca="1" ref="K1125">MAX(H1125:J1125*(1-strike(H1125:J1125)))</f>
        <v>#NAME?</v>
      </c>
      <c r="L1125" s="3">
        <v>82.5</v>
      </c>
      <c r="M1125" s="3">
        <v>85</v>
      </c>
      <c r="N1125" s="1">
        <v>87.5</v>
      </c>
      <c r="O1125" s="4" t="e">
        <f t="array" aca="1" ref="O1125">MAX(L1125:N1125*(1-strike(L1125:N1125)))</f>
        <v>#NAME?</v>
      </c>
      <c r="P1125" s="3">
        <v>140</v>
      </c>
      <c r="Q1125" s="3">
        <v>155</v>
      </c>
      <c r="R1125" s="3">
        <v>160</v>
      </c>
      <c r="S1125" s="4" t="e">
        <f t="array" aca="1" ref="S1125">MAX(P1125:R1125*(1-strike(P1125:R1125)))</f>
        <v>#NAME?</v>
      </c>
      <c r="T1125" s="4" t="e">
        <f t="shared" si="17"/>
        <v>#NAME?</v>
      </c>
      <c r="U1125" s="3">
        <v>395</v>
      </c>
      <c r="V1125" s="3">
        <v>458.75</v>
      </c>
      <c r="W1125" s="3">
        <v>2</v>
      </c>
      <c r="X1125" s="5">
        <v>2013</v>
      </c>
      <c r="Y1125" s="5" t="s">
        <v>852</v>
      </c>
      <c r="Z1125" s="5" t="s">
        <v>171</v>
      </c>
      <c r="AA1125" s="5">
        <v>963</v>
      </c>
    </row>
    <row r="1126" spans="1:27">
      <c r="A1126" s="4">
        <v>10</v>
      </c>
      <c r="B1126" s="4" t="s">
        <v>203</v>
      </c>
      <c r="C1126" s="4">
        <v>1987</v>
      </c>
      <c r="D1126" s="4" t="s">
        <v>893</v>
      </c>
      <c r="E1126" s="4">
        <v>57.68</v>
      </c>
      <c r="F1126" s="7">
        <v>11494</v>
      </c>
      <c r="G1126" s="4">
        <v>4</v>
      </c>
      <c r="H1126" s="4">
        <v>147.5</v>
      </c>
      <c r="I1126" s="4">
        <v>155</v>
      </c>
      <c r="J1126" s="4">
        <v>162.5</v>
      </c>
      <c r="K1126" s="4" t="e">
        <f t="array" aca="1" ref="K1126">MAX(H1126:J1126*(1-strike(H1126:J1126)))</f>
        <v>#NAME?</v>
      </c>
      <c r="L1126" s="6">
        <v>85</v>
      </c>
      <c r="M1126" s="4">
        <v>85</v>
      </c>
      <c r="N1126" s="6">
        <v>90</v>
      </c>
      <c r="O1126" s="4" t="e">
        <f t="array" aca="1" ref="O1126">MAX(L1126:N1126*(1-strike(L1126:N1126)))</f>
        <v>#NAME?</v>
      </c>
      <c r="P1126" s="4">
        <v>150</v>
      </c>
      <c r="Q1126" s="4">
        <v>157.5</v>
      </c>
      <c r="R1126" s="4">
        <v>162.5</v>
      </c>
      <c r="S1126" s="4" t="e">
        <f t="array" aca="1" ref="S1126">MAX(P1126:R1126*(1-strike(P1126:R1126)))</f>
        <v>#NAME?</v>
      </c>
      <c r="T1126" s="4" t="e">
        <f t="shared" si="17"/>
        <v>#NAME?</v>
      </c>
      <c r="U1126" s="4">
        <v>410</v>
      </c>
      <c r="V1126" s="4">
        <v>471.25</v>
      </c>
      <c r="W1126" s="4">
        <v>1</v>
      </c>
      <c r="X1126" s="5">
        <v>2014</v>
      </c>
      <c r="Y1126" s="5" t="s">
        <v>852</v>
      </c>
      <c r="Z1126" s="5" t="s">
        <v>171</v>
      </c>
      <c r="AA1126" s="5">
        <v>612</v>
      </c>
    </row>
    <row r="1127" spans="1:27">
      <c r="A1127" s="3">
        <v>7</v>
      </c>
      <c r="B1127" s="3" t="s">
        <v>204</v>
      </c>
      <c r="C1127" s="3">
        <v>1980</v>
      </c>
      <c r="D1127" s="3" t="s">
        <v>56</v>
      </c>
      <c r="E1127" s="3">
        <v>62.35</v>
      </c>
      <c r="F1127" s="2">
        <v>10825</v>
      </c>
      <c r="G1127" s="3">
        <v>17</v>
      </c>
      <c r="H1127" s="1">
        <v>145</v>
      </c>
      <c r="I1127" s="3">
        <v>145</v>
      </c>
      <c r="J1127" s="3">
        <v>152.5</v>
      </c>
      <c r="K1127" s="4" t="e">
        <f t="array" aca="1" ref="K1127">MAX(H1127:J1127*(1-strike(H1127:J1127)))</f>
        <v>#NAME?</v>
      </c>
      <c r="L1127" s="3">
        <v>67.5</v>
      </c>
      <c r="M1127" s="3">
        <v>72.5</v>
      </c>
      <c r="N1127" s="1">
        <v>75</v>
      </c>
      <c r="O1127" s="4" t="e">
        <f t="array" aca="1" ref="O1127">MAX(L1127:N1127*(1-strike(L1127:N1127)))</f>
        <v>#NAME?</v>
      </c>
      <c r="P1127" s="3">
        <v>150</v>
      </c>
      <c r="Q1127" s="3">
        <v>162.5</v>
      </c>
      <c r="R1127" s="1">
        <v>170</v>
      </c>
      <c r="S1127" s="4" t="e">
        <f t="array" aca="1" ref="S1127">MAX(P1127:R1127*(1-strike(P1127:R1127)))</f>
        <v>#NAME?</v>
      </c>
      <c r="T1127" s="4" t="e">
        <f t="shared" si="17"/>
        <v>#NAME?</v>
      </c>
      <c r="U1127" s="3">
        <v>387.5</v>
      </c>
      <c r="V1127" s="3">
        <v>419.45</v>
      </c>
      <c r="W1127" s="3">
        <v>4</v>
      </c>
      <c r="X1127" s="5">
        <v>2014</v>
      </c>
      <c r="Y1127" s="5" t="s">
        <v>852</v>
      </c>
      <c r="Z1127" s="5" t="s">
        <v>30</v>
      </c>
      <c r="AA1127" s="5">
        <v>785</v>
      </c>
    </row>
    <row r="1128" spans="1:27">
      <c r="A1128" s="3">
        <v>9</v>
      </c>
      <c r="B1128" s="3" t="s">
        <v>894</v>
      </c>
      <c r="C1128" s="3">
        <v>1985</v>
      </c>
      <c r="D1128" s="3" t="s">
        <v>194</v>
      </c>
      <c r="E1128" s="3">
        <v>67</v>
      </c>
      <c r="F1128" s="2">
        <v>10261</v>
      </c>
      <c r="G1128" s="3">
        <v>7</v>
      </c>
      <c r="H1128" s="3">
        <v>100</v>
      </c>
      <c r="I1128" s="3">
        <v>110</v>
      </c>
      <c r="J1128" s="1">
        <v>115</v>
      </c>
      <c r="K1128" s="4" t="e">
        <f t="array" aca="1" ref="K1128">MAX(H1128:J1128*(1-strike(H1128:J1128)))</f>
        <v>#NAME?</v>
      </c>
      <c r="L1128" s="3">
        <v>50</v>
      </c>
      <c r="M1128" s="3">
        <v>55</v>
      </c>
      <c r="N1128" s="1">
        <v>60</v>
      </c>
      <c r="O1128" s="4" t="e">
        <f t="array" aca="1" ref="O1128">MAX(L1128:N1128*(1-strike(L1128:N1128)))</f>
        <v>#NAME?</v>
      </c>
      <c r="P1128" s="3">
        <v>130</v>
      </c>
      <c r="Q1128" s="3">
        <v>145</v>
      </c>
      <c r="R1128" s="1">
        <v>162.5</v>
      </c>
      <c r="S1128" s="4" t="e">
        <f t="array" aca="1" ref="S1128">MAX(P1128:R1128*(1-strike(P1128:R1128)))</f>
        <v>#NAME?</v>
      </c>
      <c r="T1128" s="4" t="e">
        <f t="shared" si="17"/>
        <v>#NAME?</v>
      </c>
      <c r="U1128" s="3">
        <v>310</v>
      </c>
      <c r="V1128" s="3">
        <v>318.08999999999997</v>
      </c>
      <c r="W1128" s="3">
        <v>2</v>
      </c>
      <c r="X1128" s="5">
        <v>2014</v>
      </c>
      <c r="Y1128" s="5" t="s">
        <v>852</v>
      </c>
      <c r="Z1128" s="5" t="s">
        <v>30</v>
      </c>
      <c r="AA1128" s="5">
        <v>799</v>
      </c>
    </row>
    <row r="1129" spans="1:27">
      <c r="A1129" s="3">
        <v>8</v>
      </c>
      <c r="B1129" s="3" t="s">
        <v>895</v>
      </c>
      <c r="C1129" s="3">
        <v>1963</v>
      </c>
      <c r="D1129" s="3" t="s">
        <v>113</v>
      </c>
      <c r="E1129" s="3">
        <v>114.35</v>
      </c>
      <c r="F1129" s="3">
        <v>0.80669999999999997</v>
      </c>
      <c r="G1129" s="3">
        <v>8</v>
      </c>
      <c r="H1129" s="1">
        <v>105</v>
      </c>
      <c r="I1129" s="3">
        <v>105</v>
      </c>
      <c r="J1129" s="3">
        <v>107.5</v>
      </c>
      <c r="K1129" s="4" t="e">
        <f t="array" aca="1" ref="K1129">MAX(H1129:J1129*(1-strike(H1129:J1129)))</f>
        <v>#NAME?</v>
      </c>
      <c r="L1129" s="3">
        <v>65</v>
      </c>
      <c r="M1129" s="3">
        <v>70</v>
      </c>
      <c r="N1129" s="3">
        <v>72.5</v>
      </c>
      <c r="O1129" s="4" t="e">
        <f t="array" aca="1" ref="O1129">MAX(L1129:N1129*(1-strike(L1129:N1129)))</f>
        <v>#NAME?</v>
      </c>
      <c r="P1129" s="3">
        <v>120</v>
      </c>
      <c r="Q1129" s="3">
        <v>135</v>
      </c>
      <c r="R1129" s="3">
        <v>142.5</v>
      </c>
      <c r="S1129" s="4" t="e">
        <f t="array" aca="1" ref="S1129">MAX(P1129:R1129*(1-strike(P1129:R1129)))</f>
        <v>#NAME?</v>
      </c>
      <c r="T1129" s="4" t="e">
        <f t="shared" si="17"/>
        <v>#NAME?</v>
      </c>
      <c r="U1129" s="3">
        <v>322.5</v>
      </c>
      <c r="V1129" s="3">
        <v>260.18</v>
      </c>
      <c r="W1129" s="3">
        <v>3</v>
      </c>
      <c r="X1129" s="5">
        <v>2013</v>
      </c>
      <c r="Y1129" s="5" t="s">
        <v>852</v>
      </c>
      <c r="Z1129" s="5" t="s">
        <v>30</v>
      </c>
      <c r="AA1129" s="5">
        <v>1188</v>
      </c>
    </row>
    <row r="1130" spans="1:27">
      <c r="A1130" s="3">
        <v>5</v>
      </c>
      <c r="B1130" s="3" t="s">
        <v>896</v>
      </c>
      <c r="C1130" s="3">
        <v>1954</v>
      </c>
      <c r="D1130" s="3" t="s">
        <v>51</v>
      </c>
      <c r="E1130" s="3">
        <v>44.55</v>
      </c>
      <c r="F1130" s="2">
        <v>13963</v>
      </c>
      <c r="G1130" s="3">
        <v>5</v>
      </c>
      <c r="H1130" s="3">
        <v>62.5</v>
      </c>
      <c r="I1130" s="3">
        <v>67.5</v>
      </c>
      <c r="J1130" s="3">
        <v>70</v>
      </c>
      <c r="K1130" s="4" t="e">
        <f t="array" aca="1" ref="K1130">MAX(H1130:J1130*(1-strike(H1130:J1130)))</f>
        <v>#NAME?</v>
      </c>
      <c r="L1130" s="3">
        <v>47.5</v>
      </c>
      <c r="M1130" s="3">
        <v>50</v>
      </c>
      <c r="N1130" s="1">
        <v>52.5</v>
      </c>
      <c r="O1130" s="4" t="e">
        <f t="array" aca="1" ref="O1130">MAX(L1130:N1130*(1-strike(L1130:N1130)))</f>
        <v>#NAME?</v>
      </c>
      <c r="P1130" s="3">
        <v>105</v>
      </c>
      <c r="Q1130" s="3">
        <v>112.5</v>
      </c>
      <c r="R1130" s="3">
        <v>117.5</v>
      </c>
      <c r="S1130" s="4" t="e">
        <f t="array" aca="1" ref="S1130">MAX(P1130:R1130*(1-strike(P1130:R1130)))</f>
        <v>#NAME?</v>
      </c>
      <c r="T1130" s="4" t="e">
        <f t="shared" si="17"/>
        <v>#NAME?</v>
      </c>
      <c r="U1130" s="3">
        <v>237.5</v>
      </c>
      <c r="V1130" s="3">
        <v>331.63</v>
      </c>
      <c r="W1130" s="3">
        <v>6</v>
      </c>
      <c r="X1130" s="5">
        <v>2012</v>
      </c>
      <c r="Y1130" s="5" t="s">
        <v>852</v>
      </c>
      <c r="Z1130" s="5" t="s">
        <v>30</v>
      </c>
      <c r="AA1130" s="5">
        <v>1547</v>
      </c>
    </row>
    <row r="1131" spans="1:27">
      <c r="A1131" s="3">
        <v>9</v>
      </c>
      <c r="B1131" s="3" t="s">
        <v>897</v>
      </c>
      <c r="C1131" s="3">
        <v>1954</v>
      </c>
      <c r="D1131" s="3" t="s">
        <v>51</v>
      </c>
      <c r="E1131" s="3">
        <v>45.4</v>
      </c>
      <c r="F1131" s="2">
        <v>13783</v>
      </c>
      <c r="G1131" s="3">
        <v>7</v>
      </c>
      <c r="H1131" s="3">
        <v>65</v>
      </c>
      <c r="I1131" s="3">
        <v>72.5</v>
      </c>
      <c r="J1131" s="1">
        <v>77.5</v>
      </c>
      <c r="K1131" s="4" t="e">
        <f t="array" aca="1" ref="K1131">MAX(H1131:J1131*(1-strike(H1131:J1131)))</f>
        <v>#NAME?</v>
      </c>
      <c r="L1131" s="3">
        <v>45</v>
      </c>
      <c r="M1131" s="3">
        <v>47.5</v>
      </c>
      <c r="N1131" s="3">
        <v>50</v>
      </c>
      <c r="O1131" s="4" t="e">
        <f t="array" aca="1" ref="O1131">MAX(L1131:N1131*(1-strike(L1131:N1131)))</f>
        <v>#NAME?</v>
      </c>
      <c r="P1131" s="3">
        <v>105</v>
      </c>
      <c r="Q1131" s="3">
        <v>112.5</v>
      </c>
      <c r="R1131" s="3">
        <v>117.5</v>
      </c>
      <c r="S1131" s="4" t="e">
        <f t="array" aca="1" ref="S1131">MAX(P1131:R1131*(1-strike(P1131:R1131)))</f>
        <v>#NAME?</v>
      </c>
      <c r="T1131" s="4" t="e">
        <f t="shared" si="17"/>
        <v>#NAME?</v>
      </c>
      <c r="U1131" s="3">
        <v>240</v>
      </c>
      <c r="V1131" s="3">
        <v>330.79</v>
      </c>
      <c r="W1131" s="3">
        <v>2</v>
      </c>
      <c r="X1131" s="5">
        <v>2013</v>
      </c>
      <c r="Y1131" s="5" t="s">
        <v>852</v>
      </c>
      <c r="Z1131" s="5" t="s">
        <v>30</v>
      </c>
      <c r="AA1131" s="5">
        <v>1131</v>
      </c>
    </row>
    <row r="1132" spans="1:27">
      <c r="A1132" s="3">
        <v>6</v>
      </c>
      <c r="B1132" s="3" t="s">
        <v>898</v>
      </c>
      <c r="C1132" s="3">
        <v>1980</v>
      </c>
      <c r="D1132" s="3" t="s">
        <v>336</v>
      </c>
      <c r="E1132" s="3">
        <v>99.6</v>
      </c>
      <c r="F1132" s="3">
        <v>0.83360000000000001</v>
      </c>
      <c r="G1132" s="3">
        <v>13</v>
      </c>
      <c r="H1132" s="3">
        <v>185</v>
      </c>
      <c r="I1132" s="1">
        <v>200</v>
      </c>
      <c r="J1132" s="3">
        <v>210</v>
      </c>
      <c r="K1132" s="4" t="e">
        <f t="array" aca="1" ref="K1132">MAX(H1132:J1132*(1-strike(H1132:J1132)))</f>
        <v>#NAME?</v>
      </c>
      <c r="L1132" s="3">
        <v>122.5</v>
      </c>
      <c r="M1132" s="3">
        <v>132.5</v>
      </c>
      <c r="N1132" s="3">
        <v>140</v>
      </c>
      <c r="O1132" s="4" t="e">
        <f t="array" aca="1" ref="O1132">MAX(L1132:N1132*(1-strike(L1132:N1132)))</f>
        <v>#NAME?</v>
      </c>
      <c r="P1132" s="3">
        <v>185</v>
      </c>
      <c r="Q1132" s="3">
        <v>200</v>
      </c>
      <c r="R1132" s="3">
        <v>212.5</v>
      </c>
      <c r="S1132" s="4" t="e">
        <f t="array" aca="1" ref="S1132">MAX(P1132:R1132*(1-strike(P1132:R1132)))</f>
        <v>#NAME?</v>
      </c>
      <c r="T1132" s="4" t="e">
        <f t="shared" si="17"/>
        <v>#NAME?</v>
      </c>
      <c r="U1132" s="3">
        <v>562.5</v>
      </c>
      <c r="V1132" s="3">
        <v>468.9</v>
      </c>
      <c r="W1132" s="3">
        <v>5</v>
      </c>
      <c r="X1132" s="5">
        <v>2012</v>
      </c>
      <c r="Y1132" s="5" t="s">
        <v>852</v>
      </c>
      <c r="Z1132" s="5" t="s">
        <v>171</v>
      </c>
      <c r="AA1132" s="5">
        <v>1419</v>
      </c>
    </row>
    <row r="1133" spans="1:27">
      <c r="A1133" s="3">
        <v>8</v>
      </c>
      <c r="B1133" s="3" t="s">
        <v>898</v>
      </c>
      <c r="C1133" s="3">
        <v>1980</v>
      </c>
      <c r="D1133" s="3" t="s">
        <v>336</v>
      </c>
      <c r="E1133" s="3">
        <v>96.31</v>
      </c>
      <c r="F1133" s="3">
        <v>0.84240000000000004</v>
      </c>
      <c r="G1133" s="3">
        <v>19</v>
      </c>
      <c r="H1133" s="3">
        <v>200</v>
      </c>
      <c r="I1133" s="1">
        <v>215</v>
      </c>
      <c r="J1133" s="1">
        <v>222.5</v>
      </c>
      <c r="K1133" s="4" t="e">
        <f t="array" aca="1" ref="K1133">MAX(H1133:J1133*(1-strike(H1133:J1133)))</f>
        <v>#NAME?</v>
      </c>
      <c r="L1133" s="3">
        <v>145</v>
      </c>
      <c r="M1133" s="1">
        <v>152.5</v>
      </c>
      <c r="N1133" s="3">
        <v>152.5</v>
      </c>
      <c r="O1133" s="4" t="e">
        <f t="array" aca="1" ref="O1133">MAX(L1133:N1133*(1-strike(L1133:N1133)))</f>
        <v>#NAME?</v>
      </c>
      <c r="P1133" s="3">
        <v>177.5</v>
      </c>
      <c r="Q1133" s="1">
        <v>192.5</v>
      </c>
      <c r="R1133" s="1">
        <v>192.5</v>
      </c>
      <c r="S1133" s="4" t="e">
        <f t="array" aca="1" ref="S1133">MAX(P1133:R1133*(1-strike(P1133:R1133)))</f>
        <v>#NAME?</v>
      </c>
      <c r="T1133" s="4" t="e">
        <f t="shared" si="17"/>
        <v>#NAME?</v>
      </c>
      <c r="U1133" s="3">
        <v>530</v>
      </c>
      <c r="V1133" s="3">
        <v>446.47</v>
      </c>
      <c r="W1133" s="3">
        <v>3</v>
      </c>
      <c r="X1133" s="5">
        <v>2013</v>
      </c>
      <c r="Y1133" s="5" t="s">
        <v>852</v>
      </c>
      <c r="Z1133" s="5" t="s">
        <v>171</v>
      </c>
      <c r="AA1133" s="5">
        <v>1013</v>
      </c>
    </row>
    <row r="1134" spans="1:27">
      <c r="A1134" s="3">
        <v>8</v>
      </c>
      <c r="B1134" s="3" t="s">
        <v>899</v>
      </c>
      <c r="C1134" s="3">
        <v>1975</v>
      </c>
      <c r="D1134" s="3" t="s">
        <v>56</v>
      </c>
      <c r="E1134" s="3">
        <v>51</v>
      </c>
      <c r="F1134" s="2">
        <v>12654</v>
      </c>
      <c r="G1134" s="3">
        <v>17</v>
      </c>
      <c r="H1134" s="3">
        <v>90</v>
      </c>
      <c r="I1134" s="3">
        <v>97.5</v>
      </c>
      <c r="J1134" s="3">
        <v>102.5</v>
      </c>
      <c r="K1134" s="4" t="e">
        <f t="array" aca="1" ref="K1134">MAX(H1134:J1134*(1-strike(H1134:J1134)))</f>
        <v>#NAME?</v>
      </c>
      <c r="L1134" s="3">
        <v>60</v>
      </c>
      <c r="M1134" s="3">
        <v>65</v>
      </c>
      <c r="N1134" s="1">
        <v>67.5</v>
      </c>
      <c r="O1134" s="4" t="e">
        <f t="array" aca="1" ref="O1134">MAX(L1134:N1134*(1-strike(L1134:N1134)))</f>
        <v>#NAME?</v>
      </c>
      <c r="P1134" s="3">
        <v>115</v>
      </c>
      <c r="Q1134" s="3">
        <v>122.5</v>
      </c>
      <c r="R1134" s="3">
        <v>127.5</v>
      </c>
      <c r="S1134" s="4" t="e">
        <f t="array" aca="1" ref="S1134">MAX(P1134:R1134*(1-strike(P1134:R1134)))</f>
        <v>#NAME?</v>
      </c>
      <c r="T1134" s="4" t="e">
        <f t="shared" si="17"/>
        <v>#NAME?</v>
      </c>
      <c r="U1134" s="3">
        <v>295</v>
      </c>
      <c r="V1134" s="3">
        <v>373.29</v>
      </c>
      <c r="W1134" s="3">
        <v>3</v>
      </c>
      <c r="X1134" s="5">
        <v>2013</v>
      </c>
      <c r="Y1134" s="5" t="s">
        <v>852</v>
      </c>
      <c r="Z1134" s="5" t="s">
        <v>30</v>
      </c>
      <c r="AA1134" s="5">
        <v>1141</v>
      </c>
    </row>
    <row r="1135" spans="1:27">
      <c r="A1135" s="3">
        <v>6</v>
      </c>
      <c r="B1135" s="3" t="s">
        <v>899</v>
      </c>
      <c r="C1135" s="3">
        <v>1975</v>
      </c>
      <c r="D1135" s="3" t="s">
        <v>56</v>
      </c>
      <c r="E1135" s="3">
        <v>51.4</v>
      </c>
      <c r="F1135" s="2">
        <v>12578</v>
      </c>
      <c r="G1135" s="3">
        <v>12</v>
      </c>
      <c r="H1135" s="3">
        <v>127.5</v>
      </c>
      <c r="I1135" s="3">
        <v>132.5</v>
      </c>
      <c r="J1135" s="1">
        <v>137.5</v>
      </c>
      <c r="K1135" s="4" t="e">
        <f t="array" aca="1" ref="K1135">MAX(H1135:J1135*(1-strike(H1135:J1135)))</f>
        <v>#NAME?</v>
      </c>
      <c r="L1135" s="3">
        <v>70</v>
      </c>
      <c r="M1135" s="1">
        <v>75</v>
      </c>
      <c r="N1135" s="3">
        <v>75</v>
      </c>
      <c r="O1135" s="4" t="e">
        <f t="array" aca="1" ref="O1135">MAX(L1135:N1135*(1-strike(L1135:N1135)))</f>
        <v>#NAME?</v>
      </c>
      <c r="P1135" s="3">
        <v>135</v>
      </c>
      <c r="Q1135" s="1">
        <v>145</v>
      </c>
      <c r="R1135" s="1">
        <v>145</v>
      </c>
      <c r="S1135" s="4" t="e">
        <f t="array" aca="1" ref="S1135">MAX(P1135:R1135*(1-strike(P1135:R1135)))</f>
        <v>#NAME?</v>
      </c>
      <c r="T1135" s="4" t="e">
        <f t="shared" si="17"/>
        <v>#NAME?</v>
      </c>
      <c r="U1135" s="3">
        <v>342.5</v>
      </c>
      <c r="V1135" s="3">
        <v>430.8</v>
      </c>
      <c r="W1135" s="3">
        <v>5</v>
      </c>
      <c r="X1135" s="5">
        <v>2014</v>
      </c>
      <c r="Y1135" s="5" t="s">
        <v>852</v>
      </c>
      <c r="Z1135" s="5" t="s">
        <v>30</v>
      </c>
      <c r="AA1135" s="5">
        <v>760</v>
      </c>
    </row>
    <row r="1136" spans="1:27">
      <c r="A1136" s="3">
        <v>5</v>
      </c>
      <c r="B1136" s="3" t="s">
        <v>900</v>
      </c>
      <c r="C1136" s="3">
        <v>1986</v>
      </c>
      <c r="D1136" s="3" t="s">
        <v>464</v>
      </c>
      <c r="E1136" s="3">
        <v>56.9</v>
      </c>
      <c r="F1136" s="2">
        <v>11620</v>
      </c>
      <c r="G1136" s="3">
        <v>5</v>
      </c>
      <c r="H1136" s="3">
        <v>182.5</v>
      </c>
      <c r="I1136" s="3">
        <v>190</v>
      </c>
      <c r="J1136" s="1">
        <v>195</v>
      </c>
      <c r="K1136" s="4" t="e">
        <f t="array" aca="1" ref="K1136">MAX(H1136:J1136*(1-strike(H1136:J1136)))</f>
        <v>#NAME?</v>
      </c>
      <c r="L1136" s="1">
        <v>90</v>
      </c>
      <c r="M1136" s="1">
        <v>90</v>
      </c>
      <c r="N1136" s="3">
        <v>90</v>
      </c>
      <c r="O1136" s="4" t="e">
        <f t="array" aca="1" ref="O1136">MAX(L1136:N1136*(1-strike(L1136:N1136)))</f>
        <v>#NAME?</v>
      </c>
      <c r="P1136" s="3">
        <v>195</v>
      </c>
      <c r="Q1136" s="1">
        <v>202.5</v>
      </c>
      <c r="R1136" s="1">
        <v>202.5</v>
      </c>
      <c r="S1136" s="4" t="e">
        <f t="array" aca="1" ref="S1136">MAX(P1136:R1136*(1-strike(P1136:R1136)))</f>
        <v>#NAME?</v>
      </c>
      <c r="T1136" s="4" t="e">
        <f t="shared" si="17"/>
        <v>#NAME?</v>
      </c>
      <c r="U1136" s="3">
        <v>475</v>
      </c>
      <c r="V1136" s="3">
        <v>551.95000000000005</v>
      </c>
      <c r="W1136" s="3">
        <v>6</v>
      </c>
      <c r="X1136" s="5">
        <v>2012</v>
      </c>
      <c r="Y1136" s="5" t="s">
        <v>852</v>
      </c>
      <c r="Z1136" s="5" t="s">
        <v>171</v>
      </c>
      <c r="AA1136" s="5">
        <v>1361</v>
      </c>
    </row>
    <row r="1137" spans="1:27" ht="15" customHeight="1">
      <c r="A1137" s="3">
        <v>1</v>
      </c>
      <c r="B1137" s="3" t="s">
        <v>206</v>
      </c>
      <c r="C1137" s="3">
        <v>1970</v>
      </c>
      <c r="D1137" s="3" t="s">
        <v>62</v>
      </c>
      <c r="E1137" s="3">
        <v>71.099999999999994</v>
      </c>
      <c r="F1137" s="3">
        <v>0.98429999999999995</v>
      </c>
      <c r="G1137" s="3">
        <v>5</v>
      </c>
      <c r="H1137" s="3">
        <v>135</v>
      </c>
      <c r="I1137" s="3">
        <v>147.5</v>
      </c>
      <c r="J1137" s="3">
        <v>157.5</v>
      </c>
      <c r="K1137" s="4" t="e">
        <f t="array" aca="1" ref="K1137">MAX(H1137:J1137*(1-strike(H1137:J1137)))</f>
        <v>#NAME?</v>
      </c>
      <c r="L1137" s="3">
        <v>80</v>
      </c>
      <c r="M1137" s="3">
        <v>87.5</v>
      </c>
      <c r="N1137" s="3">
        <v>92.5</v>
      </c>
      <c r="O1137" s="4" t="e">
        <f t="array" aca="1" ref="O1137">MAX(L1137:N1137*(1-strike(L1137:N1137)))</f>
        <v>#NAME?</v>
      </c>
      <c r="P1137" s="3">
        <v>185</v>
      </c>
      <c r="Q1137" s="3">
        <v>195</v>
      </c>
      <c r="R1137" s="3">
        <v>207.5</v>
      </c>
      <c r="S1137" s="4" t="e">
        <f t="array" aca="1" ref="S1137">MAX(P1137:R1137*(1-strike(P1137:R1137)))</f>
        <v>#NAME?</v>
      </c>
      <c r="T1137" s="4" t="e">
        <f t="shared" si="17"/>
        <v>#NAME?</v>
      </c>
      <c r="U1137" s="3">
        <v>457.5</v>
      </c>
      <c r="V1137" s="3">
        <v>450.32</v>
      </c>
      <c r="W1137" s="3">
        <v>12</v>
      </c>
      <c r="X1137" s="5">
        <v>2013</v>
      </c>
      <c r="Y1137" s="5" t="s">
        <v>852</v>
      </c>
      <c r="Z1137" s="5" t="s">
        <v>30</v>
      </c>
      <c r="AA1137" s="5">
        <v>1163</v>
      </c>
    </row>
    <row r="1138" spans="1:27">
      <c r="A1138" s="3">
        <v>3</v>
      </c>
      <c r="B1138" s="3" t="s">
        <v>208</v>
      </c>
      <c r="C1138" s="3">
        <v>1987</v>
      </c>
      <c r="D1138" s="3" t="s">
        <v>119</v>
      </c>
      <c r="E1138" s="3">
        <v>51.39</v>
      </c>
      <c r="F1138" s="2">
        <v>12580</v>
      </c>
      <c r="G1138" s="3">
        <v>22</v>
      </c>
      <c r="H1138" s="3">
        <v>165</v>
      </c>
      <c r="I1138" s="3">
        <v>175</v>
      </c>
      <c r="J1138" s="1">
        <v>185</v>
      </c>
      <c r="K1138" s="4" t="e">
        <f t="array" aca="1" ref="K1138">MAX(H1138:J1138*(1-strike(H1138:J1138)))</f>
        <v>#NAME?</v>
      </c>
      <c r="L1138" s="3">
        <v>100</v>
      </c>
      <c r="M1138" s="3">
        <v>107.5</v>
      </c>
      <c r="N1138" s="3">
        <v>112.5</v>
      </c>
      <c r="O1138" s="4" t="e">
        <f t="array" aca="1" ref="O1138">MAX(L1138:N1138*(1-strike(L1138:N1138)))</f>
        <v>#NAME?</v>
      </c>
      <c r="P1138" s="3">
        <v>170</v>
      </c>
      <c r="Q1138" s="1">
        <v>177.5</v>
      </c>
      <c r="R1138" s="3">
        <v>177.5</v>
      </c>
      <c r="S1138" s="4" t="e">
        <f t="array" aca="1" ref="S1138">MAX(P1138:R1138*(1-strike(P1138:R1138)))</f>
        <v>#NAME?</v>
      </c>
      <c r="T1138" s="4" t="e">
        <f t="shared" si="17"/>
        <v>#NAME?</v>
      </c>
      <c r="U1138" s="3">
        <v>465</v>
      </c>
      <c r="V1138" s="3">
        <v>584.96</v>
      </c>
      <c r="W1138" s="3">
        <v>8</v>
      </c>
      <c r="X1138" s="5">
        <v>2012</v>
      </c>
      <c r="Y1138" s="5" t="s">
        <v>852</v>
      </c>
      <c r="Z1138" s="5" t="s">
        <v>171</v>
      </c>
      <c r="AA1138" s="5">
        <v>1344</v>
      </c>
    </row>
    <row r="1139" spans="1:27">
      <c r="A1139" s="3">
        <v>2</v>
      </c>
      <c r="B1139" s="3" t="s">
        <v>208</v>
      </c>
      <c r="C1139" s="3">
        <v>1987</v>
      </c>
      <c r="D1139" s="3" t="s">
        <v>119</v>
      </c>
      <c r="E1139" s="3">
        <v>51.28</v>
      </c>
      <c r="F1139" s="2">
        <v>12601</v>
      </c>
      <c r="G1139" s="3">
        <v>15</v>
      </c>
      <c r="H1139" s="3">
        <v>175</v>
      </c>
      <c r="I1139" s="3">
        <v>185</v>
      </c>
      <c r="J1139" s="1">
        <v>190</v>
      </c>
      <c r="K1139" s="4" t="e">
        <f t="array" aca="1" ref="K1139">MAX(H1139:J1139*(1-strike(H1139:J1139)))</f>
        <v>#NAME?</v>
      </c>
      <c r="L1139" s="3">
        <v>105</v>
      </c>
      <c r="M1139" s="3">
        <v>110</v>
      </c>
      <c r="N1139" s="3">
        <v>112.5</v>
      </c>
      <c r="O1139" s="4" t="e">
        <f t="array" aca="1" ref="O1139">MAX(L1139:N1139*(1-strike(L1139:N1139)))</f>
        <v>#NAME?</v>
      </c>
      <c r="P1139" s="3">
        <v>180</v>
      </c>
      <c r="Q1139" s="3">
        <v>185</v>
      </c>
      <c r="R1139" s="1">
        <v>192.5</v>
      </c>
      <c r="S1139" s="4" t="e">
        <f t="array" aca="1" ref="S1139">MAX(P1139:R1139*(1-strike(P1139:R1139)))</f>
        <v>#NAME?</v>
      </c>
      <c r="T1139" s="4" t="e">
        <f t="shared" si="17"/>
        <v>#NAME?</v>
      </c>
      <c r="U1139" s="3">
        <v>482.5</v>
      </c>
      <c r="V1139" s="3">
        <v>608</v>
      </c>
      <c r="W1139" s="3">
        <v>9</v>
      </c>
      <c r="X1139" s="5">
        <v>2013</v>
      </c>
      <c r="Y1139" s="5" t="s">
        <v>852</v>
      </c>
      <c r="Z1139" s="5" t="s">
        <v>171</v>
      </c>
      <c r="AA1139" s="5">
        <v>940</v>
      </c>
    </row>
    <row r="1140" spans="1:27">
      <c r="A1140" s="4">
        <v>4</v>
      </c>
      <c r="B1140" s="4" t="s">
        <v>208</v>
      </c>
      <c r="C1140" s="4">
        <v>1987</v>
      </c>
      <c r="D1140" s="4" t="s">
        <v>901</v>
      </c>
      <c r="E1140" s="4">
        <v>50.7</v>
      </c>
      <c r="F1140" s="7">
        <v>12711</v>
      </c>
      <c r="G1140" s="4">
        <v>17</v>
      </c>
      <c r="H1140" s="4">
        <v>175</v>
      </c>
      <c r="I1140" s="4">
        <v>182.5</v>
      </c>
      <c r="J1140" s="6">
        <v>187.5</v>
      </c>
      <c r="K1140" s="4" t="e">
        <f t="array" aca="1" ref="K1140">MAX(H1140:J1140*(1-strike(H1140:J1140)))</f>
        <v>#NAME?</v>
      </c>
      <c r="L1140" s="4">
        <v>105</v>
      </c>
      <c r="M1140" s="4">
        <v>110</v>
      </c>
      <c r="N1140" s="4">
        <v>115</v>
      </c>
      <c r="O1140" s="4" t="e">
        <f t="array" aca="1" ref="O1140">MAX(L1140:N1140*(1-strike(L1140:N1140)))</f>
        <v>#NAME?</v>
      </c>
      <c r="P1140" s="4">
        <v>177.5</v>
      </c>
      <c r="Q1140" s="4">
        <v>185</v>
      </c>
      <c r="R1140" s="6">
        <v>190</v>
      </c>
      <c r="S1140" s="4" t="e">
        <f t="array" aca="1" ref="S1140">MAX(P1140:R1140*(1-strike(P1140:R1140)))</f>
        <v>#NAME?</v>
      </c>
      <c r="T1140" s="4" t="e">
        <f t="shared" si="17"/>
        <v>#NAME?</v>
      </c>
      <c r="U1140" s="4">
        <v>482.5</v>
      </c>
      <c r="V1140" s="4">
        <v>613.29999999999995</v>
      </c>
      <c r="W1140" s="4">
        <v>7</v>
      </c>
      <c r="X1140" s="5">
        <v>2014</v>
      </c>
      <c r="Y1140" s="5" t="s">
        <v>852</v>
      </c>
      <c r="Z1140" s="5" t="s">
        <v>171</v>
      </c>
      <c r="AA1140" s="5">
        <v>579</v>
      </c>
    </row>
    <row r="1141" spans="1:27">
      <c r="A1141" s="3">
        <v>14</v>
      </c>
      <c r="B1141" s="3" t="s">
        <v>902</v>
      </c>
      <c r="C1141" s="3">
        <v>1985</v>
      </c>
      <c r="D1141" s="3" t="s">
        <v>336</v>
      </c>
      <c r="E1141" s="3">
        <v>60.99</v>
      </c>
      <c r="F1141" s="2">
        <v>11008</v>
      </c>
      <c r="G1141" s="3">
        <v>5</v>
      </c>
      <c r="H1141" s="3">
        <v>135</v>
      </c>
      <c r="I1141" s="3">
        <v>145</v>
      </c>
      <c r="J1141" s="3">
        <v>152.5</v>
      </c>
      <c r="K1141" s="4" t="e">
        <f t="array" aca="1" ref="K1141">MAX(H1141:J1141*(1-strike(H1141:J1141)))</f>
        <v>#NAME?</v>
      </c>
      <c r="L1141" s="3">
        <v>45</v>
      </c>
      <c r="M1141" s="3">
        <v>52.5</v>
      </c>
      <c r="N1141" s="1">
        <v>60</v>
      </c>
      <c r="O1141" s="4" t="e">
        <f t="array" aca="1" ref="O1141">MAX(L1141:N1141*(1-strike(L1141:N1141)))</f>
        <v>#NAME?</v>
      </c>
      <c r="P1141" s="3">
        <v>125</v>
      </c>
      <c r="Q1141" s="3">
        <v>137.5</v>
      </c>
      <c r="R1141" s="1">
        <v>145</v>
      </c>
      <c r="S1141" s="4" t="e">
        <f t="array" aca="1" ref="S1141">MAX(P1141:R1141*(1-strike(P1141:R1141)))</f>
        <v>#NAME?</v>
      </c>
      <c r="T1141" s="4" t="e">
        <f t="shared" si="17"/>
        <v>#NAME?</v>
      </c>
      <c r="U1141" s="3">
        <v>342.5</v>
      </c>
      <c r="V1141" s="3">
        <v>377.03</v>
      </c>
      <c r="W1141" s="3">
        <v>1</v>
      </c>
      <c r="X1141" s="5">
        <v>2012</v>
      </c>
      <c r="Y1141" s="5" t="s">
        <v>852</v>
      </c>
      <c r="Z1141" s="5" t="s">
        <v>171</v>
      </c>
      <c r="AA1141" s="5">
        <v>1384</v>
      </c>
    </row>
    <row r="1142" spans="1:27">
      <c r="A1142" s="3">
        <v>5</v>
      </c>
      <c r="B1142" s="3" t="s">
        <v>211</v>
      </c>
      <c r="C1142" s="3">
        <v>1988</v>
      </c>
      <c r="D1142" s="3" t="s">
        <v>28</v>
      </c>
      <c r="E1142" s="3">
        <v>61.95</v>
      </c>
      <c r="F1142" s="2">
        <v>10877</v>
      </c>
      <c r="G1142" s="3">
        <v>16</v>
      </c>
      <c r="H1142" s="3">
        <v>127.5</v>
      </c>
      <c r="I1142" s="3">
        <v>135</v>
      </c>
      <c r="J1142" s="3">
        <v>142.5</v>
      </c>
      <c r="K1142" s="4" t="e">
        <f t="array" aca="1" ref="K1142">MAX(H1142:J1142*(1-strike(H1142:J1142)))</f>
        <v>#NAME?</v>
      </c>
      <c r="L1142" s="3">
        <v>102.5</v>
      </c>
      <c r="M1142" s="3">
        <v>107.5</v>
      </c>
      <c r="N1142" s="1">
        <v>110</v>
      </c>
      <c r="O1142" s="4" t="e">
        <f t="array" aca="1" ref="O1142">MAX(L1142:N1142*(1-strike(L1142:N1142)))</f>
        <v>#NAME?</v>
      </c>
      <c r="P1142" s="3">
        <v>160</v>
      </c>
      <c r="Q1142" s="3">
        <v>167.5</v>
      </c>
      <c r="R1142" s="1">
        <v>175</v>
      </c>
      <c r="S1142" s="4" t="e">
        <f t="array" aca="1" ref="S1142">MAX(P1142:R1142*(1-strike(P1142:R1142)))</f>
        <v>#NAME?</v>
      </c>
      <c r="T1142" s="4" t="e">
        <f t="shared" si="17"/>
        <v>#NAME?</v>
      </c>
      <c r="U1142" s="3">
        <v>417.5</v>
      </c>
      <c r="V1142" s="3">
        <v>454.14</v>
      </c>
      <c r="W1142" s="3">
        <v>6</v>
      </c>
      <c r="X1142" s="5">
        <v>2014</v>
      </c>
      <c r="Y1142" s="5" t="s">
        <v>852</v>
      </c>
      <c r="Z1142" s="5" t="s">
        <v>30</v>
      </c>
      <c r="AA1142" s="5">
        <v>783</v>
      </c>
    </row>
    <row r="1143" spans="1:27">
      <c r="A1143" s="4">
        <v>3</v>
      </c>
      <c r="B1143" s="4" t="s">
        <v>211</v>
      </c>
      <c r="C1143" s="4">
        <v>1988</v>
      </c>
      <c r="D1143" s="4" t="s">
        <v>903</v>
      </c>
      <c r="E1143" s="4">
        <v>62.28</v>
      </c>
      <c r="F1143" s="7">
        <v>10831</v>
      </c>
      <c r="G1143" s="4">
        <v>9</v>
      </c>
      <c r="H1143" s="4">
        <v>200</v>
      </c>
      <c r="I1143" s="4">
        <v>207.5</v>
      </c>
      <c r="J1143" s="4">
        <v>212.5</v>
      </c>
      <c r="K1143" s="4" t="e">
        <f t="array" aca="1" ref="K1143">MAX(H1143:J1143*(1-strike(H1143:J1143)))</f>
        <v>#NAME?</v>
      </c>
      <c r="L1143" s="4">
        <v>145</v>
      </c>
      <c r="M1143" s="6">
        <v>150</v>
      </c>
      <c r="N1143" s="4">
        <v>150</v>
      </c>
      <c r="O1143" s="4" t="e">
        <f t="array" aca="1" ref="O1143">MAX(L1143:N1143*(1-strike(L1143:N1143)))</f>
        <v>#NAME?</v>
      </c>
      <c r="P1143" s="4">
        <v>185</v>
      </c>
      <c r="Q1143" s="4">
        <v>192.5</v>
      </c>
      <c r="R1143" s="6">
        <v>197.5</v>
      </c>
      <c r="S1143" s="4" t="e">
        <f t="array" aca="1" ref="S1143">MAX(P1143:R1143*(1-strike(P1143:R1143)))</f>
        <v>#NAME?</v>
      </c>
      <c r="T1143" s="4" t="e">
        <f t="shared" si="17"/>
        <v>#NAME?</v>
      </c>
      <c r="U1143" s="4">
        <v>555</v>
      </c>
      <c r="V1143" s="4">
        <v>601.12</v>
      </c>
      <c r="W1143" s="4">
        <v>8</v>
      </c>
      <c r="X1143" s="5">
        <v>2014</v>
      </c>
      <c r="Y1143" s="5" t="s">
        <v>852</v>
      </c>
      <c r="Z1143" s="5" t="s">
        <v>171</v>
      </c>
      <c r="AA1143" s="5">
        <v>605</v>
      </c>
    </row>
    <row r="1144" spans="1:27">
      <c r="A1144" s="3">
        <v>2</v>
      </c>
      <c r="B1144" s="3" t="s">
        <v>904</v>
      </c>
      <c r="C1144" s="3">
        <v>1983</v>
      </c>
      <c r="D1144" s="3" t="s">
        <v>28</v>
      </c>
      <c r="E1144" s="3">
        <v>83.1</v>
      </c>
      <c r="F1144" s="3">
        <v>0.89659999999999995</v>
      </c>
      <c r="G1144" s="3">
        <v>5</v>
      </c>
      <c r="H1144" s="3">
        <v>175</v>
      </c>
      <c r="I1144" s="3">
        <v>185</v>
      </c>
      <c r="J1144" s="3">
        <v>190</v>
      </c>
      <c r="K1144" s="4" t="e">
        <f t="array" aca="1" ref="K1144">MAX(H1144:J1144*(1-strike(H1144:J1144)))</f>
        <v>#NAME?</v>
      </c>
      <c r="L1144" s="3">
        <v>100</v>
      </c>
      <c r="M1144" s="3">
        <v>105</v>
      </c>
      <c r="N1144" s="1">
        <v>110</v>
      </c>
      <c r="O1144" s="4" t="e">
        <f t="array" aca="1" ref="O1144">MAX(L1144:N1144*(1-strike(L1144:N1144)))</f>
        <v>#NAME?</v>
      </c>
      <c r="P1144" s="3">
        <v>200</v>
      </c>
      <c r="Q1144" s="3">
        <v>210</v>
      </c>
      <c r="R1144" s="1">
        <v>215</v>
      </c>
      <c r="S1144" s="4" t="e">
        <f t="array" aca="1" ref="S1144">MAX(P1144:R1144*(1-strike(P1144:R1144)))</f>
        <v>#NAME?</v>
      </c>
      <c r="T1144" s="4" t="e">
        <f t="shared" si="17"/>
        <v>#NAME?</v>
      </c>
      <c r="U1144" s="3">
        <v>505</v>
      </c>
      <c r="V1144" s="3">
        <v>452.78</v>
      </c>
      <c r="W1144" s="3">
        <v>9</v>
      </c>
      <c r="X1144" s="5">
        <v>2012</v>
      </c>
      <c r="Y1144" s="5" t="s">
        <v>852</v>
      </c>
      <c r="Z1144" s="5" t="s">
        <v>30</v>
      </c>
      <c r="AA1144" s="5">
        <v>1596</v>
      </c>
    </row>
    <row r="1145" spans="1:27">
      <c r="A1145" s="3">
        <v>2</v>
      </c>
      <c r="B1145" s="3" t="s">
        <v>904</v>
      </c>
      <c r="C1145" s="3">
        <v>1983</v>
      </c>
      <c r="D1145" s="3" t="s">
        <v>28</v>
      </c>
      <c r="E1145" s="3">
        <v>82.65</v>
      </c>
      <c r="F1145" s="3">
        <v>0.89910000000000001</v>
      </c>
      <c r="G1145" s="3">
        <v>1</v>
      </c>
      <c r="H1145" s="3">
        <v>185</v>
      </c>
      <c r="I1145" s="3">
        <v>195</v>
      </c>
      <c r="J1145" s="3">
        <v>202.5</v>
      </c>
      <c r="K1145" s="4" t="e">
        <f t="array" aca="1" ref="K1145">MAX(H1145:J1145*(1-strike(H1145:J1145)))</f>
        <v>#NAME?</v>
      </c>
      <c r="L1145" s="3">
        <v>105</v>
      </c>
      <c r="M1145" s="3">
        <v>110</v>
      </c>
      <c r="N1145" s="1">
        <v>115</v>
      </c>
      <c r="O1145" s="4" t="e">
        <f t="array" aca="1" ref="O1145">MAX(L1145:N1145*(1-strike(L1145:N1145)))</f>
        <v>#NAME?</v>
      </c>
      <c r="P1145" s="3">
        <v>205</v>
      </c>
      <c r="Q1145" s="3">
        <v>215</v>
      </c>
      <c r="R1145" s="1">
        <v>220</v>
      </c>
      <c r="S1145" s="4" t="e">
        <f t="array" aca="1" ref="S1145">MAX(P1145:R1145*(1-strike(P1145:R1145)))</f>
        <v>#NAME?</v>
      </c>
      <c r="T1145" s="4" t="e">
        <f t="shared" si="17"/>
        <v>#NAME?</v>
      </c>
      <c r="U1145" s="3">
        <v>527.5</v>
      </c>
      <c r="V1145" s="3">
        <v>474.28</v>
      </c>
      <c r="W1145" s="3">
        <v>9</v>
      </c>
      <c r="X1145" s="5">
        <v>2013</v>
      </c>
      <c r="Y1145" s="5" t="s">
        <v>852</v>
      </c>
      <c r="Z1145" s="5" t="s">
        <v>30</v>
      </c>
      <c r="AA1145" s="5">
        <v>1173</v>
      </c>
    </row>
    <row r="1146" spans="1:27">
      <c r="A1146" s="3">
        <v>4</v>
      </c>
      <c r="B1146" s="3" t="s">
        <v>212</v>
      </c>
      <c r="C1146" s="3">
        <v>1983</v>
      </c>
      <c r="D1146" s="3" t="s">
        <v>113</v>
      </c>
      <c r="E1146" s="3">
        <v>71.400000000000006</v>
      </c>
      <c r="F1146" s="3">
        <v>0.98150000000000004</v>
      </c>
      <c r="G1146" s="3">
        <v>6</v>
      </c>
      <c r="H1146" s="3">
        <v>145</v>
      </c>
      <c r="I1146" s="3">
        <v>150</v>
      </c>
      <c r="J1146" s="3">
        <v>155</v>
      </c>
      <c r="K1146" s="4" t="e">
        <f t="array" aca="1" ref="K1146">MAX(H1146:J1146*(1-strike(H1146:J1146)))</f>
        <v>#NAME?</v>
      </c>
      <c r="L1146" s="3">
        <v>85</v>
      </c>
      <c r="M1146" s="1">
        <v>90</v>
      </c>
      <c r="N1146" s="1">
        <v>90</v>
      </c>
      <c r="O1146" s="4" t="e">
        <f t="array" aca="1" ref="O1146">MAX(L1146:N1146*(1-strike(L1146:N1146)))</f>
        <v>#NAME?</v>
      </c>
      <c r="P1146" s="3">
        <v>165</v>
      </c>
      <c r="Q1146" s="3">
        <v>172.5</v>
      </c>
      <c r="R1146" s="1">
        <v>175</v>
      </c>
      <c r="S1146" s="4" t="e">
        <f t="array" aca="1" ref="S1146">MAX(P1146:R1146*(1-strike(P1146:R1146)))</f>
        <v>#NAME?</v>
      </c>
      <c r="T1146" s="4" t="e">
        <f t="shared" si="17"/>
        <v>#NAME?</v>
      </c>
      <c r="U1146" s="3">
        <v>412.5</v>
      </c>
      <c r="V1146" s="3">
        <v>404.87</v>
      </c>
      <c r="W1146" s="3">
        <v>7</v>
      </c>
      <c r="X1146" s="5">
        <v>2014</v>
      </c>
      <c r="Y1146" s="5" t="s">
        <v>852</v>
      </c>
      <c r="Z1146" s="5" t="s">
        <v>30</v>
      </c>
      <c r="AA1146" s="5">
        <v>794</v>
      </c>
    </row>
    <row r="1147" spans="1:27">
      <c r="A1147" s="3">
        <v>13</v>
      </c>
      <c r="B1147" s="3" t="s">
        <v>213</v>
      </c>
      <c r="C1147" s="3">
        <v>1978</v>
      </c>
      <c r="D1147" s="3" t="s">
        <v>51</v>
      </c>
      <c r="E1147" s="3">
        <v>50.76</v>
      </c>
      <c r="F1147" s="2">
        <v>12700</v>
      </c>
      <c r="G1147" s="3">
        <v>3</v>
      </c>
      <c r="H1147" s="3">
        <v>122.5</v>
      </c>
      <c r="I1147" s="3">
        <v>130</v>
      </c>
      <c r="J1147" s="3">
        <v>135</v>
      </c>
      <c r="K1147" s="4" t="e">
        <f t="array" aca="1" ref="K1147">MAX(H1147:J1147*(1-strike(H1147:J1147)))</f>
        <v>#NAME?</v>
      </c>
      <c r="L1147" s="3">
        <v>60</v>
      </c>
      <c r="M1147" s="3">
        <v>65</v>
      </c>
      <c r="N1147" s="3">
        <v>67.5</v>
      </c>
      <c r="O1147" s="4" t="e">
        <f t="array" aca="1" ref="O1147">MAX(L1147:N1147*(1-strike(L1147:N1147)))</f>
        <v>#NAME?</v>
      </c>
      <c r="P1147" s="3">
        <v>140</v>
      </c>
      <c r="Q1147" s="3">
        <v>147.5</v>
      </c>
      <c r="R1147" s="3">
        <v>152.5</v>
      </c>
      <c r="S1147" s="4" t="e">
        <f t="array" aca="1" ref="S1147">MAX(P1147:R1147*(1-strike(P1147:R1147)))</f>
        <v>#NAME?</v>
      </c>
      <c r="T1147" s="4" t="e">
        <f t="shared" si="17"/>
        <v>#NAME?</v>
      </c>
      <c r="U1147" s="3">
        <v>355</v>
      </c>
      <c r="V1147" s="3">
        <v>450.83</v>
      </c>
      <c r="W1147" s="3">
        <v>1</v>
      </c>
      <c r="X1147" s="5">
        <v>2012</v>
      </c>
      <c r="Y1147" s="5" t="s">
        <v>852</v>
      </c>
      <c r="Z1147" s="5" t="s">
        <v>171</v>
      </c>
      <c r="AA1147" s="5">
        <v>1354</v>
      </c>
    </row>
    <row r="1148" spans="1:27">
      <c r="A1148" s="3">
        <v>13</v>
      </c>
      <c r="B1148" s="3" t="s">
        <v>213</v>
      </c>
      <c r="C1148" s="3">
        <v>1978</v>
      </c>
      <c r="D1148" s="3" t="s">
        <v>51</v>
      </c>
      <c r="E1148" s="3">
        <v>51.18</v>
      </c>
      <c r="F1148" s="2">
        <v>12620</v>
      </c>
      <c r="G1148" s="3">
        <v>6</v>
      </c>
      <c r="H1148" s="3">
        <v>125</v>
      </c>
      <c r="I1148" s="3">
        <v>132.5</v>
      </c>
      <c r="J1148" s="1">
        <v>137.5</v>
      </c>
      <c r="K1148" s="4" t="e">
        <f t="array" aca="1" ref="K1148">MAX(H1148:J1148*(1-strike(H1148:J1148)))</f>
        <v>#NAME?</v>
      </c>
      <c r="L1148" s="3">
        <v>65</v>
      </c>
      <c r="M1148" s="1">
        <v>70</v>
      </c>
      <c r="N1148" s="1">
        <v>70</v>
      </c>
      <c r="O1148" s="4" t="e">
        <f t="array" aca="1" ref="O1148">MAX(L1148:N1148*(1-strike(L1148:N1148)))</f>
        <v>#NAME?</v>
      </c>
      <c r="P1148" s="3">
        <v>140</v>
      </c>
      <c r="Q1148" s="3">
        <v>150</v>
      </c>
      <c r="R1148" s="1">
        <v>152.5</v>
      </c>
      <c r="S1148" s="4" t="e">
        <f t="array" aca="1" ref="S1148">MAX(P1148:R1148*(1-strike(P1148:R1148)))</f>
        <v>#NAME?</v>
      </c>
      <c r="T1148" s="4" t="e">
        <f t="shared" si="17"/>
        <v>#NAME?</v>
      </c>
      <c r="U1148" s="3">
        <v>347.5</v>
      </c>
      <c r="V1148" s="3">
        <v>438.55</v>
      </c>
      <c r="W1148" s="3">
        <v>1</v>
      </c>
      <c r="X1148" s="5">
        <v>2013</v>
      </c>
      <c r="Y1148" s="5" t="s">
        <v>852</v>
      </c>
      <c r="Z1148" s="5" t="s">
        <v>171</v>
      </c>
      <c r="AA1148" s="5">
        <v>951</v>
      </c>
    </row>
    <row r="1149" spans="1:27">
      <c r="A1149" s="4">
        <v>12</v>
      </c>
      <c r="B1149" s="4" t="s">
        <v>213</v>
      </c>
      <c r="C1149" s="4">
        <v>1978</v>
      </c>
      <c r="D1149" s="4" t="s">
        <v>905</v>
      </c>
      <c r="E1149" s="4">
        <v>50.92</v>
      </c>
      <c r="F1149" s="7">
        <v>12673</v>
      </c>
      <c r="G1149" s="4">
        <v>15</v>
      </c>
      <c r="H1149" s="4">
        <v>127.5</v>
      </c>
      <c r="I1149" s="4">
        <v>135</v>
      </c>
      <c r="J1149" s="4">
        <v>140</v>
      </c>
      <c r="K1149" s="4" t="e">
        <f t="array" aca="1" ref="K1149">MAX(H1149:J1149*(1-strike(H1149:J1149)))</f>
        <v>#NAME?</v>
      </c>
      <c r="L1149" s="4">
        <v>67.5</v>
      </c>
      <c r="M1149" s="6">
        <v>72.5</v>
      </c>
      <c r="N1149" s="4">
        <v>72.5</v>
      </c>
      <c r="O1149" s="4" t="e">
        <f t="array" aca="1" ref="O1149">MAX(L1149:N1149*(1-strike(L1149:N1149)))</f>
        <v>#NAME?</v>
      </c>
      <c r="P1149" s="4">
        <v>145</v>
      </c>
      <c r="Q1149" s="4">
        <v>155</v>
      </c>
      <c r="R1149" s="6">
        <v>160</v>
      </c>
      <c r="S1149" s="4" t="e">
        <f t="array" aca="1" ref="S1149">MAX(P1149:R1149*(1-strike(P1149:R1149)))</f>
        <v>#NAME?</v>
      </c>
      <c r="T1149" s="4" t="e">
        <f t="shared" si="17"/>
        <v>#NAME?</v>
      </c>
      <c r="U1149" s="4">
        <v>367.5</v>
      </c>
      <c r="V1149" s="4">
        <v>465.73</v>
      </c>
      <c r="W1149" s="4">
        <v>1</v>
      </c>
      <c r="X1149" s="5">
        <v>2014</v>
      </c>
      <c r="Y1149" s="5" t="s">
        <v>852</v>
      </c>
      <c r="Z1149" s="5" t="s">
        <v>171</v>
      </c>
      <c r="AA1149" s="5">
        <v>587</v>
      </c>
    </row>
    <row r="1150" spans="1:27">
      <c r="A1150" s="3">
        <v>4</v>
      </c>
      <c r="B1150" s="3" t="s">
        <v>214</v>
      </c>
      <c r="C1150" s="3">
        <v>1990</v>
      </c>
      <c r="D1150" s="3" t="s">
        <v>45</v>
      </c>
      <c r="E1150" s="3">
        <v>71.06</v>
      </c>
      <c r="F1150" s="3">
        <v>0.98470000000000002</v>
      </c>
      <c r="G1150" s="3">
        <v>11</v>
      </c>
      <c r="H1150" s="1">
        <v>222.5</v>
      </c>
      <c r="I1150" s="3">
        <v>222.5</v>
      </c>
      <c r="J1150" s="3">
        <v>232.5</v>
      </c>
      <c r="K1150" s="4" t="e">
        <f t="array" aca="1" ref="K1150">MAX(H1150:J1150*(1-strike(H1150:J1150)))</f>
        <v>#NAME?</v>
      </c>
      <c r="L1150" s="3">
        <v>115</v>
      </c>
      <c r="M1150" s="3">
        <v>120</v>
      </c>
      <c r="N1150" s="3">
        <v>122.5</v>
      </c>
      <c r="O1150" s="4" t="e">
        <f t="array" aca="1" ref="O1150">MAX(L1150:N1150*(1-strike(L1150:N1150)))</f>
        <v>#NAME?</v>
      </c>
      <c r="P1150" s="3">
        <v>200</v>
      </c>
      <c r="Q1150" s="3">
        <v>210</v>
      </c>
      <c r="R1150" s="1">
        <v>217.5</v>
      </c>
      <c r="S1150" s="4" t="e">
        <f t="array" aca="1" ref="S1150">MAX(P1150:R1150*(1-strike(P1150:R1150)))</f>
        <v>#NAME?</v>
      </c>
      <c r="T1150" s="4" t="e">
        <f t="shared" si="17"/>
        <v>#NAME?</v>
      </c>
      <c r="U1150" s="3">
        <v>565</v>
      </c>
      <c r="V1150" s="3">
        <v>556.36</v>
      </c>
      <c r="W1150" s="3">
        <v>7</v>
      </c>
      <c r="X1150" s="5">
        <v>2013</v>
      </c>
      <c r="Y1150" s="5" t="s">
        <v>852</v>
      </c>
      <c r="Z1150" s="5" t="s">
        <v>171</v>
      </c>
      <c r="AA1150" s="5">
        <v>985</v>
      </c>
    </row>
    <row r="1151" spans="1:27">
      <c r="A1151" s="4" t="s">
        <v>37</v>
      </c>
      <c r="B1151" s="4" t="s">
        <v>214</v>
      </c>
      <c r="C1151" s="4">
        <v>1990</v>
      </c>
      <c r="D1151" s="4" t="s">
        <v>862</v>
      </c>
      <c r="E1151" s="4">
        <v>71.14</v>
      </c>
      <c r="F1151" s="4">
        <v>0.98429999999999995</v>
      </c>
      <c r="G1151" s="4">
        <v>8</v>
      </c>
      <c r="H1151" s="4">
        <v>225</v>
      </c>
      <c r="I1151" s="4">
        <v>235</v>
      </c>
      <c r="J1151" s="4">
        <v>237.5</v>
      </c>
      <c r="K1151" s="4" t="e">
        <f t="array" aca="1" ref="K1151">MAX(H1151:J1151*(1-strike(H1151:J1151)))</f>
        <v>#NAME?</v>
      </c>
      <c r="L1151" s="6">
        <v>122.5</v>
      </c>
      <c r="M1151" s="6">
        <v>122.5</v>
      </c>
      <c r="N1151" s="6">
        <v>122.5</v>
      </c>
      <c r="O1151" s="4" t="e">
        <f t="array" aca="1" ref="O1151">MAX(L1151:N1151*(1-strike(L1151:N1151)))</f>
        <v>#NAME?</v>
      </c>
      <c r="P1151" s="4">
        <v>205</v>
      </c>
      <c r="Q1151" s="4">
        <v>215</v>
      </c>
      <c r="R1151" s="6">
        <v>220</v>
      </c>
      <c r="S1151" s="4" t="e">
        <f t="array" aca="1" ref="S1151">MAX(P1151:R1151*(1-strike(P1151:R1151)))</f>
        <v>#NAME?</v>
      </c>
      <c r="T1151" s="4" t="e">
        <f t="shared" si="17"/>
        <v>#NAME?</v>
      </c>
      <c r="U1151" s="4" t="s">
        <v>187</v>
      </c>
      <c r="V1151" s="4" t="s">
        <v>37</v>
      </c>
      <c r="W1151" s="4" t="s">
        <v>37</v>
      </c>
      <c r="X1151" s="5">
        <v>2014</v>
      </c>
      <c r="Y1151" s="5" t="s">
        <v>852</v>
      </c>
      <c r="Z1151" s="5" t="s">
        <v>171</v>
      </c>
      <c r="AA1151" s="5">
        <v>624</v>
      </c>
    </row>
    <row r="1152" spans="1:27">
      <c r="A1152" s="3">
        <v>4</v>
      </c>
      <c r="B1152" s="3" t="s">
        <v>215</v>
      </c>
      <c r="C1152" s="3">
        <v>1947</v>
      </c>
      <c r="D1152" s="3" t="s">
        <v>62</v>
      </c>
      <c r="E1152" s="3">
        <v>45.69</v>
      </c>
      <c r="F1152" s="2">
        <v>13722</v>
      </c>
      <c r="G1152" s="3">
        <v>1</v>
      </c>
      <c r="H1152" s="3">
        <v>65</v>
      </c>
      <c r="I1152" s="3">
        <v>97.5</v>
      </c>
      <c r="J1152" s="1">
        <v>100</v>
      </c>
      <c r="K1152" s="4" t="e">
        <f t="array" aca="1" ref="K1152">MAX(H1152:J1152*(1-strike(H1152:J1152)))</f>
        <v>#NAME?</v>
      </c>
      <c r="L1152" s="3">
        <v>35</v>
      </c>
      <c r="M1152" s="3">
        <v>42.5</v>
      </c>
      <c r="N1152" s="3">
        <v>45</v>
      </c>
      <c r="O1152" s="4" t="e">
        <f t="array" aca="1" ref="O1152">MAX(L1152:N1152*(1-strike(L1152:N1152)))</f>
        <v>#NAME?</v>
      </c>
      <c r="P1152" s="3">
        <v>100</v>
      </c>
      <c r="Q1152" s="3">
        <v>110</v>
      </c>
      <c r="R1152" s="3">
        <v>122.5</v>
      </c>
      <c r="S1152" s="4" t="e">
        <f t="array" aca="1" ref="S1152">MAX(P1152:R1152*(1-strike(P1152:R1152)))</f>
        <v>#NAME?</v>
      </c>
      <c r="T1152" s="4" t="e">
        <f t="shared" si="17"/>
        <v>#NAME?</v>
      </c>
      <c r="U1152" s="3">
        <v>265</v>
      </c>
      <c r="V1152" s="3">
        <v>363.63</v>
      </c>
      <c r="W1152" s="3">
        <v>7</v>
      </c>
      <c r="X1152" s="5">
        <v>2013</v>
      </c>
      <c r="Y1152" s="5" t="s">
        <v>852</v>
      </c>
      <c r="Z1152" s="5" t="s">
        <v>171</v>
      </c>
      <c r="AA1152" s="5">
        <v>936</v>
      </c>
    </row>
    <row r="1153" spans="1:27">
      <c r="A1153" s="3">
        <v>3</v>
      </c>
      <c r="B1153" s="3" t="s">
        <v>906</v>
      </c>
      <c r="C1153" s="3">
        <v>1983</v>
      </c>
      <c r="D1153" s="3" t="s">
        <v>35</v>
      </c>
      <c r="E1153" s="3">
        <v>55.65</v>
      </c>
      <c r="F1153" s="2">
        <v>11824</v>
      </c>
      <c r="G1153" s="3">
        <v>19</v>
      </c>
      <c r="H1153" s="3">
        <v>115</v>
      </c>
      <c r="I1153" s="3">
        <v>122.5</v>
      </c>
      <c r="J1153" s="1">
        <v>127.5</v>
      </c>
      <c r="K1153" s="4" t="e">
        <f t="array" aca="1" ref="K1153">MAX(H1153:J1153*(1-strike(H1153:J1153)))</f>
        <v>#NAME?</v>
      </c>
      <c r="L1153" s="3">
        <v>72.5</v>
      </c>
      <c r="M1153" s="1">
        <v>77.5</v>
      </c>
      <c r="N1153" s="3">
        <v>77.5</v>
      </c>
      <c r="O1153" s="4" t="e">
        <f t="array" aca="1" ref="O1153">MAX(L1153:N1153*(1-strike(L1153:N1153)))</f>
        <v>#NAME?</v>
      </c>
      <c r="P1153" s="3">
        <v>150</v>
      </c>
      <c r="Q1153" s="3">
        <v>160</v>
      </c>
      <c r="R1153" s="3">
        <v>175</v>
      </c>
      <c r="S1153" s="4" t="e">
        <f t="array" aca="1" ref="S1153">MAX(P1153:R1153*(1-strike(P1153:R1153)))</f>
        <v>#NAME?</v>
      </c>
      <c r="T1153" s="4" t="e">
        <f t="shared" si="17"/>
        <v>#NAME?</v>
      </c>
      <c r="U1153" s="3">
        <v>375</v>
      </c>
      <c r="V1153" s="3">
        <v>443.4</v>
      </c>
      <c r="W1153" s="3">
        <v>8</v>
      </c>
      <c r="X1153" s="5">
        <v>2012</v>
      </c>
      <c r="Y1153" s="5" t="s">
        <v>852</v>
      </c>
      <c r="Z1153" s="5" t="s">
        <v>30</v>
      </c>
      <c r="AA1153" s="5">
        <v>1565</v>
      </c>
    </row>
    <row r="1154" spans="1:27">
      <c r="A1154" s="3" t="s">
        <v>37</v>
      </c>
      <c r="B1154" s="3" t="s">
        <v>907</v>
      </c>
      <c r="C1154" s="3">
        <v>1992</v>
      </c>
      <c r="D1154" s="3" t="s">
        <v>85</v>
      </c>
      <c r="E1154" s="3">
        <v>56.19</v>
      </c>
      <c r="F1154" s="2">
        <v>11735</v>
      </c>
      <c r="G1154" s="3">
        <v>7</v>
      </c>
      <c r="H1154" s="1">
        <v>170</v>
      </c>
      <c r="I1154" s="1">
        <v>170</v>
      </c>
      <c r="J1154" s="1">
        <v>170</v>
      </c>
      <c r="K1154" s="4" t="e">
        <f t="array" aca="1" ref="K1154">MAX(H1154:J1154*(1-strike(H1154:J1154)))</f>
        <v>#NAME?</v>
      </c>
      <c r="L1154" s="3">
        <v>80</v>
      </c>
      <c r="M1154" s="3">
        <v>87.5</v>
      </c>
      <c r="N1154" s="3">
        <v>92.5</v>
      </c>
      <c r="O1154" s="4" t="e">
        <f t="array" aca="1" ref="O1154">MAX(L1154:N1154*(1-strike(L1154:N1154)))</f>
        <v>#NAME?</v>
      </c>
      <c r="P1154" s="3"/>
      <c r="Q1154" s="3"/>
      <c r="R1154" s="3"/>
      <c r="S1154" s="4" t="e">
        <f t="array" aca="1" ref="S1154">MAX(P1154:R1154*(1-strike(P1154:R1154)))</f>
        <v>#NAME?</v>
      </c>
      <c r="T1154" s="4" t="e">
        <f t="shared" ref="T1154:T1217" si="18">IF(AND(K1154&lt;&gt;0,O1154&lt;&gt;0,S1154&lt;&gt;0),K1154+O1154+S1154,0)</f>
        <v>#NAME?</v>
      </c>
      <c r="U1154" s="3" t="s">
        <v>40</v>
      </c>
      <c r="V1154" s="3" t="s">
        <v>37</v>
      </c>
      <c r="W1154" s="3" t="s">
        <v>37</v>
      </c>
      <c r="X1154" s="5">
        <v>2013</v>
      </c>
      <c r="Y1154" s="5" t="s">
        <v>852</v>
      </c>
      <c r="Z1154" s="5" t="s">
        <v>171</v>
      </c>
      <c r="AA1154" s="5">
        <v>967</v>
      </c>
    </row>
    <row r="1155" spans="1:27">
      <c r="A1155" s="3">
        <v>8</v>
      </c>
      <c r="B1155" s="3" t="s">
        <v>908</v>
      </c>
      <c r="C1155" s="3">
        <v>1984</v>
      </c>
      <c r="D1155" s="3" t="s">
        <v>464</v>
      </c>
      <c r="E1155" s="3">
        <v>71.040000000000006</v>
      </c>
      <c r="F1155" s="3">
        <v>0.98480000000000001</v>
      </c>
      <c r="G1155" s="3">
        <v>3</v>
      </c>
      <c r="H1155" s="3">
        <v>210</v>
      </c>
      <c r="I1155" s="3">
        <v>217.5</v>
      </c>
      <c r="J1155" s="3">
        <v>222.5</v>
      </c>
      <c r="K1155" s="4" t="e">
        <f t="array" aca="1" ref="K1155">MAX(H1155:J1155*(1-strike(H1155:J1155)))</f>
        <v>#NAME?</v>
      </c>
      <c r="L1155" s="3">
        <v>120</v>
      </c>
      <c r="M1155" s="3">
        <v>127.5</v>
      </c>
      <c r="N1155" s="1">
        <v>132.5</v>
      </c>
      <c r="O1155" s="4" t="e">
        <f t="array" aca="1" ref="O1155">MAX(L1155:N1155*(1-strike(L1155:N1155)))</f>
        <v>#NAME?</v>
      </c>
      <c r="P1155" s="3">
        <v>200</v>
      </c>
      <c r="Q1155" s="1">
        <v>205</v>
      </c>
      <c r="R1155" s="3"/>
      <c r="S1155" s="4" t="e">
        <f t="array" aca="1" ref="S1155">MAX(P1155:R1155*(1-strike(P1155:R1155)))</f>
        <v>#NAME?</v>
      </c>
      <c r="T1155" s="4" t="e">
        <f t="shared" si="18"/>
        <v>#NAME?</v>
      </c>
      <c r="U1155" s="3">
        <v>550</v>
      </c>
      <c r="V1155" s="3">
        <v>541.66</v>
      </c>
      <c r="W1155" s="3">
        <v>3</v>
      </c>
      <c r="X1155" s="5">
        <v>2012</v>
      </c>
      <c r="Y1155" s="5" t="s">
        <v>852</v>
      </c>
      <c r="Z1155" s="5" t="s">
        <v>171</v>
      </c>
      <c r="AA1155" s="5">
        <v>1393</v>
      </c>
    </row>
    <row r="1156" spans="1:27">
      <c r="A1156" s="3">
        <v>2</v>
      </c>
      <c r="B1156" s="3" t="s">
        <v>218</v>
      </c>
      <c r="C1156" s="3">
        <v>1976</v>
      </c>
      <c r="D1156" s="3" t="s">
        <v>28</v>
      </c>
      <c r="E1156" s="3">
        <v>59.8</v>
      </c>
      <c r="F1156" s="2">
        <v>11178</v>
      </c>
      <c r="G1156" s="3">
        <v>7</v>
      </c>
      <c r="H1156" s="3">
        <v>170</v>
      </c>
      <c r="I1156" s="3">
        <v>177.5</v>
      </c>
      <c r="J1156" s="1">
        <v>180</v>
      </c>
      <c r="K1156" s="4" t="e">
        <f t="array" aca="1" ref="K1156">MAX(H1156:J1156*(1-strike(H1156:J1156)))</f>
        <v>#NAME?</v>
      </c>
      <c r="L1156" s="3">
        <v>87.5</v>
      </c>
      <c r="M1156" s="3">
        <v>92.5</v>
      </c>
      <c r="N1156" s="1">
        <v>95</v>
      </c>
      <c r="O1156" s="4" t="e">
        <f t="array" aca="1" ref="O1156">MAX(L1156:N1156*(1-strike(L1156:N1156)))</f>
        <v>#NAME?</v>
      </c>
      <c r="P1156" s="3">
        <v>180</v>
      </c>
      <c r="Q1156" s="1">
        <v>190</v>
      </c>
      <c r="R1156" s="1">
        <v>197.5</v>
      </c>
      <c r="S1156" s="4" t="e">
        <f t="array" aca="1" ref="S1156">MAX(P1156:R1156*(1-strike(P1156:R1156)))</f>
        <v>#NAME?</v>
      </c>
      <c r="T1156" s="4" t="e">
        <f t="shared" si="18"/>
        <v>#NAME?</v>
      </c>
      <c r="U1156" s="3">
        <v>450</v>
      </c>
      <c r="V1156" s="3">
        <v>503.01</v>
      </c>
      <c r="W1156" s="3">
        <v>9</v>
      </c>
      <c r="X1156" s="5">
        <v>2013</v>
      </c>
      <c r="Y1156" s="5" t="s">
        <v>852</v>
      </c>
      <c r="Z1156" s="5" t="s">
        <v>30</v>
      </c>
      <c r="AA1156" s="5">
        <v>1153</v>
      </c>
    </row>
    <row r="1157" spans="1:27">
      <c r="A1157" s="3">
        <v>1</v>
      </c>
      <c r="B1157" s="3" t="s">
        <v>218</v>
      </c>
      <c r="C1157" s="3">
        <v>1976</v>
      </c>
      <c r="D1157" s="3" t="s">
        <v>28</v>
      </c>
      <c r="E1157" s="3">
        <v>55.95</v>
      </c>
      <c r="F1157" s="2">
        <v>11774</v>
      </c>
      <c r="G1157" s="3">
        <v>13</v>
      </c>
      <c r="H1157" s="3">
        <v>150</v>
      </c>
      <c r="I1157" s="3">
        <v>160</v>
      </c>
      <c r="J1157" s="3">
        <v>167.5</v>
      </c>
      <c r="K1157" s="4" t="e">
        <f t="array" aca="1" ref="K1157">MAX(H1157:J1157*(1-strike(H1157:J1157)))</f>
        <v>#NAME?</v>
      </c>
      <c r="L1157" s="3">
        <v>70</v>
      </c>
      <c r="M1157" s="3">
        <v>77.5</v>
      </c>
      <c r="N1157" s="1">
        <v>82.5</v>
      </c>
      <c r="O1157" s="4" t="e">
        <f t="array" aca="1" ref="O1157">MAX(L1157:N1157*(1-strike(L1157:N1157)))</f>
        <v>#NAME?</v>
      </c>
      <c r="P1157" s="3">
        <v>165</v>
      </c>
      <c r="Q1157" s="3">
        <v>177.5</v>
      </c>
      <c r="R1157" s="3">
        <v>185</v>
      </c>
      <c r="S1157" s="4" t="e">
        <f t="array" aca="1" ref="S1157">MAX(P1157:R1157*(1-strike(P1157:R1157)))</f>
        <v>#NAME?</v>
      </c>
      <c r="T1157" s="4" t="e">
        <f t="shared" si="18"/>
        <v>#NAME?</v>
      </c>
      <c r="U1157" s="3" t="s">
        <v>909</v>
      </c>
      <c r="V1157" s="3">
        <v>506.3</v>
      </c>
      <c r="W1157" s="3">
        <v>12</v>
      </c>
      <c r="X1157" s="5">
        <v>2014</v>
      </c>
      <c r="Y1157" s="5" t="s">
        <v>852</v>
      </c>
      <c r="Z1157" s="5" t="s">
        <v>30</v>
      </c>
      <c r="AA1157" s="5">
        <v>763</v>
      </c>
    </row>
    <row r="1158" spans="1:27" ht="15" customHeight="1">
      <c r="A1158" s="4">
        <v>1</v>
      </c>
      <c r="B1158" s="4" t="s">
        <v>218</v>
      </c>
      <c r="C1158" s="4">
        <v>1976</v>
      </c>
      <c r="D1158" s="4" t="s">
        <v>903</v>
      </c>
      <c r="E1158" s="4">
        <v>56.54</v>
      </c>
      <c r="F1158" s="7">
        <v>11684</v>
      </c>
      <c r="G1158" s="4">
        <v>8</v>
      </c>
      <c r="H1158" s="4">
        <v>205</v>
      </c>
      <c r="I1158" s="4">
        <v>215</v>
      </c>
      <c r="J1158" s="4">
        <v>222.5</v>
      </c>
      <c r="K1158" s="4" t="e">
        <f t="array" aca="1" ref="K1158">MAX(H1158:J1158*(1-strike(H1158:J1158)))</f>
        <v>#NAME?</v>
      </c>
      <c r="L1158" s="4">
        <v>100</v>
      </c>
      <c r="M1158" s="6">
        <v>105</v>
      </c>
      <c r="N1158" s="6">
        <v>105</v>
      </c>
      <c r="O1158" s="4" t="e">
        <f t="array" aca="1" ref="O1158">MAX(L1158:N1158*(1-strike(L1158:N1158)))</f>
        <v>#NAME?</v>
      </c>
      <c r="P1158" s="4">
        <v>185</v>
      </c>
      <c r="Q1158" s="4">
        <v>195</v>
      </c>
      <c r="R1158" s="6">
        <v>202.5</v>
      </c>
      <c r="S1158" s="4" t="e">
        <f t="array" aca="1" ref="S1158">MAX(P1158:R1158*(1-strike(P1158:R1158)))</f>
        <v>#NAME?</v>
      </c>
      <c r="T1158" s="4" t="e">
        <f t="shared" si="18"/>
        <v>#NAME?</v>
      </c>
      <c r="U1158" s="4">
        <v>517.5</v>
      </c>
      <c r="V1158" s="4">
        <v>604.64</v>
      </c>
      <c r="W1158" s="4">
        <v>12</v>
      </c>
      <c r="X1158" s="5">
        <v>2014</v>
      </c>
      <c r="Y1158" s="5" t="s">
        <v>852</v>
      </c>
      <c r="Z1158" s="5" t="s">
        <v>171</v>
      </c>
      <c r="AA1158" s="5">
        <v>590</v>
      </c>
    </row>
    <row r="1159" spans="1:27">
      <c r="A1159" s="3">
        <v>6</v>
      </c>
      <c r="B1159" s="3" t="s">
        <v>910</v>
      </c>
      <c r="C1159" s="3">
        <v>1983</v>
      </c>
      <c r="D1159" s="3" t="s">
        <v>51</v>
      </c>
      <c r="E1159" s="3">
        <v>62.55</v>
      </c>
      <c r="F1159" s="2">
        <v>10798</v>
      </c>
      <c r="G1159" s="3">
        <v>1</v>
      </c>
      <c r="H1159" s="3">
        <v>105</v>
      </c>
      <c r="I1159" s="3">
        <v>112.5</v>
      </c>
      <c r="J1159" s="3">
        <v>120</v>
      </c>
      <c r="K1159" s="4" t="e">
        <f t="array" aca="1" ref="K1159">MAX(H1159:J1159*(1-strike(H1159:J1159)))</f>
        <v>#NAME?</v>
      </c>
      <c r="L1159" s="3">
        <v>82.5</v>
      </c>
      <c r="M1159" s="3">
        <v>85</v>
      </c>
      <c r="N1159" s="3">
        <v>87.5</v>
      </c>
      <c r="O1159" s="4" t="e">
        <f t="array" aca="1" ref="O1159">MAX(L1159:N1159*(1-strike(L1159:N1159)))</f>
        <v>#NAME?</v>
      </c>
      <c r="P1159" s="3">
        <v>130</v>
      </c>
      <c r="Q1159" s="3">
        <v>137.5</v>
      </c>
      <c r="R1159" s="3">
        <v>140</v>
      </c>
      <c r="S1159" s="4" t="e">
        <f t="array" aca="1" ref="S1159">MAX(P1159:R1159*(1-strike(P1159:R1159)))</f>
        <v>#NAME?</v>
      </c>
      <c r="T1159" s="4" t="e">
        <f t="shared" si="18"/>
        <v>#NAME?</v>
      </c>
      <c r="U1159" s="3">
        <v>347.5</v>
      </c>
      <c r="V1159" s="3">
        <v>375.24</v>
      </c>
      <c r="W1159" s="3">
        <v>5</v>
      </c>
      <c r="X1159" s="5">
        <v>2012</v>
      </c>
      <c r="Y1159" s="5" t="s">
        <v>852</v>
      </c>
      <c r="Z1159" s="5" t="s">
        <v>30</v>
      </c>
      <c r="AA1159" s="5">
        <v>1580</v>
      </c>
    </row>
    <row r="1160" spans="1:27">
      <c r="A1160" s="3">
        <v>7</v>
      </c>
      <c r="B1160" s="3" t="s">
        <v>910</v>
      </c>
      <c r="C1160" s="3">
        <v>1983</v>
      </c>
      <c r="D1160" s="3" t="s">
        <v>51</v>
      </c>
      <c r="E1160" s="3">
        <v>67.3</v>
      </c>
      <c r="F1160" s="2">
        <v>10228</v>
      </c>
      <c r="G1160" s="3">
        <v>13</v>
      </c>
      <c r="H1160" s="3">
        <v>117.5</v>
      </c>
      <c r="I1160" s="3">
        <v>127.5</v>
      </c>
      <c r="J1160" s="3">
        <v>135</v>
      </c>
      <c r="K1160" s="4" t="e">
        <f t="array" aca="1" ref="K1160">MAX(H1160:J1160*(1-strike(H1160:J1160)))</f>
        <v>#NAME?</v>
      </c>
      <c r="L1160" s="3">
        <v>80</v>
      </c>
      <c r="M1160" s="3">
        <v>85</v>
      </c>
      <c r="N1160" s="3">
        <v>90</v>
      </c>
      <c r="O1160" s="4" t="e">
        <f t="array" aca="1" ref="O1160">MAX(L1160:N1160*(1-strike(L1160:N1160)))</f>
        <v>#NAME?</v>
      </c>
      <c r="P1160" s="3">
        <v>130</v>
      </c>
      <c r="Q1160" s="3">
        <v>140</v>
      </c>
      <c r="R1160" s="3">
        <v>145</v>
      </c>
      <c r="S1160" s="4" t="e">
        <f t="array" aca="1" ref="S1160">MAX(P1160:R1160*(1-strike(P1160:R1160)))</f>
        <v>#NAME?</v>
      </c>
      <c r="T1160" s="4" t="e">
        <f t="shared" si="18"/>
        <v>#NAME?</v>
      </c>
      <c r="U1160" s="3">
        <v>370</v>
      </c>
      <c r="V1160" s="3">
        <v>378.44</v>
      </c>
      <c r="W1160" s="3">
        <v>4</v>
      </c>
      <c r="X1160" s="5">
        <v>2013</v>
      </c>
      <c r="Y1160" s="5" t="s">
        <v>852</v>
      </c>
      <c r="Z1160" s="5" t="s">
        <v>30</v>
      </c>
      <c r="AA1160" s="5">
        <v>1169</v>
      </c>
    </row>
    <row r="1161" spans="1:27">
      <c r="A1161" s="3">
        <v>2</v>
      </c>
      <c r="B1161" s="3" t="s">
        <v>220</v>
      </c>
      <c r="C1161" s="3">
        <v>1970</v>
      </c>
      <c r="D1161" s="3" t="s">
        <v>77</v>
      </c>
      <c r="E1161" s="3">
        <v>45.67</v>
      </c>
      <c r="F1161" s="2">
        <v>13726</v>
      </c>
      <c r="G1161" s="3">
        <v>11</v>
      </c>
      <c r="H1161" s="3">
        <v>165</v>
      </c>
      <c r="I1161" s="3">
        <v>175</v>
      </c>
      <c r="J1161" s="1">
        <v>180</v>
      </c>
      <c r="K1161" s="4" t="e">
        <f t="array" aca="1" ref="K1161">MAX(H1161:J1161*(1-strike(H1161:J1161)))</f>
        <v>#NAME?</v>
      </c>
      <c r="L1161" s="1">
        <v>117.5</v>
      </c>
      <c r="M1161" s="1">
        <v>117.5</v>
      </c>
      <c r="N1161" s="3">
        <v>117.5</v>
      </c>
      <c r="O1161" s="4" t="e">
        <f t="array" aca="1" ref="O1161">MAX(L1161:N1161*(1-strike(L1161:N1161)))</f>
        <v>#NAME?</v>
      </c>
      <c r="P1161" s="3">
        <v>150</v>
      </c>
      <c r="Q1161" s="3">
        <v>157.5</v>
      </c>
      <c r="R1161" s="1">
        <v>167.5</v>
      </c>
      <c r="S1161" s="4" t="e">
        <f t="array" aca="1" ref="S1161">MAX(P1161:R1161*(1-strike(P1161:R1161)))</f>
        <v>#NAME?</v>
      </c>
      <c r="T1161" s="4" t="e">
        <f t="shared" si="18"/>
        <v>#NAME?</v>
      </c>
      <c r="U1161" s="3">
        <v>450</v>
      </c>
      <c r="V1161" s="3">
        <v>617.67999999999995</v>
      </c>
      <c r="W1161" s="3">
        <v>9</v>
      </c>
      <c r="X1161" s="5">
        <v>2012</v>
      </c>
      <c r="Y1161" s="5" t="s">
        <v>852</v>
      </c>
      <c r="Z1161" s="5" t="s">
        <v>171</v>
      </c>
      <c r="AA1161" s="5">
        <v>1336</v>
      </c>
    </row>
    <row r="1162" spans="1:27">
      <c r="A1162" s="4">
        <v>2</v>
      </c>
      <c r="B1162" s="4" t="s">
        <v>220</v>
      </c>
      <c r="C1162" s="4">
        <v>1970</v>
      </c>
      <c r="D1162" s="4" t="s">
        <v>911</v>
      </c>
      <c r="E1162" s="4">
        <v>46.42</v>
      </c>
      <c r="F1162" s="7">
        <v>13573</v>
      </c>
      <c r="G1162" s="4">
        <v>5</v>
      </c>
      <c r="H1162" s="4">
        <v>170</v>
      </c>
      <c r="I1162" s="6">
        <v>180</v>
      </c>
      <c r="J1162" s="6">
        <v>180</v>
      </c>
      <c r="K1162" s="4" t="e">
        <f t="array" aca="1" ref="K1162">MAX(H1162:J1162*(1-strike(H1162:J1162)))</f>
        <v>#NAME?</v>
      </c>
      <c r="L1162" s="4">
        <v>120</v>
      </c>
      <c r="M1162" s="4">
        <v>126.5</v>
      </c>
      <c r="N1162" s="4">
        <v>130.5</v>
      </c>
      <c r="O1162" s="4" t="e">
        <f t="array" aca="1" ref="O1162">MAX(L1162:N1162*(1-strike(L1162:N1162)))</f>
        <v>#NAME?</v>
      </c>
      <c r="P1162" s="4">
        <v>150</v>
      </c>
      <c r="Q1162" s="4">
        <v>160</v>
      </c>
      <c r="R1162" s="4">
        <v>167.5</v>
      </c>
      <c r="S1162" s="4" t="e">
        <f t="array" aca="1" ref="S1162">MAX(P1162:R1162*(1-strike(P1162:R1162)))</f>
        <v>#NAME?</v>
      </c>
      <c r="T1162" s="4" t="e">
        <f t="shared" si="18"/>
        <v>#NAME?</v>
      </c>
      <c r="U1162" s="4">
        <v>468</v>
      </c>
      <c r="V1162" s="4">
        <v>635.21</v>
      </c>
      <c r="W1162" s="4">
        <v>9</v>
      </c>
      <c r="X1162" s="5">
        <v>2014</v>
      </c>
      <c r="Y1162" s="5" t="s">
        <v>852</v>
      </c>
      <c r="Z1162" s="5" t="s">
        <v>171</v>
      </c>
      <c r="AA1162" s="5">
        <v>570</v>
      </c>
    </row>
    <row r="1163" spans="1:27">
      <c r="A1163" s="3">
        <v>5</v>
      </c>
      <c r="B1163" s="3" t="s">
        <v>912</v>
      </c>
      <c r="C1163" s="3">
        <v>1971</v>
      </c>
      <c r="D1163" s="3" t="s">
        <v>77</v>
      </c>
      <c r="E1163" s="3">
        <v>51.15</v>
      </c>
      <c r="F1163" s="2">
        <v>12626</v>
      </c>
      <c r="G1163" s="3">
        <v>9</v>
      </c>
      <c r="H1163" s="1">
        <v>110</v>
      </c>
      <c r="I1163" s="3">
        <v>112.5</v>
      </c>
      <c r="J1163" s="1">
        <v>117.5</v>
      </c>
      <c r="K1163" s="4" t="e">
        <f t="array" aca="1" ref="K1163">MAX(H1163:J1163*(1-strike(H1163:J1163)))</f>
        <v>#NAME?</v>
      </c>
      <c r="L1163" s="3">
        <v>80</v>
      </c>
      <c r="M1163" s="3">
        <v>85</v>
      </c>
      <c r="N1163" s="3">
        <v>90</v>
      </c>
      <c r="O1163" s="4" t="e">
        <f t="array" aca="1" ref="O1163">MAX(L1163:N1163*(1-strike(L1163:N1163)))</f>
        <v>#NAME?</v>
      </c>
      <c r="P1163" s="3">
        <v>125</v>
      </c>
      <c r="Q1163" s="3">
        <v>132.5</v>
      </c>
      <c r="R1163" s="3">
        <v>135</v>
      </c>
      <c r="S1163" s="4" t="e">
        <f t="array" aca="1" ref="S1163">MAX(P1163:R1163*(1-strike(P1163:R1163)))</f>
        <v>#NAME?</v>
      </c>
      <c r="T1163" s="4" t="e">
        <f t="shared" si="18"/>
        <v>#NAME?</v>
      </c>
      <c r="U1163" s="3">
        <v>337.5</v>
      </c>
      <c r="V1163" s="3">
        <v>426.11</v>
      </c>
      <c r="W1163" s="3">
        <v>6</v>
      </c>
      <c r="X1163" s="5">
        <v>2012</v>
      </c>
      <c r="Y1163" s="5" t="s">
        <v>852</v>
      </c>
      <c r="Z1163" s="5" t="s">
        <v>30</v>
      </c>
      <c r="AA1163" s="5">
        <v>1554</v>
      </c>
    </row>
    <row r="1164" spans="1:27">
      <c r="A1164" s="3">
        <v>4</v>
      </c>
      <c r="B1164" s="3" t="s">
        <v>912</v>
      </c>
      <c r="C1164" s="3">
        <v>1971</v>
      </c>
      <c r="D1164" s="3" t="s">
        <v>77</v>
      </c>
      <c r="E1164" s="3">
        <v>51.2</v>
      </c>
      <c r="F1164" s="2">
        <v>12616</v>
      </c>
      <c r="G1164" s="3">
        <v>10</v>
      </c>
      <c r="H1164" s="3">
        <v>110</v>
      </c>
      <c r="I1164" s="3">
        <v>115</v>
      </c>
      <c r="J1164" s="3">
        <v>117.5</v>
      </c>
      <c r="K1164" s="4" t="e">
        <f t="array" aca="1" ref="K1164">MAX(H1164:J1164*(1-strike(H1164:J1164)))</f>
        <v>#NAME?</v>
      </c>
      <c r="L1164" s="3">
        <v>87.5</v>
      </c>
      <c r="M1164" s="3">
        <v>92.5</v>
      </c>
      <c r="N1164" s="1">
        <v>95</v>
      </c>
      <c r="O1164" s="4" t="e">
        <f t="array" aca="1" ref="O1164">MAX(L1164:N1164*(1-strike(L1164:N1164)))</f>
        <v>#NAME?</v>
      </c>
      <c r="P1164" s="3">
        <v>130</v>
      </c>
      <c r="Q1164" s="3">
        <v>135</v>
      </c>
      <c r="R1164" s="1">
        <v>137.5</v>
      </c>
      <c r="S1164" s="4" t="e">
        <f t="array" aca="1" ref="S1164">MAX(P1164:R1164*(1-strike(P1164:R1164)))</f>
        <v>#NAME?</v>
      </c>
      <c r="T1164" s="4" t="e">
        <f t="shared" si="18"/>
        <v>#NAME?</v>
      </c>
      <c r="U1164" s="3">
        <v>345</v>
      </c>
      <c r="V1164" s="3">
        <v>435.25</v>
      </c>
      <c r="W1164" s="3">
        <v>7</v>
      </c>
      <c r="X1164" s="5">
        <v>2013</v>
      </c>
      <c r="Y1164" s="5" t="s">
        <v>852</v>
      </c>
      <c r="Z1164" s="5" t="s">
        <v>30</v>
      </c>
      <c r="AA1164" s="5">
        <v>1137</v>
      </c>
    </row>
    <row r="1165" spans="1:27">
      <c r="A1165" s="3">
        <v>3</v>
      </c>
      <c r="B1165" s="3" t="s">
        <v>913</v>
      </c>
      <c r="C1165" s="3">
        <v>1980</v>
      </c>
      <c r="D1165" s="3" t="s">
        <v>28</v>
      </c>
      <c r="E1165" s="3">
        <v>60.15</v>
      </c>
      <c r="F1165" s="2">
        <v>11127</v>
      </c>
      <c r="G1165" s="3">
        <v>10</v>
      </c>
      <c r="H1165" s="3">
        <v>125</v>
      </c>
      <c r="I1165" s="3">
        <v>135</v>
      </c>
      <c r="J1165" s="3">
        <v>142.5</v>
      </c>
      <c r="K1165" s="4" t="e">
        <f t="array" aca="1" ref="K1165">MAX(H1165:J1165*(1-strike(H1165:J1165)))</f>
        <v>#NAME?</v>
      </c>
      <c r="L1165" s="3">
        <v>85</v>
      </c>
      <c r="M1165" s="3">
        <v>92.5</v>
      </c>
      <c r="N1165" s="3">
        <v>97.5</v>
      </c>
      <c r="O1165" s="4" t="e">
        <f t="array" aca="1" ref="O1165">MAX(L1165:N1165*(1-strike(L1165:N1165)))</f>
        <v>#NAME?</v>
      </c>
      <c r="P1165" s="3">
        <v>160</v>
      </c>
      <c r="Q1165" s="3">
        <v>165</v>
      </c>
      <c r="R1165" s="3">
        <v>170</v>
      </c>
      <c r="S1165" s="4" t="e">
        <f t="array" aca="1" ref="S1165">MAX(P1165:R1165*(1-strike(P1165:R1165)))</f>
        <v>#NAME?</v>
      </c>
      <c r="T1165" s="4" t="e">
        <f t="shared" si="18"/>
        <v>#NAME?</v>
      </c>
      <c r="U1165" s="3">
        <v>410</v>
      </c>
      <c r="V1165" s="3">
        <v>456.2</v>
      </c>
      <c r="W1165" s="3">
        <v>8</v>
      </c>
      <c r="X1165" s="5">
        <v>2012</v>
      </c>
      <c r="Y1165" s="5" t="s">
        <v>852</v>
      </c>
      <c r="Z1165" s="5" t="s">
        <v>30</v>
      </c>
      <c r="AA1165" s="5">
        <v>1577</v>
      </c>
    </row>
    <row r="1166" spans="1:27">
      <c r="A1166" s="3">
        <v>4</v>
      </c>
      <c r="B1166" s="3" t="s">
        <v>914</v>
      </c>
      <c r="C1166" s="3">
        <v>1967</v>
      </c>
      <c r="D1166" s="3" t="s">
        <v>125</v>
      </c>
      <c r="E1166" s="3">
        <v>42.15</v>
      </c>
      <c r="F1166" s="2">
        <v>14478</v>
      </c>
      <c r="G1166" s="3">
        <v>1</v>
      </c>
      <c r="H1166" s="3">
        <v>82.5</v>
      </c>
      <c r="I1166" s="3">
        <v>90</v>
      </c>
      <c r="J1166" s="1">
        <v>95</v>
      </c>
      <c r="K1166" s="4" t="e">
        <f t="array" aca="1" ref="K1166">MAX(H1166:J1166*(1-strike(H1166:J1166)))</f>
        <v>#NAME?</v>
      </c>
      <c r="L1166" s="3">
        <v>40</v>
      </c>
      <c r="M1166" s="1">
        <v>45</v>
      </c>
      <c r="N1166" s="1">
        <v>45</v>
      </c>
      <c r="O1166" s="4" t="e">
        <f t="array" aca="1" ref="O1166">MAX(L1166:N1166*(1-strike(L1166:N1166)))</f>
        <v>#NAME?</v>
      </c>
      <c r="P1166" s="3">
        <v>135</v>
      </c>
      <c r="Q1166" s="1">
        <v>142.5</v>
      </c>
      <c r="R1166" s="1">
        <v>142.5</v>
      </c>
      <c r="S1166" s="4" t="e">
        <f t="array" aca="1" ref="S1166">MAX(P1166:R1166*(1-strike(P1166:R1166)))</f>
        <v>#NAME?</v>
      </c>
      <c r="T1166" s="4" t="e">
        <f t="shared" si="18"/>
        <v>#NAME?</v>
      </c>
      <c r="U1166" s="3">
        <v>265</v>
      </c>
      <c r="V1166" s="3">
        <v>383.65</v>
      </c>
      <c r="W1166" s="3">
        <v>7</v>
      </c>
      <c r="X1166" s="5">
        <v>2012</v>
      </c>
      <c r="Y1166" s="5" t="s">
        <v>852</v>
      </c>
      <c r="Z1166" s="5" t="s">
        <v>30</v>
      </c>
      <c r="AA1166" s="5">
        <v>1546</v>
      </c>
    </row>
    <row r="1167" spans="1:27">
      <c r="A1167" s="3">
        <v>8</v>
      </c>
      <c r="B1167" s="3" t="s">
        <v>914</v>
      </c>
      <c r="C1167" s="3">
        <v>1967</v>
      </c>
      <c r="D1167" s="3" t="s">
        <v>125</v>
      </c>
      <c r="E1167" s="3">
        <v>42.95</v>
      </c>
      <c r="F1167" s="2">
        <v>14305</v>
      </c>
      <c r="G1167" s="3">
        <v>1</v>
      </c>
      <c r="H1167" s="3">
        <v>80</v>
      </c>
      <c r="I1167" s="3">
        <v>87.5</v>
      </c>
      <c r="J1167" s="3">
        <v>90</v>
      </c>
      <c r="K1167" s="4" t="e">
        <f t="array" aca="1" ref="K1167">MAX(H1167:J1167*(1-strike(H1167:J1167)))</f>
        <v>#NAME?</v>
      </c>
      <c r="L1167" s="3">
        <v>37.5</v>
      </c>
      <c r="M1167" s="3">
        <v>42.5</v>
      </c>
      <c r="N1167" s="3">
        <v>45</v>
      </c>
      <c r="O1167" s="4" t="e">
        <f t="array" aca="1" ref="O1167">MAX(L1167:N1167*(1-strike(L1167:N1167)))</f>
        <v>#NAME?</v>
      </c>
      <c r="P1167" s="3">
        <v>132.5</v>
      </c>
      <c r="Q1167" s="1">
        <v>137.5</v>
      </c>
      <c r="R1167" s="1">
        <v>137.5</v>
      </c>
      <c r="S1167" s="4" t="e">
        <f t="array" aca="1" ref="S1167">MAX(P1167:R1167*(1-strike(P1167:R1167)))</f>
        <v>#NAME?</v>
      </c>
      <c r="T1167" s="4" t="e">
        <f t="shared" si="18"/>
        <v>#NAME?</v>
      </c>
      <c r="U1167" s="3">
        <v>267.5</v>
      </c>
      <c r="V1167" s="3">
        <v>382.67</v>
      </c>
      <c r="W1167" s="3">
        <v>3</v>
      </c>
      <c r="X1167" s="5">
        <v>2013</v>
      </c>
      <c r="Y1167" s="5" t="s">
        <v>852</v>
      </c>
      <c r="Z1167" s="5" t="s">
        <v>30</v>
      </c>
      <c r="AA1167" s="5">
        <v>1130</v>
      </c>
    </row>
    <row r="1168" spans="1:27">
      <c r="A1168" s="3">
        <v>1</v>
      </c>
      <c r="B1168" s="3" t="s">
        <v>222</v>
      </c>
      <c r="C1168" s="3">
        <v>1986</v>
      </c>
      <c r="D1168" s="3" t="s">
        <v>28</v>
      </c>
      <c r="E1168" s="3">
        <v>120.95</v>
      </c>
      <c r="F1168" s="3">
        <v>0.79849999999999999</v>
      </c>
      <c r="G1168" s="3">
        <v>16</v>
      </c>
      <c r="H1168" s="3">
        <v>275</v>
      </c>
      <c r="I1168" s="3">
        <v>290</v>
      </c>
      <c r="J1168" s="3">
        <v>300</v>
      </c>
      <c r="K1168" s="4" t="e">
        <f t="array" aca="1" ref="K1168">MAX(H1168:J1168*(1-strike(H1168:J1168)))</f>
        <v>#NAME?</v>
      </c>
      <c r="L1168" s="3">
        <v>165</v>
      </c>
      <c r="M1168" s="3">
        <v>175</v>
      </c>
      <c r="N1168" s="3">
        <v>182.5</v>
      </c>
      <c r="O1168" s="4" t="e">
        <f t="array" aca="1" ref="O1168">MAX(L1168:N1168*(1-strike(L1168:N1168)))</f>
        <v>#NAME?</v>
      </c>
      <c r="P1168" s="3">
        <v>240</v>
      </c>
      <c r="Q1168" s="3">
        <v>260</v>
      </c>
      <c r="R1168" s="3">
        <v>270.5</v>
      </c>
      <c r="S1168" s="4" t="e">
        <f t="array" aca="1" ref="S1168">MAX(P1168:R1168*(1-strike(P1168:R1168)))</f>
        <v>#NAME?</v>
      </c>
      <c r="T1168" s="4" t="e">
        <f t="shared" si="18"/>
        <v>#NAME?</v>
      </c>
      <c r="U1168" s="3" t="s">
        <v>915</v>
      </c>
      <c r="V1168" s="3">
        <v>601.27</v>
      </c>
      <c r="W1168" s="3">
        <v>12</v>
      </c>
      <c r="X1168" s="5">
        <v>2013</v>
      </c>
      <c r="Y1168" s="5" t="s">
        <v>852</v>
      </c>
      <c r="Z1168" s="5" t="s">
        <v>171</v>
      </c>
      <c r="AA1168" s="5">
        <v>1006</v>
      </c>
    </row>
    <row r="1169" spans="1:27">
      <c r="A1169" s="4">
        <v>1</v>
      </c>
      <c r="B1169" s="4" t="s">
        <v>222</v>
      </c>
      <c r="C1169" s="4">
        <v>1986</v>
      </c>
      <c r="D1169" s="4" t="s">
        <v>903</v>
      </c>
      <c r="E1169" s="4">
        <v>115.94</v>
      </c>
      <c r="F1169" s="4">
        <v>0.80469999999999997</v>
      </c>
      <c r="G1169" s="4">
        <v>18</v>
      </c>
      <c r="H1169" s="4">
        <v>265</v>
      </c>
      <c r="I1169" s="4">
        <v>277.5</v>
      </c>
      <c r="J1169" s="4">
        <v>285</v>
      </c>
      <c r="K1169" s="4" t="e">
        <f t="array" aca="1" ref="K1169">MAX(H1169:J1169*(1-strike(H1169:J1169)))</f>
        <v>#NAME?</v>
      </c>
      <c r="L1169" s="4">
        <v>170</v>
      </c>
      <c r="M1169" s="4">
        <v>175</v>
      </c>
      <c r="N1169" s="4">
        <v>180</v>
      </c>
      <c r="O1169" s="4" t="e">
        <f t="array" aca="1" ref="O1169">MAX(L1169:N1169*(1-strike(L1169:N1169)))</f>
        <v>#NAME?</v>
      </c>
      <c r="P1169" s="4">
        <v>235</v>
      </c>
      <c r="Q1169" s="4">
        <v>245</v>
      </c>
      <c r="R1169" s="4">
        <v>250</v>
      </c>
      <c r="S1169" s="4" t="e">
        <f t="array" aca="1" ref="S1169">MAX(P1169:R1169*(1-strike(P1169:R1169)))</f>
        <v>#NAME?</v>
      </c>
      <c r="T1169" s="4" t="e">
        <f t="shared" si="18"/>
        <v>#NAME?</v>
      </c>
      <c r="U1169" s="4">
        <v>715</v>
      </c>
      <c r="V1169" s="4">
        <v>575.36</v>
      </c>
      <c r="W1169" s="4">
        <v>12</v>
      </c>
      <c r="X1169" s="5">
        <v>2014</v>
      </c>
      <c r="Y1169" s="5" t="s">
        <v>852</v>
      </c>
      <c r="Z1169" s="5" t="s">
        <v>171</v>
      </c>
      <c r="AA1169" s="5">
        <v>635</v>
      </c>
    </row>
    <row r="1170" spans="1:27">
      <c r="A1170" s="3">
        <v>6</v>
      </c>
      <c r="B1170" s="3" t="s">
        <v>916</v>
      </c>
      <c r="C1170" s="3">
        <v>1960</v>
      </c>
      <c r="D1170" s="3" t="s">
        <v>51</v>
      </c>
      <c r="E1170" s="3">
        <v>107.8</v>
      </c>
      <c r="F1170" s="3">
        <v>0.81669999999999998</v>
      </c>
      <c r="G1170" s="3">
        <v>4</v>
      </c>
      <c r="H1170" s="1">
        <v>85</v>
      </c>
      <c r="I1170" s="3">
        <v>85</v>
      </c>
      <c r="J1170" s="3">
        <v>100</v>
      </c>
      <c r="K1170" s="4" t="e">
        <f t="array" aca="1" ref="K1170">MAX(H1170:J1170*(1-strike(H1170:J1170)))</f>
        <v>#NAME?</v>
      </c>
      <c r="L1170" s="3">
        <v>50</v>
      </c>
      <c r="M1170" s="3">
        <v>55</v>
      </c>
      <c r="N1170" s="1">
        <v>57.5</v>
      </c>
      <c r="O1170" s="4" t="e">
        <f t="array" aca="1" ref="O1170">MAX(L1170:N1170*(1-strike(L1170:N1170)))</f>
        <v>#NAME?</v>
      </c>
      <c r="P1170" s="3">
        <v>150</v>
      </c>
      <c r="Q1170" s="3">
        <v>160</v>
      </c>
      <c r="R1170" s="1">
        <v>165</v>
      </c>
      <c r="S1170" s="4" t="e">
        <f t="array" aca="1" ref="S1170">MAX(P1170:R1170*(1-strike(P1170:R1170)))</f>
        <v>#NAME?</v>
      </c>
      <c r="T1170" s="4" t="e">
        <f t="shared" si="18"/>
        <v>#NAME?</v>
      </c>
      <c r="U1170" s="3">
        <v>315</v>
      </c>
      <c r="V1170" s="3">
        <v>257.26</v>
      </c>
      <c r="W1170" s="3">
        <v>5</v>
      </c>
      <c r="X1170" s="5">
        <v>2012</v>
      </c>
      <c r="Y1170" s="5" t="s">
        <v>852</v>
      </c>
      <c r="Z1170" s="5" t="s">
        <v>30</v>
      </c>
      <c r="AA1170" s="5">
        <v>1607</v>
      </c>
    </row>
    <row r="1171" spans="1:27">
      <c r="A1171" s="3">
        <v>5</v>
      </c>
      <c r="B1171" s="3" t="s">
        <v>917</v>
      </c>
      <c r="C1171" s="3">
        <v>1989</v>
      </c>
      <c r="D1171" s="3" t="s">
        <v>56</v>
      </c>
      <c r="E1171" s="3">
        <v>77.900000000000006</v>
      </c>
      <c r="F1171" s="3">
        <v>0.92900000000000005</v>
      </c>
      <c r="G1171" s="3">
        <v>10</v>
      </c>
      <c r="H1171" s="1">
        <v>160</v>
      </c>
      <c r="I1171" s="3">
        <v>170</v>
      </c>
      <c r="J1171" s="1">
        <v>172.5</v>
      </c>
      <c r="K1171" s="4" t="e">
        <f t="array" aca="1" ref="K1171">MAX(H1171:J1171*(1-strike(H1171:J1171)))</f>
        <v>#NAME?</v>
      </c>
      <c r="L1171" s="3">
        <v>92.5</v>
      </c>
      <c r="M1171" s="3">
        <v>102.5</v>
      </c>
      <c r="N1171" s="3">
        <v>107.5</v>
      </c>
      <c r="O1171" s="4" t="e">
        <f t="array" aca="1" ref="O1171">MAX(L1171:N1171*(1-strike(L1171:N1171)))</f>
        <v>#NAME?</v>
      </c>
      <c r="P1171" s="3">
        <v>165</v>
      </c>
      <c r="Q1171" s="3">
        <v>175</v>
      </c>
      <c r="R1171" s="1">
        <v>182.5</v>
      </c>
      <c r="S1171" s="4" t="e">
        <f t="array" aca="1" ref="S1171">MAX(P1171:R1171*(1-strike(P1171:R1171)))</f>
        <v>#NAME?</v>
      </c>
      <c r="T1171" s="4" t="e">
        <f t="shared" si="18"/>
        <v>#NAME?</v>
      </c>
      <c r="U1171" s="3">
        <v>452.5</v>
      </c>
      <c r="V1171" s="3">
        <v>420.37</v>
      </c>
      <c r="W1171" s="3">
        <v>6</v>
      </c>
      <c r="X1171" s="5">
        <v>2014</v>
      </c>
      <c r="Y1171" s="5" t="s">
        <v>852</v>
      </c>
      <c r="Z1171" s="5" t="s">
        <v>30</v>
      </c>
      <c r="AA1171" s="5">
        <v>805</v>
      </c>
    </row>
    <row r="1172" spans="1:27">
      <c r="A1172" s="3">
        <v>2</v>
      </c>
      <c r="B1172" s="3" t="s">
        <v>223</v>
      </c>
      <c r="C1172" s="3">
        <v>1970</v>
      </c>
      <c r="D1172" s="3" t="s">
        <v>28</v>
      </c>
      <c r="E1172" s="3">
        <v>46.75</v>
      </c>
      <c r="F1172" s="2">
        <v>13500</v>
      </c>
      <c r="G1172" s="3">
        <v>7</v>
      </c>
      <c r="H1172" s="3">
        <v>110</v>
      </c>
      <c r="I1172" s="1">
        <v>117.5</v>
      </c>
      <c r="J1172" s="3">
        <v>117.5</v>
      </c>
      <c r="K1172" s="4" t="e">
        <f t="array" aca="1" ref="K1172">MAX(H1172:J1172*(1-strike(H1172:J1172)))</f>
        <v>#NAME?</v>
      </c>
      <c r="L1172" s="3">
        <v>85</v>
      </c>
      <c r="M1172" s="3">
        <v>90.5</v>
      </c>
      <c r="N1172" s="3"/>
      <c r="O1172" s="4" t="e">
        <f t="array" aca="1" ref="O1172">MAX(L1172:N1172*(1-strike(L1172:N1172)))</f>
        <v>#NAME?</v>
      </c>
      <c r="P1172" s="3">
        <v>150</v>
      </c>
      <c r="Q1172" s="3">
        <v>160.5</v>
      </c>
      <c r="R1172" s="3">
        <v>170.5</v>
      </c>
      <c r="S1172" s="4" t="e">
        <f t="array" aca="1" ref="S1172">MAX(P1172:R1172*(1-strike(P1172:R1172)))</f>
        <v>#NAME?</v>
      </c>
      <c r="T1172" s="4" t="e">
        <f t="shared" si="18"/>
        <v>#NAME?</v>
      </c>
      <c r="U1172" s="3">
        <v>378.5</v>
      </c>
      <c r="V1172" s="3">
        <v>510.99</v>
      </c>
      <c r="W1172" s="3">
        <v>9</v>
      </c>
      <c r="X1172" s="5">
        <v>2012</v>
      </c>
      <c r="Y1172" s="5" t="s">
        <v>852</v>
      </c>
      <c r="Z1172" s="5" t="s">
        <v>30</v>
      </c>
      <c r="AA1172" s="5">
        <v>1544</v>
      </c>
    </row>
    <row r="1173" spans="1:27">
      <c r="A1173" s="3">
        <v>1</v>
      </c>
      <c r="B1173" s="3" t="s">
        <v>223</v>
      </c>
      <c r="C1173" s="3">
        <v>1970</v>
      </c>
      <c r="D1173" s="3" t="s">
        <v>28</v>
      </c>
      <c r="E1173" s="3">
        <v>46.65</v>
      </c>
      <c r="F1173" s="2">
        <v>13521</v>
      </c>
      <c r="G1173" s="3">
        <v>3</v>
      </c>
      <c r="H1173" s="3">
        <v>110</v>
      </c>
      <c r="I1173" s="3">
        <v>115</v>
      </c>
      <c r="J1173" s="3">
        <v>120</v>
      </c>
      <c r="K1173" s="4" t="e">
        <f t="array" aca="1" ref="K1173">MAX(H1173:J1173*(1-strike(H1173:J1173)))</f>
        <v>#NAME?</v>
      </c>
      <c r="L1173" s="3">
        <v>85</v>
      </c>
      <c r="M1173" s="1">
        <v>90</v>
      </c>
      <c r="N1173" s="3"/>
      <c r="O1173" s="4" t="e">
        <f t="array" aca="1" ref="O1173">MAX(L1173:N1173*(1-strike(L1173:N1173)))</f>
        <v>#NAME?</v>
      </c>
      <c r="P1173" s="3">
        <v>145</v>
      </c>
      <c r="Q1173" s="1">
        <v>160</v>
      </c>
      <c r="R1173" s="1">
        <v>160</v>
      </c>
      <c r="S1173" s="4" t="e">
        <f t="array" aca="1" ref="S1173">MAX(P1173:R1173*(1-strike(P1173:R1173)))</f>
        <v>#NAME?</v>
      </c>
      <c r="T1173" s="4" t="e">
        <f t="shared" si="18"/>
        <v>#NAME?</v>
      </c>
      <c r="U1173" s="3">
        <v>350</v>
      </c>
      <c r="V1173" s="3">
        <v>473.25</v>
      </c>
      <c r="W1173" s="3">
        <v>12</v>
      </c>
      <c r="X1173" s="5">
        <v>2013</v>
      </c>
      <c r="Y1173" s="5" t="s">
        <v>852</v>
      </c>
      <c r="Z1173" s="5" t="s">
        <v>30</v>
      </c>
      <c r="AA1173" s="5">
        <v>1123</v>
      </c>
    </row>
    <row r="1174" spans="1:27">
      <c r="A1174" s="3">
        <v>1</v>
      </c>
      <c r="B1174" s="3" t="s">
        <v>223</v>
      </c>
      <c r="C1174" s="3">
        <v>1970</v>
      </c>
      <c r="D1174" s="3" t="s">
        <v>28</v>
      </c>
      <c r="E1174" s="3">
        <v>46.9</v>
      </c>
      <c r="F1174" s="2">
        <v>13470</v>
      </c>
      <c r="G1174" s="3">
        <v>5</v>
      </c>
      <c r="H1174" s="3">
        <v>105</v>
      </c>
      <c r="I1174" s="3">
        <v>110</v>
      </c>
      <c r="J1174" s="3">
        <v>115</v>
      </c>
      <c r="K1174" s="4" t="e">
        <f t="array" aca="1" ref="K1174">MAX(H1174:J1174*(1-strike(H1174:J1174)))</f>
        <v>#NAME?</v>
      </c>
      <c r="L1174" s="3">
        <v>80</v>
      </c>
      <c r="M1174" s="3">
        <v>85</v>
      </c>
      <c r="N1174" s="3">
        <v>91</v>
      </c>
      <c r="O1174" s="4" t="e">
        <f t="array" aca="1" ref="O1174">MAX(L1174:N1174*(1-strike(L1174:N1174)))</f>
        <v>#NAME?</v>
      </c>
      <c r="P1174" s="3">
        <v>130</v>
      </c>
      <c r="Q1174" s="3">
        <v>140</v>
      </c>
      <c r="R1174" s="3"/>
      <c r="S1174" s="4" t="e">
        <f t="array" aca="1" ref="S1174">MAX(P1174:R1174*(1-strike(P1174:R1174)))</f>
        <v>#NAME?</v>
      </c>
      <c r="T1174" s="4" t="e">
        <f t="shared" si="18"/>
        <v>#NAME?</v>
      </c>
      <c r="U1174" s="3" t="s">
        <v>918</v>
      </c>
      <c r="V1174" s="3">
        <v>466.06</v>
      </c>
      <c r="W1174" s="3">
        <v>12</v>
      </c>
      <c r="X1174" s="5">
        <v>2014</v>
      </c>
      <c r="Y1174" s="5" t="s">
        <v>852</v>
      </c>
      <c r="Z1174" s="3" t="s">
        <v>30</v>
      </c>
      <c r="AA1174" s="5">
        <v>747</v>
      </c>
    </row>
    <row r="1175" spans="1:27" ht="15" customHeight="1">
      <c r="A1175" s="3">
        <v>9</v>
      </c>
      <c r="B1175" s="3" t="s">
        <v>919</v>
      </c>
      <c r="C1175" s="3">
        <v>1980</v>
      </c>
      <c r="D1175" s="3" t="s">
        <v>56</v>
      </c>
      <c r="E1175" s="3">
        <v>51.25</v>
      </c>
      <c r="F1175" s="2">
        <v>12607</v>
      </c>
      <c r="G1175" s="3">
        <v>9</v>
      </c>
      <c r="H1175" s="3">
        <v>80</v>
      </c>
      <c r="I1175" s="3">
        <v>85</v>
      </c>
      <c r="J1175" s="1">
        <v>87.5</v>
      </c>
      <c r="K1175" s="4" t="e">
        <f t="array" aca="1" ref="K1175">MAX(H1175:J1175*(1-strike(H1175:J1175)))</f>
        <v>#NAME?</v>
      </c>
      <c r="L1175" s="3">
        <v>50</v>
      </c>
      <c r="M1175" s="3">
        <v>52.5</v>
      </c>
      <c r="N1175" s="1">
        <v>55</v>
      </c>
      <c r="O1175" s="4" t="e">
        <f t="array" aca="1" ref="O1175">MAX(L1175:N1175*(1-strike(L1175:N1175)))</f>
        <v>#NAME?</v>
      </c>
      <c r="P1175" s="3">
        <v>140</v>
      </c>
      <c r="Q1175" s="1">
        <v>145</v>
      </c>
      <c r="R1175" s="1">
        <v>147.5</v>
      </c>
      <c r="S1175" s="4" t="e">
        <f t="array" aca="1" ref="S1175">MAX(P1175:R1175*(1-strike(P1175:R1175)))</f>
        <v>#NAME?</v>
      </c>
      <c r="T1175" s="4" t="e">
        <f t="shared" si="18"/>
        <v>#NAME?</v>
      </c>
      <c r="U1175" s="3">
        <v>277.5</v>
      </c>
      <c r="V1175" s="3">
        <v>349.83</v>
      </c>
      <c r="W1175" s="3">
        <v>2</v>
      </c>
      <c r="X1175" s="5">
        <v>2013</v>
      </c>
      <c r="Y1175" s="5" t="s">
        <v>852</v>
      </c>
      <c r="Z1175" s="5" t="s">
        <v>30</v>
      </c>
      <c r="AA1175" s="5">
        <v>1142</v>
      </c>
    </row>
    <row r="1176" spans="1:27">
      <c r="A1176" s="3">
        <v>9</v>
      </c>
      <c r="B1176" s="3" t="s">
        <v>225</v>
      </c>
      <c r="C1176" s="3">
        <v>1978</v>
      </c>
      <c r="D1176" s="3" t="s">
        <v>51</v>
      </c>
      <c r="E1176" s="3">
        <v>60.6</v>
      </c>
      <c r="F1176" s="2">
        <v>11063</v>
      </c>
      <c r="G1176" s="3">
        <v>2</v>
      </c>
      <c r="H1176" s="3">
        <v>92.5</v>
      </c>
      <c r="I1176" s="3">
        <v>102.5</v>
      </c>
      <c r="J1176" s="3">
        <v>110</v>
      </c>
      <c r="K1176" s="4" t="e">
        <f t="array" aca="1" ref="K1176">MAX(H1176:J1176*(1-strike(H1176:J1176)))</f>
        <v>#NAME?</v>
      </c>
      <c r="L1176" s="3">
        <v>62.5</v>
      </c>
      <c r="M1176" s="3">
        <v>67.5</v>
      </c>
      <c r="N1176" s="1">
        <v>72.5</v>
      </c>
      <c r="O1176" s="4" t="e">
        <f t="array" aca="1" ref="O1176">MAX(L1176:N1176*(1-strike(L1176:N1176)))</f>
        <v>#NAME?</v>
      </c>
      <c r="P1176" s="3">
        <v>130</v>
      </c>
      <c r="Q1176" s="3">
        <v>145</v>
      </c>
      <c r="R1176" s="3">
        <v>157.5</v>
      </c>
      <c r="S1176" s="4" t="e">
        <f t="array" aca="1" ref="S1176">MAX(P1176:R1176*(1-strike(P1176:R1176)))</f>
        <v>#NAME?</v>
      </c>
      <c r="T1176" s="4" t="e">
        <f t="shared" si="18"/>
        <v>#NAME?</v>
      </c>
      <c r="U1176" s="3">
        <v>335</v>
      </c>
      <c r="V1176" s="3">
        <v>370.61</v>
      </c>
      <c r="W1176" s="3">
        <v>2</v>
      </c>
      <c r="X1176" s="5">
        <v>2013</v>
      </c>
      <c r="Y1176" s="5" t="s">
        <v>852</v>
      </c>
      <c r="Z1176" s="5" t="s">
        <v>30</v>
      </c>
      <c r="AA1176" s="5">
        <v>1160</v>
      </c>
    </row>
    <row r="1177" spans="1:27">
      <c r="A1177" s="3">
        <v>10</v>
      </c>
      <c r="B1177" s="3" t="s">
        <v>225</v>
      </c>
      <c r="C1177" s="3">
        <v>1978</v>
      </c>
      <c r="D1177" s="3" t="s">
        <v>51</v>
      </c>
      <c r="E1177" s="3">
        <v>60.65</v>
      </c>
      <c r="F1177" s="2">
        <v>11056</v>
      </c>
      <c r="G1177" s="3">
        <v>26</v>
      </c>
      <c r="H1177" s="3">
        <v>100</v>
      </c>
      <c r="I1177" s="3">
        <v>115</v>
      </c>
      <c r="J1177" s="3">
        <v>122.5</v>
      </c>
      <c r="K1177" s="4" t="e">
        <f t="array" aca="1" ref="K1177">MAX(H1177:J1177*(1-strike(H1177:J1177)))</f>
        <v>#NAME?</v>
      </c>
      <c r="L1177" s="3">
        <v>65</v>
      </c>
      <c r="M1177" s="3">
        <v>70</v>
      </c>
      <c r="N1177" s="3">
        <v>72.5</v>
      </c>
      <c r="O1177" s="4" t="e">
        <f t="array" aca="1" ref="O1177">MAX(L1177:N1177*(1-strike(L1177:N1177)))</f>
        <v>#NAME?</v>
      </c>
      <c r="P1177" s="3">
        <v>140</v>
      </c>
      <c r="Q1177" s="3">
        <v>150</v>
      </c>
      <c r="R1177" s="1">
        <v>157.5</v>
      </c>
      <c r="S1177" s="4" t="e">
        <f t="array" aca="1" ref="S1177">MAX(P1177:R1177*(1-strike(P1177:R1177)))</f>
        <v>#NAME?</v>
      </c>
      <c r="T1177" s="4" t="e">
        <f t="shared" si="18"/>
        <v>#NAME?</v>
      </c>
      <c r="U1177" s="3">
        <v>345</v>
      </c>
      <c r="V1177" s="3">
        <v>381.43</v>
      </c>
      <c r="W1177" s="3">
        <v>1</v>
      </c>
      <c r="X1177" s="5">
        <v>2014</v>
      </c>
      <c r="Y1177" s="5" t="s">
        <v>852</v>
      </c>
      <c r="Z1177" s="5" t="s">
        <v>30</v>
      </c>
      <c r="AA1177" s="5">
        <v>788</v>
      </c>
    </row>
    <row r="1178" spans="1:27">
      <c r="A1178" s="3">
        <v>6</v>
      </c>
      <c r="B1178" s="3" t="s">
        <v>226</v>
      </c>
      <c r="C1178" s="3">
        <v>1986</v>
      </c>
      <c r="D1178" s="3" t="s">
        <v>35</v>
      </c>
      <c r="E1178" s="3">
        <v>50.38</v>
      </c>
      <c r="F1178" s="2">
        <v>12773</v>
      </c>
      <c r="G1178" s="3">
        <v>12</v>
      </c>
      <c r="H1178" s="1">
        <v>175</v>
      </c>
      <c r="I1178" s="1">
        <v>175</v>
      </c>
      <c r="J1178" s="3">
        <v>175</v>
      </c>
      <c r="K1178" s="4" t="e">
        <f t="array" aca="1" ref="K1178">MAX(H1178:J1178*(1-strike(H1178:J1178)))</f>
        <v>#NAME?</v>
      </c>
      <c r="L1178" s="1">
        <v>77.5</v>
      </c>
      <c r="M1178" s="1">
        <v>77.5</v>
      </c>
      <c r="N1178" s="3">
        <v>77.5</v>
      </c>
      <c r="O1178" s="4" t="e">
        <f t="array" aca="1" ref="O1178">MAX(L1178:N1178*(1-strike(L1178:N1178)))</f>
        <v>#NAME?</v>
      </c>
      <c r="P1178" s="3">
        <v>160</v>
      </c>
      <c r="Q1178" s="3">
        <v>170</v>
      </c>
      <c r="R1178" s="3">
        <v>175</v>
      </c>
      <c r="S1178" s="4" t="e">
        <f t="array" aca="1" ref="S1178">MAX(P1178:R1178*(1-strike(P1178:R1178)))</f>
        <v>#NAME?</v>
      </c>
      <c r="T1178" s="4" t="e">
        <f t="shared" si="18"/>
        <v>#NAME?</v>
      </c>
      <c r="U1178" s="3">
        <v>427.5</v>
      </c>
      <c r="V1178" s="3">
        <v>546.04999999999995</v>
      </c>
      <c r="W1178" s="3">
        <v>5</v>
      </c>
      <c r="X1178" s="5">
        <v>2013</v>
      </c>
      <c r="Y1178" s="5" t="s">
        <v>852</v>
      </c>
      <c r="Z1178" s="5" t="s">
        <v>171</v>
      </c>
      <c r="AA1178" s="5">
        <v>944</v>
      </c>
    </row>
    <row r="1179" spans="1:27">
      <c r="A1179" s="3">
        <v>2</v>
      </c>
      <c r="B1179" s="3" t="s">
        <v>226</v>
      </c>
      <c r="C1179" s="3">
        <v>1986</v>
      </c>
      <c r="D1179" s="3" t="s">
        <v>35</v>
      </c>
      <c r="E1179" s="3">
        <v>50.65</v>
      </c>
      <c r="F1179" s="2">
        <v>12720</v>
      </c>
      <c r="G1179" s="3">
        <v>14</v>
      </c>
      <c r="H1179" s="3">
        <v>125</v>
      </c>
      <c r="I1179" s="3">
        <v>132.5</v>
      </c>
      <c r="J1179" s="3">
        <v>140</v>
      </c>
      <c r="K1179" s="4" t="e">
        <f t="array" aca="1" ref="K1179">MAX(H1179:J1179*(1-strike(H1179:J1179)))</f>
        <v>#NAME?</v>
      </c>
      <c r="L1179" s="3">
        <v>70</v>
      </c>
      <c r="M1179" s="1">
        <v>72.5</v>
      </c>
      <c r="N1179" s="3">
        <v>72.5</v>
      </c>
      <c r="O1179" s="4" t="e">
        <f t="array" aca="1" ref="O1179">MAX(L1179:N1179*(1-strike(L1179:N1179)))</f>
        <v>#NAME?</v>
      </c>
      <c r="P1179" s="3">
        <v>150</v>
      </c>
      <c r="Q1179" s="3">
        <v>160</v>
      </c>
      <c r="R1179" s="3">
        <v>167.5</v>
      </c>
      <c r="S1179" s="4" t="e">
        <f t="array" aca="1" ref="S1179">MAX(P1179:R1179*(1-strike(P1179:R1179)))</f>
        <v>#NAME?</v>
      </c>
      <c r="T1179" s="4" t="e">
        <f t="shared" si="18"/>
        <v>#NAME?</v>
      </c>
      <c r="U1179" s="3">
        <v>380</v>
      </c>
      <c r="V1179" s="3">
        <v>483.38</v>
      </c>
      <c r="W1179" s="3">
        <v>9</v>
      </c>
      <c r="X1179" s="5">
        <v>2014</v>
      </c>
      <c r="Y1179" s="5" t="s">
        <v>852</v>
      </c>
      <c r="Z1179" s="5" t="s">
        <v>30</v>
      </c>
      <c r="AA1179" s="5">
        <v>756</v>
      </c>
    </row>
    <row r="1180" spans="1:27">
      <c r="A1180" s="4">
        <v>5</v>
      </c>
      <c r="B1180" s="4" t="s">
        <v>226</v>
      </c>
      <c r="C1180" s="4">
        <v>1986</v>
      </c>
      <c r="D1180" s="4" t="s">
        <v>920</v>
      </c>
      <c r="E1180" s="4">
        <v>51.4</v>
      </c>
      <c r="F1180" s="7">
        <v>12578</v>
      </c>
      <c r="G1180" s="4">
        <v>18</v>
      </c>
      <c r="H1180" s="4">
        <v>180</v>
      </c>
      <c r="I1180" s="4">
        <v>187.5</v>
      </c>
      <c r="J1180" s="4">
        <v>190</v>
      </c>
      <c r="K1180" s="4" t="e">
        <f t="array" aca="1" ref="K1180">MAX(H1180:J1180*(1-strike(H1180:J1180)))</f>
        <v>#NAME?</v>
      </c>
      <c r="L1180" s="4">
        <v>80</v>
      </c>
      <c r="M1180" s="4">
        <v>85</v>
      </c>
      <c r="N1180" s="6">
        <v>87.5</v>
      </c>
      <c r="O1180" s="4" t="e">
        <f t="array" aca="1" ref="O1180">MAX(L1180:N1180*(1-strike(L1180:N1180)))</f>
        <v>#NAME?</v>
      </c>
      <c r="P1180" s="6">
        <v>170</v>
      </c>
      <c r="Q1180" s="4">
        <v>170</v>
      </c>
      <c r="R1180" s="6">
        <v>185</v>
      </c>
      <c r="S1180" s="4" t="e">
        <f t="array" aca="1" ref="S1180">MAX(P1180:R1180*(1-strike(P1180:R1180)))</f>
        <v>#NAME?</v>
      </c>
      <c r="T1180" s="4" t="e">
        <f t="shared" si="18"/>
        <v>#NAME?</v>
      </c>
      <c r="U1180" s="4">
        <v>445</v>
      </c>
      <c r="V1180" s="4">
        <v>559.72</v>
      </c>
      <c r="W1180" s="4">
        <v>6</v>
      </c>
      <c r="X1180" s="5">
        <v>2014</v>
      </c>
      <c r="Y1180" s="5" t="s">
        <v>852</v>
      </c>
      <c r="Z1180" s="5" t="s">
        <v>171</v>
      </c>
      <c r="AA1180" s="5">
        <v>580</v>
      </c>
    </row>
    <row r="1181" spans="1:27">
      <c r="A1181" s="3">
        <v>6</v>
      </c>
      <c r="B1181" s="3" t="s">
        <v>921</v>
      </c>
      <c r="C1181" s="3">
        <v>1984</v>
      </c>
      <c r="D1181" s="3" t="s">
        <v>56</v>
      </c>
      <c r="E1181" s="3">
        <v>80.349999999999994</v>
      </c>
      <c r="F1181" s="3">
        <v>0.91279999999999994</v>
      </c>
      <c r="G1181" s="3">
        <v>23</v>
      </c>
      <c r="H1181" s="3">
        <v>140</v>
      </c>
      <c r="I1181" s="3">
        <v>147.5</v>
      </c>
      <c r="J1181" s="1">
        <v>157.5</v>
      </c>
      <c r="K1181" s="4" t="e">
        <f t="array" aca="1" ref="K1181">MAX(H1181:J1181*(1-strike(H1181:J1181)))</f>
        <v>#NAME?</v>
      </c>
      <c r="L1181" s="3">
        <v>75</v>
      </c>
      <c r="M1181" s="3">
        <v>80</v>
      </c>
      <c r="N1181" s="1">
        <v>85</v>
      </c>
      <c r="O1181" s="4" t="e">
        <f t="array" aca="1" ref="O1181">MAX(L1181:N1181*(1-strike(L1181:N1181)))</f>
        <v>#NAME?</v>
      </c>
      <c r="P1181" s="3">
        <v>162.5</v>
      </c>
      <c r="Q1181" s="3">
        <v>167.5</v>
      </c>
      <c r="R1181" s="1">
        <v>172.5</v>
      </c>
      <c r="S1181" s="4" t="e">
        <f t="array" aca="1" ref="S1181">MAX(P1181:R1181*(1-strike(P1181:R1181)))</f>
        <v>#NAME?</v>
      </c>
      <c r="T1181" s="4" t="e">
        <f t="shared" si="18"/>
        <v>#NAME?</v>
      </c>
      <c r="U1181" s="3">
        <v>395</v>
      </c>
      <c r="V1181" s="3">
        <v>360.56</v>
      </c>
      <c r="W1181" s="3">
        <v>5</v>
      </c>
      <c r="X1181" s="5">
        <v>2013</v>
      </c>
      <c r="Y1181" s="5" t="s">
        <v>852</v>
      </c>
      <c r="Z1181" s="5" t="s">
        <v>30</v>
      </c>
      <c r="AA1181" s="5">
        <v>1177</v>
      </c>
    </row>
    <row r="1182" spans="1:27">
      <c r="A1182" s="3">
        <v>6</v>
      </c>
      <c r="B1182" s="3" t="s">
        <v>921</v>
      </c>
      <c r="C1182" s="3">
        <v>1984</v>
      </c>
      <c r="D1182" s="3" t="s">
        <v>56</v>
      </c>
      <c r="E1182" s="3">
        <v>85</v>
      </c>
      <c r="F1182" s="3">
        <v>0.88660000000000005</v>
      </c>
      <c r="G1182" s="3">
        <v>20</v>
      </c>
      <c r="H1182" s="1">
        <v>145</v>
      </c>
      <c r="I1182" s="3">
        <v>145</v>
      </c>
      <c r="J1182" s="1">
        <v>152.5</v>
      </c>
      <c r="K1182" s="4" t="e">
        <f t="array" aca="1" ref="K1182">MAX(H1182:J1182*(1-strike(H1182:J1182)))</f>
        <v>#NAME?</v>
      </c>
      <c r="L1182" s="3">
        <v>75</v>
      </c>
      <c r="M1182" s="3">
        <v>80</v>
      </c>
      <c r="N1182" s="1">
        <v>82.5</v>
      </c>
      <c r="O1182" s="4" t="e">
        <f t="array" aca="1" ref="O1182">MAX(L1182:N1182*(1-strike(L1182:N1182)))</f>
        <v>#NAME?</v>
      </c>
      <c r="P1182" s="3">
        <v>165</v>
      </c>
      <c r="Q1182" s="1">
        <v>175</v>
      </c>
      <c r="R1182" s="1">
        <v>175</v>
      </c>
      <c r="S1182" s="4" t="e">
        <f t="array" aca="1" ref="S1182">MAX(P1182:R1182*(1-strike(P1182:R1182)))</f>
        <v>#NAME?</v>
      </c>
      <c r="T1182" s="4" t="e">
        <f t="shared" si="18"/>
        <v>#NAME?</v>
      </c>
      <c r="U1182" s="3">
        <v>390</v>
      </c>
      <c r="V1182" s="3">
        <v>345.77</v>
      </c>
      <c r="W1182" s="3">
        <v>5</v>
      </c>
      <c r="X1182" s="5">
        <v>2014</v>
      </c>
      <c r="Y1182" s="5" t="s">
        <v>852</v>
      </c>
      <c r="Z1182" s="5" t="s">
        <v>30</v>
      </c>
      <c r="AA1182" s="5">
        <v>813</v>
      </c>
    </row>
    <row r="1183" spans="1:27">
      <c r="A1183" s="3">
        <v>11</v>
      </c>
      <c r="B1183" s="3" t="s">
        <v>229</v>
      </c>
      <c r="C1183" s="3">
        <v>1970</v>
      </c>
      <c r="D1183" s="3" t="s">
        <v>228</v>
      </c>
      <c r="E1183" s="3">
        <v>62.8</v>
      </c>
      <c r="F1183" s="2">
        <v>10765</v>
      </c>
      <c r="G1183" s="3">
        <v>3</v>
      </c>
      <c r="H1183" s="3">
        <v>160</v>
      </c>
      <c r="I1183" s="3">
        <v>167.5</v>
      </c>
      <c r="J1183" s="3">
        <v>172.5</v>
      </c>
      <c r="K1183" s="4" t="e">
        <f t="array" aca="1" ref="K1183">MAX(H1183:J1183*(1-strike(H1183:J1183)))</f>
        <v>#NAME?</v>
      </c>
      <c r="L1183" s="3">
        <v>97.5</v>
      </c>
      <c r="M1183" s="1">
        <v>102.5</v>
      </c>
      <c r="N1183" s="1">
        <v>102.5</v>
      </c>
      <c r="O1183" s="4" t="e">
        <f t="array" aca="1" ref="O1183">MAX(L1183:N1183*(1-strike(L1183:N1183)))</f>
        <v>#NAME?</v>
      </c>
      <c r="P1183" s="3">
        <v>160</v>
      </c>
      <c r="Q1183" s="3">
        <v>172.5</v>
      </c>
      <c r="R1183" s="3">
        <v>180</v>
      </c>
      <c r="S1183" s="4" t="e">
        <f t="array" aca="1" ref="S1183">MAX(P1183:R1183*(1-strike(P1183:R1183)))</f>
        <v>#NAME?</v>
      </c>
      <c r="T1183" s="4" t="e">
        <f t="shared" si="18"/>
        <v>#NAME?</v>
      </c>
      <c r="U1183" s="3">
        <v>450</v>
      </c>
      <c r="V1183" s="3">
        <v>484.42</v>
      </c>
      <c r="W1183" s="3">
        <v>1</v>
      </c>
      <c r="X1183" s="5">
        <v>2012</v>
      </c>
      <c r="Y1183" s="5" t="s">
        <v>852</v>
      </c>
      <c r="Z1183" s="5" t="s">
        <v>171</v>
      </c>
      <c r="AA1183" s="5">
        <v>1381</v>
      </c>
    </row>
    <row r="1184" spans="1:27">
      <c r="A1184" s="3">
        <v>10</v>
      </c>
      <c r="B1184" s="3" t="s">
        <v>229</v>
      </c>
      <c r="C1184" s="3">
        <v>1970</v>
      </c>
      <c r="D1184" s="3" t="s">
        <v>228</v>
      </c>
      <c r="E1184" s="3">
        <v>71.52</v>
      </c>
      <c r="F1184" s="3">
        <v>0.98040000000000005</v>
      </c>
      <c r="G1184" s="3">
        <v>10</v>
      </c>
      <c r="H1184" s="3">
        <v>170</v>
      </c>
      <c r="I1184" s="1">
        <v>180</v>
      </c>
      <c r="J1184" s="3">
        <v>180</v>
      </c>
      <c r="K1184" s="4" t="e">
        <f t="array" aca="1" ref="K1184">MAX(H1184:J1184*(1-strike(H1184:J1184)))</f>
        <v>#NAME?</v>
      </c>
      <c r="L1184" s="3">
        <v>107.5</v>
      </c>
      <c r="M1184" s="1">
        <v>112.5</v>
      </c>
      <c r="N1184" s="3">
        <v>112.5</v>
      </c>
      <c r="O1184" s="4" t="e">
        <f t="array" aca="1" ref="O1184">MAX(L1184:N1184*(1-strike(L1184:N1184)))</f>
        <v>#NAME?</v>
      </c>
      <c r="P1184" s="3">
        <v>172.5</v>
      </c>
      <c r="Q1184" s="3">
        <v>180</v>
      </c>
      <c r="R1184" s="1">
        <v>185</v>
      </c>
      <c r="S1184" s="4" t="e">
        <f t="array" aca="1" ref="S1184">MAX(P1184:R1184*(1-strike(P1184:R1184)))</f>
        <v>#NAME?</v>
      </c>
      <c r="T1184" s="4" t="e">
        <f t="shared" si="18"/>
        <v>#NAME?</v>
      </c>
      <c r="U1184" s="3">
        <v>472.5</v>
      </c>
      <c r="V1184" s="3">
        <v>463.24</v>
      </c>
      <c r="W1184" s="3">
        <v>1</v>
      </c>
      <c r="X1184" s="5">
        <v>2013</v>
      </c>
      <c r="Y1184" s="5" t="s">
        <v>852</v>
      </c>
      <c r="Z1184" s="5" t="s">
        <v>171</v>
      </c>
      <c r="AA1184" s="5">
        <v>991</v>
      </c>
    </row>
    <row r="1185" spans="1:27">
      <c r="A1185" s="4">
        <v>7</v>
      </c>
      <c r="B1185" s="4" t="s">
        <v>229</v>
      </c>
      <c r="C1185" s="4">
        <v>1970</v>
      </c>
      <c r="D1185" s="4" t="s">
        <v>922</v>
      </c>
      <c r="E1185" s="4">
        <v>70.8</v>
      </c>
      <c r="F1185" s="4">
        <v>0.98709999999999998</v>
      </c>
      <c r="G1185" s="4">
        <v>3</v>
      </c>
      <c r="H1185" s="4">
        <v>172.5</v>
      </c>
      <c r="I1185" s="4">
        <v>180</v>
      </c>
      <c r="J1185" s="6">
        <v>187.5</v>
      </c>
      <c r="K1185" s="4" t="e">
        <f t="array" aca="1" ref="K1185">MAX(H1185:J1185*(1-strike(H1185:J1185)))</f>
        <v>#NAME?</v>
      </c>
      <c r="L1185" s="6">
        <v>105</v>
      </c>
      <c r="M1185" s="4">
        <v>105</v>
      </c>
      <c r="N1185" s="6">
        <v>110</v>
      </c>
      <c r="O1185" s="4" t="e">
        <f t="array" aca="1" ref="O1185">MAX(L1185:N1185*(1-strike(L1185:N1185)))</f>
        <v>#NAME?</v>
      </c>
      <c r="P1185" s="4">
        <v>167.5</v>
      </c>
      <c r="Q1185" s="4">
        <v>175</v>
      </c>
      <c r="R1185" s="4">
        <v>182.5</v>
      </c>
      <c r="S1185" s="4" t="e">
        <f t="array" aca="1" ref="S1185">MAX(P1185:R1185*(1-strike(P1185:R1185)))</f>
        <v>#NAME?</v>
      </c>
      <c r="T1185" s="4" t="e">
        <f t="shared" si="18"/>
        <v>#NAME?</v>
      </c>
      <c r="U1185" s="4">
        <v>467.5</v>
      </c>
      <c r="V1185" s="4">
        <v>461.46</v>
      </c>
      <c r="W1185" s="4">
        <v>4</v>
      </c>
      <c r="X1185" s="5">
        <v>2014</v>
      </c>
      <c r="Y1185" s="5" t="s">
        <v>852</v>
      </c>
      <c r="Z1185" s="5" t="s">
        <v>171</v>
      </c>
      <c r="AA1185" s="5">
        <v>620</v>
      </c>
    </row>
    <row r="1186" spans="1:27">
      <c r="A1186" s="3">
        <v>5</v>
      </c>
      <c r="B1186" s="3" t="s">
        <v>923</v>
      </c>
      <c r="C1186" s="3">
        <v>1988</v>
      </c>
      <c r="D1186" s="3" t="s">
        <v>480</v>
      </c>
      <c r="E1186" s="3">
        <v>51.5</v>
      </c>
      <c r="F1186" s="2">
        <v>12560</v>
      </c>
      <c r="G1186" s="3">
        <v>6</v>
      </c>
      <c r="H1186" s="3">
        <v>105</v>
      </c>
      <c r="I1186" s="1">
        <v>115</v>
      </c>
      <c r="J1186" s="1">
        <v>117.5</v>
      </c>
      <c r="K1186" s="4" t="e">
        <f t="array" aca="1" ref="K1186">MAX(H1186:J1186*(1-strike(H1186:J1186)))</f>
        <v>#NAME?</v>
      </c>
      <c r="L1186" s="3">
        <v>70</v>
      </c>
      <c r="M1186" s="3">
        <v>75</v>
      </c>
      <c r="N1186" s="1">
        <v>82.5</v>
      </c>
      <c r="O1186" s="4" t="e">
        <f t="array" aca="1" ref="O1186">MAX(L1186:N1186*(1-strike(L1186:N1186)))</f>
        <v>#NAME?</v>
      </c>
      <c r="P1186" s="3">
        <v>120</v>
      </c>
      <c r="Q1186" s="3">
        <v>130</v>
      </c>
      <c r="R1186" s="3">
        <v>135</v>
      </c>
      <c r="S1186" s="4" t="e">
        <f t="array" aca="1" ref="S1186">MAX(P1186:R1186*(1-strike(P1186:R1186)))</f>
        <v>#NAME?</v>
      </c>
      <c r="T1186" s="4" t="e">
        <f t="shared" si="18"/>
        <v>#NAME?</v>
      </c>
      <c r="U1186" s="3">
        <v>315</v>
      </c>
      <c r="V1186" s="3">
        <v>395.64</v>
      </c>
      <c r="W1186" s="3">
        <v>6</v>
      </c>
      <c r="X1186" s="5">
        <v>2013</v>
      </c>
      <c r="Y1186" s="5" t="s">
        <v>852</v>
      </c>
      <c r="Z1186" s="5" t="s">
        <v>30</v>
      </c>
      <c r="AA1186" s="5">
        <v>1138</v>
      </c>
    </row>
    <row r="1187" spans="1:27">
      <c r="A1187" s="3">
        <v>7</v>
      </c>
      <c r="B1187" s="3" t="s">
        <v>924</v>
      </c>
      <c r="C1187" s="3">
        <v>1975</v>
      </c>
      <c r="D1187" s="3" t="s">
        <v>711</v>
      </c>
      <c r="E1187" s="3">
        <v>55.79</v>
      </c>
      <c r="F1187" s="2">
        <v>11801</v>
      </c>
      <c r="G1187" s="3">
        <v>1</v>
      </c>
      <c r="H1187" s="3">
        <v>175</v>
      </c>
      <c r="I1187" s="3">
        <v>182.5</v>
      </c>
      <c r="J1187" s="3">
        <v>187.5</v>
      </c>
      <c r="K1187" s="4" t="e">
        <f t="array" aca="1" ref="K1187">MAX(H1187:J1187*(1-strike(H1187:J1187)))</f>
        <v>#NAME?</v>
      </c>
      <c r="L1187" s="3">
        <v>82.5</v>
      </c>
      <c r="M1187" s="1">
        <v>90</v>
      </c>
      <c r="N1187" s="3">
        <v>90</v>
      </c>
      <c r="O1187" s="4" t="e">
        <f t="array" aca="1" ref="O1187">MAX(L1187:N1187*(1-strike(L1187:N1187)))</f>
        <v>#NAME?</v>
      </c>
      <c r="P1187" s="1">
        <v>165</v>
      </c>
      <c r="Q1187" s="3">
        <v>170</v>
      </c>
      <c r="R1187" s="3">
        <v>177.5</v>
      </c>
      <c r="S1187" s="4" t="e">
        <f t="array" aca="1" ref="S1187">MAX(P1187:R1187*(1-strike(P1187:R1187)))</f>
        <v>#NAME?</v>
      </c>
      <c r="T1187" s="4" t="e">
        <f t="shared" si="18"/>
        <v>#NAME?</v>
      </c>
      <c r="U1187" s="3">
        <v>455</v>
      </c>
      <c r="V1187" s="3">
        <v>536.92999999999995</v>
      </c>
      <c r="W1187" s="3">
        <v>4</v>
      </c>
      <c r="X1187" s="5">
        <v>2012</v>
      </c>
      <c r="Y1187" s="5" t="s">
        <v>852</v>
      </c>
      <c r="Z1187" s="5" t="s">
        <v>171</v>
      </c>
      <c r="AA1187" s="5">
        <v>1363</v>
      </c>
    </row>
    <row r="1188" spans="1:27">
      <c r="A1188" s="3">
        <v>6</v>
      </c>
      <c r="B1188" s="3" t="s">
        <v>925</v>
      </c>
      <c r="C1188" s="3">
        <v>1989</v>
      </c>
      <c r="D1188" s="3" t="s">
        <v>45</v>
      </c>
      <c r="E1188" s="3">
        <v>61.02</v>
      </c>
      <c r="F1188" s="2">
        <v>11005</v>
      </c>
      <c r="G1188" s="3">
        <v>6</v>
      </c>
      <c r="H1188" s="3">
        <v>187.5</v>
      </c>
      <c r="I1188" s="3">
        <v>195</v>
      </c>
      <c r="J1188" s="1">
        <v>197.5</v>
      </c>
      <c r="K1188" s="4" t="e">
        <f t="array" aca="1" ref="K1188">MAX(H1188:J1188*(1-strike(H1188:J1188)))</f>
        <v>#NAME?</v>
      </c>
      <c r="L1188" s="3">
        <v>130</v>
      </c>
      <c r="M1188" s="3">
        <v>137.5</v>
      </c>
      <c r="N1188" s="3">
        <v>142.5</v>
      </c>
      <c r="O1188" s="4" t="e">
        <f t="array" aca="1" ref="O1188">MAX(L1188:N1188*(1-strike(L1188:N1188)))</f>
        <v>#NAME?</v>
      </c>
      <c r="P1188" s="3">
        <v>175</v>
      </c>
      <c r="Q1188" s="3">
        <v>185</v>
      </c>
      <c r="R1188" s="3">
        <v>190</v>
      </c>
      <c r="S1188" s="4" t="e">
        <f t="array" aca="1" ref="S1188">MAX(P1188:R1188*(1-strike(P1188:R1188)))</f>
        <v>#NAME?</v>
      </c>
      <c r="T1188" s="4" t="e">
        <f t="shared" si="18"/>
        <v>#NAME?</v>
      </c>
      <c r="U1188" s="3">
        <v>527.5</v>
      </c>
      <c r="V1188" s="3">
        <v>580.51</v>
      </c>
      <c r="W1188" s="3">
        <v>5</v>
      </c>
      <c r="X1188" s="5">
        <v>2013</v>
      </c>
      <c r="Y1188" s="5" t="s">
        <v>852</v>
      </c>
      <c r="Z1188" s="5" t="s">
        <v>171</v>
      </c>
      <c r="AA1188" s="5">
        <v>977</v>
      </c>
    </row>
    <row r="1189" spans="1:27">
      <c r="A1189" s="3">
        <v>7</v>
      </c>
      <c r="B1189" s="3" t="s">
        <v>926</v>
      </c>
      <c r="C1189" s="3">
        <v>1986</v>
      </c>
      <c r="D1189" s="3" t="s">
        <v>51</v>
      </c>
      <c r="E1189" s="3">
        <v>46.25</v>
      </c>
      <c r="F1189" s="2">
        <v>13604</v>
      </c>
      <c r="G1189" s="3">
        <v>4</v>
      </c>
      <c r="H1189" s="1">
        <v>82.5</v>
      </c>
      <c r="I1189" s="1">
        <v>82.5</v>
      </c>
      <c r="J1189" s="3">
        <v>82.5</v>
      </c>
      <c r="K1189" s="4" t="e">
        <f t="array" aca="1" ref="K1189">MAX(H1189:J1189*(1-strike(H1189:J1189)))</f>
        <v>#NAME?</v>
      </c>
      <c r="L1189" s="3">
        <v>50</v>
      </c>
      <c r="M1189" s="3">
        <v>52.5</v>
      </c>
      <c r="N1189" s="1">
        <v>55</v>
      </c>
      <c r="O1189" s="4" t="e">
        <f t="array" aca="1" ref="O1189">MAX(L1189:N1189*(1-strike(L1189:N1189)))</f>
        <v>#NAME?</v>
      </c>
      <c r="P1189" s="3">
        <v>110</v>
      </c>
      <c r="Q1189" s="3">
        <v>120</v>
      </c>
      <c r="R1189" s="1">
        <v>127.5</v>
      </c>
      <c r="S1189" s="4" t="e">
        <f t="array" aca="1" ref="S1189">MAX(P1189:R1189*(1-strike(P1189:R1189)))</f>
        <v>#NAME?</v>
      </c>
      <c r="T1189" s="4" t="e">
        <f t="shared" si="18"/>
        <v>#NAME?</v>
      </c>
      <c r="U1189" s="3">
        <v>255</v>
      </c>
      <c r="V1189" s="3">
        <v>346.91</v>
      </c>
      <c r="W1189" s="3">
        <v>4</v>
      </c>
      <c r="X1189" s="5">
        <v>2014</v>
      </c>
      <c r="Y1189" s="5" t="s">
        <v>852</v>
      </c>
      <c r="Z1189" s="5" t="s">
        <v>30</v>
      </c>
      <c r="AA1189" s="5">
        <v>753</v>
      </c>
    </row>
    <row r="1190" spans="1:27">
      <c r="A1190" s="3">
        <v>2</v>
      </c>
      <c r="B1190" s="3" t="s">
        <v>232</v>
      </c>
      <c r="C1190" s="3">
        <v>1968</v>
      </c>
      <c r="D1190" s="3" t="s">
        <v>62</v>
      </c>
      <c r="E1190" s="3">
        <v>51.55</v>
      </c>
      <c r="F1190" s="2">
        <v>12551</v>
      </c>
      <c r="G1190" s="3">
        <v>4</v>
      </c>
      <c r="H1190" s="3">
        <v>127.5</v>
      </c>
      <c r="I1190" s="3">
        <v>137.5</v>
      </c>
      <c r="J1190" s="3">
        <v>145</v>
      </c>
      <c r="K1190" s="4" t="e">
        <f t="array" aca="1" ref="K1190">MAX(H1190:J1190*(1-strike(H1190:J1190)))</f>
        <v>#NAME?</v>
      </c>
      <c r="L1190" s="3">
        <v>72.5</v>
      </c>
      <c r="M1190" s="3">
        <v>77.5</v>
      </c>
      <c r="N1190" s="3">
        <v>80</v>
      </c>
      <c r="O1190" s="4" t="e">
        <f t="array" aca="1" ref="O1190">MAX(L1190:N1190*(1-strike(L1190:N1190)))</f>
        <v>#NAME?</v>
      </c>
      <c r="P1190" s="3">
        <v>130</v>
      </c>
      <c r="Q1190" s="3">
        <v>140</v>
      </c>
      <c r="R1190" s="3">
        <v>147.5</v>
      </c>
      <c r="S1190" s="4" t="e">
        <f t="array" aca="1" ref="S1190">MAX(P1190:R1190*(1-strike(P1190:R1190)))</f>
        <v>#NAME?</v>
      </c>
      <c r="T1190" s="4" t="e">
        <f t="shared" si="18"/>
        <v>#NAME?</v>
      </c>
      <c r="U1190" s="3">
        <v>372.5</v>
      </c>
      <c r="V1190" s="3">
        <v>467.5</v>
      </c>
      <c r="W1190" s="3">
        <v>9</v>
      </c>
      <c r="X1190" s="5">
        <v>2012</v>
      </c>
      <c r="Y1190" s="5" t="s">
        <v>852</v>
      </c>
      <c r="Z1190" s="5" t="s">
        <v>30</v>
      </c>
      <c r="AA1190" s="5">
        <v>1551</v>
      </c>
    </row>
    <row r="1191" spans="1:27">
      <c r="A1191" s="3">
        <v>7</v>
      </c>
      <c r="B1191" s="3" t="s">
        <v>232</v>
      </c>
      <c r="C1191" s="3">
        <v>1968</v>
      </c>
      <c r="D1191" s="3" t="s">
        <v>62</v>
      </c>
      <c r="E1191" s="3">
        <v>51.49</v>
      </c>
      <c r="F1191" s="2">
        <v>12562</v>
      </c>
      <c r="G1191" s="3">
        <v>10</v>
      </c>
      <c r="H1191" s="3">
        <v>157.5</v>
      </c>
      <c r="I1191" s="1">
        <v>167.5</v>
      </c>
      <c r="J1191" s="3">
        <v>167.5</v>
      </c>
      <c r="K1191" s="4" t="e">
        <f t="array" aca="1" ref="K1191">MAX(H1191:J1191*(1-strike(H1191:J1191)))</f>
        <v>#NAME?</v>
      </c>
      <c r="L1191" s="3">
        <v>87.5</v>
      </c>
      <c r="M1191" s="3">
        <v>92.5</v>
      </c>
      <c r="N1191" s="1">
        <v>97.5</v>
      </c>
      <c r="O1191" s="4" t="e">
        <f t="array" aca="1" ref="O1191">MAX(L1191:N1191*(1-strike(L1191:N1191)))</f>
        <v>#NAME?</v>
      </c>
      <c r="P1191" s="3">
        <v>150</v>
      </c>
      <c r="Q1191" s="3">
        <v>160</v>
      </c>
      <c r="R1191" s="3">
        <v>167.5</v>
      </c>
      <c r="S1191" s="4" t="e">
        <f t="array" aca="1" ref="S1191">MAX(P1191:R1191*(1-strike(P1191:R1191)))</f>
        <v>#NAME?</v>
      </c>
      <c r="T1191" s="4" t="e">
        <f t="shared" si="18"/>
        <v>#NAME?</v>
      </c>
      <c r="U1191" s="3">
        <v>427.5</v>
      </c>
      <c r="V1191" s="3">
        <v>537.01</v>
      </c>
      <c r="W1191" s="3">
        <v>4</v>
      </c>
      <c r="X1191" s="5">
        <v>2012</v>
      </c>
      <c r="Y1191" s="5" t="s">
        <v>852</v>
      </c>
      <c r="Z1191" s="5" t="s">
        <v>171</v>
      </c>
      <c r="AA1191" s="5">
        <v>1348</v>
      </c>
    </row>
    <row r="1192" spans="1:27">
      <c r="A1192" s="3">
        <v>3</v>
      </c>
      <c r="B1192" s="3" t="s">
        <v>232</v>
      </c>
      <c r="C1192" s="3">
        <v>1968</v>
      </c>
      <c r="D1192" s="3" t="s">
        <v>62</v>
      </c>
      <c r="E1192" s="3">
        <v>51.65</v>
      </c>
      <c r="F1192" s="2">
        <v>12531</v>
      </c>
      <c r="G1192" s="3">
        <v>5</v>
      </c>
      <c r="H1192" s="3">
        <v>130</v>
      </c>
      <c r="I1192" s="3">
        <v>140</v>
      </c>
      <c r="J1192" s="1">
        <v>145.5</v>
      </c>
      <c r="K1192" s="4" t="e">
        <f t="array" aca="1" ref="K1192">MAX(H1192:J1192*(1-strike(H1192:J1192)))</f>
        <v>#NAME?</v>
      </c>
      <c r="L1192" s="3">
        <v>70</v>
      </c>
      <c r="M1192" s="3">
        <v>75</v>
      </c>
      <c r="N1192" s="1">
        <v>77.5</v>
      </c>
      <c r="O1192" s="4" t="e">
        <f t="array" aca="1" ref="O1192">MAX(L1192:N1192*(1-strike(L1192:N1192)))</f>
        <v>#NAME?</v>
      </c>
      <c r="P1192" s="3">
        <v>130</v>
      </c>
      <c r="Q1192" s="3">
        <v>140</v>
      </c>
      <c r="R1192" s="1">
        <v>150</v>
      </c>
      <c r="S1192" s="4" t="e">
        <f t="array" aca="1" ref="S1192">MAX(P1192:R1192*(1-strike(P1192:R1192)))</f>
        <v>#NAME?</v>
      </c>
      <c r="T1192" s="4" t="e">
        <f t="shared" si="18"/>
        <v>#NAME?</v>
      </c>
      <c r="U1192" s="3">
        <v>355</v>
      </c>
      <c r="V1192" s="3">
        <v>444.87</v>
      </c>
      <c r="W1192" s="3">
        <v>8</v>
      </c>
      <c r="X1192" s="5">
        <v>2013</v>
      </c>
      <c r="Y1192" s="5" t="s">
        <v>852</v>
      </c>
      <c r="Z1192" s="5" t="s">
        <v>30</v>
      </c>
      <c r="AA1192" s="5">
        <v>1136</v>
      </c>
    </row>
    <row r="1193" spans="1:27" ht="15" customHeight="1">
      <c r="A1193" s="3">
        <v>4</v>
      </c>
      <c r="B1193" s="3" t="s">
        <v>232</v>
      </c>
      <c r="C1193" s="3">
        <v>1968</v>
      </c>
      <c r="D1193" s="3" t="s">
        <v>62</v>
      </c>
      <c r="E1193" s="3">
        <v>51.15</v>
      </c>
      <c r="F1193" s="2">
        <v>12626</v>
      </c>
      <c r="G1193" s="3">
        <v>8</v>
      </c>
      <c r="H1193" s="3">
        <v>132.5</v>
      </c>
      <c r="I1193" s="3">
        <v>142.5</v>
      </c>
      <c r="J1193" s="3">
        <v>150</v>
      </c>
      <c r="K1193" s="4" t="e">
        <f t="array" aca="1" ref="K1193">MAX(H1193:J1193*(1-strike(H1193:J1193)))</f>
        <v>#NAME?</v>
      </c>
      <c r="L1193" s="3">
        <v>65</v>
      </c>
      <c r="M1193" s="1">
        <v>70</v>
      </c>
      <c r="N1193" s="3">
        <v>70</v>
      </c>
      <c r="O1193" s="4" t="e">
        <f t="array" aca="1" ref="O1193">MAX(L1193:N1193*(1-strike(L1193:N1193)))</f>
        <v>#NAME?</v>
      </c>
      <c r="P1193" s="3">
        <v>132.5</v>
      </c>
      <c r="Q1193" s="3">
        <v>142.5</v>
      </c>
      <c r="R1193" s="3">
        <v>152.5</v>
      </c>
      <c r="S1193" s="4" t="e">
        <f t="array" aca="1" ref="S1193">MAX(P1193:R1193*(1-strike(P1193:R1193)))</f>
        <v>#NAME?</v>
      </c>
      <c r="T1193" s="4" t="e">
        <f t="shared" si="18"/>
        <v>#NAME?</v>
      </c>
      <c r="U1193" s="3">
        <v>372.5</v>
      </c>
      <c r="V1193" s="3">
        <v>470.3</v>
      </c>
      <c r="W1193" s="3">
        <v>7</v>
      </c>
      <c r="X1193" s="5">
        <v>2014</v>
      </c>
      <c r="Y1193" s="5" t="s">
        <v>852</v>
      </c>
      <c r="Z1193" s="5" t="s">
        <v>30</v>
      </c>
      <c r="AA1193" s="5">
        <v>758</v>
      </c>
    </row>
    <row r="1194" spans="1:27" ht="15" customHeight="1">
      <c r="A1194" s="4">
        <v>6</v>
      </c>
      <c r="B1194" s="4" t="s">
        <v>232</v>
      </c>
      <c r="C1194" s="4">
        <v>1968</v>
      </c>
      <c r="D1194" s="4" t="s">
        <v>876</v>
      </c>
      <c r="E1194" s="4">
        <v>51.56</v>
      </c>
      <c r="F1194" s="7">
        <v>12541</v>
      </c>
      <c r="G1194" s="4">
        <v>16</v>
      </c>
      <c r="H1194" s="4">
        <v>162.5</v>
      </c>
      <c r="I1194" s="4">
        <v>172.5</v>
      </c>
      <c r="J1194" s="4">
        <v>182.5</v>
      </c>
      <c r="K1194" s="4" t="e">
        <f t="array" aca="1" ref="K1194">MAX(H1194:J1194*(1-strike(H1194:J1194)))</f>
        <v>#NAME?</v>
      </c>
      <c r="L1194" s="4">
        <v>82.5</v>
      </c>
      <c r="M1194" s="4">
        <v>87.5</v>
      </c>
      <c r="N1194" s="4">
        <v>90</v>
      </c>
      <c r="O1194" s="4" t="e">
        <f t="array" aca="1" ref="O1194">MAX(L1194:N1194*(1-strike(L1194:N1194)))</f>
        <v>#NAME?</v>
      </c>
      <c r="P1194" s="4">
        <v>155</v>
      </c>
      <c r="Q1194" s="4">
        <v>165</v>
      </c>
      <c r="R1194" s="6">
        <v>172.5</v>
      </c>
      <c r="S1194" s="4" t="e">
        <f t="array" aca="1" ref="S1194">MAX(P1194:R1194*(1-strike(P1194:R1194)))</f>
        <v>#NAME?</v>
      </c>
      <c r="T1194" s="4" t="e">
        <f t="shared" si="18"/>
        <v>#NAME?</v>
      </c>
      <c r="U1194" s="4">
        <v>437.5</v>
      </c>
      <c r="V1194" s="4">
        <v>548.66</v>
      </c>
      <c r="W1194" s="4">
        <v>5</v>
      </c>
      <c r="X1194" s="5">
        <v>2014</v>
      </c>
      <c r="Y1194" s="5" t="s">
        <v>852</v>
      </c>
      <c r="Z1194" s="5" t="s">
        <v>171</v>
      </c>
      <c r="AA1194" s="5">
        <v>581</v>
      </c>
    </row>
    <row r="1195" spans="1:27">
      <c r="A1195" s="3">
        <v>10</v>
      </c>
      <c r="B1195" s="3" t="s">
        <v>233</v>
      </c>
      <c r="C1195" s="3">
        <v>1988</v>
      </c>
      <c r="D1195" s="3" t="s">
        <v>62</v>
      </c>
      <c r="E1195" s="3">
        <v>56.2</v>
      </c>
      <c r="F1195" s="2">
        <v>11733</v>
      </c>
      <c r="G1195" s="3">
        <v>14</v>
      </c>
      <c r="H1195" s="3">
        <v>105</v>
      </c>
      <c r="I1195" s="3">
        <v>115</v>
      </c>
      <c r="J1195" s="1">
        <v>117.5</v>
      </c>
      <c r="K1195" s="4" t="e">
        <f t="array" aca="1" ref="K1195">MAX(H1195:J1195*(1-strike(H1195:J1195)))</f>
        <v>#NAME?</v>
      </c>
      <c r="L1195" s="3">
        <v>60</v>
      </c>
      <c r="M1195" s="3">
        <v>65</v>
      </c>
      <c r="N1195" s="3">
        <v>70</v>
      </c>
      <c r="O1195" s="4" t="e">
        <f t="array" aca="1" ref="O1195">MAX(L1195:N1195*(1-strike(L1195:N1195)))</f>
        <v>#NAME?</v>
      </c>
      <c r="P1195" s="3">
        <v>137.5</v>
      </c>
      <c r="Q1195" s="3">
        <v>150</v>
      </c>
      <c r="R1195" s="1">
        <v>157.5</v>
      </c>
      <c r="S1195" s="4" t="e">
        <f t="array" aca="1" ref="S1195">MAX(P1195:R1195*(1-strike(P1195:R1195)))</f>
        <v>#NAME?</v>
      </c>
      <c r="T1195" s="4" t="e">
        <f t="shared" si="18"/>
        <v>#NAME?</v>
      </c>
      <c r="U1195" s="3">
        <v>335</v>
      </c>
      <c r="V1195" s="3">
        <v>393.06</v>
      </c>
      <c r="W1195" s="3">
        <v>1</v>
      </c>
      <c r="X1195" s="5">
        <v>2014</v>
      </c>
      <c r="Y1195" s="5" t="s">
        <v>852</v>
      </c>
      <c r="Z1195" s="5" t="s">
        <v>30</v>
      </c>
      <c r="AA1195" s="5">
        <v>772</v>
      </c>
    </row>
    <row r="1196" spans="1:27">
      <c r="A1196" s="3">
        <v>6</v>
      </c>
      <c r="B1196" s="3" t="s">
        <v>236</v>
      </c>
      <c r="C1196" s="3">
        <v>1980</v>
      </c>
      <c r="D1196" s="3" t="s">
        <v>56</v>
      </c>
      <c r="E1196" s="3">
        <v>56.45</v>
      </c>
      <c r="F1196" s="2">
        <v>11692</v>
      </c>
      <c r="G1196" s="3">
        <v>9</v>
      </c>
      <c r="H1196" s="3">
        <v>100</v>
      </c>
      <c r="I1196" s="3">
        <v>107.5</v>
      </c>
      <c r="J1196" s="3">
        <v>110</v>
      </c>
      <c r="K1196" s="4" t="e">
        <f t="array" aca="1" ref="K1196">MAX(H1196:J1196*(1-strike(H1196:J1196)))</f>
        <v>#NAME?</v>
      </c>
      <c r="L1196" s="3">
        <v>80</v>
      </c>
      <c r="M1196" s="1">
        <v>85</v>
      </c>
      <c r="N1196" s="1">
        <v>85</v>
      </c>
      <c r="O1196" s="4" t="e">
        <f t="array" aca="1" ref="O1196">MAX(L1196:N1196*(1-strike(L1196:N1196)))</f>
        <v>#NAME?</v>
      </c>
      <c r="P1196" s="3">
        <v>135</v>
      </c>
      <c r="Q1196" s="3">
        <v>142.5</v>
      </c>
      <c r="R1196" s="3">
        <v>145</v>
      </c>
      <c r="S1196" s="4" t="e">
        <f t="array" aca="1" ref="S1196">MAX(P1196:R1196*(1-strike(P1196:R1196)))</f>
        <v>#NAME?</v>
      </c>
      <c r="T1196" s="4" t="e">
        <f t="shared" si="18"/>
        <v>#NAME?</v>
      </c>
      <c r="U1196" s="3">
        <v>335</v>
      </c>
      <c r="V1196" s="3">
        <v>391.69</v>
      </c>
      <c r="W1196" s="3">
        <v>5</v>
      </c>
      <c r="X1196" s="5">
        <v>2012</v>
      </c>
      <c r="Y1196" s="5" t="s">
        <v>852</v>
      </c>
      <c r="Z1196" s="5" t="s">
        <v>30</v>
      </c>
      <c r="AA1196" s="5">
        <v>1568</v>
      </c>
    </row>
    <row r="1197" spans="1:27">
      <c r="A1197" s="3">
        <v>5</v>
      </c>
      <c r="B1197" s="3" t="s">
        <v>236</v>
      </c>
      <c r="C1197" s="3">
        <v>1980</v>
      </c>
      <c r="D1197" s="3" t="s">
        <v>56</v>
      </c>
      <c r="E1197" s="3">
        <v>56.75</v>
      </c>
      <c r="F1197" s="2">
        <v>11644</v>
      </c>
      <c r="G1197" s="3">
        <v>4</v>
      </c>
      <c r="H1197" s="3">
        <v>100</v>
      </c>
      <c r="I1197" s="1">
        <v>105</v>
      </c>
      <c r="J1197" s="1">
        <v>105</v>
      </c>
      <c r="K1197" s="4" t="e">
        <f t="array" aca="1" ref="K1197">MAX(H1197:J1197*(1-strike(H1197:J1197)))</f>
        <v>#NAME?</v>
      </c>
      <c r="L1197" s="3">
        <v>77.5</v>
      </c>
      <c r="M1197" s="1">
        <v>82.5</v>
      </c>
      <c r="N1197" s="1">
        <v>82.5</v>
      </c>
      <c r="O1197" s="4" t="e">
        <f t="array" aca="1" ref="O1197">MAX(L1197:N1197*(1-strike(L1197:N1197)))</f>
        <v>#NAME?</v>
      </c>
      <c r="P1197" s="3">
        <v>135</v>
      </c>
      <c r="Q1197" s="3">
        <v>142.5</v>
      </c>
      <c r="R1197" s="3">
        <v>150</v>
      </c>
      <c r="S1197" s="4" t="e">
        <f t="array" aca="1" ref="S1197">MAX(P1197:R1197*(1-strike(P1197:R1197)))</f>
        <v>#NAME?</v>
      </c>
      <c r="T1197" s="4" t="e">
        <f t="shared" si="18"/>
        <v>#NAME?</v>
      </c>
      <c r="U1197" s="3">
        <v>327.5</v>
      </c>
      <c r="V1197" s="3">
        <v>381.34</v>
      </c>
      <c r="W1197" s="3">
        <v>6</v>
      </c>
      <c r="X1197" s="5">
        <v>2013</v>
      </c>
      <c r="Y1197" s="5" t="s">
        <v>852</v>
      </c>
      <c r="Z1197" s="5" t="s">
        <v>30</v>
      </c>
      <c r="AA1197" s="5">
        <v>1148</v>
      </c>
    </row>
    <row r="1198" spans="1:27">
      <c r="A1198" s="3">
        <v>6</v>
      </c>
      <c r="B1198" s="3" t="s">
        <v>927</v>
      </c>
      <c r="C1198" s="3">
        <v>1984</v>
      </c>
      <c r="D1198" s="3" t="s">
        <v>62</v>
      </c>
      <c r="E1198" s="3">
        <v>62.12</v>
      </c>
      <c r="F1198" s="2">
        <v>10855</v>
      </c>
      <c r="G1198" s="3">
        <v>7</v>
      </c>
      <c r="H1198" s="3">
        <v>195</v>
      </c>
      <c r="I1198" s="3">
        <v>205</v>
      </c>
      <c r="J1198" s="1">
        <v>212.5</v>
      </c>
      <c r="K1198" s="4" t="e">
        <f t="array" aca="1" ref="K1198">MAX(H1198:J1198*(1-strike(H1198:J1198)))</f>
        <v>#NAME?</v>
      </c>
      <c r="L1198" s="3">
        <v>105</v>
      </c>
      <c r="M1198" s="3">
        <v>112.5</v>
      </c>
      <c r="N1198" s="1">
        <v>117.5</v>
      </c>
      <c r="O1198" s="4" t="e">
        <f t="array" aca="1" ref="O1198">MAX(L1198:N1198*(1-strike(L1198:N1198)))</f>
        <v>#NAME?</v>
      </c>
      <c r="P1198" s="3">
        <v>205</v>
      </c>
      <c r="Q1198" s="1">
        <v>220</v>
      </c>
      <c r="R1198" s="3">
        <v>220</v>
      </c>
      <c r="S1198" s="4" t="e">
        <f t="array" aca="1" ref="S1198">MAX(P1198:R1198*(1-strike(P1198:R1198)))</f>
        <v>#NAME?</v>
      </c>
      <c r="T1198" s="4" t="e">
        <f t="shared" si="18"/>
        <v>#NAME?</v>
      </c>
      <c r="U1198" s="3">
        <v>537.5</v>
      </c>
      <c r="V1198" s="3">
        <v>583.46</v>
      </c>
      <c r="W1198" s="3">
        <v>5</v>
      </c>
      <c r="X1198" s="5">
        <v>2012</v>
      </c>
      <c r="Y1198" s="5" t="s">
        <v>852</v>
      </c>
      <c r="Z1198" s="5" t="s">
        <v>171</v>
      </c>
      <c r="AA1198" s="5">
        <v>1376</v>
      </c>
    </row>
    <row r="1199" spans="1:27">
      <c r="A1199" s="3">
        <v>7</v>
      </c>
      <c r="B1199" s="3" t="s">
        <v>927</v>
      </c>
      <c r="C1199" s="3">
        <v>1984</v>
      </c>
      <c r="D1199" s="3" t="s">
        <v>62</v>
      </c>
      <c r="E1199" s="3">
        <v>62.74</v>
      </c>
      <c r="F1199" s="2">
        <v>10773</v>
      </c>
      <c r="G1199" s="3">
        <v>8</v>
      </c>
      <c r="H1199" s="3">
        <v>185</v>
      </c>
      <c r="I1199" s="3">
        <v>195</v>
      </c>
      <c r="J1199" s="3">
        <v>200</v>
      </c>
      <c r="K1199" s="4" t="e">
        <f t="array" aca="1" ref="K1199">MAX(H1199:J1199*(1-strike(H1199:J1199)))</f>
        <v>#NAME?</v>
      </c>
      <c r="L1199" s="3">
        <v>97.5</v>
      </c>
      <c r="M1199" s="3">
        <v>107.5</v>
      </c>
      <c r="N1199" s="1">
        <v>110</v>
      </c>
      <c r="O1199" s="4" t="e">
        <f t="array" aca="1" ref="O1199">MAX(L1199:N1199*(1-strike(L1199:N1199)))</f>
        <v>#NAME?</v>
      </c>
      <c r="P1199" s="3">
        <v>195</v>
      </c>
      <c r="Q1199" s="1">
        <v>207.5</v>
      </c>
      <c r="R1199" s="3">
        <v>212.5</v>
      </c>
      <c r="S1199" s="4" t="e">
        <f t="array" aca="1" ref="S1199">MAX(P1199:R1199*(1-strike(P1199:R1199)))</f>
        <v>#NAME?</v>
      </c>
      <c r="T1199" s="4" t="e">
        <f t="shared" si="18"/>
        <v>#NAME?</v>
      </c>
      <c r="U1199" s="3">
        <v>520</v>
      </c>
      <c r="V1199" s="3">
        <v>560.20000000000005</v>
      </c>
      <c r="W1199" s="3">
        <v>4</v>
      </c>
      <c r="X1199" s="5">
        <v>2013</v>
      </c>
      <c r="Y1199" s="5" t="s">
        <v>852</v>
      </c>
      <c r="Z1199" s="5" t="s">
        <v>171</v>
      </c>
      <c r="AA1199" s="5">
        <v>978</v>
      </c>
    </row>
    <row r="1200" spans="1:27">
      <c r="A1200" s="3">
        <v>10</v>
      </c>
      <c r="B1200" s="3" t="s">
        <v>928</v>
      </c>
      <c r="C1200" s="3">
        <v>1979</v>
      </c>
      <c r="D1200" s="3" t="s">
        <v>45</v>
      </c>
      <c r="E1200" s="3">
        <v>61.11</v>
      </c>
      <c r="F1200" s="2">
        <v>10993</v>
      </c>
      <c r="G1200" s="3">
        <v>13</v>
      </c>
      <c r="H1200" s="3">
        <v>165</v>
      </c>
      <c r="I1200" s="3">
        <v>175</v>
      </c>
      <c r="J1200" s="1">
        <v>180</v>
      </c>
      <c r="K1200" s="4" t="e">
        <f t="array" aca="1" ref="K1200">MAX(H1200:J1200*(1-strike(H1200:J1200)))</f>
        <v>#NAME?</v>
      </c>
      <c r="L1200" s="3">
        <v>85</v>
      </c>
      <c r="M1200" s="3">
        <v>90</v>
      </c>
      <c r="N1200" s="1">
        <v>92.5</v>
      </c>
      <c r="O1200" s="4" t="e">
        <f t="array" aca="1" ref="O1200">MAX(L1200:N1200*(1-strike(L1200:N1200)))</f>
        <v>#NAME?</v>
      </c>
      <c r="P1200" s="3">
        <v>170</v>
      </c>
      <c r="Q1200" s="3">
        <v>180</v>
      </c>
      <c r="R1200" s="3">
        <v>185</v>
      </c>
      <c r="S1200" s="4" t="e">
        <f t="array" aca="1" ref="S1200">MAX(P1200:R1200*(1-strike(P1200:R1200)))</f>
        <v>#NAME?</v>
      </c>
      <c r="T1200" s="4" t="e">
        <f t="shared" si="18"/>
        <v>#NAME?</v>
      </c>
      <c r="U1200" s="3">
        <v>450</v>
      </c>
      <c r="V1200" s="3">
        <v>494.66</v>
      </c>
      <c r="W1200" s="3">
        <v>1</v>
      </c>
      <c r="X1200" s="5">
        <v>2012</v>
      </c>
      <c r="Y1200" s="5" t="s">
        <v>852</v>
      </c>
      <c r="Z1200" s="5" t="s">
        <v>171</v>
      </c>
      <c r="AA1200" s="5">
        <v>1380</v>
      </c>
    </row>
    <row r="1201" spans="1:27" ht="15" customHeight="1">
      <c r="A1201" s="3">
        <v>2</v>
      </c>
      <c r="B1201" s="3" t="s">
        <v>929</v>
      </c>
      <c r="C1201" s="3">
        <v>1983</v>
      </c>
      <c r="D1201" s="3" t="s">
        <v>45</v>
      </c>
      <c r="E1201" s="3">
        <v>127.05</v>
      </c>
      <c r="F1201" s="3">
        <v>0.79159999999999997</v>
      </c>
      <c r="G1201" s="3">
        <v>17</v>
      </c>
      <c r="H1201" s="3">
        <v>250</v>
      </c>
      <c r="I1201" s="3">
        <v>260</v>
      </c>
      <c r="J1201" s="1">
        <v>265</v>
      </c>
      <c r="K1201" s="4" t="e">
        <f t="array" aca="1" ref="K1201">MAX(H1201:J1201*(1-strike(H1201:J1201)))</f>
        <v>#NAME?</v>
      </c>
      <c r="L1201" s="1">
        <v>210</v>
      </c>
      <c r="M1201" s="3">
        <v>210</v>
      </c>
      <c r="N1201" s="3">
        <v>218</v>
      </c>
      <c r="O1201" s="4" t="e">
        <f t="array" aca="1" ref="O1201">MAX(L1201:N1201*(1-strike(L1201:N1201)))</f>
        <v>#NAME?</v>
      </c>
      <c r="P1201" s="3">
        <v>190</v>
      </c>
      <c r="Q1201" s="1">
        <v>200</v>
      </c>
      <c r="R1201" s="1">
        <v>200</v>
      </c>
      <c r="S1201" s="4" t="e">
        <f t="array" aca="1" ref="S1201">MAX(P1201:R1201*(1-strike(P1201:R1201)))</f>
        <v>#NAME?</v>
      </c>
      <c r="T1201" s="4" t="e">
        <f t="shared" si="18"/>
        <v>#NAME?</v>
      </c>
      <c r="U1201" s="3">
        <v>668</v>
      </c>
      <c r="V1201" s="3">
        <v>528.79</v>
      </c>
      <c r="W1201" s="3">
        <v>9</v>
      </c>
      <c r="X1201" s="5">
        <v>2013</v>
      </c>
      <c r="Y1201" s="5" t="s">
        <v>852</v>
      </c>
      <c r="Z1201" s="5" t="s">
        <v>171</v>
      </c>
      <c r="AA1201" s="5">
        <v>1007</v>
      </c>
    </row>
    <row r="1202" spans="1:27">
      <c r="A1202" s="4">
        <v>3</v>
      </c>
      <c r="B1202" s="4" t="s">
        <v>929</v>
      </c>
      <c r="C1202" s="4">
        <v>1983</v>
      </c>
      <c r="D1202" s="4" t="s">
        <v>862</v>
      </c>
      <c r="E1202" s="4">
        <v>128.94</v>
      </c>
      <c r="F1202" s="4">
        <v>0.78949999999999998</v>
      </c>
      <c r="G1202" s="4">
        <v>12</v>
      </c>
      <c r="H1202" s="6">
        <v>265</v>
      </c>
      <c r="I1202" s="4">
        <v>265</v>
      </c>
      <c r="J1202" s="6">
        <v>275</v>
      </c>
      <c r="K1202" s="4" t="e">
        <f t="array" aca="1" ref="K1202">MAX(H1202:J1202*(1-strike(H1202:J1202)))</f>
        <v>#NAME?</v>
      </c>
      <c r="L1202" s="4">
        <v>215</v>
      </c>
      <c r="M1202" s="4">
        <v>222.5</v>
      </c>
      <c r="N1202" s="4">
        <v>227</v>
      </c>
      <c r="O1202" s="4" t="e">
        <f t="array" aca="1" ref="O1202">MAX(L1202:N1202*(1-strike(L1202:N1202)))</f>
        <v>#NAME?</v>
      </c>
      <c r="P1202" s="4">
        <v>192.5</v>
      </c>
      <c r="Q1202" s="4">
        <v>197.5</v>
      </c>
      <c r="R1202" s="4">
        <v>202.5</v>
      </c>
      <c r="S1202" s="4" t="e">
        <f t="array" aca="1" ref="S1202">MAX(P1202:R1202*(1-strike(P1202:R1202)))</f>
        <v>#NAME?</v>
      </c>
      <c r="T1202" s="4" t="e">
        <f t="shared" si="18"/>
        <v>#NAME?</v>
      </c>
      <c r="U1202" s="4">
        <v>694.5</v>
      </c>
      <c r="V1202" s="4">
        <v>548.29999999999995</v>
      </c>
      <c r="W1202" s="4">
        <v>8</v>
      </c>
      <c r="X1202" s="5">
        <v>2014</v>
      </c>
      <c r="Y1202" s="5" t="s">
        <v>852</v>
      </c>
      <c r="Z1202" s="5" t="s">
        <v>171</v>
      </c>
      <c r="AA1202" s="5">
        <v>637</v>
      </c>
    </row>
    <row r="1203" spans="1:27">
      <c r="A1203" s="3">
        <v>8</v>
      </c>
      <c r="B1203" s="3" t="s">
        <v>241</v>
      </c>
      <c r="C1203" s="3">
        <v>1983</v>
      </c>
      <c r="D1203" s="3" t="s">
        <v>74</v>
      </c>
      <c r="E1203" s="3">
        <v>83.75</v>
      </c>
      <c r="F1203" s="3">
        <v>0.8931</v>
      </c>
      <c r="G1203" s="3">
        <v>20</v>
      </c>
      <c r="H1203" s="3">
        <v>175</v>
      </c>
      <c r="I1203" s="3"/>
      <c r="J1203" s="3"/>
      <c r="K1203" s="4" t="e">
        <f t="array" aca="1" ref="K1203">MAX(H1203:J1203*(1-strike(H1203:J1203)))</f>
        <v>#NAME?</v>
      </c>
      <c r="L1203" s="3">
        <v>150</v>
      </c>
      <c r="M1203" s="3">
        <v>157.5</v>
      </c>
      <c r="N1203" s="3">
        <v>170</v>
      </c>
      <c r="O1203" s="4" t="e">
        <f t="array" aca="1" ref="O1203">MAX(L1203:N1203*(1-strike(L1203:N1203)))</f>
        <v>#NAME?</v>
      </c>
      <c r="P1203" s="3">
        <v>130</v>
      </c>
      <c r="Q1203" s="1">
        <v>150</v>
      </c>
      <c r="R1203" s="1">
        <v>150</v>
      </c>
      <c r="S1203" s="4" t="e">
        <f t="array" aca="1" ref="S1203">MAX(P1203:R1203*(1-strike(P1203:R1203)))</f>
        <v>#NAME?</v>
      </c>
      <c r="T1203" s="4" t="e">
        <f t="shared" si="18"/>
        <v>#NAME?</v>
      </c>
      <c r="U1203" s="3">
        <v>475</v>
      </c>
      <c r="V1203" s="3">
        <v>424.19</v>
      </c>
      <c r="W1203" s="3">
        <v>3</v>
      </c>
      <c r="X1203" s="5">
        <v>2012</v>
      </c>
      <c r="Y1203" s="5" t="s">
        <v>852</v>
      </c>
      <c r="Z1203" s="5" t="s">
        <v>171</v>
      </c>
      <c r="AA1203" s="5">
        <v>1410</v>
      </c>
    </row>
    <row r="1204" spans="1:27">
      <c r="A1204" s="3">
        <v>6</v>
      </c>
      <c r="B1204" s="3" t="s">
        <v>241</v>
      </c>
      <c r="C1204" s="3">
        <v>1983</v>
      </c>
      <c r="D1204" s="3" t="s">
        <v>74</v>
      </c>
      <c r="E1204" s="3">
        <v>83.36</v>
      </c>
      <c r="F1204" s="3">
        <v>0.8952</v>
      </c>
      <c r="G1204" s="3">
        <v>6</v>
      </c>
      <c r="H1204" s="3">
        <v>175</v>
      </c>
      <c r="I1204" s="3"/>
      <c r="J1204" s="3"/>
      <c r="K1204" s="4" t="e">
        <f t="array" aca="1" ref="K1204">MAX(H1204:J1204*(1-strike(H1204:J1204)))</f>
        <v>#NAME?</v>
      </c>
      <c r="L1204" s="3">
        <v>155</v>
      </c>
      <c r="M1204" s="3">
        <v>167.5</v>
      </c>
      <c r="N1204" s="3">
        <v>172.5</v>
      </c>
      <c r="O1204" s="4" t="e">
        <f t="array" aca="1" ref="O1204">MAX(L1204:N1204*(1-strike(L1204:N1204)))</f>
        <v>#NAME?</v>
      </c>
      <c r="P1204" s="3">
        <v>135</v>
      </c>
      <c r="Q1204" s="1">
        <v>150</v>
      </c>
      <c r="R1204" s="1">
        <v>160</v>
      </c>
      <c r="S1204" s="4" t="e">
        <f t="array" aca="1" ref="S1204">MAX(P1204:R1204*(1-strike(P1204:R1204)))</f>
        <v>#NAME?</v>
      </c>
      <c r="T1204" s="4" t="e">
        <f t="shared" si="18"/>
        <v>#NAME?</v>
      </c>
      <c r="U1204" s="3">
        <v>482.5</v>
      </c>
      <c r="V1204" s="3">
        <v>431.93</v>
      </c>
      <c r="W1204" s="3">
        <v>5</v>
      </c>
      <c r="X1204" s="5">
        <v>2013</v>
      </c>
      <c r="Y1204" s="5" t="s">
        <v>852</v>
      </c>
      <c r="Z1204" s="5" t="s">
        <v>171</v>
      </c>
      <c r="AA1204" s="5">
        <v>1000</v>
      </c>
    </row>
    <row r="1205" spans="1:27">
      <c r="A1205" s="4">
        <v>8</v>
      </c>
      <c r="B1205" s="4" t="s">
        <v>241</v>
      </c>
      <c r="C1205" s="4">
        <v>1983</v>
      </c>
      <c r="D1205" s="4" t="s">
        <v>888</v>
      </c>
      <c r="E1205" s="4">
        <v>83.5</v>
      </c>
      <c r="F1205" s="4">
        <v>0.89439999999999997</v>
      </c>
      <c r="G1205" s="4">
        <v>9</v>
      </c>
      <c r="H1205" s="4">
        <v>175</v>
      </c>
      <c r="I1205" s="6">
        <v>180</v>
      </c>
      <c r="J1205" s="4"/>
      <c r="K1205" s="4" t="e">
        <f t="array" aca="1" ref="K1205">MAX(H1205:J1205*(1-strike(H1205:J1205)))</f>
        <v>#NAME?</v>
      </c>
      <c r="L1205" s="4">
        <v>160</v>
      </c>
      <c r="M1205" s="4">
        <v>175</v>
      </c>
      <c r="N1205" s="4">
        <v>181.5</v>
      </c>
      <c r="O1205" s="4" t="e">
        <f t="array" aca="1" ref="O1205">MAX(L1205:N1205*(1-strike(L1205:N1205)))</f>
        <v>#NAME?</v>
      </c>
      <c r="P1205" s="4">
        <v>140</v>
      </c>
      <c r="Q1205" s="4">
        <v>150</v>
      </c>
      <c r="R1205" s="6">
        <v>155</v>
      </c>
      <c r="S1205" s="4" t="e">
        <f t="array" aca="1" ref="S1205">MAX(P1205:R1205*(1-strike(P1205:R1205)))</f>
        <v>#NAME?</v>
      </c>
      <c r="T1205" s="4" t="e">
        <f t="shared" si="18"/>
        <v>#NAME?</v>
      </c>
      <c r="U1205" s="4">
        <v>506.5</v>
      </c>
      <c r="V1205" s="4">
        <v>453.01</v>
      </c>
      <c r="W1205" s="4">
        <v>3</v>
      </c>
      <c r="X1205" s="5">
        <v>2014</v>
      </c>
      <c r="Y1205" s="5" t="s">
        <v>852</v>
      </c>
      <c r="Z1205" s="5" t="s">
        <v>171</v>
      </c>
      <c r="AA1205" s="5">
        <v>633</v>
      </c>
    </row>
    <row r="1206" spans="1:27">
      <c r="A1206" s="3">
        <v>10</v>
      </c>
      <c r="B1206" s="3" t="s">
        <v>930</v>
      </c>
      <c r="C1206" s="3">
        <v>1958</v>
      </c>
      <c r="D1206" s="3" t="s">
        <v>51</v>
      </c>
      <c r="E1206" s="3">
        <v>51.95</v>
      </c>
      <c r="F1206" s="2">
        <v>12475</v>
      </c>
      <c r="G1206" s="3">
        <v>6</v>
      </c>
      <c r="H1206" s="3">
        <v>80</v>
      </c>
      <c r="I1206" s="3">
        <v>85</v>
      </c>
      <c r="J1206" s="3">
        <v>90</v>
      </c>
      <c r="K1206" s="4" t="e">
        <f t="array" aca="1" ref="K1206">MAX(H1206:J1206*(1-strike(H1206:J1206)))</f>
        <v>#NAME?</v>
      </c>
      <c r="L1206" s="3">
        <v>62.5</v>
      </c>
      <c r="M1206" s="3">
        <v>70</v>
      </c>
      <c r="N1206" s="3">
        <v>72.5</v>
      </c>
      <c r="O1206" s="4" t="e">
        <f t="array" aca="1" ref="O1206">MAX(L1206:N1206*(1-strike(L1206:N1206)))</f>
        <v>#NAME?</v>
      </c>
      <c r="P1206" s="3">
        <v>130</v>
      </c>
      <c r="Q1206" s="3">
        <v>140</v>
      </c>
      <c r="R1206" s="1">
        <v>147.5</v>
      </c>
      <c r="S1206" s="4" t="e">
        <f t="array" aca="1" ref="S1206">MAX(P1206:R1206*(1-strike(P1206:R1206)))</f>
        <v>#NAME?</v>
      </c>
      <c r="T1206" s="4" t="e">
        <f t="shared" si="18"/>
        <v>#NAME?</v>
      </c>
      <c r="U1206" s="3">
        <v>302.5</v>
      </c>
      <c r="V1206" s="3">
        <v>377.38</v>
      </c>
      <c r="W1206" s="3">
        <v>1</v>
      </c>
      <c r="X1206" s="5">
        <v>2012</v>
      </c>
      <c r="Y1206" s="5" t="s">
        <v>852</v>
      </c>
      <c r="Z1206" s="5" t="s">
        <v>30</v>
      </c>
      <c r="AA1206" s="5">
        <v>1559</v>
      </c>
    </row>
    <row r="1207" spans="1:27">
      <c r="A1207" s="3">
        <v>5</v>
      </c>
      <c r="B1207" s="3" t="s">
        <v>931</v>
      </c>
      <c r="C1207" s="3">
        <v>1976</v>
      </c>
      <c r="D1207" s="3" t="s">
        <v>62</v>
      </c>
      <c r="E1207" s="3">
        <v>49.9</v>
      </c>
      <c r="F1207" s="2">
        <v>12866</v>
      </c>
      <c r="G1207" s="3">
        <v>13</v>
      </c>
      <c r="H1207" s="3">
        <v>112.5</v>
      </c>
      <c r="I1207" s="3">
        <v>122.5</v>
      </c>
      <c r="J1207" s="1">
        <v>127.5</v>
      </c>
      <c r="K1207" s="4" t="e">
        <f t="array" aca="1" ref="K1207">MAX(H1207:J1207*(1-strike(H1207:J1207)))</f>
        <v>#NAME?</v>
      </c>
      <c r="L1207" s="3">
        <v>70</v>
      </c>
      <c r="M1207" s="3">
        <v>75</v>
      </c>
      <c r="N1207" s="1">
        <v>80</v>
      </c>
      <c r="O1207" s="4" t="e">
        <f t="array" aca="1" ref="O1207">MAX(L1207:N1207*(1-strike(L1207:N1207)))</f>
        <v>#NAME?</v>
      </c>
      <c r="P1207" s="3">
        <v>140</v>
      </c>
      <c r="Q1207" s="3">
        <v>150</v>
      </c>
      <c r="R1207" s="3">
        <v>155</v>
      </c>
      <c r="S1207" s="4" t="e">
        <f t="array" aca="1" ref="S1207">MAX(P1207:R1207*(1-strike(P1207:R1207)))</f>
        <v>#NAME?</v>
      </c>
      <c r="T1207" s="4" t="e">
        <f t="shared" si="18"/>
        <v>#NAME?</v>
      </c>
      <c r="U1207" s="3">
        <v>352.5</v>
      </c>
      <c r="V1207" s="3">
        <v>453.53</v>
      </c>
      <c r="W1207" s="3">
        <v>6</v>
      </c>
      <c r="X1207" s="5">
        <v>2014</v>
      </c>
      <c r="Y1207" s="5" t="s">
        <v>852</v>
      </c>
      <c r="Z1207" s="5" t="s">
        <v>30</v>
      </c>
      <c r="AA1207" s="5">
        <v>759</v>
      </c>
    </row>
    <row r="1208" spans="1:27">
      <c r="A1208" s="3">
        <v>8</v>
      </c>
      <c r="B1208" s="3" t="s">
        <v>242</v>
      </c>
      <c r="C1208" s="3">
        <v>1961</v>
      </c>
      <c r="D1208" s="3" t="s">
        <v>243</v>
      </c>
      <c r="E1208" s="3">
        <v>61.35</v>
      </c>
      <c r="F1208" s="2">
        <v>10959</v>
      </c>
      <c r="G1208" s="3">
        <v>3</v>
      </c>
      <c r="H1208" s="3">
        <v>82.5</v>
      </c>
      <c r="I1208" s="3">
        <v>90</v>
      </c>
      <c r="J1208" s="3">
        <v>95</v>
      </c>
      <c r="K1208" s="4" t="e">
        <f t="array" aca="1" ref="K1208">MAX(H1208:J1208*(1-strike(H1208:J1208)))</f>
        <v>#NAME?</v>
      </c>
      <c r="L1208" s="3">
        <v>55</v>
      </c>
      <c r="M1208" s="3">
        <v>60</v>
      </c>
      <c r="N1208" s="1">
        <v>65</v>
      </c>
      <c r="O1208" s="4" t="e">
        <f t="array" aca="1" ref="O1208">MAX(L1208:N1208*(1-strike(L1208:N1208)))</f>
        <v>#NAME?</v>
      </c>
      <c r="P1208" s="1">
        <v>107.5</v>
      </c>
      <c r="Q1208" s="3">
        <v>107.5</v>
      </c>
      <c r="R1208" s="3">
        <v>112.5</v>
      </c>
      <c r="S1208" s="4" t="e">
        <f t="array" aca="1" ref="S1208">MAX(P1208:R1208*(1-strike(P1208:R1208)))</f>
        <v>#NAME?</v>
      </c>
      <c r="T1208" s="4" t="e">
        <f t="shared" si="18"/>
        <v>#NAME?</v>
      </c>
      <c r="U1208" s="3">
        <v>267.5</v>
      </c>
      <c r="V1208" s="3">
        <v>293.14999999999998</v>
      </c>
      <c r="W1208" s="3">
        <v>3</v>
      </c>
      <c r="X1208" s="5">
        <v>2012</v>
      </c>
      <c r="Y1208" s="5" t="s">
        <v>852</v>
      </c>
      <c r="Z1208" s="5" t="s">
        <v>30</v>
      </c>
      <c r="AA1208" s="5">
        <v>1582</v>
      </c>
    </row>
    <row r="1209" spans="1:27">
      <c r="A1209" s="4">
        <v>8</v>
      </c>
      <c r="B1209" s="4" t="s">
        <v>932</v>
      </c>
      <c r="C1209" s="4">
        <v>1992</v>
      </c>
      <c r="D1209" s="4" t="s">
        <v>859</v>
      </c>
      <c r="E1209" s="4">
        <v>63.5</v>
      </c>
      <c r="F1209" s="7">
        <v>10676</v>
      </c>
      <c r="G1209" s="4">
        <v>4</v>
      </c>
      <c r="H1209" s="4">
        <v>180</v>
      </c>
      <c r="I1209" s="4">
        <v>192.5</v>
      </c>
      <c r="J1209" s="6">
        <v>200</v>
      </c>
      <c r="K1209" s="4" t="e">
        <f t="array" aca="1" ref="K1209">MAX(H1209:J1209*(1-strike(H1209:J1209)))</f>
        <v>#NAME?</v>
      </c>
      <c r="L1209" s="4">
        <v>85</v>
      </c>
      <c r="M1209" s="4">
        <v>92.5</v>
      </c>
      <c r="N1209" s="4">
        <v>97.5</v>
      </c>
      <c r="O1209" s="4" t="e">
        <f t="array" aca="1" ref="O1209">MAX(L1209:N1209*(1-strike(L1209:N1209)))</f>
        <v>#NAME?</v>
      </c>
      <c r="P1209" s="4">
        <v>150</v>
      </c>
      <c r="Q1209" s="4">
        <v>160</v>
      </c>
      <c r="R1209" s="6">
        <v>165</v>
      </c>
      <c r="S1209" s="4" t="e">
        <f t="array" aca="1" ref="S1209">MAX(P1209:R1209*(1-strike(P1209:R1209)))</f>
        <v>#NAME?</v>
      </c>
      <c r="T1209" s="4" t="e">
        <f t="shared" si="18"/>
        <v>#NAME?</v>
      </c>
      <c r="U1209" s="4">
        <v>450</v>
      </c>
      <c r="V1209" s="4">
        <v>480.42</v>
      </c>
      <c r="W1209" s="4">
        <v>3</v>
      </c>
      <c r="X1209" s="5">
        <v>2014</v>
      </c>
      <c r="Y1209" s="5" t="s">
        <v>852</v>
      </c>
      <c r="Z1209" s="5" t="s">
        <v>171</v>
      </c>
      <c r="AA1209" s="5">
        <v>621</v>
      </c>
    </row>
    <row r="1210" spans="1:27">
      <c r="A1210" s="3">
        <v>8</v>
      </c>
      <c r="B1210" s="3" t="s">
        <v>933</v>
      </c>
      <c r="C1210" s="3">
        <v>1987</v>
      </c>
      <c r="D1210" s="3" t="s">
        <v>56</v>
      </c>
      <c r="E1210" s="3">
        <v>62.7</v>
      </c>
      <c r="F1210" s="2">
        <v>10779</v>
      </c>
      <c r="G1210" s="3">
        <v>8</v>
      </c>
      <c r="H1210" s="3">
        <v>110</v>
      </c>
      <c r="I1210" s="1">
        <v>115</v>
      </c>
      <c r="J1210" s="1">
        <v>115</v>
      </c>
      <c r="K1210" s="4" t="e">
        <f t="array" aca="1" ref="K1210">MAX(H1210:J1210*(1-strike(H1210:J1210)))</f>
        <v>#NAME?</v>
      </c>
      <c r="L1210" s="3">
        <v>62.5</v>
      </c>
      <c r="M1210" s="3">
        <v>65</v>
      </c>
      <c r="N1210" s="3">
        <v>67.5</v>
      </c>
      <c r="O1210" s="4" t="e">
        <f t="array" aca="1" ref="O1210">MAX(L1210:N1210*(1-strike(L1210:N1210)))</f>
        <v>#NAME?</v>
      </c>
      <c r="P1210" s="3">
        <v>150</v>
      </c>
      <c r="Q1210" s="3">
        <v>157.5</v>
      </c>
      <c r="R1210" s="3">
        <v>160</v>
      </c>
      <c r="S1210" s="4" t="e">
        <f t="array" aca="1" ref="S1210">MAX(P1210:R1210*(1-strike(P1210:R1210)))</f>
        <v>#NAME?</v>
      </c>
      <c r="T1210" s="4" t="e">
        <f t="shared" si="18"/>
        <v>#NAME?</v>
      </c>
      <c r="U1210" s="3">
        <v>337.5</v>
      </c>
      <c r="V1210" s="3">
        <v>363.79</v>
      </c>
      <c r="W1210" s="3">
        <v>3</v>
      </c>
      <c r="X1210" s="5">
        <v>2013</v>
      </c>
      <c r="Y1210" s="5" t="s">
        <v>852</v>
      </c>
      <c r="Z1210" s="5" t="s">
        <v>30</v>
      </c>
      <c r="AA1210" s="5">
        <v>1159</v>
      </c>
    </row>
    <row r="1211" spans="1:27">
      <c r="A1211" s="3">
        <v>6</v>
      </c>
      <c r="B1211" s="3" t="s">
        <v>934</v>
      </c>
      <c r="C1211" s="3">
        <v>1985</v>
      </c>
      <c r="D1211" s="3" t="s">
        <v>464</v>
      </c>
      <c r="E1211" s="3">
        <v>73.11</v>
      </c>
      <c r="F1211" s="3">
        <v>0.96619999999999995</v>
      </c>
      <c r="G1211" s="3">
        <v>15</v>
      </c>
      <c r="H1211" s="3">
        <v>190</v>
      </c>
      <c r="I1211" s="3">
        <v>200</v>
      </c>
      <c r="J1211" s="3">
        <v>210</v>
      </c>
      <c r="K1211" s="4" t="e">
        <f t="array" aca="1" ref="K1211">MAX(H1211:J1211*(1-strike(H1211:J1211)))</f>
        <v>#NAME?</v>
      </c>
      <c r="L1211" s="3">
        <v>130</v>
      </c>
      <c r="M1211" s="3">
        <v>135</v>
      </c>
      <c r="N1211" s="3">
        <v>140</v>
      </c>
      <c r="O1211" s="4" t="e">
        <f t="array" aca="1" ref="O1211">MAX(L1211:N1211*(1-strike(L1211:N1211)))</f>
        <v>#NAME?</v>
      </c>
      <c r="P1211" s="3">
        <v>200</v>
      </c>
      <c r="Q1211" s="1">
        <v>205</v>
      </c>
      <c r="R1211" s="3">
        <v>205</v>
      </c>
      <c r="S1211" s="4" t="e">
        <f t="array" aca="1" ref="S1211">MAX(P1211:R1211*(1-strike(P1211:R1211)))</f>
        <v>#NAME?</v>
      </c>
      <c r="T1211" s="4" t="e">
        <f t="shared" si="18"/>
        <v>#NAME?</v>
      </c>
      <c r="U1211" s="3">
        <v>555</v>
      </c>
      <c r="V1211" s="3">
        <v>536.25</v>
      </c>
      <c r="W1211" s="3">
        <v>5</v>
      </c>
      <c r="X1211" s="5">
        <v>2012</v>
      </c>
      <c r="Y1211" s="5" t="s">
        <v>852</v>
      </c>
      <c r="Z1211" s="5" t="s">
        <v>171</v>
      </c>
      <c r="AA1211" s="5">
        <v>1408</v>
      </c>
    </row>
    <row r="1212" spans="1:27">
      <c r="A1212" s="3">
        <v>7</v>
      </c>
      <c r="B1212" s="3" t="s">
        <v>935</v>
      </c>
      <c r="C1212" s="3">
        <v>1958</v>
      </c>
      <c r="D1212" s="3" t="s">
        <v>51</v>
      </c>
      <c r="E1212" s="3">
        <v>53.7</v>
      </c>
      <c r="F1212" s="2">
        <v>12159</v>
      </c>
      <c r="G1212" s="3">
        <v>14</v>
      </c>
      <c r="H1212" s="1">
        <v>105</v>
      </c>
      <c r="I1212" s="3">
        <v>105</v>
      </c>
      <c r="J1212" s="1">
        <v>110</v>
      </c>
      <c r="K1212" s="4" t="e">
        <f t="array" aca="1" ref="K1212">MAX(H1212:J1212*(1-strike(H1212:J1212)))</f>
        <v>#NAME?</v>
      </c>
      <c r="L1212" s="3">
        <v>65</v>
      </c>
      <c r="M1212" s="3">
        <v>67.5</v>
      </c>
      <c r="N1212" s="1">
        <v>70</v>
      </c>
      <c r="O1212" s="4" t="e">
        <f t="array" aca="1" ref="O1212">MAX(L1212:N1212*(1-strike(L1212:N1212)))</f>
        <v>#NAME?</v>
      </c>
      <c r="P1212" s="3">
        <v>147.5</v>
      </c>
      <c r="Q1212" s="3">
        <v>152.5</v>
      </c>
      <c r="R1212" s="3">
        <v>155</v>
      </c>
      <c r="S1212" s="4" t="e">
        <f t="array" aca="1" ref="S1212">MAX(P1212:R1212*(1-strike(P1212:R1212)))</f>
        <v>#NAME?</v>
      </c>
      <c r="T1212" s="4" t="e">
        <f t="shared" si="18"/>
        <v>#NAME?</v>
      </c>
      <c r="U1212" s="3">
        <v>327.5</v>
      </c>
      <c r="V1212" s="3">
        <v>398.2</v>
      </c>
      <c r="W1212" s="3">
        <v>4</v>
      </c>
      <c r="X1212" s="5">
        <v>2012</v>
      </c>
      <c r="Y1212" s="5" t="s">
        <v>852</v>
      </c>
      <c r="Z1212" s="5" t="s">
        <v>30</v>
      </c>
      <c r="AA1212" s="5">
        <v>1569</v>
      </c>
    </row>
    <row r="1213" spans="1:27">
      <c r="A1213" s="3">
        <v>3</v>
      </c>
      <c r="B1213" s="3" t="s">
        <v>936</v>
      </c>
      <c r="C1213" s="3">
        <v>1963</v>
      </c>
      <c r="D1213" s="3" t="s">
        <v>80</v>
      </c>
      <c r="E1213" s="3">
        <v>46.52</v>
      </c>
      <c r="F1213" s="2">
        <v>13549</v>
      </c>
      <c r="G1213" s="3">
        <v>7</v>
      </c>
      <c r="H1213" s="3">
        <v>162.5</v>
      </c>
      <c r="I1213" s="3">
        <v>170</v>
      </c>
      <c r="J1213" s="3"/>
      <c r="K1213" s="4" t="e">
        <f t="array" aca="1" ref="K1213">MAX(H1213:J1213*(1-strike(H1213:J1213)))</f>
        <v>#NAME?</v>
      </c>
      <c r="L1213" s="3">
        <v>90</v>
      </c>
      <c r="M1213" s="3">
        <v>95</v>
      </c>
      <c r="N1213" s="1">
        <v>97.5</v>
      </c>
      <c r="O1213" s="4" t="e">
        <f t="array" aca="1" ref="O1213">MAX(L1213:N1213*(1-strike(L1213:N1213)))</f>
        <v>#NAME?</v>
      </c>
      <c r="P1213" s="1">
        <v>145</v>
      </c>
      <c r="Q1213" s="3">
        <v>150</v>
      </c>
      <c r="R1213" s="3">
        <v>157.5</v>
      </c>
      <c r="S1213" s="4" t="e">
        <f t="array" aca="1" ref="S1213">MAX(P1213:R1213*(1-strike(P1213:R1213)))</f>
        <v>#NAME?</v>
      </c>
      <c r="T1213" s="4" t="e">
        <f t="shared" si="18"/>
        <v>#NAME?</v>
      </c>
      <c r="U1213" s="3">
        <v>422.5</v>
      </c>
      <c r="V1213" s="3">
        <v>572.42999999999995</v>
      </c>
      <c r="W1213" s="3">
        <v>8</v>
      </c>
      <c r="X1213" s="5">
        <v>2012</v>
      </c>
      <c r="Y1213" s="5" t="s">
        <v>852</v>
      </c>
      <c r="Z1213" s="5" t="s">
        <v>171</v>
      </c>
      <c r="AA1213" s="5">
        <v>1337</v>
      </c>
    </row>
    <row r="1214" spans="1:27">
      <c r="A1214" s="3">
        <v>12</v>
      </c>
      <c r="B1214" s="3" t="s">
        <v>937</v>
      </c>
      <c r="C1214" s="3">
        <v>1976</v>
      </c>
      <c r="D1214" s="3" t="s">
        <v>113</v>
      </c>
      <c r="E1214" s="3">
        <v>62.91</v>
      </c>
      <c r="F1214" s="2">
        <v>10752</v>
      </c>
      <c r="G1214" s="3">
        <v>15</v>
      </c>
      <c r="H1214" s="3">
        <v>160</v>
      </c>
      <c r="I1214" s="1">
        <v>170</v>
      </c>
      <c r="J1214" s="3">
        <v>170</v>
      </c>
      <c r="K1214" s="4" t="e">
        <f t="array" aca="1" ref="K1214">MAX(H1214:J1214*(1-strike(H1214:J1214)))</f>
        <v>#NAME?</v>
      </c>
      <c r="L1214" s="3">
        <v>92.5</v>
      </c>
      <c r="M1214" s="3">
        <v>97.5</v>
      </c>
      <c r="N1214" s="3">
        <v>102.5</v>
      </c>
      <c r="O1214" s="4" t="e">
        <f t="array" aca="1" ref="O1214">MAX(L1214:N1214*(1-strike(L1214:N1214)))</f>
        <v>#NAME?</v>
      </c>
      <c r="P1214" s="3">
        <v>150</v>
      </c>
      <c r="Q1214" s="3">
        <v>160</v>
      </c>
      <c r="R1214" s="3">
        <v>170</v>
      </c>
      <c r="S1214" s="4" t="e">
        <f t="array" aca="1" ref="S1214">MAX(P1214:R1214*(1-strike(P1214:R1214)))</f>
        <v>#NAME?</v>
      </c>
      <c r="T1214" s="4" t="e">
        <f t="shared" si="18"/>
        <v>#NAME?</v>
      </c>
      <c r="U1214" s="3">
        <v>442.5</v>
      </c>
      <c r="V1214" s="3">
        <v>475.76</v>
      </c>
      <c r="W1214" s="3">
        <v>1</v>
      </c>
      <c r="X1214" s="5">
        <v>2012</v>
      </c>
      <c r="Y1214" s="5" t="s">
        <v>852</v>
      </c>
      <c r="Z1214" s="5" t="s">
        <v>171</v>
      </c>
      <c r="AA1214" s="5">
        <v>1382</v>
      </c>
    </row>
    <row r="1215" spans="1:27">
      <c r="A1215" s="3">
        <v>6</v>
      </c>
      <c r="B1215" s="3" t="s">
        <v>938</v>
      </c>
      <c r="C1215" s="3">
        <v>1984</v>
      </c>
      <c r="D1215" s="3" t="s">
        <v>35</v>
      </c>
      <c r="E1215" s="3">
        <v>71.400000000000006</v>
      </c>
      <c r="F1215" s="3">
        <v>0.98150000000000004</v>
      </c>
      <c r="G1215" s="3">
        <v>7</v>
      </c>
      <c r="H1215" s="3">
        <v>135</v>
      </c>
      <c r="I1215" s="3">
        <v>142.5</v>
      </c>
      <c r="J1215" s="1">
        <v>147.5</v>
      </c>
      <c r="K1215" s="4" t="e">
        <f t="array" aca="1" ref="K1215">MAX(H1215:J1215*(1-strike(H1215:J1215)))</f>
        <v>#NAME?</v>
      </c>
      <c r="L1215" s="3">
        <v>72.5</v>
      </c>
      <c r="M1215" s="3">
        <v>77.5</v>
      </c>
      <c r="N1215" s="1">
        <v>80</v>
      </c>
      <c r="O1215" s="4" t="e">
        <f t="array" aca="1" ref="O1215">MAX(L1215:N1215*(1-strike(L1215:N1215)))</f>
        <v>#NAME?</v>
      </c>
      <c r="P1215" s="3">
        <v>145</v>
      </c>
      <c r="Q1215" s="3">
        <v>155</v>
      </c>
      <c r="R1215" s="1">
        <v>160</v>
      </c>
      <c r="S1215" s="4" t="e">
        <f t="array" aca="1" ref="S1215">MAX(P1215:R1215*(1-strike(P1215:R1215)))</f>
        <v>#NAME?</v>
      </c>
      <c r="T1215" s="4" t="e">
        <f t="shared" si="18"/>
        <v>#NAME?</v>
      </c>
      <c r="U1215" s="3">
        <v>375</v>
      </c>
      <c r="V1215" s="3">
        <v>368.06</v>
      </c>
      <c r="W1215" s="3">
        <v>5</v>
      </c>
      <c r="X1215" s="5">
        <v>2012</v>
      </c>
      <c r="Y1215" s="5" t="s">
        <v>852</v>
      </c>
      <c r="Z1215" s="5" t="s">
        <v>30</v>
      </c>
      <c r="AA1215" s="5">
        <v>1590</v>
      </c>
    </row>
    <row r="1216" spans="1:27" ht="15" customHeight="1">
      <c r="A1216" s="3">
        <v>2</v>
      </c>
      <c r="B1216" s="3" t="s">
        <v>245</v>
      </c>
      <c r="C1216" s="3">
        <v>1979</v>
      </c>
      <c r="D1216" s="3" t="s">
        <v>77</v>
      </c>
      <c r="E1216" s="3">
        <v>46.6</v>
      </c>
      <c r="F1216" s="2">
        <v>13532</v>
      </c>
      <c r="G1216" s="3">
        <v>2</v>
      </c>
      <c r="H1216" s="3">
        <v>95</v>
      </c>
      <c r="I1216" s="3">
        <v>100</v>
      </c>
      <c r="J1216" s="3">
        <v>102.5</v>
      </c>
      <c r="K1216" s="4" t="e">
        <f t="array" aca="1" ref="K1216">MAX(H1216:J1216*(1-strike(H1216:J1216)))</f>
        <v>#NAME?</v>
      </c>
      <c r="L1216" s="3">
        <v>62.5</v>
      </c>
      <c r="M1216" s="3">
        <v>65</v>
      </c>
      <c r="N1216" s="3">
        <v>67.5</v>
      </c>
      <c r="O1216" s="4" t="e">
        <f t="array" aca="1" ref="O1216">MAX(L1216:N1216*(1-strike(L1216:N1216)))</f>
        <v>#NAME?</v>
      </c>
      <c r="P1216" s="3">
        <v>120</v>
      </c>
      <c r="Q1216" s="3">
        <v>127.5</v>
      </c>
      <c r="R1216" s="3">
        <v>135</v>
      </c>
      <c r="S1216" s="4" t="e">
        <f t="array" aca="1" ref="S1216">MAX(P1216:R1216*(1-strike(P1216:R1216)))</f>
        <v>#NAME?</v>
      </c>
      <c r="T1216" s="4" t="e">
        <f t="shared" si="18"/>
        <v>#NAME?</v>
      </c>
      <c r="U1216" s="3">
        <v>305</v>
      </c>
      <c r="V1216" s="3">
        <v>412.73</v>
      </c>
      <c r="W1216" s="3">
        <v>9</v>
      </c>
      <c r="X1216" s="5">
        <v>2013</v>
      </c>
      <c r="Y1216" s="5" t="s">
        <v>852</v>
      </c>
      <c r="Z1216" s="5" t="s">
        <v>30</v>
      </c>
      <c r="AA1216" s="5">
        <v>1124</v>
      </c>
    </row>
    <row r="1217" spans="1:27">
      <c r="A1217" s="3">
        <v>2</v>
      </c>
      <c r="B1217" s="3" t="s">
        <v>245</v>
      </c>
      <c r="C1217" s="3">
        <v>1979</v>
      </c>
      <c r="D1217" s="3" t="s">
        <v>77</v>
      </c>
      <c r="E1217" s="3">
        <v>46.5</v>
      </c>
      <c r="F1217" s="2">
        <v>13553</v>
      </c>
      <c r="G1217" s="3">
        <v>3</v>
      </c>
      <c r="H1217" s="3">
        <v>100</v>
      </c>
      <c r="I1217" s="3">
        <v>105</v>
      </c>
      <c r="J1217" s="3">
        <v>107.5</v>
      </c>
      <c r="K1217" s="4" t="e">
        <f t="array" aca="1" ref="K1217">MAX(H1217:J1217*(1-strike(H1217:J1217)))</f>
        <v>#NAME?</v>
      </c>
      <c r="L1217" s="3">
        <v>67.5</v>
      </c>
      <c r="M1217" s="3">
        <v>70</v>
      </c>
      <c r="N1217" s="3">
        <v>72.5</v>
      </c>
      <c r="O1217" s="4" t="e">
        <f t="array" aca="1" ref="O1217">MAX(L1217:N1217*(1-strike(L1217:N1217)))</f>
        <v>#NAME?</v>
      </c>
      <c r="P1217" s="3">
        <v>135</v>
      </c>
      <c r="Q1217" s="3">
        <v>145</v>
      </c>
      <c r="R1217" s="1">
        <v>150</v>
      </c>
      <c r="S1217" s="4" t="e">
        <f t="array" aca="1" ref="S1217">MAX(P1217:R1217*(1-strike(P1217:R1217)))</f>
        <v>#NAME?</v>
      </c>
      <c r="T1217" s="4" t="e">
        <f t="shared" si="18"/>
        <v>#NAME?</v>
      </c>
      <c r="U1217" s="3">
        <v>325</v>
      </c>
      <c r="V1217" s="3">
        <v>440.47</v>
      </c>
      <c r="W1217" s="3">
        <v>9</v>
      </c>
      <c r="X1217" s="5">
        <v>2014</v>
      </c>
      <c r="Y1217" s="5" t="s">
        <v>852</v>
      </c>
      <c r="Z1217" s="5" t="s">
        <v>30</v>
      </c>
      <c r="AA1217" s="5">
        <v>748</v>
      </c>
    </row>
    <row r="1218" spans="1:27">
      <c r="A1218" s="3">
        <v>1</v>
      </c>
      <c r="B1218" s="3" t="s">
        <v>246</v>
      </c>
      <c r="C1218" s="3">
        <v>1984</v>
      </c>
      <c r="D1218" s="3" t="s">
        <v>80</v>
      </c>
      <c r="E1218" s="3">
        <v>70.95</v>
      </c>
      <c r="F1218" s="3">
        <v>0.98570000000000002</v>
      </c>
      <c r="G1218" s="3">
        <v>1</v>
      </c>
      <c r="H1218" s="3">
        <v>145</v>
      </c>
      <c r="I1218" s="3">
        <v>152.5</v>
      </c>
      <c r="J1218" s="3">
        <v>155</v>
      </c>
      <c r="K1218" s="4" t="e">
        <f t="array" aca="1" ref="K1218">MAX(H1218:J1218*(1-strike(H1218:J1218)))</f>
        <v>#NAME?</v>
      </c>
      <c r="L1218" s="3">
        <v>97.5</v>
      </c>
      <c r="M1218" s="3">
        <v>102.5</v>
      </c>
      <c r="N1218" s="1">
        <v>105</v>
      </c>
      <c r="O1218" s="4" t="e">
        <f t="array" aca="1" ref="O1218">MAX(L1218:N1218*(1-strike(L1218:N1218)))</f>
        <v>#NAME?</v>
      </c>
      <c r="P1218" s="3">
        <v>160</v>
      </c>
      <c r="Q1218" s="3">
        <v>167.5</v>
      </c>
      <c r="R1218" s="1">
        <v>172.5</v>
      </c>
      <c r="S1218" s="4" t="e">
        <f t="array" aca="1" ref="S1218">MAX(P1218:R1218*(1-strike(P1218:R1218)))</f>
        <v>#NAME?</v>
      </c>
      <c r="T1218" s="4" t="e">
        <f t="shared" ref="T1218:T1281" si="19">IF(AND(K1218&lt;&gt;0,O1218&lt;&gt;0,S1218&lt;&gt;0),K1218+O1218+S1218,0)</f>
        <v>#NAME?</v>
      </c>
      <c r="U1218" s="3">
        <v>425</v>
      </c>
      <c r="V1218" s="3">
        <v>418.92</v>
      </c>
      <c r="W1218" s="3">
        <v>12</v>
      </c>
      <c r="X1218" s="5">
        <v>2012</v>
      </c>
      <c r="Y1218" s="5" t="s">
        <v>852</v>
      </c>
      <c r="Z1218" s="5" t="s">
        <v>30</v>
      </c>
      <c r="AA1218" s="5">
        <v>1585</v>
      </c>
    </row>
    <row r="1219" spans="1:27">
      <c r="A1219" s="3" t="s">
        <v>37</v>
      </c>
      <c r="B1219" s="3" t="s">
        <v>246</v>
      </c>
      <c r="C1219" s="3">
        <v>1984</v>
      </c>
      <c r="D1219" s="3" t="s">
        <v>80</v>
      </c>
      <c r="E1219" s="3">
        <v>71.37</v>
      </c>
      <c r="F1219" s="3">
        <v>0.98180000000000001</v>
      </c>
      <c r="G1219" s="3">
        <v>9</v>
      </c>
      <c r="H1219" s="3">
        <v>210</v>
      </c>
      <c r="I1219" s="1">
        <v>220</v>
      </c>
      <c r="J1219" s="3">
        <v>225</v>
      </c>
      <c r="K1219" s="4" t="e">
        <f t="array" aca="1" ref="K1219">MAX(H1219:J1219*(1-strike(H1219:J1219)))</f>
        <v>#NAME?</v>
      </c>
      <c r="L1219" s="3">
        <v>130</v>
      </c>
      <c r="M1219" s="3">
        <v>137.5</v>
      </c>
      <c r="N1219" s="3">
        <v>145</v>
      </c>
      <c r="O1219" s="4" t="e">
        <f t="array" aca="1" ref="O1219">MAX(L1219:N1219*(1-strike(L1219:N1219)))</f>
        <v>#NAME?</v>
      </c>
      <c r="P1219" s="1">
        <v>180</v>
      </c>
      <c r="Q1219" s="1">
        <v>180</v>
      </c>
      <c r="R1219" s="1">
        <v>180</v>
      </c>
      <c r="S1219" s="4" t="e">
        <f t="array" aca="1" ref="S1219">MAX(P1219:R1219*(1-strike(P1219:R1219)))</f>
        <v>#NAME?</v>
      </c>
      <c r="T1219" s="4" t="e">
        <f t="shared" si="19"/>
        <v>#NAME?</v>
      </c>
      <c r="U1219" s="3" t="s">
        <v>40</v>
      </c>
      <c r="V1219" s="3" t="s">
        <v>37</v>
      </c>
      <c r="W1219" s="3" t="s">
        <v>37</v>
      </c>
      <c r="X1219" s="5">
        <v>2012</v>
      </c>
      <c r="Y1219" s="5" t="s">
        <v>852</v>
      </c>
      <c r="Z1219" s="5" t="s">
        <v>171</v>
      </c>
      <c r="AA1219" s="5">
        <v>1401</v>
      </c>
    </row>
    <row r="1220" spans="1:27">
      <c r="A1220" s="3">
        <v>3</v>
      </c>
      <c r="B1220" s="3" t="s">
        <v>246</v>
      </c>
      <c r="C1220" s="3">
        <v>1984</v>
      </c>
      <c r="D1220" s="3" t="s">
        <v>80</v>
      </c>
      <c r="E1220" s="3">
        <v>71.5</v>
      </c>
      <c r="F1220" s="3">
        <v>0.98060000000000003</v>
      </c>
      <c r="G1220" s="3">
        <v>12</v>
      </c>
      <c r="H1220" s="3">
        <v>152.5</v>
      </c>
      <c r="I1220" s="3">
        <v>157.5</v>
      </c>
      <c r="J1220" s="3">
        <v>162.5</v>
      </c>
      <c r="K1220" s="4" t="e">
        <f t="array" aca="1" ref="K1220">MAX(H1220:J1220*(1-strike(H1220:J1220)))</f>
        <v>#NAME?</v>
      </c>
      <c r="L1220" s="3">
        <v>100</v>
      </c>
      <c r="M1220" s="3">
        <v>105</v>
      </c>
      <c r="N1220" s="3">
        <v>110</v>
      </c>
      <c r="O1220" s="4" t="e">
        <f t="array" aca="1" ref="O1220">MAX(L1220:N1220*(1-strike(L1220:N1220)))</f>
        <v>#NAME?</v>
      </c>
      <c r="P1220" s="3">
        <v>160</v>
      </c>
      <c r="Q1220" s="3">
        <v>167.5</v>
      </c>
      <c r="R1220" s="3">
        <v>175</v>
      </c>
      <c r="S1220" s="4" t="e">
        <f t="array" aca="1" ref="S1220">MAX(P1220:R1220*(1-strike(P1220:R1220)))</f>
        <v>#NAME?</v>
      </c>
      <c r="T1220" s="4" t="e">
        <f t="shared" si="19"/>
        <v>#NAME?</v>
      </c>
      <c r="U1220" s="3">
        <v>447.5</v>
      </c>
      <c r="V1220" s="3">
        <v>438.82</v>
      </c>
      <c r="W1220" s="3">
        <v>8</v>
      </c>
      <c r="X1220" s="5">
        <v>2013</v>
      </c>
      <c r="Y1220" s="5" t="s">
        <v>852</v>
      </c>
      <c r="Z1220" s="5" t="s">
        <v>30</v>
      </c>
      <c r="AA1220" s="5">
        <v>1165</v>
      </c>
    </row>
    <row r="1221" spans="1:27">
      <c r="A1221" s="3">
        <v>3</v>
      </c>
      <c r="B1221" s="3" t="s">
        <v>246</v>
      </c>
      <c r="C1221" s="3">
        <v>1984</v>
      </c>
      <c r="D1221" s="3" t="s">
        <v>80</v>
      </c>
      <c r="E1221" s="3">
        <v>71.05</v>
      </c>
      <c r="F1221" s="3">
        <v>0.98480000000000001</v>
      </c>
      <c r="G1221" s="3">
        <v>3</v>
      </c>
      <c r="H1221" s="3">
        <v>155</v>
      </c>
      <c r="I1221" s="1">
        <v>165</v>
      </c>
      <c r="J1221" s="3">
        <v>165</v>
      </c>
      <c r="K1221" s="4" t="e">
        <f t="array" aca="1" ref="K1221">MAX(H1221:J1221*(1-strike(H1221:J1221)))</f>
        <v>#NAME?</v>
      </c>
      <c r="L1221" s="3">
        <v>95</v>
      </c>
      <c r="M1221" s="3">
        <v>102.5</v>
      </c>
      <c r="N1221" s="1">
        <v>110</v>
      </c>
      <c r="O1221" s="4" t="e">
        <f t="array" aca="1" ref="O1221">MAX(L1221:N1221*(1-strike(L1221:N1221)))</f>
        <v>#NAME?</v>
      </c>
      <c r="P1221" s="3">
        <v>150</v>
      </c>
      <c r="Q1221" s="3">
        <v>160</v>
      </c>
      <c r="R1221" s="1">
        <v>175</v>
      </c>
      <c r="S1221" s="4" t="e">
        <f t="array" aca="1" ref="S1221">MAX(P1221:R1221*(1-strike(P1221:R1221)))</f>
        <v>#NAME?</v>
      </c>
      <c r="T1221" s="4" t="e">
        <f t="shared" si="19"/>
        <v>#NAME?</v>
      </c>
      <c r="U1221" s="3">
        <v>427.5</v>
      </c>
      <c r="V1221" s="3">
        <v>420.98</v>
      </c>
      <c r="W1221" s="3">
        <v>8</v>
      </c>
      <c r="X1221" s="5">
        <v>2014</v>
      </c>
      <c r="Y1221" s="5" t="s">
        <v>852</v>
      </c>
      <c r="Z1221" s="5" t="s">
        <v>30</v>
      </c>
      <c r="AA1221" s="5">
        <v>793</v>
      </c>
    </row>
    <row r="1222" spans="1:27">
      <c r="A1222" s="3">
        <v>8</v>
      </c>
      <c r="B1222" s="3" t="s">
        <v>939</v>
      </c>
      <c r="C1222" s="3">
        <v>1982</v>
      </c>
      <c r="D1222" s="3" t="s">
        <v>85</v>
      </c>
      <c r="E1222" s="3">
        <v>82.5</v>
      </c>
      <c r="F1222" s="3">
        <v>0.9</v>
      </c>
      <c r="G1222" s="3">
        <v>11</v>
      </c>
      <c r="H1222" s="1">
        <v>117.5</v>
      </c>
      <c r="I1222" s="3">
        <v>117.5</v>
      </c>
      <c r="J1222" s="3">
        <v>127.5</v>
      </c>
      <c r="K1222" s="4" t="e">
        <f t="array" aca="1" ref="K1222">MAX(H1222:J1222*(1-strike(H1222:J1222)))</f>
        <v>#NAME?</v>
      </c>
      <c r="L1222" s="3">
        <v>60</v>
      </c>
      <c r="M1222" s="3">
        <v>67.5</v>
      </c>
      <c r="N1222" s="1">
        <v>70</v>
      </c>
      <c r="O1222" s="4" t="e">
        <f t="array" aca="1" ref="O1222">MAX(L1222:N1222*(1-strike(L1222:N1222)))</f>
        <v>#NAME?</v>
      </c>
      <c r="P1222" s="3">
        <v>140</v>
      </c>
      <c r="Q1222" s="3">
        <v>147.5</v>
      </c>
      <c r="R1222" s="1">
        <v>155</v>
      </c>
      <c r="S1222" s="4" t="e">
        <f t="array" aca="1" ref="S1222">MAX(P1222:R1222*(1-strike(P1222:R1222)))</f>
        <v>#NAME?</v>
      </c>
      <c r="T1222" s="4" t="e">
        <f t="shared" si="19"/>
        <v>#NAME?</v>
      </c>
      <c r="U1222" s="3">
        <v>342.5</v>
      </c>
      <c r="V1222" s="3">
        <v>308.25</v>
      </c>
      <c r="W1222" s="3">
        <v>3</v>
      </c>
      <c r="X1222" s="5">
        <v>2013</v>
      </c>
      <c r="Y1222" s="5" t="s">
        <v>852</v>
      </c>
      <c r="Z1222" s="5" t="s">
        <v>30</v>
      </c>
      <c r="AA1222" s="5">
        <v>1179</v>
      </c>
    </row>
    <row r="1223" spans="1:27">
      <c r="A1223" s="3">
        <v>9</v>
      </c>
      <c r="B1223" s="3" t="s">
        <v>940</v>
      </c>
      <c r="C1223" s="3">
        <v>1992</v>
      </c>
      <c r="D1223" s="3" t="s">
        <v>85</v>
      </c>
      <c r="E1223" s="3">
        <v>73.97</v>
      </c>
      <c r="F1223" s="3">
        <v>0.95899999999999996</v>
      </c>
      <c r="G1223" s="3">
        <v>9</v>
      </c>
      <c r="H1223" s="3">
        <v>160</v>
      </c>
      <c r="I1223" s="1">
        <v>172.5</v>
      </c>
      <c r="J1223" s="3">
        <v>172.5</v>
      </c>
      <c r="K1223" s="4" t="e">
        <f t="array" aca="1" ref="K1223">MAX(H1223:J1223*(1-strike(H1223:J1223)))</f>
        <v>#NAME?</v>
      </c>
      <c r="L1223" s="3">
        <v>70</v>
      </c>
      <c r="M1223" s="3">
        <v>77.5</v>
      </c>
      <c r="N1223" s="1">
        <v>80</v>
      </c>
      <c r="O1223" s="4" t="e">
        <f t="array" aca="1" ref="O1223">MAX(L1223:N1223*(1-strike(L1223:N1223)))</f>
        <v>#NAME?</v>
      </c>
      <c r="P1223" s="3">
        <v>145</v>
      </c>
      <c r="Q1223" s="3">
        <v>150</v>
      </c>
      <c r="R1223" s="1">
        <v>155</v>
      </c>
      <c r="S1223" s="4" t="e">
        <f t="array" aca="1" ref="S1223">MAX(P1223:R1223*(1-strike(P1223:R1223)))</f>
        <v>#NAME?</v>
      </c>
      <c r="T1223" s="4" t="e">
        <f t="shared" si="19"/>
        <v>#NAME?</v>
      </c>
      <c r="U1223" s="3">
        <v>400</v>
      </c>
      <c r="V1223" s="3">
        <v>383.6</v>
      </c>
      <c r="W1223" s="3">
        <v>2</v>
      </c>
      <c r="X1223" s="5">
        <v>2013</v>
      </c>
      <c r="Y1223" s="5" t="s">
        <v>852</v>
      </c>
      <c r="Z1223" s="5" t="s">
        <v>171</v>
      </c>
      <c r="AA1223" s="5">
        <v>1003</v>
      </c>
    </row>
    <row r="1224" spans="1:27">
      <c r="A1224" s="3" t="s">
        <v>37</v>
      </c>
      <c r="B1224" s="3" t="s">
        <v>941</v>
      </c>
      <c r="C1224" s="3">
        <v>1987</v>
      </c>
      <c r="D1224" s="3" t="s">
        <v>39</v>
      </c>
      <c r="E1224" s="3">
        <v>56.93</v>
      </c>
      <c r="F1224" s="2">
        <v>11615</v>
      </c>
      <c r="G1224" s="3">
        <v>14</v>
      </c>
      <c r="H1224" s="3">
        <v>190</v>
      </c>
      <c r="I1224" s="1">
        <v>195</v>
      </c>
      <c r="J1224" s="1">
        <v>197.5</v>
      </c>
      <c r="K1224" s="4" t="e">
        <f t="array" aca="1" ref="K1224">MAX(H1224:J1224*(1-strike(H1224:J1224)))</f>
        <v>#NAME?</v>
      </c>
      <c r="L1224" s="3">
        <v>115</v>
      </c>
      <c r="M1224" s="3">
        <v>117.5</v>
      </c>
      <c r="N1224" s="1">
        <v>122.5</v>
      </c>
      <c r="O1224" s="4" t="e">
        <f t="array" aca="1" ref="O1224">MAX(L1224:N1224*(1-strike(L1224:N1224)))</f>
        <v>#NAME?</v>
      </c>
      <c r="P1224" s="1">
        <v>187.5</v>
      </c>
      <c r="Q1224" s="1">
        <v>187.5</v>
      </c>
      <c r="R1224" s="1">
        <v>187.5</v>
      </c>
      <c r="S1224" s="4" t="e">
        <f t="array" aca="1" ref="S1224">MAX(P1224:R1224*(1-strike(P1224:R1224)))</f>
        <v>#NAME?</v>
      </c>
      <c r="T1224" s="4" t="e">
        <f t="shared" si="19"/>
        <v>#NAME?</v>
      </c>
      <c r="U1224" s="3" t="s">
        <v>40</v>
      </c>
      <c r="V1224" s="3" t="s">
        <v>37</v>
      </c>
      <c r="W1224" s="3" t="s">
        <v>37</v>
      </c>
      <c r="X1224" s="5">
        <v>2012</v>
      </c>
      <c r="Y1224" s="5" t="s">
        <v>852</v>
      </c>
      <c r="Z1224" s="5" t="s">
        <v>171</v>
      </c>
      <c r="AA1224" s="5">
        <v>1369</v>
      </c>
    </row>
    <row r="1225" spans="1:27">
      <c r="A1225" s="3">
        <v>4</v>
      </c>
      <c r="B1225" s="3" t="s">
        <v>941</v>
      </c>
      <c r="C1225" s="3">
        <v>1987</v>
      </c>
      <c r="D1225" s="3" t="s">
        <v>39</v>
      </c>
      <c r="E1225" s="3">
        <v>64.2</v>
      </c>
      <c r="F1225" s="2">
        <v>10588</v>
      </c>
      <c r="G1225" s="3">
        <v>18</v>
      </c>
      <c r="H1225" s="1">
        <v>145</v>
      </c>
      <c r="I1225" s="3">
        <v>145</v>
      </c>
      <c r="J1225" s="1">
        <v>150</v>
      </c>
      <c r="K1225" s="4" t="e">
        <f t="array" aca="1" ref="K1225">MAX(H1225:J1225*(1-strike(H1225:J1225)))</f>
        <v>#NAME?</v>
      </c>
      <c r="L1225" s="1">
        <v>107.5</v>
      </c>
      <c r="M1225" s="3">
        <v>107.5</v>
      </c>
      <c r="N1225" s="3">
        <v>112.5</v>
      </c>
      <c r="O1225" s="4" t="e">
        <f t="array" aca="1" ref="O1225">MAX(L1225:N1225*(1-strike(L1225:N1225)))</f>
        <v>#NAME?</v>
      </c>
      <c r="P1225" s="3">
        <v>175</v>
      </c>
      <c r="Q1225" s="3">
        <v>185</v>
      </c>
      <c r="R1225" s="1">
        <v>190</v>
      </c>
      <c r="S1225" s="4" t="e">
        <f t="array" aca="1" ref="S1225">MAX(P1225:R1225*(1-strike(P1225:R1225)))</f>
        <v>#NAME?</v>
      </c>
      <c r="T1225" s="4" t="e">
        <f t="shared" si="19"/>
        <v>#NAME?</v>
      </c>
      <c r="U1225" s="3">
        <v>442.5</v>
      </c>
      <c r="V1225" s="3">
        <v>468.52</v>
      </c>
      <c r="W1225" s="3">
        <v>7</v>
      </c>
      <c r="X1225" s="5">
        <v>2013</v>
      </c>
      <c r="Y1225" s="5" t="s">
        <v>852</v>
      </c>
      <c r="Z1225" s="5" t="s">
        <v>30</v>
      </c>
      <c r="AA1225" s="5">
        <v>1166</v>
      </c>
    </row>
    <row r="1226" spans="1:27">
      <c r="A1226" s="3">
        <v>5</v>
      </c>
      <c r="B1226" s="3" t="s">
        <v>248</v>
      </c>
      <c r="C1226" s="3">
        <v>1967</v>
      </c>
      <c r="D1226" s="3" t="s">
        <v>77</v>
      </c>
      <c r="E1226" s="3">
        <v>62.72</v>
      </c>
      <c r="F1226" s="2">
        <v>10776</v>
      </c>
      <c r="G1226" s="3">
        <v>2</v>
      </c>
      <c r="H1226" s="3">
        <v>185</v>
      </c>
      <c r="I1226" s="3">
        <v>197.5</v>
      </c>
      <c r="J1226" s="3">
        <v>207.5</v>
      </c>
      <c r="K1226" s="4" t="e">
        <f t="array" aca="1" ref="K1226">MAX(H1226:J1226*(1-strike(H1226:J1226)))</f>
        <v>#NAME?</v>
      </c>
      <c r="L1226" s="1">
        <v>150</v>
      </c>
      <c r="M1226" s="3">
        <v>150</v>
      </c>
      <c r="N1226" s="3">
        <v>157.5</v>
      </c>
      <c r="O1226" s="4" t="e">
        <f t="array" aca="1" ref="O1226">MAX(L1226:N1226*(1-strike(L1226:N1226)))</f>
        <v>#NAME?</v>
      </c>
      <c r="P1226" s="3">
        <v>180</v>
      </c>
      <c r="Q1226" s="3">
        <v>190</v>
      </c>
      <c r="R1226" s="3">
        <v>192.5</v>
      </c>
      <c r="S1226" s="4" t="e">
        <f t="array" aca="1" ref="S1226">MAX(P1226:R1226*(1-strike(P1226:R1226)))</f>
        <v>#NAME?</v>
      </c>
      <c r="T1226" s="4" t="e">
        <f t="shared" si="19"/>
        <v>#NAME?</v>
      </c>
      <c r="U1226" s="3" t="s">
        <v>942</v>
      </c>
      <c r="V1226" s="3">
        <v>600.77</v>
      </c>
      <c r="W1226" s="3">
        <v>6</v>
      </c>
      <c r="X1226" s="5">
        <v>2012</v>
      </c>
      <c r="Y1226" s="5" t="s">
        <v>852</v>
      </c>
      <c r="Z1226" s="5" t="s">
        <v>171</v>
      </c>
      <c r="AA1226" s="5">
        <v>1375</v>
      </c>
    </row>
    <row r="1227" spans="1:27">
      <c r="A1227" s="3">
        <v>4</v>
      </c>
      <c r="B1227" s="3" t="s">
        <v>249</v>
      </c>
      <c r="C1227" s="3">
        <v>1985</v>
      </c>
      <c r="D1227" s="3" t="s">
        <v>119</v>
      </c>
      <c r="E1227" s="3">
        <v>51.98</v>
      </c>
      <c r="F1227" s="2">
        <v>12470</v>
      </c>
      <c r="G1227" s="3">
        <v>7</v>
      </c>
      <c r="H1227" s="3">
        <v>180</v>
      </c>
      <c r="I1227" s="3">
        <v>187.5</v>
      </c>
      <c r="J1227" s="3">
        <v>192.5</v>
      </c>
      <c r="K1227" s="4" t="e">
        <f t="array" aca="1" ref="K1227">MAX(H1227:J1227*(1-strike(H1227:J1227)))</f>
        <v>#NAME?</v>
      </c>
      <c r="L1227" s="3">
        <v>110</v>
      </c>
      <c r="M1227" s="3">
        <v>115</v>
      </c>
      <c r="N1227" s="3">
        <v>120</v>
      </c>
      <c r="O1227" s="4" t="e">
        <f t="array" aca="1" ref="O1227">MAX(L1227:N1227*(1-strike(L1227:N1227)))</f>
        <v>#NAME?</v>
      </c>
      <c r="P1227" s="3">
        <v>165</v>
      </c>
      <c r="Q1227" s="3">
        <v>170</v>
      </c>
      <c r="R1227" s="1">
        <v>175</v>
      </c>
      <c r="S1227" s="4" t="e">
        <f t="array" aca="1" ref="S1227">MAX(P1227:R1227*(1-strike(P1227:R1227)))</f>
        <v>#NAME?</v>
      </c>
      <c r="T1227" s="4" t="e">
        <f t="shared" si="19"/>
        <v>#NAME?</v>
      </c>
      <c r="U1227" s="3">
        <v>482.5</v>
      </c>
      <c r="V1227" s="3">
        <v>601.67999999999995</v>
      </c>
      <c r="W1227" s="3">
        <v>7</v>
      </c>
      <c r="X1227" s="5">
        <v>2013</v>
      </c>
      <c r="Y1227" s="5" t="s">
        <v>852</v>
      </c>
      <c r="Z1227" s="5" t="s">
        <v>171</v>
      </c>
      <c r="AA1227" s="5">
        <v>942</v>
      </c>
    </row>
    <row r="1228" spans="1:27">
      <c r="A1228" s="4">
        <v>3</v>
      </c>
      <c r="B1228" s="4" t="s">
        <v>249</v>
      </c>
      <c r="C1228" s="4">
        <v>1985</v>
      </c>
      <c r="D1228" s="4" t="s">
        <v>901</v>
      </c>
      <c r="E1228" s="4">
        <v>51.52</v>
      </c>
      <c r="F1228" s="7">
        <v>12560</v>
      </c>
      <c r="G1228" s="4">
        <v>12</v>
      </c>
      <c r="H1228" s="4">
        <v>180</v>
      </c>
      <c r="I1228" s="4">
        <v>185</v>
      </c>
      <c r="J1228" s="6">
        <v>190</v>
      </c>
      <c r="K1228" s="4" t="e">
        <f t="array" aca="1" ref="K1228">MAX(H1228:J1228*(1-strike(H1228:J1228)))</f>
        <v>#NAME?</v>
      </c>
      <c r="L1228" s="4">
        <v>115</v>
      </c>
      <c r="M1228" s="4">
        <v>120</v>
      </c>
      <c r="N1228" s="4">
        <v>122.5</v>
      </c>
      <c r="O1228" s="4" t="e">
        <f t="array" aca="1" ref="O1228">MAX(L1228:N1228*(1-strike(L1228:N1228)))</f>
        <v>#NAME?</v>
      </c>
      <c r="P1228" s="4">
        <v>170</v>
      </c>
      <c r="Q1228" s="4">
        <v>175</v>
      </c>
      <c r="R1228" s="4">
        <v>180</v>
      </c>
      <c r="S1228" s="4" t="e">
        <f t="array" aca="1" ref="S1228">MAX(P1228:R1228*(1-strike(P1228:R1228)))</f>
        <v>#NAME?</v>
      </c>
      <c r="T1228" s="4" t="e">
        <f t="shared" si="19"/>
        <v>#NAME?</v>
      </c>
      <c r="U1228" s="4">
        <v>487.5</v>
      </c>
      <c r="V1228" s="4">
        <v>612.29999999999995</v>
      </c>
      <c r="W1228" s="4">
        <v>8</v>
      </c>
      <c r="X1228" s="5">
        <v>2014</v>
      </c>
      <c r="Y1228" s="5" t="s">
        <v>852</v>
      </c>
      <c r="Z1228" s="5" t="s">
        <v>171</v>
      </c>
      <c r="AA1228" s="5">
        <v>578</v>
      </c>
    </row>
    <row r="1229" spans="1:27">
      <c r="A1229" s="3">
        <v>3</v>
      </c>
      <c r="B1229" s="3" t="s">
        <v>943</v>
      </c>
      <c r="C1229" s="3">
        <v>1989</v>
      </c>
      <c r="D1229" s="3" t="s">
        <v>119</v>
      </c>
      <c r="E1229" s="3">
        <v>71.010000000000005</v>
      </c>
      <c r="F1229" s="3">
        <v>0.98519999999999996</v>
      </c>
      <c r="G1229" s="3">
        <v>6</v>
      </c>
      <c r="H1229" s="3">
        <v>237.5</v>
      </c>
      <c r="I1229" s="3">
        <v>247.5</v>
      </c>
      <c r="J1229" s="3">
        <v>255</v>
      </c>
      <c r="K1229" s="4" t="e">
        <f t="array" aca="1" ref="K1229">MAX(H1229:J1229*(1-strike(H1229:J1229)))</f>
        <v>#NAME?</v>
      </c>
      <c r="L1229" s="3">
        <v>140</v>
      </c>
      <c r="M1229" s="1">
        <v>145</v>
      </c>
      <c r="N1229" s="3">
        <v>145</v>
      </c>
      <c r="O1229" s="4" t="e">
        <f t="array" aca="1" ref="O1229">MAX(L1229:N1229*(1-strike(L1229:N1229)))</f>
        <v>#NAME?</v>
      </c>
      <c r="P1229" s="3">
        <v>180</v>
      </c>
      <c r="Q1229" s="3">
        <v>190</v>
      </c>
      <c r="R1229" s="1">
        <v>202.5</v>
      </c>
      <c r="S1229" s="4" t="e">
        <f t="array" aca="1" ref="S1229">MAX(P1229:R1229*(1-strike(P1229:R1229)))</f>
        <v>#NAME?</v>
      </c>
      <c r="T1229" s="4" t="e">
        <f t="shared" si="19"/>
        <v>#NAME?</v>
      </c>
      <c r="U1229" s="3">
        <v>590</v>
      </c>
      <c r="V1229" s="3">
        <v>581.27</v>
      </c>
      <c r="W1229" s="3">
        <v>8</v>
      </c>
      <c r="X1229" s="5">
        <v>2013</v>
      </c>
      <c r="Y1229" s="5" t="s">
        <v>852</v>
      </c>
      <c r="Z1229" s="5" t="s">
        <v>171</v>
      </c>
      <c r="AA1229" s="5">
        <v>984</v>
      </c>
    </row>
    <row r="1230" spans="1:27" ht="15" customHeight="1">
      <c r="A1230" s="3">
        <v>1</v>
      </c>
      <c r="B1230" s="3" t="s">
        <v>944</v>
      </c>
      <c r="C1230" s="3">
        <v>1979</v>
      </c>
      <c r="D1230" s="3" t="s">
        <v>28</v>
      </c>
      <c r="E1230" s="3">
        <v>51.65</v>
      </c>
      <c r="F1230" s="2">
        <v>12531</v>
      </c>
      <c r="G1230" s="3">
        <v>15</v>
      </c>
      <c r="H1230" s="3">
        <v>125</v>
      </c>
      <c r="I1230" s="3">
        <v>132.5</v>
      </c>
      <c r="J1230" s="1">
        <v>140</v>
      </c>
      <c r="K1230" s="4" t="e">
        <f t="array" aca="1" ref="K1230">MAX(H1230:J1230*(1-strike(H1230:J1230)))</f>
        <v>#NAME?</v>
      </c>
      <c r="L1230" s="3">
        <v>85</v>
      </c>
      <c r="M1230" s="1">
        <v>90</v>
      </c>
      <c r="N1230" s="3">
        <v>90</v>
      </c>
      <c r="O1230" s="4" t="e">
        <f t="array" aca="1" ref="O1230">MAX(L1230:N1230*(1-strike(L1230:N1230)))</f>
        <v>#NAME?</v>
      </c>
      <c r="P1230" s="3">
        <v>152.5</v>
      </c>
      <c r="Q1230" s="3">
        <v>157.5</v>
      </c>
      <c r="R1230" s="3">
        <v>160</v>
      </c>
      <c r="S1230" s="4" t="e">
        <f t="array" aca="1" ref="S1230">MAX(P1230:R1230*(1-strike(P1230:R1230)))</f>
        <v>#NAME?</v>
      </c>
      <c r="T1230" s="4" t="e">
        <f t="shared" si="19"/>
        <v>#NAME?</v>
      </c>
      <c r="U1230" s="3">
        <v>382.5</v>
      </c>
      <c r="V1230" s="3">
        <v>479.32</v>
      </c>
      <c r="W1230" s="3">
        <v>12</v>
      </c>
      <c r="X1230" s="5">
        <v>2012</v>
      </c>
      <c r="Y1230" s="5" t="s">
        <v>852</v>
      </c>
      <c r="Z1230" s="5" t="s">
        <v>30</v>
      </c>
      <c r="AA1230" s="5">
        <v>1550</v>
      </c>
    </row>
    <row r="1231" spans="1:27">
      <c r="A1231" s="3">
        <v>1</v>
      </c>
      <c r="B1231" s="3" t="s">
        <v>944</v>
      </c>
      <c r="C1231" s="3">
        <v>1979</v>
      </c>
      <c r="D1231" s="3" t="s">
        <v>28</v>
      </c>
      <c r="E1231" s="3">
        <v>51.3</v>
      </c>
      <c r="F1231" s="2">
        <v>12597</v>
      </c>
      <c r="G1231" s="3">
        <v>19</v>
      </c>
      <c r="H1231" s="3">
        <v>130</v>
      </c>
      <c r="I1231" s="3">
        <v>137.5</v>
      </c>
      <c r="J1231" s="3">
        <v>140</v>
      </c>
      <c r="K1231" s="4" t="e">
        <f t="array" aca="1" ref="K1231">MAX(H1231:J1231*(1-strike(H1231:J1231)))</f>
        <v>#NAME?</v>
      </c>
      <c r="L1231" s="3">
        <v>80</v>
      </c>
      <c r="M1231" s="3">
        <v>85</v>
      </c>
      <c r="N1231" s="1">
        <v>87.5</v>
      </c>
      <c r="O1231" s="4" t="e">
        <f t="array" aca="1" ref="O1231">MAX(L1231:N1231*(1-strike(L1231:N1231)))</f>
        <v>#NAME?</v>
      </c>
      <c r="P1231" s="3">
        <v>150</v>
      </c>
      <c r="Q1231" s="3">
        <v>157.5</v>
      </c>
      <c r="R1231" s="3">
        <v>160</v>
      </c>
      <c r="S1231" s="4" t="e">
        <f t="array" aca="1" ref="S1231">MAX(P1231:R1231*(1-strike(P1231:R1231)))</f>
        <v>#NAME?</v>
      </c>
      <c r="T1231" s="4" t="e">
        <f t="shared" si="19"/>
        <v>#NAME?</v>
      </c>
      <c r="U1231" s="3">
        <v>385</v>
      </c>
      <c r="V1231" s="3">
        <v>484.98</v>
      </c>
      <c r="W1231" s="3">
        <v>12</v>
      </c>
      <c r="X1231" s="5">
        <v>2013</v>
      </c>
      <c r="Y1231" s="5" t="s">
        <v>852</v>
      </c>
      <c r="Z1231" s="5" t="s">
        <v>30</v>
      </c>
      <c r="AA1231" s="5">
        <v>1134</v>
      </c>
    </row>
    <row r="1232" spans="1:27">
      <c r="A1232" s="3">
        <v>1</v>
      </c>
      <c r="B1232" s="3" t="s">
        <v>945</v>
      </c>
      <c r="C1232" s="3">
        <v>1990</v>
      </c>
      <c r="D1232" s="3" t="s">
        <v>119</v>
      </c>
      <c r="E1232" s="3">
        <v>78.89</v>
      </c>
      <c r="F1232" s="3">
        <v>0.92230000000000001</v>
      </c>
      <c r="G1232" s="3">
        <v>7</v>
      </c>
      <c r="H1232" s="1">
        <v>250</v>
      </c>
      <c r="I1232" s="3">
        <v>252.5</v>
      </c>
      <c r="J1232" s="3">
        <v>260</v>
      </c>
      <c r="K1232" s="4" t="e">
        <f t="array" aca="1" ref="K1232">MAX(H1232:J1232*(1-strike(H1232:J1232)))</f>
        <v>#NAME?</v>
      </c>
      <c r="L1232" s="3">
        <v>140</v>
      </c>
      <c r="M1232" s="3">
        <v>145</v>
      </c>
      <c r="N1232" s="3">
        <v>150</v>
      </c>
      <c r="O1232" s="4" t="e">
        <f t="array" aca="1" ref="O1232">MAX(L1232:N1232*(1-strike(L1232:N1232)))</f>
        <v>#NAME?</v>
      </c>
      <c r="P1232" s="1">
        <v>230</v>
      </c>
      <c r="Q1232" s="3">
        <v>230</v>
      </c>
      <c r="R1232" s="3">
        <v>250.5</v>
      </c>
      <c r="S1232" s="4" t="e">
        <f t="array" aca="1" ref="S1232">MAX(P1232:R1232*(1-strike(P1232:R1232)))</f>
        <v>#NAME?</v>
      </c>
      <c r="T1232" s="4" t="e">
        <f t="shared" si="19"/>
        <v>#NAME?</v>
      </c>
      <c r="U1232" s="3" t="s">
        <v>946</v>
      </c>
      <c r="V1232" s="3">
        <v>609.15</v>
      </c>
      <c r="W1232" s="3">
        <v>12</v>
      </c>
      <c r="X1232" s="5">
        <v>2012</v>
      </c>
      <c r="Y1232" s="5" t="s">
        <v>852</v>
      </c>
      <c r="Z1232" s="5" t="s">
        <v>171</v>
      </c>
      <c r="AA1232" s="5">
        <v>1403</v>
      </c>
    </row>
    <row r="1233" spans="1:27">
      <c r="A1233" s="4">
        <v>1</v>
      </c>
      <c r="B1233" s="4" t="s">
        <v>945</v>
      </c>
      <c r="C1233" s="4">
        <v>1990</v>
      </c>
      <c r="D1233" s="4" t="s">
        <v>901</v>
      </c>
      <c r="E1233" s="4">
        <v>78.62</v>
      </c>
      <c r="F1233" s="4">
        <v>0.92420000000000002</v>
      </c>
      <c r="G1233" s="4">
        <v>3</v>
      </c>
      <c r="H1233" s="4">
        <v>250</v>
      </c>
      <c r="I1233" s="4">
        <v>260</v>
      </c>
      <c r="J1233" s="4">
        <v>268</v>
      </c>
      <c r="K1233" s="4" t="e">
        <f t="array" aca="1" ref="K1233">MAX(H1233:J1233*(1-strike(H1233:J1233)))</f>
        <v>#NAME?</v>
      </c>
      <c r="L1233" s="4">
        <v>145</v>
      </c>
      <c r="M1233" s="4">
        <v>155</v>
      </c>
      <c r="N1233" s="4">
        <v>160</v>
      </c>
      <c r="O1233" s="4" t="e">
        <f t="array" aca="1" ref="O1233">MAX(L1233:N1233*(1-strike(L1233:N1233)))</f>
        <v>#NAME?</v>
      </c>
      <c r="P1233" s="4">
        <v>225</v>
      </c>
      <c r="Q1233" s="4">
        <v>242.5</v>
      </c>
      <c r="R1233" s="6">
        <v>251</v>
      </c>
      <c r="S1233" s="4" t="e">
        <f t="array" aca="1" ref="S1233">MAX(P1233:R1233*(1-strike(P1233:R1233)))</f>
        <v>#NAME?</v>
      </c>
      <c r="T1233" s="4" t="e">
        <f t="shared" si="19"/>
        <v>#NAME?</v>
      </c>
      <c r="U1233" s="4" t="s">
        <v>947</v>
      </c>
      <c r="V1233" s="4">
        <v>619.66999999999996</v>
      </c>
      <c r="W1233" s="4">
        <v>12</v>
      </c>
      <c r="X1233" s="5">
        <v>2014</v>
      </c>
      <c r="Y1233" s="5" t="s">
        <v>852</v>
      </c>
      <c r="Z1233" s="5" t="s">
        <v>171</v>
      </c>
      <c r="AA1233" s="5">
        <v>626</v>
      </c>
    </row>
    <row r="1234" spans="1:27">
      <c r="A1234" s="3">
        <v>7</v>
      </c>
      <c r="B1234" s="3" t="s">
        <v>253</v>
      </c>
      <c r="C1234" s="3">
        <v>1971</v>
      </c>
      <c r="D1234" s="3" t="s">
        <v>194</v>
      </c>
      <c r="E1234" s="3">
        <v>51.75</v>
      </c>
      <c r="F1234" s="2">
        <v>12513</v>
      </c>
      <c r="G1234" s="3">
        <v>18</v>
      </c>
      <c r="H1234" s="3">
        <v>85</v>
      </c>
      <c r="I1234" s="3">
        <v>92.5</v>
      </c>
      <c r="J1234" s="3">
        <v>100</v>
      </c>
      <c r="K1234" s="4" t="e">
        <f t="array" aca="1" ref="K1234">MAX(H1234:J1234*(1-strike(H1234:J1234)))</f>
        <v>#NAME?</v>
      </c>
      <c r="L1234" s="3">
        <v>65</v>
      </c>
      <c r="M1234" s="3">
        <v>70</v>
      </c>
      <c r="N1234" s="3">
        <v>72.5</v>
      </c>
      <c r="O1234" s="4" t="e">
        <f t="array" aca="1" ref="O1234">MAX(L1234:N1234*(1-strike(L1234:N1234)))</f>
        <v>#NAME?</v>
      </c>
      <c r="P1234" s="3">
        <v>100</v>
      </c>
      <c r="Q1234" s="3">
        <v>120</v>
      </c>
      <c r="R1234" s="3">
        <v>130</v>
      </c>
      <c r="S1234" s="4" t="e">
        <f t="array" aca="1" ref="S1234">MAX(P1234:R1234*(1-strike(P1234:R1234)))</f>
        <v>#NAME?</v>
      </c>
      <c r="T1234" s="4" t="e">
        <f t="shared" si="19"/>
        <v>#NAME?</v>
      </c>
      <c r="U1234" s="3">
        <v>302.5</v>
      </c>
      <c r="V1234" s="3">
        <v>378.52</v>
      </c>
      <c r="W1234" s="3">
        <v>4</v>
      </c>
      <c r="X1234" s="5">
        <v>2013</v>
      </c>
      <c r="Y1234" s="5" t="s">
        <v>852</v>
      </c>
      <c r="Z1234" s="5" t="s">
        <v>30</v>
      </c>
      <c r="AA1234" s="5">
        <v>1140</v>
      </c>
    </row>
    <row r="1235" spans="1:27">
      <c r="A1235" s="4">
        <v>6</v>
      </c>
      <c r="B1235" s="4" t="s">
        <v>254</v>
      </c>
      <c r="C1235" s="4">
        <v>1977</v>
      </c>
      <c r="D1235" s="4" t="s">
        <v>862</v>
      </c>
      <c r="E1235" s="4">
        <v>71.92</v>
      </c>
      <c r="F1235" s="4">
        <v>0.97689999999999999</v>
      </c>
      <c r="G1235" s="4">
        <v>9</v>
      </c>
      <c r="H1235" s="4">
        <v>190</v>
      </c>
      <c r="I1235" s="4">
        <v>197.5</v>
      </c>
      <c r="J1235" s="6">
        <v>202.5</v>
      </c>
      <c r="K1235" s="4" t="e">
        <f t="array" aca="1" ref="K1235">MAX(H1235:J1235*(1-strike(H1235:J1235)))</f>
        <v>#NAME?</v>
      </c>
      <c r="L1235" s="6">
        <v>127.5</v>
      </c>
      <c r="M1235" s="4">
        <v>127.5</v>
      </c>
      <c r="N1235" s="6">
        <v>132.5</v>
      </c>
      <c r="O1235" s="4" t="e">
        <f t="array" aca="1" ref="O1235">MAX(L1235:N1235*(1-strike(L1235:N1235)))</f>
        <v>#NAME?</v>
      </c>
      <c r="P1235" s="4">
        <v>170</v>
      </c>
      <c r="Q1235" s="4">
        <v>175</v>
      </c>
      <c r="R1235" s="6">
        <v>180</v>
      </c>
      <c r="S1235" s="4" t="e">
        <f t="array" aca="1" ref="S1235">MAX(P1235:R1235*(1-strike(P1235:R1235)))</f>
        <v>#NAME?</v>
      </c>
      <c r="T1235" s="4" t="e">
        <f t="shared" si="19"/>
        <v>#NAME?</v>
      </c>
      <c r="U1235" s="4">
        <v>500</v>
      </c>
      <c r="V1235" s="4">
        <v>488.45</v>
      </c>
      <c r="W1235" s="4">
        <v>5</v>
      </c>
      <c r="X1235" s="5">
        <v>2014</v>
      </c>
      <c r="Y1235" s="5" t="s">
        <v>852</v>
      </c>
      <c r="Z1235" s="5" t="s">
        <v>171</v>
      </c>
      <c r="AA1235" s="5">
        <v>619</v>
      </c>
    </row>
    <row r="1236" spans="1:27">
      <c r="A1236" s="3">
        <v>2</v>
      </c>
      <c r="B1236" s="3" t="s">
        <v>256</v>
      </c>
      <c r="C1236" s="3">
        <v>1985</v>
      </c>
      <c r="D1236" s="3" t="s">
        <v>39</v>
      </c>
      <c r="E1236" s="3">
        <v>70.45</v>
      </c>
      <c r="F1236" s="3">
        <v>0.99050000000000005</v>
      </c>
      <c r="G1236" s="3">
        <v>14</v>
      </c>
      <c r="H1236" s="3">
        <v>150</v>
      </c>
      <c r="I1236" s="3">
        <v>155</v>
      </c>
      <c r="J1236" s="3">
        <v>160</v>
      </c>
      <c r="K1236" s="4" t="e">
        <f t="array" aca="1" ref="K1236">MAX(H1236:J1236*(1-strike(H1236:J1236)))</f>
        <v>#NAME?</v>
      </c>
      <c r="L1236" s="3">
        <v>110</v>
      </c>
      <c r="M1236" s="3">
        <v>115</v>
      </c>
      <c r="N1236" s="1">
        <v>120</v>
      </c>
      <c r="O1236" s="4" t="e">
        <f t="array" aca="1" ref="O1236">MAX(L1236:N1236*(1-strike(L1236:N1236)))</f>
        <v>#NAME?</v>
      </c>
      <c r="P1236" s="3">
        <v>170</v>
      </c>
      <c r="Q1236" s="3">
        <v>175</v>
      </c>
      <c r="R1236" s="3">
        <v>180</v>
      </c>
      <c r="S1236" s="4" t="e">
        <f t="array" aca="1" ref="S1236">MAX(P1236:R1236*(1-strike(P1236:R1236)))</f>
        <v>#NAME?</v>
      </c>
      <c r="T1236" s="4" t="e">
        <f t="shared" si="19"/>
        <v>#NAME?</v>
      </c>
      <c r="U1236" s="3">
        <v>455</v>
      </c>
      <c r="V1236" s="3">
        <v>450.68</v>
      </c>
      <c r="W1236" s="3">
        <v>9</v>
      </c>
      <c r="X1236" s="5">
        <v>2013</v>
      </c>
      <c r="Y1236" s="5" t="s">
        <v>852</v>
      </c>
      <c r="Z1236" s="5" t="s">
        <v>30</v>
      </c>
      <c r="AA1236" s="5">
        <v>1164</v>
      </c>
    </row>
    <row r="1237" spans="1:27">
      <c r="A1237" s="3">
        <v>3</v>
      </c>
      <c r="B1237" s="3" t="s">
        <v>948</v>
      </c>
      <c r="C1237" s="3">
        <v>1974</v>
      </c>
      <c r="D1237" s="3" t="s">
        <v>119</v>
      </c>
      <c r="E1237" s="3">
        <v>46.85</v>
      </c>
      <c r="F1237" s="2">
        <v>13480</v>
      </c>
      <c r="G1237" s="3">
        <v>13</v>
      </c>
      <c r="H1237" s="3">
        <v>90</v>
      </c>
      <c r="I1237" s="3">
        <v>95</v>
      </c>
      <c r="J1237" s="1">
        <v>100</v>
      </c>
      <c r="K1237" s="4" t="e">
        <f t="array" aca="1" ref="K1237">MAX(H1237:J1237*(1-strike(H1237:J1237)))</f>
        <v>#NAME?</v>
      </c>
      <c r="L1237" s="3">
        <v>70</v>
      </c>
      <c r="M1237" s="3">
        <v>75</v>
      </c>
      <c r="N1237" s="1">
        <v>77.5</v>
      </c>
      <c r="O1237" s="4" t="e">
        <f t="array" aca="1" ref="O1237">MAX(L1237:N1237*(1-strike(L1237:N1237)))</f>
        <v>#NAME?</v>
      </c>
      <c r="P1237" s="3">
        <v>122.5</v>
      </c>
      <c r="Q1237" s="3">
        <v>130</v>
      </c>
      <c r="R1237" s="3">
        <v>132.5</v>
      </c>
      <c r="S1237" s="4" t="e">
        <f t="array" aca="1" ref="S1237">MAX(P1237:R1237*(1-strike(P1237:R1237)))</f>
        <v>#NAME?</v>
      </c>
      <c r="T1237" s="4" t="e">
        <f t="shared" si="19"/>
        <v>#NAME?</v>
      </c>
      <c r="U1237" s="3">
        <v>302.5</v>
      </c>
      <c r="V1237" s="3">
        <v>407.77</v>
      </c>
      <c r="W1237" s="3">
        <v>8</v>
      </c>
      <c r="X1237" s="5">
        <v>2013</v>
      </c>
      <c r="Y1237" s="5" t="s">
        <v>852</v>
      </c>
      <c r="Z1237" s="5" t="s">
        <v>30</v>
      </c>
      <c r="AA1237" s="5">
        <v>1125</v>
      </c>
    </row>
    <row r="1238" spans="1:27">
      <c r="A1238" s="3">
        <v>9</v>
      </c>
      <c r="B1238" s="3" t="s">
        <v>949</v>
      </c>
      <c r="C1238" s="3">
        <v>1974</v>
      </c>
      <c r="D1238" s="3" t="s">
        <v>80</v>
      </c>
      <c r="E1238" s="3">
        <v>56.5</v>
      </c>
      <c r="F1238" s="2">
        <v>11684</v>
      </c>
      <c r="G1238" s="3">
        <v>5</v>
      </c>
      <c r="H1238" s="3">
        <v>95</v>
      </c>
      <c r="I1238" s="3">
        <v>102.5</v>
      </c>
      <c r="J1238" s="1">
        <v>110</v>
      </c>
      <c r="K1238" s="4" t="e">
        <f t="array" aca="1" ref="K1238">MAX(H1238:J1238*(1-strike(H1238:J1238)))</f>
        <v>#NAME?</v>
      </c>
      <c r="L1238" s="3">
        <v>62.5</v>
      </c>
      <c r="M1238" s="1">
        <v>67.5</v>
      </c>
      <c r="N1238" s="1">
        <v>67.5</v>
      </c>
      <c r="O1238" s="4" t="e">
        <f t="array" aca="1" ref="O1238">MAX(L1238:N1238*(1-strike(L1238:N1238)))</f>
        <v>#NAME?</v>
      </c>
      <c r="P1238" s="3">
        <v>125</v>
      </c>
      <c r="Q1238" s="3">
        <v>130</v>
      </c>
      <c r="R1238" s="1">
        <v>135</v>
      </c>
      <c r="S1238" s="4" t="e">
        <f t="array" aca="1" ref="S1238">MAX(P1238:R1238*(1-strike(P1238:R1238)))</f>
        <v>#NAME?</v>
      </c>
      <c r="T1238" s="4" t="e">
        <f t="shared" si="19"/>
        <v>#NAME?</v>
      </c>
      <c r="U1238" s="3">
        <v>295</v>
      </c>
      <c r="V1238" s="3">
        <v>344.67</v>
      </c>
      <c r="W1238" s="3">
        <v>2</v>
      </c>
      <c r="X1238" s="5">
        <v>2012</v>
      </c>
      <c r="Y1238" s="5" t="s">
        <v>852</v>
      </c>
      <c r="Z1238" s="5" t="s">
        <v>30</v>
      </c>
      <c r="AA1238" s="5">
        <v>1571</v>
      </c>
    </row>
    <row r="1239" spans="1:27">
      <c r="A1239" s="4">
        <v>5</v>
      </c>
      <c r="B1239" s="4" t="s">
        <v>950</v>
      </c>
      <c r="C1239" s="4">
        <v>1999</v>
      </c>
      <c r="D1239" s="4" t="s">
        <v>876</v>
      </c>
      <c r="E1239" s="4">
        <v>45.96</v>
      </c>
      <c r="F1239" s="7">
        <v>13657</v>
      </c>
      <c r="G1239" s="4">
        <v>6</v>
      </c>
      <c r="H1239" s="4">
        <v>132.5</v>
      </c>
      <c r="I1239" s="4">
        <v>142.5</v>
      </c>
      <c r="J1239" s="6">
        <v>147.5</v>
      </c>
      <c r="K1239" s="4" t="e">
        <f t="array" aca="1" ref="K1239">MAX(H1239:J1239*(1-strike(H1239:J1239)))</f>
        <v>#NAME?</v>
      </c>
      <c r="L1239" s="4">
        <v>70</v>
      </c>
      <c r="M1239" s="4">
        <v>75</v>
      </c>
      <c r="N1239" s="4">
        <v>77.5</v>
      </c>
      <c r="O1239" s="4" t="e">
        <f t="array" aca="1" ref="O1239">MAX(L1239:N1239*(1-strike(L1239:N1239)))</f>
        <v>#NAME?</v>
      </c>
      <c r="P1239" s="4">
        <v>137.5</v>
      </c>
      <c r="Q1239" s="4">
        <v>147.5</v>
      </c>
      <c r="R1239" s="6">
        <v>150</v>
      </c>
      <c r="S1239" s="4" t="e">
        <f t="array" aca="1" ref="S1239">MAX(P1239:R1239*(1-strike(P1239:R1239)))</f>
        <v>#NAME?</v>
      </c>
      <c r="T1239" s="4" t="e">
        <f t="shared" si="19"/>
        <v>#NAME?</v>
      </c>
      <c r="U1239" s="4">
        <v>367.5</v>
      </c>
      <c r="V1239" s="4">
        <v>501.89</v>
      </c>
      <c r="W1239" s="4">
        <v>6</v>
      </c>
      <c r="X1239" s="5">
        <v>2014</v>
      </c>
      <c r="Y1239" s="5" t="s">
        <v>852</v>
      </c>
      <c r="Z1239" s="5" t="s">
        <v>171</v>
      </c>
      <c r="AA1239" s="5">
        <v>573</v>
      </c>
    </row>
    <row r="1240" spans="1:27">
      <c r="A1240" s="3" t="s">
        <v>37</v>
      </c>
      <c r="B1240" s="3" t="s">
        <v>258</v>
      </c>
      <c r="C1240" s="3">
        <v>1978</v>
      </c>
      <c r="D1240" s="3" t="s">
        <v>137</v>
      </c>
      <c r="E1240" s="3">
        <v>46.23</v>
      </c>
      <c r="F1240" s="2">
        <v>13609</v>
      </c>
      <c r="G1240" s="3">
        <v>4</v>
      </c>
      <c r="H1240" s="1">
        <v>150</v>
      </c>
      <c r="I1240" s="1">
        <v>150</v>
      </c>
      <c r="J1240" s="1">
        <v>150</v>
      </c>
      <c r="K1240" s="4" t="e">
        <f t="array" aca="1" ref="K1240">MAX(H1240:J1240*(1-strike(H1240:J1240)))</f>
        <v>#NAME?</v>
      </c>
      <c r="L1240" s="3">
        <v>87.5</v>
      </c>
      <c r="M1240" s="3">
        <v>92.5</v>
      </c>
      <c r="N1240" s="1">
        <v>97.5</v>
      </c>
      <c r="O1240" s="4" t="e">
        <f t="array" aca="1" ref="O1240">MAX(L1240:N1240*(1-strike(L1240:N1240)))</f>
        <v>#NAME?</v>
      </c>
      <c r="P1240" s="3">
        <v>150</v>
      </c>
      <c r="Q1240" s="3">
        <v>157.5</v>
      </c>
      <c r="R1240" s="1">
        <v>162.5</v>
      </c>
      <c r="S1240" s="4" t="e">
        <f t="array" aca="1" ref="S1240">MAX(P1240:R1240*(1-strike(P1240:R1240)))</f>
        <v>#NAME?</v>
      </c>
      <c r="T1240" s="4" t="e">
        <f t="shared" si="19"/>
        <v>#NAME?</v>
      </c>
      <c r="U1240" s="3" t="s">
        <v>40</v>
      </c>
      <c r="V1240" s="3" t="s">
        <v>37</v>
      </c>
      <c r="W1240" s="3" t="s">
        <v>37</v>
      </c>
      <c r="X1240" s="5">
        <v>2013</v>
      </c>
      <c r="Y1240" s="5" t="s">
        <v>852</v>
      </c>
      <c r="Z1240" s="5" t="s">
        <v>171</v>
      </c>
      <c r="AA1240" s="5">
        <v>937</v>
      </c>
    </row>
    <row r="1241" spans="1:27">
      <c r="A1241" s="4" t="s">
        <v>37</v>
      </c>
      <c r="B1241" s="4" t="s">
        <v>258</v>
      </c>
      <c r="C1241" s="4">
        <v>1978</v>
      </c>
      <c r="D1241" s="4" t="s">
        <v>951</v>
      </c>
      <c r="E1241" s="4">
        <v>46.1</v>
      </c>
      <c r="F1241" s="7">
        <v>13636</v>
      </c>
      <c r="G1241" s="4">
        <v>1</v>
      </c>
      <c r="H1241" s="4">
        <v>145</v>
      </c>
      <c r="I1241" s="6">
        <v>155</v>
      </c>
      <c r="J1241" s="6">
        <v>155</v>
      </c>
      <c r="K1241" s="4" t="e">
        <f t="array" aca="1" ref="K1241">MAX(H1241:J1241*(1-strike(H1241:J1241)))</f>
        <v>#NAME?</v>
      </c>
      <c r="L1241" s="4">
        <v>87.5</v>
      </c>
      <c r="M1241" s="4">
        <v>95</v>
      </c>
      <c r="N1241" s="6">
        <v>97.5</v>
      </c>
      <c r="O1241" s="4" t="e">
        <f t="array" aca="1" ref="O1241">MAX(L1241:N1241*(1-strike(L1241:N1241)))</f>
        <v>#NAME?</v>
      </c>
      <c r="P1241" s="6">
        <v>130</v>
      </c>
      <c r="Q1241" s="4"/>
      <c r="R1241" s="4"/>
      <c r="S1241" s="4" t="e">
        <f t="array" aca="1" ref="S1241">MAX(P1241:R1241*(1-strike(P1241:R1241)))</f>
        <v>#NAME?</v>
      </c>
      <c r="T1241" s="4" t="e">
        <f t="shared" si="19"/>
        <v>#NAME?</v>
      </c>
      <c r="U1241" s="4" t="s">
        <v>187</v>
      </c>
      <c r="V1241" s="4" t="s">
        <v>37</v>
      </c>
      <c r="W1241" s="4" t="s">
        <v>37</v>
      </c>
      <c r="X1241" s="5">
        <v>2014</v>
      </c>
      <c r="Y1241" s="5" t="s">
        <v>852</v>
      </c>
      <c r="Z1241" s="5" t="s">
        <v>171</v>
      </c>
      <c r="AA1241" s="5">
        <v>574</v>
      </c>
    </row>
    <row r="1242" spans="1:27">
      <c r="A1242" s="3">
        <v>4</v>
      </c>
      <c r="B1242" s="3" t="s">
        <v>952</v>
      </c>
      <c r="C1242" s="3">
        <v>1981</v>
      </c>
      <c r="D1242" s="3" t="s">
        <v>137</v>
      </c>
      <c r="E1242" s="3">
        <v>46.1</v>
      </c>
      <c r="F1242" s="2">
        <v>13636</v>
      </c>
      <c r="G1242" s="3">
        <v>7</v>
      </c>
      <c r="H1242" s="3">
        <v>105</v>
      </c>
      <c r="I1242" s="3">
        <v>110</v>
      </c>
      <c r="J1242" s="3">
        <v>115</v>
      </c>
      <c r="K1242" s="4" t="e">
        <f t="array" aca="1" ref="K1242">MAX(H1242:J1242*(1-strike(H1242:J1242)))</f>
        <v>#NAME?</v>
      </c>
      <c r="L1242" s="3">
        <v>65</v>
      </c>
      <c r="M1242" s="3">
        <v>70</v>
      </c>
      <c r="N1242" s="1">
        <v>72.5</v>
      </c>
      <c r="O1242" s="4" t="e">
        <f t="array" aca="1" ref="O1242">MAX(L1242:N1242*(1-strike(L1242:N1242)))</f>
        <v>#NAME?</v>
      </c>
      <c r="P1242" s="3">
        <v>120</v>
      </c>
      <c r="Q1242" s="3">
        <v>127.5</v>
      </c>
      <c r="R1242" s="3">
        <v>135</v>
      </c>
      <c r="S1242" s="4" t="e">
        <f t="array" aca="1" ref="S1242">MAX(P1242:R1242*(1-strike(P1242:R1242)))</f>
        <v>#NAME?</v>
      </c>
      <c r="T1242" s="4" t="e">
        <f t="shared" si="19"/>
        <v>#NAME?</v>
      </c>
      <c r="U1242" s="3">
        <v>320</v>
      </c>
      <c r="V1242" s="3">
        <v>436.35</v>
      </c>
      <c r="W1242" s="3">
        <v>7</v>
      </c>
      <c r="X1242" s="5">
        <v>2014</v>
      </c>
      <c r="Y1242" s="5" t="s">
        <v>852</v>
      </c>
      <c r="Z1242" s="5" t="s">
        <v>30</v>
      </c>
      <c r="AA1242" s="5">
        <v>750</v>
      </c>
    </row>
    <row r="1243" spans="1:27">
      <c r="A1243" s="3">
        <v>11</v>
      </c>
      <c r="B1243" s="3" t="s">
        <v>953</v>
      </c>
      <c r="C1243" s="3">
        <v>1979</v>
      </c>
      <c r="D1243" s="3" t="s">
        <v>113</v>
      </c>
      <c r="E1243" s="3">
        <v>70.88</v>
      </c>
      <c r="F1243" s="3">
        <v>0.98640000000000005</v>
      </c>
      <c r="G1243" s="3">
        <v>11</v>
      </c>
      <c r="H1243" s="3">
        <v>180</v>
      </c>
      <c r="I1243" s="3">
        <v>195</v>
      </c>
      <c r="J1243" s="3">
        <v>207.5</v>
      </c>
      <c r="K1243" s="4" t="e">
        <f t="array" aca="1" ref="K1243">MAX(H1243:J1243*(1-strike(H1243:J1243)))</f>
        <v>#NAME?</v>
      </c>
      <c r="L1243" s="3">
        <v>115</v>
      </c>
      <c r="M1243" s="3">
        <v>120</v>
      </c>
      <c r="N1243" s="1">
        <v>127.5</v>
      </c>
      <c r="O1243" s="4" t="e">
        <f t="array" aca="1" ref="O1243">MAX(L1243:N1243*(1-strike(L1243:N1243)))</f>
        <v>#NAME?</v>
      </c>
      <c r="P1243" s="3">
        <v>165</v>
      </c>
      <c r="Q1243" s="3">
        <v>175</v>
      </c>
      <c r="R1243" s="3">
        <v>187.5</v>
      </c>
      <c r="S1243" s="4" t="e">
        <f t="array" aca="1" ref="S1243">MAX(P1243:R1243*(1-strike(P1243:R1243)))</f>
        <v>#NAME?</v>
      </c>
      <c r="T1243" s="4" t="e">
        <f t="shared" si="19"/>
        <v>#NAME?</v>
      </c>
      <c r="U1243" s="3">
        <v>515</v>
      </c>
      <c r="V1243" s="3">
        <v>507.98</v>
      </c>
      <c r="W1243" s="3">
        <v>1</v>
      </c>
      <c r="X1243" s="5">
        <v>2012</v>
      </c>
      <c r="Y1243" s="5" t="s">
        <v>852</v>
      </c>
      <c r="Z1243" s="5" t="s">
        <v>171</v>
      </c>
      <c r="AA1243" s="5">
        <v>1396</v>
      </c>
    </row>
    <row r="1244" spans="1:27">
      <c r="A1244" s="4">
        <v>4</v>
      </c>
      <c r="B1244" s="4" t="s">
        <v>953</v>
      </c>
      <c r="C1244" s="4">
        <v>1979</v>
      </c>
      <c r="D1244" s="4" t="s">
        <v>878</v>
      </c>
      <c r="E1244" s="4">
        <v>70.58</v>
      </c>
      <c r="F1244" s="4">
        <v>0.98899999999999999</v>
      </c>
      <c r="G1244" s="4">
        <v>11</v>
      </c>
      <c r="H1244" s="4">
        <v>192.5</v>
      </c>
      <c r="I1244" s="6">
        <v>202.5</v>
      </c>
      <c r="J1244" s="4">
        <v>212.5</v>
      </c>
      <c r="K1244" s="4" t="e">
        <f t="array" aca="1" ref="K1244">MAX(H1244:J1244*(1-strike(H1244:J1244)))</f>
        <v>#NAME?</v>
      </c>
      <c r="L1244" s="4">
        <v>120</v>
      </c>
      <c r="M1244" s="4">
        <v>125</v>
      </c>
      <c r="N1244" s="6">
        <v>132.5</v>
      </c>
      <c r="O1244" s="4" t="e">
        <f t="array" aca="1" ref="O1244">MAX(L1244:N1244*(1-strike(L1244:N1244)))</f>
        <v>#NAME?</v>
      </c>
      <c r="P1244" s="4">
        <v>177.5</v>
      </c>
      <c r="Q1244" s="4">
        <v>190</v>
      </c>
      <c r="R1244" s="6">
        <v>200</v>
      </c>
      <c r="S1244" s="4" t="e">
        <f t="array" aca="1" ref="S1244">MAX(P1244:R1244*(1-strike(P1244:R1244)))</f>
        <v>#NAME?</v>
      </c>
      <c r="T1244" s="4" t="e">
        <f t="shared" si="19"/>
        <v>#NAME?</v>
      </c>
      <c r="U1244" s="4">
        <v>527.5</v>
      </c>
      <c r="V1244" s="4">
        <v>521.69000000000005</v>
      </c>
      <c r="W1244" s="4">
        <v>7</v>
      </c>
      <c r="X1244" s="5">
        <v>2014</v>
      </c>
      <c r="Y1244" s="5" t="s">
        <v>852</v>
      </c>
      <c r="Z1244" s="5" t="s">
        <v>171</v>
      </c>
      <c r="AA1244" s="5">
        <v>617</v>
      </c>
    </row>
    <row r="1245" spans="1:27" ht="15" customHeight="1">
      <c r="A1245" s="3">
        <v>5</v>
      </c>
      <c r="B1245" s="3" t="s">
        <v>954</v>
      </c>
      <c r="C1245" s="3">
        <v>1978</v>
      </c>
      <c r="D1245" s="3" t="s">
        <v>137</v>
      </c>
      <c r="E1245" s="3">
        <v>46.03</v>
      </c>
      <c r="F1245" s="2">
        <v>13651</v>
      </c>
      <c r="G1245" s="3">
        <v>5</v>
      </c>
      <c r="H1245" s="3">
        <v>145</v>
      </c>
      <c r="I1245" s="3">
        <v>155</v>
      </c>
      <c r="J1245" s="1">
        <v>162.5</v>
      </c>
      <c r="K1245" s="4" t="e">
        <f t="array" aca="1" ref="K1245">MAX(H1245:J1245*(1-strike(H1245:J1245)))</f>
        <v>#NAME?</v>
      </c>
      <c r="L1245" s="3">
        <v>85</v>
      </c>
      <c r="M1245" s="3">
        <v>90</v>
      </c>
      <c r="N1245" s="3">
        <v>92.5</v>
      </c>
      <c r="O1245" s="4" t="e">
        <f t="array" aca="1" ref="O1245">MAX(L1245:N1245*(1-strike(L1245:N1245)))</f>
        <v>#NAME?</v>
      </c>
      <c r="P1245" s="3">
        <v>145</v>
      </c>
      <c r="Q1245" s="3">
        <v>152.5</v>
      </c>
      <c r="R1245" s="3">
        <v>157.5</v>
      </c>
      <c r="S1245" s="4" t="e">
        <f t="array" aca="1" ref="S1245">MAX(P1245:R1245*(1-strike(P1245:R1245)))</f>
        <v>#NAME?</v>
      </c>
      <c r="T1245" s="4" t="e">
        <f t="shared" si="19"/>
        <v>#NAME?</v>
      </c>
      <c r="U1245" s="3">
        <v>405</v>
      </c>
      <c r="V1245" s="3">
        <v>552.85</v>
      </c>
      <c r="W1245" s="3">
        <v>6</v>
      </c>
      <c r="X1245" s="5">
        <v>2012</v>
      </c>
      <c r="Y1245" s="5" t="s">
        <v>852</v>
      </c>
      <c r="Z1245" s="5" t="s">
        <v>171</v>
      </c>
      <c r="AA1245" s="5">
        <v>1339</v>
      </c>
    </row>
    <row r="1246" spans="1:27">
      <c r="A1246" s="3">
        <v>4</v>
      </c>
      <c r="B1246" s="3" t="s">
        <v>955</v>
      </c>
      <c r="C1246" s="3">
        <v>1986</v>
      </c>
      <c r="D1246" s="3" t="s">
        <v>35</v>
      </c>
      <c r="E1246" s="3">
        <v>50.45</v>
      </c>
      <c r="F1246" s="2">
        <v>12759</v>
      </c>
      <c r="G1246" s="3">
        <v>12</v>
      </c>
      <c r="H1246" s="3">
        <v>115</v>
      </c>
      <c r="I1246" s="3">
        <v>122.5</v>
      </c>
      <c r="J1246" s="1">
        <v>130</v>
      </c>
      <c r="K1246" s="4" t="e">
        <f t="array" aca="1" ref="K1246">MAX(H1246:J1246*(1-strike(H1246:J1246)))</f>
        <v>#NAME?</v>
      </c>
      <c r="L1246" s="3">
        <v>60</v>
      </c>
      <c r="M1246" s="3">
        <v>65</v>
      </c>
      <c r="N1246" s="1">
        <v>70</v>
      </c>
      <c r="O1246" s="4" t="e">
        <f t="array" aca="1" ref="O1246">MAX(L1246:N1246*(1-strike(L1246:N1246)))</f>
        <v>#NAME?</v>
      </c>
      <c r="P1246" s="3">
        <v>150</v>
      </c>
      <c r="Q1246" s="3">
        <v>157.5</v>
      </c>
      <c r="R1246" s="1">
        <v>165</v>
      </c>
      <c r="S1246" s="4" t="e">
        <f t="array" aca="1" ref="S1246">MAX(P1246:R1246*(1-strike(P1246:R1246)))</f>
        <v>#NAME?</v>
      </c>
      <c r="T1246" s="4" t="e">
        <f t="shared" si="19"/>
        <v>#NAME?</v>
      </c>
      <c r="U1246" s="3">
        <v>345</v>
      </c>
      <c r="V1246" s="3">
        <v>440.2</v>
      </c>
      <c r="W1246" s="3">
        <v>7</v>
      </c>
      <c r="X1246" s="5">
        <v>2012</v>
      </c>
      <c r="Y1246" s="5" t="s">
        <v>852</v>
      </c>
      <c r="Z1246" s="5" t="s">
        <v>30</v>
      </c>
      <c r="AA1246" s="5">
        <v>1553</v>
      </c>
    </row>
    <row r="1247" spans="1:27">
      <c r="A1247" s="3">
        <v>9</v>
      </c>
      <c r="B1247" s="3" t="s">
        <v>955</v>
      </c>
      <c r="C1247" s="3">
        <v>1986</v>
      </c>
      <c r="D1247" s="3" t="s">
        <v>35</v>
      </c>
      <c r="E1247" s="3">
        <v>50.79</v>
      </c>
      <c r="F1247" s="2">
        <v>12694</v>
      </c>
      <c r="G1247" s="3">
        <v>9</v>
      </c>
      <c r="H1247" s="3">
        <v>165</v>
      </c>
      <c r="I1247" s="3">
        <v>175</v>
      </c>
      <c r="J1247" s="3">
        <v>182.5</v>
      </c>
      <c r="K1247" s="4" t="e">
        <f t="array" aca="1" ref="K1247">MAX(H1247:J1247*(1-strike(H1247:J1247)))</f>
        <v>#NAME?</v>
      </c>
      <c r="L1247" s="3">
        <v>80</v>
      </c>
      <c r="M1247" s="1">
        <v>85</v>
      </c>
      <c r="N1247" s="1">
        <v>85</v>
      </c>
      <c r="O1247" s="4" t="e">
        <f t="array" aca="1" ref="O1247">MAX(L1247:N1247*(1-strike(L1247:N1247)))</f>
        <v>#NAME?</v>
      </c>
      <c r="P1247" s="3">
        <v>155</v>
      </c>
      <c r="Q1247" s="1">
        <v>165</v>
      </c>
      <c r="R1247" s="1">
        <v>167.5</v>
      </c>
      <c r="S1247" s="4" t="e">
        <f t="array" aca="1" ref="S1247">MAX(P1247:R1247*(1-strike(P1247:R1247)))</f>
        <v>#NAME?</v>
      </c>
      <c r="T1247" s="4" t="e">
        <f t="shared" si="19"/>
        <v>#NAME?</v>
      </c>
      <c r="U1247" s="3">
        <v>417.5</v>
      </c>
      <c r="V1247" s="3">
        <v>529.97</v>
      </c>
      <c r="W1247" s="3">
        <v>2</v>
      </c>
      <c r="X1247" s="5">
        <v>2012</v>
      </c>
      <c r="Y1247" s="5" t="s">
        <v>852</v>
      </c>
      <c r="Z1247" s="5" t="s">
        <v>171</v>
      </c>
      <c r="AA1247" s="5">
        <v>1350</v>
      </c>
    </row>
    <row r="1248" spans="1:27">
      <c r="A1248" s="3">
        <v>6</v>
      </c>
      <c r="B1248" s="3" t="s">
        <v>956</v>
      </c>
      <c r="C1248" s="3">
        <v>1977</v>
      </c>
      <c r="D1248" s="3" t="s">
        <v>51</v>
      </c>
      <c r="E1248" s="3">
        <v>56.75</v>
      </c>
      <c r="F1248" s="2">
        <v>11644</v>
      </c>
      <c r="G1248" s="3">
        <v>12</v>
      </c>
      <c r="H1248" s="3">
        <v>160</v>
      </c>
      <c r="I1248" s="3">
        <v>167.5</v>
      </c>
      <c r="J1248" s="3">
        <v>172.5</v>
      </c>
      <c r="K1248" s="4" t="e">
        <f t="array" aca="1" ref="K1248">MAX(H1248:J1248*(1-strike(H1248:J1248)))</f>
        <v>#NAME?</v>
      </c>
      <c r="L1248" s="3">
        <v>90</v>
      </c>
      <c r="M1248" s="1">
        <v>95</v>
      </c>
      <c r="N1248" s="3">
        <v>95</v>
      </c>
      <c r="O1248" s="4" t="e">
        <f t="array" aca="1" ref="O1248">MAX(L1248:N1248*(1-strike(L1248:N1248)))</f>
        <v>#NAME?</v>
      </c>
      <c r="P1248" s="3">
        <v>172.5</v>
      </c>
      <c r="Q1248" s="1">
        <v>182.5</v>
      </c>
      <c r="R1248" s="3">
        <v>182.5</v>
      </c>
      <c r="S1248" s="4" t="e">
        <f t="array" aca="1" ref="S1248">MAX(P1248:R1248*(1-strike(P1248:R1248)))</f>
        <v>#NAME?</v>
      </c>
      <c r="T1248" s="4" t="e">
        <f t="shared" si="19"/>
        <v>#NAME?</v>
      </c>
      <c r="U1248" s="3">
        <v>450</v>
      </c>
      <c r="V1248" s="3">
        <v>523.98</v>
      </c>
      <c r="W1248" s="3">
        <v>5</v>
      </c>
      <c r="X1248" s="5">
        <v>2013</v>
      </c>
      <c r="Y1248" s="5" t="s">
        <v>852</v>
      </c>
      <c r="Z1248" s="5" t="s">
        <v>171</v>
      </c>
      <c r="AA1248" s="5">
        <v>960</v>
      </c>
    </row>
    <row r="1249" spans="1:27">
      <c r="A1249" s="3">
        <v>7</v>
      </c>
      <c r="B1249" s="3" t="s">
        <v>956</v>
      </c>
      <c r="C1249" s="3">
        <v>1977</v>
      </c>
      <c r="D1249" s="3" t="s">
        <v>51</v>
      </c>
      <c r="E1249" s="3">
        <v>55.85</v>
      </c>
      <c r="F1249" s="2">
        <v>11791</v>
      </c>
      <c r="G1249" s="3">
        <v>15</v>
      </c>
      <c r="H1249" s="3">
        <v>120</v>
      </c>
      <c r="I1249" s="3">
        <v>127.5</v>
      </c>
      <c r="J1249" s="1">
        <v>132.5</v>
      </c>
      <c r="K1249" s="4" t="e">
        <f t="array" aca="1" ref="K1249">MAX(H1249:J1249*(1-strike(H1249:J1249)))</f>
        <v>#NAME?</v>
      </c>
      <c r="L1249" s="3">
        <v>72.5</v>
      </c>
      <c r="M1249" s="3">
        <v>77.5</v>
      </c>
      <c r="N1249" s="3">
        <v>80</v>
      </c>
      <c r="O1249" s="4" t="e">
        <f t="array" aca="1" ref="O1249">MAX(L1249:N1249*(1-strike(L1249:N1249)))</f>
        <v>#NAME?</v>
      </c>
      <c r="P1249" s="3">
        <v>145</v>
      </c>
      <c r="Q1249" s="3">
        <v>155</v>
      </c>
      <c r="R1249" s="1">
        <v>165</v>
      </c>
      <c r="S1249" s="4" t="e">
        <f t="array" aca="1" ref="S1249">MAX(P1249:R1249*(1-strike(P1249:R1249)))</f>
        <v>#NAME?</v>
      </c>
      <c r="T1249" s="4" t="e">
        <f t="shared" si="19"/>
        <v>#NAME?</v>
      </c>
      <c r="U1249" s="3">
        <v>362.5</v>
      </c>
      <c r="V1249" s="3">
        <v>427.42</v>
      </c>
      <c r="W1249" s="3">
        <v>4</v>
      </c>
      <c r="X1249" s="5">
        <v>2014</v>
      </c>
      <c r="Y1249" s="5" t="s">
        <v>852</v>
      </c>
      <c r="Z1249" s="5" t="s">
        <v>30</v>
      </c>
      <c r="AA1249" s="5">
        <v>769</v>
      </c>
    </row>
    <row r="1250" spans="1:27">
      <c r="A1250" s="4">
        <v>4</v>
      </c>
      <c r="B1250" s="4" t="s">
        <v>956</v>
      </c>
      <c r="C1250" s="4">
        <v>1977</v>
      </c>
      <c r="D1250" s="4" t="s">
        <v>905</v>
      </c>
      <c r="E1250" s="4">
        <v>56.56</v>
      </c>
      <c r="F1250" s="7">
        <v>11668</v>
      </c>
      <c r="G1250" s="4">
        <v>12</v>
      </c>
      <c r="H1250" s="4">
        <v>160</v>
      </c>
      <c r="I1250" s="4">
        <v>167.5</v>
      </c>
      <c r="J1250" s="4"/>
      <c r="K1250" s="4" t="e">
        <f t="array" aca="1" ref="K1250">MAX(H1250:J1250*(1-strike(H1250:J1250)))</f>
        <v>#NAME?</v>
      </c>
      <c r="L1250" s="4">
        <v>90</v>
      </c>
      <c r="M1250" s="4">
        <v>95</v>
      </c>
      <c r="N1250" s="6">
        <v>97.5</v>
      </c>
      <c r="O1250" s="4" t="e">
        <f t="array" aca="1" ref="O1250">MAX(L1250:N1250*(1-strike(L1250:N1250)))</f>
        <v>#NAME?</v>
      </c>
      <c r="P1250" s="4">
        <v>170</v>
      </c>
      <c r="Q1250" s="4">
        <v>180</v>
      </c>
      <c r="R1250" s="4">
        <v>187.5</v>
      </c>
      <c r="S1250" s="4" t="e">
        <f t="array" aca="1" ref="S1250">MAX(P1250:R1250*(1-strike(P1250:R1250)))</f>
        <v>#NAME?</v>
      </c>
      <c r="T1250" s="4" t="e">
        <f t="shared" si="19"/>
        <v>#NAME?</v>
      </c>
      <c r="U1250" s="4">
        <v>450</v>
      </c>
      <c r="V1250" s="4">
        <v>525.05999999999995</v>
      </c>
      <c r="W1250" s="4">
        <v>7</v>
      </c>
      <c r="X1250" s="5">
        <v>2014</v>
      </c>
      <c r="Y1250" s="5" t="s">
        <v>852</v>
      </c>
      <c r="Z1250" s="5" t="s">
        <v>171</v>
      </c>
      <c r="AA1250" s="5">
        <v>593</v>
      </c>
    </row>
    <row r="1251" spans="1:27">
      <c r="A1251" s="3">
        <v>8</v>
      </c>
      <c r="B1251" s="3" t="s">
        <v>957</v>
      </c>
      <c r="C1251" s="3">
        <v>1973</v>
      </c>
      <c r="D1251" s="3" t="s">
        <v>80</v>
      </c>
      <c r="E1251" s="3">
        <v>56.2</v>
      </c>
      <c r="F1251" s="2">
        <v>11733</v>
      </c>
      <c r="G1251" s="3">
        <v>13</v>
      </c>
      <c r="H1251" s="3">
        <v>162.5</v>
      </c>
      <c r="I1251" s="3">
        <v>170</v>
      </c>
      <c r="J1251" s="1">
        <v>175</v>
      </c>
      <c r="K1251" s="4" t="e">
        <f t="array" aca="1" ref="K1251">MAX(H1251:J1251*(1-strike(H1251:J1251)))</f>
        <v>#NAME?</v>
      </c>
      <c r="L1251" s="3">
        <v>97.5</v>
      </c>
      <c r="M1251" s="3">
        <v>100</v>
      </c>
      <c r="N1251" s="3">
        <v>102.5</v>
      </c>
      <c r="O1251" s="4" t="e">
        <f t="array" aca="1" ref="O1251">MAX(L1251:N1251*(1-strike(L1251:N1251)))</f>
        <v>#NAME?</v>
      </c>
      <c r="P1251" s="3">
        <v>165</v>
      </c>
      <c r="Q1251" s="3">
        <v>170</v>
      </c>
      <c r="R1251" s="1">
        <v>177.5</v>
      </c>
      <c r="S1251" s="4" t="e">
        <f t="array" aca="1" ref="S1251">MAX(P1251:R1251*(1-strike(P1251:R1251)))</f>
        <v>#NAME?</v>
      </c>
      <c r="T1251" s="4" t="e">
        <f t="shared" si="19"/>
        <v>#NAME?</v>
      </c>
      <c r="U1251" s="3">
        <v>442.5</v>
      </c>
      <c r="V1251" s="3">
        <v>519.17999999999995</v>
      </c>
      <c r="W1251" s="3">
        <v>3</v>
      </c>
      <c r="X1251" s="5">
        <v>2012</v>
      </c>
      <c r="Y1251" s="5" t="s">
        <v>852</v>
      </c>
      <c r="Z1251" s="5" t="s">
        <v>171</v>
      </c>
      <c r="AA1251" s="5">
        <v>1364</v>
      </c>
    </row>
    <row r="1252" spans="1:27">
      <c r="A1252" s="3">
        <v>3</v>
      </c>
      <c r="B1252" s="3" t="s">
        <v>957</v>
      </c>
      <c r="C1252" s="3">
        <v>1973</v>
      </c>
      <c r="D1252" s="3" t="s">
        <v>80</v>
      </c>
      <c r="E1252" s="3">
        <v>56.55</v>
      </c>
      <c r="F1252" s="2">
        <v>11676</v>
      </c>
      <c r="G1252" s="3">
        <v>1</v>
      </c>
      <c r="H1252" s="3">
        <v>107.5</v>
      </c>
      <c r="I1252" s="3">
        <v>110</v>
      </c>
      <c r="J1252" s="3">
        <v>112.5</v>
      </c>
      <c r="K1252" s="4" t="e">
        <f t="array" aca="1" ref="K1252">MAX(H1252:J1252*(1-strike(H1252:J1252)))</f>
        <v>#NAME?</v>
      </c>
      <c r="L1252" s="3">
        <v>80</v>
      </c>
      <c r="M1252" s="1">
        <v>85</v>
      </c>
      <c r="N1252" s="3">
        <v>85</v>
      </c>
      <c r="O1252" s="4" t="e">
        <f t="array" aca="1" ref="O1252">MAX(L1252:N1252*(1-strike(L1252:N1252)))</f>
        <v>#NAME?</v>
      </c>
      <c r="P1252" s="3">
        <v>147.5</v>
      </c>
      <c r="Q1252" s="3">
        <v>152.5</v>
      </c>
      <c r="R1252" s="3">
        <v>157.5</v>
      </c>
      <c r="S1252" s="4" t="e">
        <f t="array" aca="1" ref="S1252">MAX(P1252:R1252*(1-strike(P1252:R1252)))</f>
        <v>#NAME?</v>
      </c>
      <c r="T1252" s="4" t="e">
        <f t="shared" si="19"/>
        <v>#NAME?</v>
      </c>
      <c r="U1252" s="3">
        <v>355</v>
      </c>
      <c r="V1252" s="3">
        <v>414.5</v>
      </c>
      <c r="W1252" s="3">
        <v>8</v>
      </c>
      <c r="X1252" s="5">
        <v>2013</v>
      </c>
      <c r="Y1252" s="5" t="s">
        <v>852</v>
      </c>
      <c r="Z1252" s="5" t="s">
        <v>30</v>
      </c>
      <c r="AA1252" s="5">
        <v>1146</v>
      </c>
    </row>
    <row r="1253" spans="1:27">
      <c r="A1253" s="3">
        <v>12</v>
      </c>
      <c r="B1253" s="3" t="s">
        <v>958</v>
      </c>
      <c r="C1253" s="3">
        <v>1994</v>
      </c>
      <c r="D1253" s="3" t="s">
        <v>359</v>
      </c>
      <c r="E1253" s="3">
        <v>66.48</v>
      </c>
      <c r="F1253" s="2">
        <v>10319</v>
      </c>
      <c r="G1253" s="3">
        <v>13</v>
      </c>
      <c r="H1253" s="3">
        <v>150</v>
      </c>
      <c r="I1253" s="3">
        <v>170</v>
      </c>
      <c r="J1253" s="3">
        <v>180</v>
      </c>
      <c r="K1253" s="4" t="e">
        <f t="array" aca="1" ref="K1253">MAX(H1253:J1253*(1-strike(H1253:J1253)))</f>
        <v>#NAME?</v>
      </c>
      <c r="L1253" s="1">
        <v>85</v>
      </c>
      <c r="M1253" s="3">
        <v>85</v>
      </c>
      <c r="N1253" s="3">
        <v>92.5</v>
      </c>
      <c r="O1253" s="4" t="e">
        <f t="array" aca="1" ref="O1253">MAX(L1253:N1253*(1-strike(L1253:N1253)))</f>
        <v>#NAME?</v>
      </c>
      <c r="P1253" s="1">
        <v>130</v>
      </c>
      <c r="Q1253" s="1">
        <v>140</v>
      </c>
      <c r="R1253" s="3">
        <v>140</v>
      </c>
      <c r="S1253" s="4" t="e">
        <f t="array" aca="1" ref="S1253">MAX(P1253:R1253*(1-strike(P1253:R1253)))</f>
        <v>#NAME?</v>
      </c>
      <c r="T1253" s="4" t="e">
        <f t="shared" si="19"/>
        <v>#NAME?</v>
      </c>
      <c r="U1253" s="3">
        <v>412.5</v>
      </c>
      <c r="V1253" s="3">
        <v>425.66</v>
      </c>
      <c r="W1253" s="3">
        <v>1</v>
      </c>
      <c r="X1253" s="5">
        <v>2013</v>
      </c>
      <c r="Y1253" s="5" t="s">
        <v>852</v>
      </c>
      <c r="Z1253" s="5" t="s">
        <v>171</v>
      </c>
      <c r="AA1253" s="5">
        <v>993</v>
      </c>
    </row>
    <row r="1254" spans="1:27">
      <c r="A1254" s="3">
        <v>1</v>
      </c>
      <c r="B1254" s="3" t="s">
        <v>259</v>
      </c>
      <c r="C1254" s="3">
        <v>1990</v>
      </c>
      <c r="D1254" s="3" t="s">
        <v>35</v>
      </c>
      <c r="E1254" s="3">
        <v>50.55</v>
      </c>
      <c r="F1254" s="2">
        <v>12740</v>
      </c>
      <c r="G1254" s="3">
        <v>11</v>
      </c>
      <c r="H1254" s="3">
        <v>125</v>
      </c>
      <c r="I1254" s="3">
        <v>132.5</v>
      </c>
      <c r="J1254" s="3">
        <v>140</v>
      </c>
      <c r="K1254" s="4" t="e">
        <f t="array" aca="1" ref="K1254">MAX(H1254:J1254*(1-strike(H1254:J1254)))</f>
        <v>#NAME?</v>
      </c>
      <c r="L1254" s="3">
        <v>75</v>
      </c>
      <c r="M1254" s="3">
        <v>80</v>
      </c>
      <c r="N1254" s="3">
        <v>82.5</v>
      </c>
      <c r="O1254" s="4" t="e">
        <f t="array" aca="1" ref="O1254">MAX(L1254:N1254*(1-strike(L1254:N1254)))</f>
        <v>#NAME?</v>
      </c>
      <c r="P1254" s="3">
        <v>150</v>
      </c>
      <c r="Q1254" s="3">
        <v>157.5</v>
      </c>
      <c r="R1254" s="3">
        <v>162.5</v>
      </c>
      <c r="S1254" s="4" t="e">
        <f t="array" aca="1" ref="S1254">MAX(P1254:R1254*(1-strike(P1254:R1254)))</f>
        <v>#NAME?</v>
      </c>
      <c r="T1254" s="4" t="e">
        <f t="shared" si="19"/>
        <v>#NAME?</v>
      </c>
      <c r="U1254" s="3">
        <v>385</v>
      </c>
      <c r="V1254" s="3">
        <v>490.49</v>
      </c>
      <c r="W1254" s="3">
        <v>12</v>
      </c>
      <c r="X1254" s="5">
        <v>2014</v>
      </c>
      <c r="Y1254" s="5" t="s">
        <v>852</v>
      </c>
      <c r="Z1254" s="5" t="s">
        <v>30</v>
      </c>
      <c r="AA1254" s="5">
        <v>755</v>
      </c>
    </row>
    <row r="1255" spans="1:27">
      <c r="A1255" s="3">
        <v>4</v>
      </c>
      <c r="B1255" s="3" t="s">
        <v>959</v>
      </c>
      <c r="C1255" s="3">
        <v>1978</v>
      </c>
      <c r="D1255" s="3" t="s">
        <v>289</v>
      </c>
      <c r="E1255" s="3">
        <v>115.2</v>
      </c>
      <c r="F1255" s="3">
        <v>0.80559999999999998</v>
      </c>
      <c r="G1255" s="3">
        <v>3</v>
      </c>
      <c r="H1255" s="3">
        <v>122.5</v>
      </c>
      <c r="I1255" s="3">
        <v>127.5</v>
      </c>
      <c r="J1255" s="3">
        <v>132.5</v>
      </c>
      <c r="K1255" s="4" t="e">
        <f t="array" aca="1" ref="K1255">MAX(H1255:J1255*(1-strike(H1255:J1255)))</f>
        <v>#NAME?</v>
      </c>
      <c r="L1255" s="3">
        <v>110</v>
      </c>
      <c r="M1255" s="3">
        <v>112.5</v>
      </c>
      <c r="N1255" s="1">
        <v>117.5</v>
      </c>
      <c r="O1255" s="4" t="e">
        <f t="array" aca="1" ref="O1255">MAX(L1255:N1255*(1-strike(L1255:N1255)))</f>
        <v>#NAME?</v>
      </c>
      <c r="P1255" s="3">
        <v>150</v>
      </c>
      <c r="Q1255" s="1">
        <v>160</v>
      </c>
      <c r="R1255" s="3">
        <v>160</v>
      </c>
      <c r="S1255" s="4" t="e">
        <f t="array" aca="1" ref="S1255">MAX(P1255:R1255*(1-strike(P1255:R1255)))</f>
        <v>#NAME?</v>
      </c>
      <c r="T1255" s="4" t="e">
        <f t="shared" si="19"/>
        <v>#NAME?</v>
      </c>
      <c r="U1255" s="3">
        <v>405</v>
      </c>
      <c r="V1255" s="3">
        <v>326.26</v>
      </c>
      <c r="W1255" s="3">
        <v>7</v>
      </c>
      <c r="X1255" s="5">
        <v>2012</v>
      </c>
      <c r="Y1255" s="5" t="s">
        <v>852</v>
      </c>
      <c r="Z1255" s="5" t="s">
        <v>30</v>
      </c>
      <c r="AA1255" s="5">
        <v>1605</v>
      </c>
    </row>
    <row r="1256" spans="1:27">
      <c r="A1256" s="3">
        <v>5</v>
      </c>
      <c r="B1256" s="3" t="s">
        <v>261</v>
      </c>
      <c r="C1256" s="3">
        <v>1977</v>
      </c>
      <c r="D1256" s="3" t="s">
        <v>62</v>
      </c>
      <c r="E1256" s="3">
        <v>56.68</v>
      </c>
      <c r="F1256" s="2">
        <v>11655</v>
      </c>
      <c r="G1256" s="3">
        <v>10</v>
      </c>
      <c r="H1256" s="3">
        <v>165</v>
      </c>
      <c r="I1256" s="3">
        <v>170</v>
      </c>
      <c r="J1256" s="1">
        <v>172.5</v>
      </c>
      <c r="K1256" s="4" t="e">
        <f t="array" aca="1" ref="K1256">MAX(H1256:J1256*(1-strike(H1256:J1256)))</f>
        <v>#NAME?</v>
      </c>
      <c r="L1256" s="3">
        <v>102.5</v>
      </c>
      <c r="M1256" s="3">
        <v>107.5</v>
      </c>
      <c r="N1256" s="3">
        <v>112.5</v>
      </c>
      <c r="O1256" s="4" t="e">
        <f t="array" aca="1" ref="O1256">MAX(L1256:N1256*(1-strike(L1256:N1256)))</f>
        <v>#NAME?</v>
      </c>
      <c r="P1256" s="3">
        <v>175</v>
      </c>
      <c r="Q1256" s="3">
        <v>185</v>
      </c>
      <c r="R1256" s="1">
        <v>195</v>
      </c>
      <c r="S1256" s="4" t="e">
        <f t="array" aca="1" ref="S1256">MAX(P1256:R1256*(1-strike(P1256:R1256)))</f>
        <v>#NAME?</v>
      </c>
      <c r="T1256" s="4" t="e">
        <f t="shared" si="19"/>
        <v>#NAME?</v>
      </c>
      <c r="U1256" s="3">
        <v>467.5</v>
      </c>
      <c r="V1256" s="3">
        <v>544.87</v>
      </c>
      <c r="W1256" s="3">
        <v>6</v>
      </c>
      <c r="X1256" s="5">
        <v>2013</v>
      </c>
      <c r="Y1256" s="5" t="s">
        <v>852</v>
      </c>
      <c r="Z1256" s="5" t="s">
        <v>171</v>
      </c>
      <c r="AA1256" s="5">
        <v>959</v>
      </c>
    </row>
    <row r="1257" spans="1:27">
      <c r="A1257" s="4" t="s">
        <v>37</v>
      </c>
      <c r="B1257" s="4" t="s">
        <v>261</v>
      </c>
      <c r="C1257" s="4">
        <v>1977</v>
      </c>
      <c r="D1257" s="4" t="s">
        <v>876</v>
      </c>
      <c r="E1257" s="4">
        <v>56.56</v>
      </c>
      <c r="F1257" s="7">
        <v>11668</v>
      </c>
      <c r="G1257" s="4">
        <v>4</v>
      </c>
      <c r="H1257" s="4">
        <v>165</v>
      </c>
      <c r="I1257" s="6">
        <v>170</v>
      </c>
      <c r="J1257" s="4">
        <v>170</v>
      </c>
      <c r="K1257" s="4" t="e">
        <f t="array" aca="1" ref="K1257">MAX(H1257:J1257*(1-strike(H1257:J1257)))</f>
        <v>#NAME?</v>
      </c>
      <c r="L1257" s="6">
        <v>112.5</v>
      </c>
      <c r="M1257" s="6">
        <v>112.5</v>
      </c>
      <c r="N1257" s="6">
        <v>112.5</v>
      </c>
      <c r="O1257" s="4" t="e">
        <f t="array" aca="1" ref="O1257">MAX(L1257:N1257*(1-strike(L1257:N1257)))</f>
        <v>#NAME?</v>
      </c>
      <c r="P1257" s="4">
        <v>180</v>
      </c>
      <c r="Q1257" s="4">
        <v>192.5</v>
      </c>
      <c r="R1257" s="6">
        <v>197.5</v>
      </c>
      <c r="S1257" s="4" t="e">
        <f t="array" aca="1" ref="S1257">MAX(P1257:R1257*(1-strike(P1257:R1257)))</f>
        <v>#NAME?</v>
      </c>
      <c r="T1257" s="4" t="e">
        <f t="shared" si="19"/>
        <v>#NAME?</v>
      </c>
      <c r="U1257" s="4" t="s">
        <v>187</v>
      </c>
      <c r="V1257" s="4" t="s">
        <v>37</v>
      </c>
      <c r="W1257" s="4" t="s">
        <v>37</v>
      </c>
      <c r="X1257" s="5">
        <v>2014</v>
      </c>
      <c r="Y1257" s="5" t="s">
        <v>852</v>
      </c>
      <c r="Z1257" s="5" t="s">
        <v>171</v>
      </c>
      <c r="AA1257" s="5">
        <v>601</v>
      </c>
    </row>
    <row r="1258" spans="1:27">
      <c r="A1258" s="4">
        <v>2</v>
      </c>
      <c r="B1258" s="4" t="s">
        <v>262</v>
      </c>
      <c r="C1258" s="4">
        <v>1988</v>
      </c>
      <c r="D1258" s="4" t="s">
        <v>876</v>
      </c>
      <c r="E1258" s="4">
        <v>129.94</v>
      </c>
      <c r="F1258" s="4">
        <v>0.78839999999999999</v>
      </c>
      <c r="G1258" s="4">
        <v>10</v>
      </c>
      <c r="H1258" s="4">
        <v>250</v>
      </c>
      <c r="I1258" s="4">
        <v>265</v>
      </c>
      <c r="J1258" s="4">
        <v>282.5</v>
      </c>
      <c r="K1258" s="4" t="e">
        <f t="array" aca="1" ref="K1258">MAX(H1258:J1258*(1-strike(H1258:J1258)))</f>
        <v>#NAME?</v>
      </c>
      <c r="L1258" s="4">
        <v>175</v>
      </c>
      <c r="M1258" s="4">
        <v>190</v>
      </c>
      <c r="N1258" s="6">
        <v>200</v>
      </c>
      <c r="O1258" s="4" t="e">
        <f t="array" aca="1" ref="O1258">MAX(L1258:N1258*(1-strike(L1258:N1258)))</f>
        <v>#NAME?</v>
      </c>
      <c r="P1258" s="4">
        <v>200</v>
      </c>
      <c r="Q1258" s="4">
        <v>217.5</v>
      </c>
      <c r="R1258" s="4">
        <v>222.5</v>
      </c>
      <c r="S1258" s="4" t="e">
        <f t="array" aca="1" ref="S1258">MAX(P1258:R1258*(1-strike(P1258:R1258)))</f>
        <v>#NAME?</v>
      </c>
      <c r="T1258" s="4" t="e">
        <f t="shared" si="19"/>
        <v>#NAME?</v>
      </c>
      <c r="U1258" s="4">
        <v>695</v>
      </c>
      <c r="V1258" s="4">
        <v>547.92999999999995</v>
      </c>
      <c r="W1258" s="4">
        <v>9</v>
      </c>
      <c r="X1258" s="5">
        <v>2014</v>
      </c>
      <c r="Y1258" s="5" t="s">
        <v>852</v>
      </c>
      <c r="Z1258" s="5" t="s">
        <v>171</v>
      </c>
      <c r="AA1258" s="5">
        <v>636</v>
      </c>
    </row>
    <row r="1259" spans="1:27">
      <c r="A1259" s="3">
        <v>12</v>
      </c>
      <c r="B1259" s="3" t="s">
        <v>960</v>
      </c>
      <c r="C1259" s="3">
        <v>1991</v>
      </c>
      <c r="D1259" s="3" t="s">
        <v>56</v>
      </c>
      <c r="E1259" s="3">
        <v>50.65</v>
      </c>
      <c r="F1259" s="2">
        <v>12720</v>
      </c>
      <c r="G1259" s="3">
        <v>13</v>
      </c>
      <c r="H1259" s="1">
        <v>72.5</v>
      </c>
      <c r="I1259" s="3">
        <v>72.5</v>
      </c>
      <c r="J1259" s="1">
        <v>77.5</v>
      </c>
      <c r="K1259" s="4" t="e">
        <f t="array" aca="1" ref="K1259">MAX(H1259:J1259*(1-strike(H1259:J1259)))</f>
        <v>#NAME?</v>
      </c>
      <c r="L1259" s="3">
        <v>45</v>
      </c>
      <c r="M1259" s="1">
        <v>50</v>
      </c>
      <c r="N1259" s="1">
        <v>50</v>
      </c>
      <c r="O1259" s="4" t="e">
        <f t="array" aca="1" ref="O1259">MAX(L1259:N1259*(1-strike(L1259:N1259)))</f>
        <v>#NAME?</v>
      </c>
      <c r="P1259" s="1">
        <v>85</v>
      </c>
      <c r="Q1259" s="3">
        <v>85</v>
      </c>
      <c r="R1259" s="3">
        <v>95</v>
      </c>
      <c r="S1259" s="4" t="e">
        <f t="array" aca="1" ref="S1259">MAX(P1259:R1259*(1-strike(P1259:R1259)))</f>
        <v>#NAME?</v>
      </c>
      <c r="T1259" s="4" t="e">
        <f t="shared" si="19"/>
        <v>#NAME?</v>
      </c>
      <c r="U1259" s="3">
        <v>212.5</v>
      </c>
      <c r="V1259" s="3">
        <v>270.31</v>
      </c>
      <c r="W1259" s="3">
        <v>1</v>
      </c>
      <c r="X1259" s="5">
        <v>2012</v>
      </c>
      <c r="Y1259" s="5" t="s">
        <v>852</v>
      </c>
      <c r="Z1259" s="5" t="s">
        <v>30</v>
      </c>
      <c r="AA1259" s="5">
        <v>1561</v>
      </c>
    </row>
    <row r="1260" spans="1:27">
      <c r="A1260" s="3">
        <v>3</v>
      </c>
      <c r="B1260" s="3" t="s">
        <v>961</v>
      </c>
      <c r="C1260" s="3">
        <v>1961</v>
      </c>
      <c r="D1260" s="3" t="s">
        <v>56</v>
      </c>
      <c r="E1260" s="3">
        <v>46.6</v>
      </c>
      <c r="F1260" s="2">
        <v>13532</v>
      </c>
      <c r="G1260" s="3">
        <v>18</v>
      </c>
      <c r="H1260" s="3">
        <v>102.5</v>
      </c>
      <c r="I1260" s="3">
        <v>107.5</v>
      </c>
      <c r="J1260" s="3">
        <v>112.5</v>
      </c>
      <c r="K1260" s="4" t="e">
        <f t="array" aca="1" ref="K1260">MAX(H1260:J1260*(1-strike(H1260:J1260)))</f>
        <v>#NAME?</v>
      </c>
      <c r="L1260" s="3">
        <v>52.5</v>
      </c>
      <c r="M1260" s="1">
        <v>55</v>
      </c>
      <c r="N1260" s="3">
        <v>55</v>
      </c>
      <c r="O1260" s="4" t="e">
        <f t="array" aca="1" ref="O1260">MAX(L1260:N1260*(1-strike(L1260:N1260)))</f>
        <v>#NAME?</v>
      </c>
      <c r="P1260" s="3">
        <v>135</v>
      </c>
      <c r="Q1260" s="3">
        <v>140</v>
      </c>
      <c r="R1260" s="1">
        <v>145</v>
      </c>
      <c r="S1260" s="4" t="e">
        <f t="array" aca="1" ref="S1260">MAX(P1260:R1260*(1-strike(P1260:R1260)))</f>
        <v>#NAME?</v>
      </c>
      <c r="T1260" s="4" t="e">
        <f t="shared" si="19"/>
        <v>#NAME?</v>
      </c>
      <c r="U1260" s="3">
        <v>307.5</v>
      </c>
      <c r="V1260" s="3">
        <v>416.1</v>
      </c>
      <c r="W1260" s="3">
        <v>8</v>
      </c>
      <c r="X1260" s="5">
        <v>2012</v>
      </c>
      <c r="Y1260" s="5" t="s">
        <v>852</v>
      </c>
      <c r="Z1260" s="5" t="s">
        <v>30</v>
      </c>
      <c r="AA1260" s="5">
        <v>1545</v>
      </c>
    </row>
    <row r="1261" spans="1:27">
      <c r="A1261" s="3">
        <v>5</v>
      </c>
      <c r="B1261" s="3" t="s">
        <v>961</v>
      </c>
      <c r="C1261" s="3">
        <v>1961</v>
      </c>
      <c r="D1261" s="3" t="s">
        <v>56</v>
      </c>
      <c r="E1261" s="3">
        <v>46.7</v>
      </c>
      <c r="F1261" s="2">
        <v>13511</v>
      </c>
      <c r="G1261" s="3">
        <v>12</v>
      </c>
      <c r="H1261" s="1">
        <v>110</v>
      </c>
      <c r="I1261" s="3">
        <v>110</v>
      </c>
      <c r="J1261" s="1">
        <v>112.5</v>
      </c>
      <c r="K1261" s="4" t="e">
        <f t="array" aca="1" ref="K1261">MAX(H1261:J1261*(1-strike(H1261:J1261)))</f>
        <v>#NAME?</v>
      </c>
      <c r="L1261" s="3">
        <v>52.5</v>
      </c>
      <c r="M1261" s="3">
        <v>55</v>
      </c>
      <c r="N1261" s="1">
        <v>57.5</v>
      </c>
      <c r="O1261" s="4" t="e">
        <f t="array" aca="1" ref="O1261">MAX(L1261:N1261*(1-strike(L1261:N1261)))</f>
        <v>#NAME?</v>
      </c>
      <c r="P1261" s="3">
        <v>132.5</v>
      </c>
      <c r="Q1261" s="1">
        <v>137.5</v>
      </c>
      <c r="R1261" s="1">
        <v>137.5</v>
      </c>
      <c r="S1261" s="4" t="e">
        <f t="array" aca="1" ref="S1261">MAX(P1261:R1261*(1-strike(P1261:R1261)))</f>
        <v>#NAME?</v>
      </c>
      <c r="T1261" s="4" t="e">
        <f t="shared" si="19"/>
        <v>#NAME?</v>
      </c>
      <c r="U1261" s="3">
        <v>297.5</v>
      </c>
      <c r="V1261" s="3">
        <v>401.95</v>
      </c>
      <c r="W1261" s="3">
        <v>6</v>
      </c>
      <c r="X1261" s="5">
        <v>2013</v>
      </c>
      <c r="Y1261" s="5" t="s">
        <v>852</v>
      </c>
      <c r="Z1261" s="5" t="s">
        <v>30</v>
      </c>
      <c r="AA1261" s="5">
        <v>1127</v>
      </c>
    </row>
    <row r="1262" spans="1:27" ht="15" customHeight="1">
      <c r="A1262" s="3">
        <v>5</v>
      </c>
      <c r="B1262" s="3" t="s">
        <v>264</v>
      </c>
      <c r="C1262" s="3">
        <v>1984</v>
      </c>
      <c r="D1262" s="3" t="s">
        <v>51</v>
      </c>
      <c r="E1262" s="3">
        <v>108.75</v>
      </c>
      <c r="F1262" s="3">
        <v>0.81510000000000005</v>
      </c>
      <c r="G1262" s="3">
        <v>21</v>
      </c>
      <c r="H1262" s="3">
        <v>160</v>
      </c>
      <c r="I1262" s="3">
        <v>170</v>
      </c>
      <c r="J1262" s="1">
        <v>175</v>
      </c>
      <c r="K1262" s="4" t="e">
        <f t="array" aca="1" ref="K1262">MAX(H1262:J1262*(1-strike(H1262:J1262)))</f>
        <v>#NAME?</v>
      </c>
      <c r="L1262" s="3">
        <v>75</v>
      </c>
      <c r="M1262" s="3">
        <v>80</v>
      </c>
      <c r="N1262" s="3">
        <v>82.5</v>
      </c>
      <c r="O1262" s="4" t="e">
        <f t="array" aca="1" ref="O1262">MAX(L1262:N1262*(1-strike(L1262:N1262)))</f>
        <v>#NAME?</v>
      </c>
      <c r="P1262" s="3">
        <v>170</v>
      </c>
      <c r="Q1262" s="3">
        <v>180</v>
      </c>
      <c r="R1262" s="1">
        <v>185</v>
      </c>
      <c r="S1262" s="4" t="e">
        <f t="array" aca="1" ref="S1262">MAX(P1262:R1262*(1-strike(P1262:R1262)))</f>
        <v>#NAME?</v>
      </c>
      <c r="T1262" s="4" t="e">
        <f t="shared" si="19"/>
        <v>#NAME?</v>
      </c>
      <c r="U1262" s="3">
        <v>432.5</v>
      </c>
      <c r="V1262" s="3">
        <v>352.53</v>
      </c>
      <c r="W1262" s="3">
        <v>6</v>
      </c>
      <c r="X1262" s="5">
        <v>2014</v>
      </c>
      <c r="Y1262" s="5" t="s">
        <v>852</v>
      </c>
      <c r="Z1262" s="5" t="s">
        <v>30</v>
      </c>
      <c r="AA1262" s="5">
        <v>812</v>
      </c>
    </row>
    <row r="1263" spans="1:27">
      <c r="A1263" s="4">
        <v>6</v>
      </c>
      <c r="B1263" s="4" t="s">
        <v>962</v>
      </c>
      <c r="C1263" s="4">
        <v>1988</v>
      </c>
      <c r="D1263" s="4" t="s">
        <v>859</v>
      </c>
      <c r="E1263" s="4">
        <v>59.82</v>
      </c>
      <c r="F1263" s="7">
        <v>11178</v>
      </c>
      <c r="G1263" s="4">
        <v>3</v>
      </c>
      <c r="H1263" s="4">
        <v>180</v>
      </c>
      <c r="I1263" s="4">
        <v>190</v>
      </c>
      <c r="J1263" s="4">
        <v>197.5</v>
      </c>
      <c r="K1263" s="4" t="e">
        <f t="array" aca="1" ref="K1263">MAX(H1263:J1263*(1-strike(H1263:J1263)))</f>
        <v>#NAME?</v>
      </c>
      <c r="L1263" s="4">
        <v>100</v>
      </c>
      <c r="M1263" s="4">
        <v>107.5</v>
      </c>
      <c r="N1263" s="4">
        <v>112.5</v>
      </c>
      <c r="O1263" s="4" t="e">
        <f t="array" aca="1" ref="O1263">MAX(L1263:N1263*(1-strike(L1263:N1263)))</f>
        <v>#NAME?</v>
      </c>
      <c r="P1263" s="6">
        <v>185</v>
      </c>
      <c r="Q1263" s="4">
        <v>185</v>
      </c>
      <c r="R1263" s="4">
        <v>195</v>
      </c>
      <c r="S1263" s="4" t="e">
        <f t="array" aca="1" ref="S1263">MAX(P1263:R1263*(1-strike(P1263:R1263)))</f>
        <v>#NAME?</v>
      </c>
      <c r="T1263" s="4" t="e">
        <f t="shared" si="19"/>
        <v>#NAME?</v>
      </c>
      <c r="U1263" s="4">
        <v>505</v>
      </c>
      <c r="V1263" s="4">
        <v>564.48</v>
      </c>
      <c r="W1263" s="4">
        <v>5</v>
      </c>
      <c r="X1263" s="5">
        <v>2014</v>
      </c>
      <c r="Y1263" s="5" t="s">
        <v>852</v>
      </c>
      <c r="Z1263" s="5" t="s">
        <v>171</v>
      </c>
      <c r="AA1263" s="5">
        <v>608</v>
      </c>
    </row>
    <row r="1264" spans="1:27">
      <c r="A1264" s="3">
        <v>1</v>
      </c>
      <c r="B1264" s="3" t="s">
        <v>963</v>
      </c>
      <c r="C1264" s="3">
        <v>1961</v>
      </c>
      <c r="D1264" s="3" t="s">
        <v>163</v>
      </c>
      <c r="E1264" s="3">
        <v>126</v>
      </c>
      <c r="F1264" s="3">
        <v>0.79279999999999995</v>
      </c>
      <c r="G1264" s="3">
        <v>1</v>
      </c>
      <c r="H1264" s="3">
        <v>170</v>
      </c>
      <c r="I1264" s="1">
        <v>177.5</v>
      </c>
      <c r="J1264" s="3">
        <v>177.5</v>
      </c>
      <c r="K1264" s="4" t="e">
        <f t="array" aca="1" ref="K1264">MAX(H1264:J1264*(1-strike(H1264:J1264)))</f>
        <v>#NAME?</v>
      </c>
      <c r="L1264" s="3">
        <v>107.5</v>
      </c>
      <c r="M1264" s="3">
        <v>112.5</v>
      </c>
      <c r="N1264" s="1">
        <v>117.5</v>
      </c>
      <c r="O1264" s="4" t="e">
        <f t="array" aca="1" ref="O1264">MAX(L1264:N1264*(1-strike(L1264:N1264)))</f>
        <v>#NAME?</v>
      </c>
      <c r="P1264" s="3">
        <v>215</v>
      </c>
      <c r="Q1264" s="3">
        <v>225</v>
      </c>
      <c r="R1264" s="1">
        <v>237.5</v>
      </c>
      <c r="S1264" s="4" t="e">
        <f t="array" aca="1" ref="S1264">MAX(P1264:R1264*(1-strike(P1264:R1264)))</f>
        <v>#NAME?</v>
      </c>
      <c r="T1264" s="4" t="e">
        <f t="shared" si="19"/>
        <v>#NAME?</v>
      </c>
      <c r="U1264" s="3">
        <v>515</v>
      </c>
      <c r="V1264" s="3">
        <v>408.29</v>
      </c>
      <c r="W1264" s="3">
        <v>12</v>
      </c>
      <c r="X1264" s="5">
        <v>2012</v>
      </c>
      <c r="Y1264" s="5" t="s">
        <v>852</v>
      </c>
      <c r="Z1264" s="5" t="s">
        <v>30</v>
      </c>
      <c r="AA1264" s="5">
        <v>1602</v>
      </c>
    </row>
    <row r="1265" spans="1:27">
      <c r="A1265" s="3">
        <v>1</v>
      </c>
      <c r="B1265" s="3" t="s">
        <v>963</v>
      </c>
      <c r="C1265" s="3">
        <v>1961</v>
      </c>
      <c r="D1265" s="3" t="s">
        <v>163</v>
      </c>
      <c r="E1265" s="3">
        <v>128.30000000000001</v>
      </c>
      <c r="F1265" s="3">
        <v>0.79020000000000001</v>
      </c>
      <c r="G1265" s="3">
        <v>15</v>
      </c>
      <c r="H1265" s="3">
        <v>177.5</v>
      </c>
      <c r="I1265" s="1">
        <v>182.5</v>
      </c>
      <c r="J1265" s="1">
        <v>182.5</v>
      </c>
      <c r="K1265" s="4" t="e">
        <f t="array" aca="1" ref="K1265">MAX(H1265:J1265*(1-strike(H1265:J1265)))</f>
        <v>#NAME?</v>
      </c>
      <c r="L1265" s="3">
        <v>115</v>
      </c>
      <c r="M1265" s="3">
        <v>120</v>
      </c>
      <c r="N1265" s="1">
        <v>122.5</v>
      </c>
      <c r="O1265" s="4" t="e">
        <f t="array" aca="1" ref="O1265">MAX(L1265:N1265*(1-strike(L1265:N1265)))</f>
        <v>#NAME?</v>
      </c>
      <c r="P1265" s="3">
        <v>220</v>
      </c>
      <c r="Q1265" s="3">
        <v>230</v>
      </c>
      <c r="R1265" s="3">
        <v>236</v>
      </c>
      <c r="S1265" s="4" t="e">
        <f t="array" aca="1" ref="S1265">MAX(P1265:R1265*(1-strike(P1265:R1265)))</f>
        <v>#NAME?</v>
      </c>
      <c r="T1265" s="4" t="e">
        <f t="shared" si="19"/>
        <v>#NAME?</v>
      </c>
      <c r="U1265" s="3">
        <v>533.5</v>
      </c>
      <c r="V1265" s="3">
        <v>421.57</v>
      </c>
      <c r="W1265" s="3">
        <v>12</v>
      </c>
      <c r="X1265" s="5">
        <v>2013</v>
      </c>
      <c r="Y1265" s="5" t="s">
        <v>852</v>
      </c>
      <c r="Z1265" s="5" t="s">
        <v>30</v>
      </c>
      <c r="AA1265" s="5">
        <v>1181</v>
      </c>
    </row>
    <row r="1266" spans="1:27">
      <c r="A1266" s="3">
        <v>3</v>
      </c>
      <c r="B1266" s="3" t="s">
        <v>963</v>
      </c>
      <c r="C1266" s="3">
        <v>1961</v>
      </c>
      <c r="D1266" s="3" t="s">
        <v>163</v>
      </c>
      <c r="E1266" s="3">
        <v>124.15</v>
      </c>
      <c r="F1266" s="3">
        <v>0.79490000000000005</v>
      </c>
      <c r="G1266" s="3">
        <v>16</v>
      </c>
      <c r="H1266" s="1">
        <v>175</v>
      </c>
      <c r="I1266" s="3">
        <v>175</v>
      </c>
      <c r="J1266" s="3"/>
      <c r="K1266" s="4" t="e">
        <f t="array" aca="1" ref="K1266">MAX(H1266:J1266*(1-strike(H1266:J1266)))</f>
        <v>#NAME?</v>
      </c>
      <c r="L1266" s="3">
        <v>102.5</v>
      </c>
      <c r="M1266" s="3"/>
      <c r="N1266" s="3"/>
      <c r="O1266" s="4" t="e">
        <f t="array" aca="1" ref="O1266">MAX(L1266:N1266*(1-strike(L1266:N1266)))</f>
        <v>#NAME?</v>
      </c>
      <c r="P1266" s="3">
        <v>210</v>
      </c>
      <c r="Q1266" s="3">
        <v>220</v>
      </c>
      <c r="R1266" s="3">
        <v>230</v>
      </c>
      <c r="S1266" s="4" t="e">
        <f t="array" aca="1" ref="S1266">MAX(P1266:R1266*(1-strike(P1266:R1266)))</f>
        <v>#NAME?</v>
      </c>
      <c r="T1266" s="4" t="e">
        <f t="shared" si="19"/>
        <v>#NAME?</v>
      </c>
      <c r="U1266" s="3" t="s">
        <v>964</v>
      </c>
      <c r="V1266" s="3">
        <v>403.39</v>
      </c>
      <c r="W1266" s="3">
        <v>8</v>
      </c>
      <c r="X1266" s="5">
        <v>2014</v>
      </c>
      <c r="Y1266" s="5" t="s">
        <v>852</v>
      </c>
      <c r="Z1266" s="5" t="s">
        <v>30</v>
      </c>
      <c r="AA1266" s="5">
        <v>810</v>
      </c>
    </row>
    <row r="1267" spans="1:27">
      <c r="A1267" s="3">
        <v>10</v>
      </c>
      <c r="B1267" s="3" t="s">
        <v>265</v>
      </c>
      <c r="C1267" s="3">
        <v>1976</v>
      </c>
      <c r="D1267" s="3" t="s">
        <v>137</v>
      </c>
      <c r="E1267" s="3">
        <v>51.45</v>
      </c>
      <c r="F1267" s="2">
        <v>12569</v>
      </c>
      <c r="G1267" s="3">
        <v>13</v>
      </c>
      <c r="H1267" s="3">
        <v>150</v>
      </c>
      <c r="I1267" s="3">
        <v>160</v>
      </c>
      <c r="J1267" s="1">
        <v>162.5</v>
      </c>
      <c r="K1267" s="4" t="e">
        <f t="array" aca="1" ref="K1267">MAX(H1267:J1267*(1-strike(H1267:J1267)))</f>
        <v>#NAME?</v>
      </c>
      <c r="L1267" s="3">
        <v>87.5</v>
      </c>
      <c r="M1267" s="3">
        <v>90</v>
      </c>
      <c r="N1267" s="3">
        <v>92.5</v>
      </c>
      <c r="O1267" s="4" t="e">
        <f t="array" aca="1" ref="O1267">MAX(L1267:N1267*(1-strike(L1267:N1267)))</f>
        <v>#NAME?</v>
      </c>
      <c r="P1267" s="3">
        <v>145</v>
      </c>
      <c r="Q1267" s="3">
        <v>150</v>
      </c>
      <c r="R1267" s="3">
        <v>152.5</v>
      </c>
      <c r="S1267" s="4" t="e">
        <f t="array" aca="1" ref="S1267">MAX(P1267:R1267*(1-strike(P1267:R1267)))</f>
        <v>#NAME?</v>
      </c>
      <c r="T1267" s="4" t="e">
        <f t="shared" si="19"/>
        <v>#NAME?</v>
      </c>
      <c r="U1267" s="3">
        <v>405</v>
      </c>
      <c r="V1267" s="3">
        <v>509.04</v>
      </c>
      <c r="W1267" s="3">
        <v>1</v>
      </c>
      <c r="X1267" s="5">
        <v>2012</v>
      </c>
      <c r="Y1267" s="5" t="s">
        <v>852</v>
      </c>
      <c r="Z1267" s="5" t="s">
        <v>171</v>
      </c>
      <c r="AA1267" s="5">
        <v>1351</v>
      </c>
    </row>
    <row r="1268" spans="1:27">
      <c r="A1268" s="3">
        <v>8</v>
      </c>
      <c r="B1268" s="3" t="s">
        <v>265</v>
      </c>
      <c r="C1268" s="3">
        <v>1976</v>
      </c>
      <c r="D1268" s="3" t="s">
        <v>137</v>
      </c>
      <c r="E1268" s="3">
        <v>51.29</v>
      </c>
      <c r="F1268" s="2">
        <v>12599</v>
      </c>
      <c r="G1268" s="3">
        <v>8</v>
      </c>
      <c r="H1268" s="3">
        <v>155</v>
      </c>
      <c r="I1268" s="3">
        <v>162.5</v>
      </c>
      <c r="J1268" s="3">
        <v>167.5</v>
      </c>
      <c r="K1268" s="4" t="e">
        <f t="array" aca="1" ref="K1268">MAX(H1268:J1268*(1-strike(H1268:J1268)))</f>
        <v>#NAME?</v>
      </c>
      <c r="L1268" s="3">
        <v>92.5</v>
      </c>
      <c r="M1268" s="1">
        <v>97.5</v>
      </c>
      <c r="N1268" s="1">
        <v>97.5</v>
      </c>
      <c r="O1268" s="4" t="e">
        <f t="array" aca="1" ref="O1268">MAX(L1268:N1268*(1-strike(L1268:N1268)))</f>
        <v>#NAME?</v>
      </c>
      <c r="P1268" s="3">
        <v>145</v>
      </c>
      <c r="Q1268" s="3">
        <v>152.5</v>
      </c>
      <c r="R1268" s="3">
        <v>157.5</v>
      </c>
      <c r="S1268" s="4" t="e">
        <f t="array" aca="1" ref="S1268">MAX(P1268:R1268*(1-strike(P1268:R1268)))</f>
        <v>#NAME?</v>
      </c>
      <c r="T1268" s="4" t="e">
        <f t="shared" si="19"/>
        <v>#NAME?</v>
      </c>
      <c r="U1268" s="3">
        <v>417.5</v>
      </c>
      <c r="V1268" s="3">
        <v>526.01</v>
      </c>
      <c r="W1268" s="3">
        <v>3</v>
      </c>
      <c r="X1268" s="5">
        <v>2013</v>
      </c>
      <c r="Y1268" s="5" t="s">
        <v>852</v>
      </c>
      <c r="Z1268" s="5" t="s">
        <v>171</v>
      </c>
      <c r="AA1268" s="5">
        <v>946</v>
      </c>
    </row>
    <row r="1269" spans="1:27">
      <c r="A1269" s="4">
        <v>8</v>
      </c>
      <c r="B1269" s="4" t="s">
        <v>265</v>
      </c>
      <c r="C1269" s="4">
        <v>1976</v>
      </c>
      <c r="D1269" s="4" t="s">
        <v>951</v>
      </c>
      <c r="E1269" s="4">
        <v>50.98</v>
      </c>
      <c r="F1269" s="7">
        <v>12654</v>
      </c>
      <c r="G1269" s="4">
        <v>8</v>
      </c>
      <c r="H1269" s="4">
        <v>162.5</v>
      </c>
      <c r="I1269" s="6">
        <v>170</v>
      </c>
      <c r="J1269" s="6">
        <v>170</v>
      </c>
      <c r="K1269" s="4" t="e">
        <f t="array" aca="1" ref="K1269">MAX(H1269:J1269*(1-strike(H1269:J1269)))</f>
        <v>#NAME?</v>
      </c>
      <c r="L1269" s="4">
        <v>100</v>
      </c>
      <c r="M1269" s="6">
        <v>105</v>
      </c>
      <c r="N1269" s="6">
        <v>105</v>
      </c>
      <c r="O1269" s="4" t="e">
        <f t="array" aca="1" ref="O1269">MAX(L1269:N1269*(1-strike(L1269:N1269)))</f>
        <v>#NAME?</v>
      </c>
      <c r="P1269" s="4">
        <v>152.5</v>
      </c>
      <c r="Q1269" s="4">
        <v>157.5</v>
      </c>
      <c r="R1269" s="4">
        <v>160</v>
      </c>
      <c r="S1269" s="4" t="e">
        <f t="array" aca="1" ref="S1269">MAX(P1269:R1269*(1-strike(P1269:R1269)))</f>
        <v>#NAME?</v>
      </c>
      <c r="T1269" s="4" t="e">
        <f t="shared" si="19"/>
        <v>#NAME?</v>
      </c>
      <c r="U1269" s="4">
        <v>422.5</v>
      </c>
      <c r="V1269" s="4">
        <v>534.63</v>
      </c>
      <c r="W1269" s="4">
        <v>3</v>
      </c>
      <c r="X1269" s="5">
        <v>2014</v>
      </c>
      <c r="Y1269" s="5" t="s">
        <v>852</v>
      </c>
      <c r="Z1269" s="5" t="s">
        <v>171</v>
      </c>
      <c r="AA1269" s="5">
        <v>583</v>
      </c>
    </row>
    <row r="1270" spans="1:27">
      <c r="A1270" s="3">
        <v>4</v>
      </c>
      <c r="B1270" s="3" t="s">
        <v>266</v>
      </c>
      <c r="C1270" s="3">
        <v>1982</v>
      </c>
      <c r="D1270" s="3" t="s">
        <v>137</v>
      </c>
      <c r="E1270" s="3">
        <v>46.6</v>
      </c>
      <c r="F1270" s="2">
        <v>13532</v>
      </c>
      <c r="G1270" s="3">
        <v>14</v>
      </c>
      <c r="H1270" s="3">
        <v>105</v>
      </c>
      <c r="I1270" s="1">
        <v>107.5</v>
      </c>
      <c r="J1270" s="1">
        <v>107.5</v>
      </c>
      <c r="K1270" s="4" t="e">
        <f t="array" aca="1" ref="K1270">MAX(H1270:J1270*(1-strike(H1270:J1270)))</f>
        <v>#NAME?</v>
      </c>
      <c r="L1270" s="3">
        <v>62.5</v>
      </c>
      <c r="M1270" s="3">
        <v>67.5</v>
      </c>
      <c r="N1270" s="3">
        <v>70</v>
      </c>
      <c r="O1270" s="4" t="e">
        <f t="array" aca="1" ref="O1270">MAX(L1270:N1270*(1-strike(L1270:N1270)))</f>
        <v>#NAME?</v>
      </c>
      <c r="P1270" s="3">
        <v>112.5</v>
      </c>
      <c r="Q1270" s="3">
        <v>120</v>
      </c>
      <c r="R1270" s="3">
        <v>125</v>
      </c>
      <c r="S1270" s="4" t="e">
        <f t="array" aca="1" ref="S1270">MAX(P1270:R1270*(1-strike(P1270:R1270)))</f>
        <v>#NAME?</v>
      </c>
      <c r="T1270" s="4" t="e">
        <f t="shared" si="19"/>
        <v>#NAME?</v>
      </c>
      <c r="U1270" s="3">
        <v>300</v>
      </c>
      <c r="V1270" s="3">
        <v>405.96</v>
      </c>
      <c r="W1270" s="3">
        <v>7</v>
      </c>
      <c r="X1270" s="5">
        <v>2013</v>
      </c>
      <c r="Y1270" s="5" t="s">
        <v>852</v>
      </c>
      <c r="Z1270" s="5" t="s">
        <v>30</v>
      </c>
      <c r="AA1270" s="5">
        <v>1126</v>
      </c>
    </row>
    <row r="1271" spans="1:27">
      <c r="A1271" s="3">
        <v>5</v>
      </c>
      <c r="B1271" s="3" t="s">
        <v>266</v>
      </c>
      <c r="C1271" s="3">
        <v>1982</v>
      </c>
      <c r="D1271" s="3" t="s">
        <v>137</v>
      </c>
      <c r="E1271" s="3">
        <v>46.6</v>
      </c>
      <c r="F1271" s="2">
        <v>13532</v>
      </c>
      <c r="G1271" s="3">
        <v>1</v>
      </c>
      <c r="H1271" s="1">
        <v>105</v>
      </c>
      <c r="I1271" s="3">
        <v>105</v>
      </c>
      <c r="J1271" s="1">
        <v>110</v>
      </c>
      <c r="K1271" s="4" t="e">
        <f t="array" aca="1" ref="K1271">MAX(H1271:J1271*(1-strike(H1271:J1271)))</f>
        <v>#NAME?</v>
      </c>
      <c r="L1271" s="3">
        <v>67.5</v>
      </c>
      <c r="M1271" s="3">
        <v>70</v>
      </c>
      <c r="N1271" s="1">
        <v>72.5</v>
      </c>
      <c r="O1271" s="4" t="e">
        <f t="array" aca="1" ref="O1271">MAX(L1271:N1271*(1-strike(L1271:N1271)))</f>
        <v>#NAME?</v>
      </c>
      <c r="P1271" s="3">
        <v>115</v>
      </c>
      <c r="Q1271" s="3">
        <v>122.5</v>
      </c>
      <c r="R1271" s="1">
        <v>127.5</v>
      </c>
      <c r="S1271" s="4" t="e">
        <f t="array" aca="1" ref="S1271">MAX(P1271:R1271*(1-strike(P1271:R1271)))</f>
        <v>#NAME?</v>
      </c>
      <c r="T1271" s="4" t="e">
        <f t="shared" si="19"/>
        <v>#NAME?</v>
      </c>
      <c r="U1271" s="3">
        <v>297.5</v>
      </c>
      <c r="V1271" s="3">
        <v>402.58</v>
      </c>
      <c r="W1271" s="3">
        <v>6</v>
      </c>
      <c r="X1271" s="5">
        <v>2014</v>
      </c>
      <c r="Y1271" s="5" t="s">
        <v>852</v>
      </c>
      <c r="Z1271" s="5" t="s">
        <v>30</v>
      </c>
      <c r="AA1271" s="5">
        <v>751</v>
      </c>
    </row>
    <row r="1272" spans="1:27">
      <c r="A1272" s="3">
        <v>5</v>
      </c>
      <c r="B1272" s="3" t="s">
        <v>965</v>
      </c>
      <c r="C1272" s="3">
        <v>1989</v>
      </c>
      <c r="D1272" s="3" t="s">
        <v>62</v>
      </c>
      <c r="E1272" s="3">
        <v>93.83</v>
      </c>
      <c r="F1272" s="3">
        <v>0.85019999999999996</v>
      </c>
      <c r="G1272" s="3">
        <v>13</v>
      </c>
      <c r="H1272" s="3">
        <v>210</v>
      </c>
      <c r="I1272" s="3">
        <v>225</v>
      </c>
      <c r="J1272" s="3">
        <v>232.5</v>
      </c>
      <c r="K1272" s="4" t="e">
        <f t="array" aca="1" ref="K1272">MAX(H1272:J1272*(1-strike(H1272:J1272)))</f>
        <v>#NAME?</v>
      </c>
      <c r="L1272" s="3">
        <v>180</v>
      </c>
      <c r="M1272" s="3">
        <v>190</v>
      </c>
      <c r="N1272" s="1">
        <v>197.5</v>
      </c>
      <c r="O1272" s="4" t="e">
        <f t="array" aca="1" ref="O1272">MAX(L1272:N1272*(1-strike(L1272:N1272)))</f>
        <v>#NAME?</v>
      </c>
      <c r="P1272" s="3">
        <v>177.5</v>
      </c>
      <c r="Q1272" s="3">
        <v>192.5</v>
      </c>
      <c r="R1272" s="3">
        <v>200</v>
      </c>
      <c r="S1272" s="4" t="e">
        <f t="array" aca="1" ref="S1272">MAX(P1272:R1272*(1-strike(P1272:R1272)))</f>
        <v>#NAME?</v>
      </c>
      <c r="T1272" s="4" t="e">
        <f t="shared" si="19"/>
        <v>#NAME?</v>
      </c>
      <c r="U1272" s="3">
        <v>622.5</v>
      </c>
      <c r="V1272" s="3">
        <v>529.25</v>
      </c>
      <c r="W1272" s="3">
        <v>6</v>
      </c>
      <c r="X1272" s="5">
        <v>2013</v>
      </c>
      <c r="Y1272" s="5" t="s">
        <v>852</v>
      </c>
      <c r="Z1272" s="5" t="s">
        <v>171</v>
      </c>
      <c r="AA1272" s="5">
        <v>1010</v>
      </c>
    </row>
    <row r="1273" spans="1:27" ht="15" customHeight="1">
      <c r="A1273" s="4">
        <v>4</v>
      </c>
      <c r="B1273" s="4" t="s">
        <v>965</v>
      </c>
      <c r="C1273" s="4">
        <v>1989</v>
      </c>
      <c r="D1273" s="4" t="s">
        <v>876</v>
      </c>
      <c r="E1273" s="4">
        <v>100.16</v>
      </c>
      <c r="F1273" s="4">
        <v>0.83209999999999995</v>
      </c>
      <c r="G1273" s="4">
        <v>16</v>
      </c>
      <c r="H1273" s="4">
        <v>225</v>
      </c>
      <c r="I1273" s="4">
        <v>235</v>
      </c>
      <c r="J1273" s="4">
        <v>240</v>
      </c>
      <c r="K1273" s="4" t="e">
        <f t="array" aca="1" ref="K1273">MAX(H1273:J1273*(1-strike(H1273:J1273)))</f>
        <v>#NAME?</v>
      </c>
      <c r="L1273" s="4">
        <v>190</v>
      </c>
      <c r="M1273" s="4">
        <v>200</v>
      </c>
      <c r="N1273" s="4">
        <v>205</v>
      </c>
      <c r="O1273" s="4" t="e">
        <f t="array" aca="1" ref="O1273">MAX(L1273:N1273*(1-strike(L1273:N1273)))</f>
        <v>#NAME?</v>
      </c>
      <c r="P1273" s="4">
        <v>182.5</v>
      </c>
      <c r="Q1273" s="4">
        <v>192.5</v>
      </c>
      <c r="R1273" s="4">
        <v>202.5</v>
      </c>
      <c r="S1273" s="4" t="e">
        <f t="array" aca="1" ref="S1273">MAX(P1273:R1273*(1-strike(P1273:R1273)))</f>
        <v>#NAME?</v>
      </c>
      <c r="T1273" s="4" t="e">
        <f t="shared" si="19"/>
        <v>#NAME?</v>
      </c>
      <c r="U1273" s="4">
        <v>647.5</v>
      </c>
      <c r="V1273" s="4">
        <v>538.78</v>
      </c>
      <c r="W1273" s="4">
        <v>7</v>
      </c>
      <c r="X1273" s="5">
        <v>2014</v>
      </c>
      <c r="Y1273" s="5" t="s">
        <v>852</v>
      </c>
      <c r="Z1273" s="5" t="s">
        <v>171</v>
      </c>
      <c r="AA1273" s="5">
        <v>638</v>
      </c>
    </row>
    <row r="1274" spans="1:27">
      <c r="A1274" s="3">
        <v>1</v>
      </c>
      <c r="B1274" s="3" t="s">
        <v>269</v>
      </c>
      <c r="C1274" s="3">
        <v>1986</v>
      </c>
      <c r="D1274" s="3" t="s">
        <v>28</v>
      </c>
      <c r="E1274" s="3">
        <v>66.86</v>
      </c>
      <c r="F1274" s="2">
        <v>10276</v>
      </c>
      <c r="G1274" s="3">
        <v>8</v>
      </c>
      <c r="H1274" s="3">
        <v>220</v>
      </c>
      <c r="I1274" s="1">
        <v>237.5</v>
      </c>
      <c r="J1274" s="1">
        <v>242.5</v>
      </c>
      <c r="K1274" s="4" t="e">
        <f t="array" aca="1" ref="K1274">MAX(H1274:J1274*(1-strike(H1274:J1274)))</f>
        <v>#NAME?</v>
      </c>
      <c r="L1274" s="3">
        <v>160</v>
      </c>
      <c r="M1274" s="3">
        <v>170</v>
      </c>
      <c r="N1274" s="3">
        <v>175</v>
      </c>
      <c r="O1274" s="4" t="e">
        <f t="array" aca="1" ref="O1274">MAX(L1274:N1274*(1-strike(L1274:N1274)))</f>
        <v>#NAME?</v>
      </c>
      <c r="P1274" s="3">
        <v>202.5</v>
      </c>
      <c r="Q1274" s="3">
        <v>215</v>
      </c>
      <c r="R1274" s="3">
        <v>222.5</v>
      </c>
      <c r="S1274" s="4" t="e">
        <f t="array" aca="1" ref="S1274">MAX(P1274:R1274*(1-strike(P1274:R1274)))</f>
        <v>#NAME?</v>
      </c>
      <c r="T1274" s="4" t="e">
        <f t="shared" si="19"/>
        <v>#NAME?</v>
      </c>
      <c r="U1274" s="3">
        <v>617.5</v>
      </c>
      <c r="V1274" s="3">
        <v>634.55999999999995</v>
      </c>
      <c r="W1274" s="3">
        <v>12</v>
      </c>
      <c r="X1274" s="5">
        <v>2012</v>
      </c>
      <c r="Y1274" s="5" t="s">
        <v>852</v>
      </c>
      <c r="Z1274" s="5" t="s">
        <v>171</v>
      </c>
      <c r="AA1274" s="5">
        <v>1386</v>
      </c>
    </row>
    <row r="1275" spans="1:27">
      <c r="A1275" s="3">
        <v>2</v>
      </c>
      <c r="B1275" s="3" t="s">
        <v>269</v>
      </c>
      <c r="C1275" s="3">
        <v>1986</v>
      </c>
      <c r="D1275" s="3" t="s">
        <v>28</v>
      </c>
      <c r="E1275" s="3">
        <v>66.12</v>
      </c>
      <c r="F1275" s="2">
        <v>10360</v>
      </c>
      <c r="G1275" s="3">
        <v>4</v>
      </c>
      <c r="H1275" s="3">
        <v>220</v>
      </c>
      <c r="I1275" s="3">
        <v>230</v>
      </c>
      <c r="J1275" s="1">
        <v>235</v>
      </c>
      <c r="K1275" s="4" t="e">
        <f t="array" aca="1" ref="K1275">MAX(H1275:J1275*(1-strike(H1275:J1275)))</f>
        <v>#NAME?</v>
      </c>
      <c r="L1275" s="3">
        <v>160</v>
      </c>
      <c r="M1275" s="3">
        <v>170</v>
      </c>
      <c r="N1275" s="1">
        <v>175</v>
      </c>
      <c r="O1275" s="4" t="e">
        <f t="array" aca="1" ref="O1275">MAX(L1275:N1275*(1-strike(L1275:N1275)))</f>
        <v>#NAME?</v>
      </c>
      <c r="P1275" s="3">
        <v>190</v>
      </c>
      <c r="Q1275" s="3">
        <v>200</v>
      </c>
      <c r="R1275" s="1">
        <v>215</v>
      </c>
      <c r="S1275" s="4" t="e">
        <f t="array" aca="1" ref="S1275">MAX(P1275:R1275*(1-strike(P1275:R1275)))</f>
        <v>#NAME?</v>
      </c>
      <c r="T1275" s="4" t="e">
        <f t="shared" si="19"/>
        <v>#NAME?</v>
      </c>
      <c r="U1275" s="3">
        <v>600</v>
      </c>
      <c r="V1275" s="3">
        <v>621.6</v>
      </c>
      <c r="W1275" s="3">
        <v>9</v>
      </c>
      <c r="X1275" s="5">
        <v>2013</v>
      </c>
      <c r="Y1275" s="5" t="s">
        <v>852</v>
      </c>
      <c r="Z1275" s="5" t="s">
        <v>171</v>
      </c>
      <c r="AA1275" s="5">
        <v>983</v>
      </c>
    </row>
    <row r="1276" spans="1:27">
      <c r="A1276" s="4" t="s">
        <v>37</v>
      </c>
      <c r="B1276" s="4" t="s">
        <v>269</v>
      </c>
      <c r="C1276" s="4">
        <v>1986</v>
      </c>
      <c r="D1276" s="4" t="s">
        <v>903</v>
      </c>
      <c r="E1276" s="4">
        <v>67.400000000000006</v>
      </c>
      <c r="F1276" s="7">
        <v>10217</v>
      </c>
      <c r="G1276" s="4">
        <v>2</v>
      </c>
      <c r="H1276" s="4"/>
      <c r="I1276" s="4"/>
      <c r="J1276" s="4"/>
      <c r="K1276" s="4" t="e">
        <f t="array" aca="1" ref="K1276">MAX(H1276:J1276*(1-strike(H1276:J1276)))</f>
        <v>#NAME?</v>
      </c>
      <c r="L1276" s="4"/>
      <c r="M1276" s="4"/>
      <c r="N1276" s="4"/>
      <c r="O1276" s="4" t="e">
        <f t="array" aca="1" ref="O1276">MAX(L1276:N1276*(1-strike(L1276:N1276)))</f>
        <v>#NAME?</v>
      </c>
      <c r="P1276" s="4"/>
      <c r="Q1276" s="4"/>
      <c r="R1276" s="4"/>
      <c r="S1276" s="4" t="e">
        <f t="array" aca="1" ref="S1276">MAX(P1276:R1276*(1-strike(P1276:R1276)))</f>
        <v>#NAME?</v>
      </c>
      <c r="T1276" s="4" t="e">
        <f t="shared" si="19"/>
        <v>#NAME?</v>
      </c>
      <c r="U1276" s="4" t="s">
        <v>187</v>
      </c>
      <c r="V1276" s="4" t="s">
        <v>37</v>
      </c>
      <c r="W1276" s="4" t="s">
        <v>37</v>
      </c>
      <c r="X1276" s="5">
        <v>2014</v>
      </c>
      <c r="Y1276" s="5" t="s">
        <v>852</v>
      </c>
      <c r="Z1276" s="5" t="s">
        <v>171</v>
      </c>
      <c r="AA1276" s="5">
        <v>622</v>
      </c>
    </row>
    <row r="1277" spans="1:27">
      <c r="A1277" s="3">
        <v>7</v>
      </c>
      <c r="B1277" s="3" t="s">
        <v>966</v>
      </c>
      <c r="C1277" s="3">
        <v>1987</v>
      </c>
      <c r="D1277" s="3" t="s">
        <v>194</v>
      </c>
      <c r="E1277" s="3">
        <v>68.849999999999994</v>
      </c>
      <c r="F1277" s="2">
        <v>10064</v>
      </c>
      <c r="G1277" s="3">
        <v>4</v>
      </c>
      <c r="H1277" s="3">
        <v>110</v>
      </c>
      <c r="I1277" s="3">
        <v>117.5</v>
      </c>
      <c r="J1277" s="3">
        <v>122.5</v>
      </c>
      <c r="K1277" s="4" t="e">
        <f t="array" aca="1" ref="K1277">MAX(H1277:J1277*(1-strike(H1277:J1277)))</f>
        <v>#NAME?</v>
      </c>
      <c r="L1277" s="3">
        <v>60</v>
      </c>
      <c r="M1277" s="3">
        <v>65</v>
      </c>
      <c r="N1277" s="1">
        <v>70</v>
      </c>
      <c r="O1277" s="4" t="e">
        <f t="array" aca="1" ref="O1277">MAX(L1277:N1277*(1-strike(L1277:N1277)))</f>
        <v>#NAME?</v>
      </c>
      <c r="P1277" s="3">
        <v>145</v>
      </c>
      <c r="Q1277" s="3">
        <v>152.5</v>
      </c>
      <c r="R1277" s="3">
        <v>160</v>
      </c>
      <c r="S1277" s="4" t="e">
        <f t="array" aca="1" ref="S1277">MAX(P1277:R1277*(1-strike(P1277:R1277)))</f>
        <v>#NAME?</v>
      </c>
      <c r="T1277" s="4" t="e">
        <f t="shared" si="19"/>
        <v>#NAME?</v>
      </c>
      <c r="U1277" s="3">
        <v>347.5</v>
      </c>
      <c r="V1277" s="3">
        <v>349.72</v>
      </c>
      <c r="W1277" s="3">
        <v>4</v>
      </c>
      <c r="X1277" s="5">
        <v>2014</v>
      </c>
      <c r="Y1277" s="5" t="s">
        <v>852</v>
      </c>
      <c r="Z1277" s="5" t="s">
        <v>30</v>
      </c>
      <c r="AA1277" s="5">
        <v>797</v>
      </c>
    </row>
    <row r="1278" spans="1:27">
      <c r="A1278" s="3">
        <v>4</v>
      </c>
      <c r="B1278" s="3" t="s">
        <v>271</v>
      </c>
      <c r="C1278" s="3">
        <v>1974</v>
      </c>
      <c r="D1278" s="3" t="s">
        <v>28</v>
      </c>
      <c r="E1278" s="3">
        <v>95.4</v>
      </c>
      <c r="F1278" s="3">
        <v>0.84519999999999995</v>
      </c>
      <c r="G1278" s="3">
        <v>22</v>
      </c>
      <c r="H1278" s="3">
        <v>175</v>
      </c>
      <c r="I1278" s="1">
        <v>182.5</v>
      </c>
      <c r="J1278" s="3">
        <v>182.5</v>
      </c>
      <c r="K1278" s="4" t="e">
        <f t="array" aca="1" ref="K1278">MAX(H1278:J1278*(1-strike(H1278:J1278)))</f>
        <v>#NAME?</v>
      </c>
      <c r="L1278" s="3">
        <v>105</v>
      </c>
      <c r="M1278" s="3">
        <v>112.5</v>
      </c>
      <c r="N1278" s="3">
        <v>115</v>
      </c>
      <c r="O1278" s="4" t="e">
        <f t="array" aca="1" ref="O1278">MAX(L1278:N1278*(1-strike(L1278:N1278)))</f>
        <v>#NAME?</v>
      </c>
      <c r="P1278" s="3">
        <v>180</v>
      </c>
      <c r="Q1278" s="3">
        <v>185</v>
      </c>
      <c r="R1278" s="3">
        <v>190</v>
      </c>
      <c r="S1278" s="4" t="e">
        <f t="array" aca="1" ref="S1278">MAX(P1278:R1278*(1-strike(P1278:R1278)))</f>
        <v>#NAME?</v>
      </c>
      <c r="T1278" s="4" t="e">
        <f t="shared" si="19"/>
        <v>#NAME?</v>
      </c>
      <c r="U1278" s="3">
        <v>487.5</v>
      </c>
      <c r="V1278" s="3">
        <v>412.03</v>
      </c>
      <c r="W1278" s="3">
        <v>7</v>
      </c>
      <c r="X1278" s="5">
        <v>2013</v>
      </c>
      <c r="Y1278" s="5" t="s">
        <v>852</v>
      </c>
      <c r="Z1278" s="5" t="s">
        <v>30</v>
      </c>
      <c r="AA1278" s="5">
        <v>1184</v>
      </c>
    </row>
    <row r="1279" spans="1:27">
      <c r="A1279" s="3">
        <v>6</v>
      </c>
      <c r="B1279" s="3" t="s">
        <v>967</v>
      </c>
      <c r="C1279" s="3">
        <v>1982</v>
      </c>
      <c r="D1279" s="3" t="s">
        <v>125</v>
      </c>
      <c r="E1279" s="3">
        <v>68.150000000000006</v>
      </c>
      <c r="F1279" s="2">
        <v>10136</v>
      </c>
      <c r="G1279" s="3">
        <v>3</v>
      </c>
      <c r="H1279" s="3">
        <v>135</v>
      </c>
      <c r="I1279" s="3">
        <v>142.5</v>
      </c>
      <c r="J1279" s="1">
        <v>150</v>
      </c>
      <c r="K1279" s="4" t="e">
        <f t="array" aca="1" ref="K1279">MAX(H1279:J1279*(1-strike(H1279:J1279)))</f>
        <v>#NAME?</v>
      </c>
      <c r="L1279" s="3">
        <v>67.5</v>
      </c>
      <c r="M1279" s="3">
        <v>72.5</v>
      </c>
      <c r="N1279" s="1">
        <v>82.5</v>
      </c>
      <c r="O1279" s="4" t="e">
        <f t="array" aca="1" ref="O1279">MAX(L1279:N1279*(1-strike(L1279:N1279)))</f>
        <v>#NAME?</v>
      </c>
      <c r="P1279" s="3">
        <v>145</v>
      </c>
      <c r="Q1279" s="3">
        <v>152.5</v>
      </c>
      <c r="R1279" s="3">
        <v>157.5</v>
      </c>
      <c r="S1279" s="4" t="e">
        <f t="array" aca="1" ref="S1279">MAX(P1279:R1279*(1-strike(P1279:R1279)))</f>
        <v>#NAME?</v>
      </c>
      <c r="T1279" s="4" t="e">
        <f t="shared" si="19"/>
        <v>#NAME?</v>
      </c>
      <c r="U1279" s="3">
        <v>372.5</v>
      </c>
      <c r="V1279" s="3">
        <v>377.58</v>
      </c>
      <c r="W1279" s="3">
        <v>5</v>
      </c>
      <c r="X1279" s="5">
        <v>2013</v>
      </c>
      <c r="Y1279" s="5" t="s">
        <v>852</v>
      </c>
      <c r="Z1279" s="5" t="s">
        <v>30</v>
      </c>
      <c r="AA1279" s="5">
        <v>1168</v>
      </c>
    </row>
    <row r="1280" spans="1:27">
      <c r="A1280" s="4">
        <v>3</v>
      </c>
      <c r="B1280" s="4" t="s">
        <v>968</v>
      </c>
      <c r="C1280" s="4">
        <v>1991</v>
      </c>
      <c r="D1280" s="4" t="s">
        <v>859</v>
      </c>
      <c r="E1280" s="4">
        <v>55.78</v>
      </c>
      <c r="F1280" s="7">
        <v>11799</v>
      </c>
      <c r="G1280" s="4">
        <v>5</v>
      </c>
      <c r="H1280" s="4">
        <v>180</v>
      </c>
      <c r="I1280" s="4">
        <v>190</v>
      </c>
      <c r="J1280" s="4">
        <v>195</v>
      </c>
      <c r="K1280" s="4" t="e">
        <f t="array" aca="1" ref="K1280">MAX(H1280:J1280*(1-strike(H1280:J1280)))</f>
        <v>#NAME?</v>
      </c>
      <c r="L1280" s="6">
        <v>92.5</v>
      </c>
      <c r="M1280" s="4">
        <v>92.5</v>
      </c>
      <c r="N1280" s="4"/>
      <c r="O1280" s="4" t="e">
        <f t="array" aca="1" ref="O1280">MAX(L1280:N1280*(1-strike(L1280:N1280)))</f>
        <v>#NAME?</v>
      </c>
      <c r="P1280" s="4">
        <v>165</v>
      </c>
      <c r="Q1280" s="4">
        <v>172.5</v>
      </c>
      <c r="R1280" s="6">
        <v>177.5</v>
      </c>
      <c r="S1280" s="4" t="e">
        <f t="array" aca="1" ref="S1280">MAX(P1280:R1280*(1-strike(P1280:R1280)))</f>
        <v>#NAME?</v>
      </c>
      <c r="T1280" s="4" t="e">
        <f t="shared" si="19"/>
        <v>#NAME?</v>
      </c>
      <c r="U1280" s="4">
        <v>460</v>
      </c>
      <c r="V1280" s="4">
        <v>542.75</v>
      </c>
      <c r="W1280" s="4">
        <v>8</v>
      </c>
      <c r="X1280" s="5">
        <v>2014</v>
      </c>
      <c r="Y1280" s="5" t="s">
        <v>852</v>
      </c>
      <c r="Z1280" s="5" t="s">
        <v>171</v>
      </c>
      <c r="AA1280" s="5">
        <v>592</v>
      </c>
    </row>
    <row r="1281" spans="1:27">
      <c r="A1281" s="3">
        <v>7</v>
      </c>
      <c r="B1281" s="3" t="s">
        <v>969</v>
      </c>
      <c r="C1281" s="3">
        <v>1989</v>
      </c>
      <c r="D1281" s="3" t="s">
        <v>970</v>
      </c>
      <c r="E1281" s="3">
        <v>72.59</v>
      </c>
      <c r="F1281" s="3">
        <v>0.9708</v>
      </c>
      <c r="G1281" s="3">
        <v>7</v>
      </c>
      <c r="H1281" s="3">
        <v>180</v>
      </c>
      <c r="I1281" s="3">
        <v>195</v>
      </c>
      <c r="J1281" s="1">
        <v>215</v>
      </c>
      <c r="K1281" s="4" t="e">
        <f t="array" aca="1" ref="K1281">MAX(H1281:J1281*(1-strike(H1281:J1281)))</f>
        <v>#NAME?</v>
      </c>
      <c r="L1281" s="1">
        <v>50</v>
      </c>
      <c r="M1281" s="3">
        <v>60</v>
      </c>
      <c r="N1281" s="3">
        <v>70</v>
      </c>
      <c r="O1281" s="4" t="e">
        <f t="array" aca="1" ref="O1281">MAX(L1281:N1281*(1-strike(L1281:N1281)))</f>
        <v>#NAME?</v>
      </c>
      <c r="P1281" s="3">
        <v>170</v>
      </c>
      <c r="Q1281" s="3">
        <v>190</v>
      </c>
      <c r="R1281" s="1">
        <v>200</v>
      </c>
      <c r="S1281" s="4" t="e">
        <f t="array" aca="1" ref="S1281">MAX(P1281:R1281*(1-strike(P1281:R1281)))</f>
        <v>#NAME?</v>
      </c>
      <c r="T1281" s="4" t="e">
        <f t="shared" si="19"/>
        <v>#NAME?</v>
      </c>
      <c r="U1281" s="3">
        <v>455</v>
      </c>
      <c r="V1281" s="3">
        <v>441.71</v>
      </c>
      <c r="W1281" s="3">
        <v>4</v>
      </c>
      <c r="X1281" s="5">
        <v>2013</v>
      </c>
      <c r="Y1281" s="5" t="s">
        <v>852</v>
      </c>
      <c r="Z1281" s="5" t="s">
        <v>171</v>
      </c>
      <c r="AA1281" s="5">
        <v>1001</v>
      </c>
    </row>
    <row r="1282" spans="1:27">
      <c r="A1282" s="3">
        <v>7</v>
      </c>
      <c r="B1282" s="3" t="s">
        <v>971</v>
      </c>
      <c r="C1282" s="3">
        <v>1978</v>
      </c>
      <c r="D1282" s="3" t="s">
        <v>480</v>
      </c>
      <c r="E1282" s="3">
        <v>45.95</v>
      </c>
      <c r="F1282" s="2">
        <v>13667</v>
      </c>
      <c r="G1282" s="3">
        <v>11</v>
      </c>
      <c r="H1282" s="3">
        <v>70</v>
      </c>
      <c r="I1282" s="3">
        <v>80</v>
      </c>
      <c r="J1282" s="3">
        <v>92.5</v>
      </c>
      <c r="K1282" s="4" t="e">
        <f t="array" aca="1" ref="K1282">MAX(H1282:J1282*(1-strike(H1282:J1282)))</f>
        <v>#NAME?</v>
      </c>
      <c r="L1282" s="3">
        <v>65</v>
      </c>
      <c r="M1282" s="3">
        <v>70</v>
      </c>
      <c r="N1282" s="1">
        <v>75</v>
      </c>
      <c r="O1282" s="4" t="e">
        <f t="array" aca="1" ref="O1282">MAX(L1282:N1282*(1-strike(L1282:N1282)))</f>
        <v>#NAME?</v>
      </c>
      <c r="P1282" s="3">
        <v>90</v>
      </c>
      <c r="Q1282" s="3">
        <v>100</v>
      </c>
      <c r="R1282" s="3">
        <v>112.5</v>
      </c>
      <c r="S1282" s="4" t="e">
        <f t="array" aca="1" ref="S1282">MAX(P1282:R1282*(1-strike(P1282:R1282)))</f>
        <v>#NAME?</v>
      </c>
      <c r="T1282" s="4" t="e">
        <f t="shared" ref="T1282:T1345" si="20">IF(AND(K1282&lt;&gt;0,O1282&lt;&gt;0,S1282&lt;&gt;0),K1282+O1282+S1282,0)</f>
        <v>#NAME?</v>
      </c>
      <c r="U1282" s="3">
        <v>275</v>
      </c>
      <c r="V1282" s="3">
        <v>375.86</v>
      </c>
      <c r="W1282" s="3">
        <v>4</v>
      </c>
      <c r="X1282" s="5">
        <v>2013</v>
      </c>
      <c r="Y1282" s="5" t="s">
        <v>852</v>
      </c>
      <c r="Z1282" s="5" t="s">
        <v>30</v>
      </c>
      <c r="AA1282" s="5">
        <v>1129</v>
      </c>
    </row>
    <row r="1283" spans="1:27" ht="15" customHeight="1">
      <c r="A1283" s="3">
        <v>8</v>
      </c>
      <c r="B1283" s="3" t="s">
        <v>275</v>
      </c>
      <c r="C1283" s="3">
        <v>1988</v>
      </c>
      <c r="D1283" s="3" t="s">
        <v>51</v>
      </c>
      <c r="E1283" s="3">
        <v>54.85</v>
      </c>
      <c r="F1283" s="2">
        <v>11959</v>
      </c>
      <c r="G1283" s="3">
        <v>12</v>
      </c>
      <c r="H1283" s="3">
        <v>125</v>
      </c>
      <c r="I1283" s="1">
        <v>130</v>
      </c>
      <c r="J1283" s="3">
        <v>130</v>
      </c>
      <c r="K1283" s="4" t="e">
        <f t="array" aca="1" ref="K1283">MAX(H1283:J1283*(1-strike(H1283:J1283)))</f>
        <v>#NAME?</v>
      </c>
      <c r="L1283" s="3">
        <v>72.5</v>
      </c>
      <c r="M1283" s="3">
        <v>77.5</v>
      </c>
      <c r="N1283" s="3">
        <v>82.5</v>
      </c>
      <c r="O1283" s="4" t="e">
        <f t="array" aca="1" ref="O1283">MAX(L1283:N1283*(1-strike(L1283:N1283)))</f>
        <v>#NAME?</v>
      </c>
      <c r="P1283" s="3">
        <v>140</v>
      </c>
      <c r="Q1283" s="3">
        <v>145</v>
      </c>
      <c r="R1283" s="3">
        <v>147.5</v>
      </c>
      <c r="S1283" s="4" t="e">
        <f t="array" aca="1" ref="S1283">MAX(P1283:R1283*(1-strike(P1283:R1283)))</f>
        <v>#NAME?</v>
      </c>
      <c r="T1283" s="4" t="e">
        <f t="shared" si="20"/>
        <v>#NAME?</v>
      </c>
      <c r="U1283" s="3">
        <v>360</v>
      </c>
      <c r="V1283" s="3">
        <v>430.51</v>
      </c>
      <c r="W1283" s="3">
        <v>3</v>
      </c>
      <c r="X1283" s="5">
        <v>2014</v>
      </c>
      <c r="Y1283" s="5" t="s">
        <v>852</v>
      </c>
      <c r="Z1283" s="5" t="s">
        <v>30</v>
      </c>
      <c r="AA1283" s="5">
        <v>770</v>
      </c>
    </row>
    <row r="1284" spans="1:27" ht="15" customHeight="1">
      <c r="A1284" s="4">
        <v>8</v>
      </c>
      <c r="B1284" s="4" t="s">
        <v>275</v>
      </c>
      <c r="C1284" s="4">
        <v>1988</v>
      </c>
      <c r="D1284" s="4" t="s">
        <v>905</v>
      </c>
      <c r="E1284" s="4">
        <v>54.74</v>
      </c>
      <c r="F1284" s="7">
        <v>11985</v>
      </c>
      <c r="G1284" s="4">
        <v>10</v>
      </c>
      <c r="H1284" s="4">
        <v>155</v>
      </c>
      <c r="I1284" s="4">
        <v>162.5</v>
      </c>
      <c r="J1284" s="4">
        <v>167.5</v>
      </c>
      <c r="K1284" s="4" t="e">
        <f t="array" aca="1" ref="K1284">MAX(H1284:J1284*(1-strike(H1284:J1284)))</f>
        <v>#NAME?</v>
      </c>
      <c r="L1284" s="4">
        <v>92.5</v>
      </c>
      <c r="M1284" s="6">
        <v>97.5</v>
      </c>
      <c r="N1284" s="6">
        <v>97.5</v>
      </c>
      <c r="O1284" s="4" t="e">
        <f t="array" aca="1" ref="O1284">MAX(L1284:N1284*(1-strike(L1284:N1284)))</f>
        <v>#NAME?</v>
      </c>
      <c r="P1284" s="4">
        <v>152.5</v>
      </c>
      <c r="Q1284" s="4">
        <v>157.5</v>
      </c>
      <c r="R1284" s="6">
        <v>162.5</v>
      </c>
      <c r="S1284" s="4" t="e">
        <f t="array" aca="1" ref="S1284">MAX(P1284:R1284*(1-strike(P1284:R1284)))</f>
        <v>#NAME?</v>
      </c>
      <c r="T1284" s="4" t="e">
        <f t="shared" si="20"/>
        <v>#NAME?</v>
      </c>
      <c r="U1284" s="4">
        <v>417.5</v>
      </c>
      <c r="V1284" s="4">
        <v>500.37</v>
      </c>
      <c r="W1284" s="4">
        <v>3</v>
      </c>
      <c r="X1284" s="5">
        <v>2014</v>
      </c>
      <c r="Y1284" s="5" t="s">
        <v>852</v>
      </c>
      <c r="Z1284" s="5" t="s">
        <v>171</v>
      </c>
      <c r="AA1284" s="5">
        <v>597</v>
      </c>
    </row>
    <row r="1285" spans="1:27">
      <c r="A1285" s="3">
        <v>11</v>
      </c>
      <c r="B1285" s="3" t="s">
        <v>972</v>
      </c>
      <c r="C1285" s="3">
        <v>1988</v>
      </c>
      <c r="D1285" s="3" t="s">
        <v>51</v>
      </c>
      <c r="E1285" s="3">
        <v>54.92</v>
      </c>
      <c r="F1285" s="2">
        <v>11947</v>
      </c>
      <c r="G1285" s="3">
        <v>15</v>
      </c>
      <c r="H1285" s="3">
        <v>132.5</v>
      </c>
      <c r="I1285" s="3">
        <v>140</v>
      </c>
      <c r="J1285" s="3">
        <v>145</v>
      </c>
      <c r="K1285" s="4" t="e">
        <f t="array" aca="1" ref="K1285">MAX(H1285:J1285*(1-strike(H1285:J1285)))</f>
        <v>#NAME?</v>
      </c>
      <c r="L1285" s="3">
        <v>85</v>
      </c>
      <c r="M1285" s="1">
        <v>90</v>
      </c>
      <c r="N1285" s="1">
        <v>90</v>
      </c>
      <c r="O1285" s="4" t="e">
        <f t="array" aca="1" ref="O1285">MAX(L1285:N1285*(1-strike(L1285:N1285)))</f>
        <v>#NAME?</v>
      </c>
      <c r="P1285" s="3">
        <v>145</v>
      </c>
      <c r="Q1285" s="3">
        <v>152.5</v>
      </c>
      <c r="R1285" s="1">
        <v>157.5</v>
      </c>
      <c r="S1285" s="4" t="e">
        <f t="array" aca="1" ref="S1285">MAX(P1285:R1285*(1-strike(P1285:R1285)))</f>
        <v>#NAME?</v>
      </c>
      <c r="T1285" s="4" t="e">
        <f t="shared" si="20"/>
        <v>#NAME?</v>
      </c>
      <c r="U1285" s="3">
        <v>382.5</v>
      </c>
      <c r="V1285" s="3">
        <v>456.97</v>
      </c>
      <c r="W1285" s="3">
        <v>1</v>
      </c>
      <c r="X1285" s="5">
        <v>2013</v>
      </c>
      <c r="Y1285" s="5" t="s">
        <v>852</v>
      </c>
      <c r="Z1285" s="5" t="s">
        <v>171</v>
      </c>
      <c r="AA1285" s="5">
        <v>965</v>
      </c>
    </row>
    <row r="1286" spans="1:27">
      <c r="A1286" s="3">
        <v>10</v>
      </c>
      <c r="B1286" s="3" t="s">
        <v>277</v>
      </c>
      <c r="C1286" s="3">
        <v>1981</v>
      </c>
      <c r="D1286" s="3" t="s">
        <v>62</v>
      </c>
      <c r="E1286" s="3">
        <v>51.65</v>
      </c>
      <c r="F1286" s="2">
        <v>12531</v>
      </c>
      <c r="G1286" s="3">
        <v>17</v>
      </c>
      <c r="H1286" s="3">
        <v>140</v>
      </c>
      <c r="I1286" s="3">
        <v>147.5</v>
      </c>
      <c r="J1286" s="3">
        <v>152.5</v>
      </c>
      <c r="K1286" s="4" t="e">
        <f t="array" aca="1" ref="K1286">MAX(H1286:J1286*(1-strike(H1286:J1286)))</f>
        <v>#NAME?</v>
      </c>
      <c r="L1286" s="3">
        <v>85</v>
      </c>
      <c r="M1286" s="3">
        <v>90</v>
      </c>
      <c r="N1286" s="1">
        <v>92.5</v>
      </c>
      <c r="O1286" s="4" t="e">
        <f t="array" aca="1" ref="O1286">MAX(L1286:N1286*(1-strike(L1286:N1286)))</f>
        <v>#NAME?</v>
      </c>
      <c r="P1286" s="3">
        <v>157.5</v>
      </c>
      <c r="Q1286" s="3">
        <v>167.5</v>
      </c>
      <c r="R1286" s="1">
        <v>177.5</v>
      </c>
      <c r="S1286" s="4" t="e">
        <f t="array" aca="1" ref="S1286">MAX(P1286:R1286*(1-strike(P1286:R1286)))</f>
        <v>#NAME?</v>
      </c>
      <c r="T1286" s="4" t="e">
        <f t="shared" si="20"/>
        <v>#NAME?</v>
      </c>
      <c r="U1286" s="3">
        <v>410</v>
      </c>
      <c r="V1286" s="3">
        <v>513.77</v>
      </c>
      <c r="W1286" s="3">
        <v>1</v>
      </c>
      <c r="X1286" s="5">
        <v>2013</v>
      </c>
      <c r="Y1286" s="5" t="s">
        <v>852</v>
      </c>
      <c r="Z1286" s="5" t="s">
        <v>171</v>
      </c>
      <c r="AA1286" s="5">
        <v>948</v>
      </c>
    </row>
    <row r="1287" spans="1:27">
      <c r="A1287" s="3">
        <v>6</v>
      </c>
      <c r="B1287" s="3" t="s">
        <v>973</v>
      </c>
      <c r="C1287" s="3">
        <v>1971</v>
      </c>
      <c r="D1287" s="3" t="s">
        <v>77</v>
      </c>
      <c r="E1287" s="3">
        <v>46.35</v>
      </c>
      <c r="F1287" s="2">
        <v>13583</v>
      </c>
      <c r="G1287" s="3">
        <v>17</v>
      </c>
      <c r="H1287" s="3">
        <v>65</v>
      </c>
      <c r="I1287" s="3">
        <v>70</v>
      </c>
      <c r="J1287" s="3">
        <v>72.5</v>
      </c>
      <c r="K1287" s="4" t="e">
        <f t="array" aca="1" ref="K1287">MAX(H1287:J1287*(1-strike(H1287:J1287)))</f>
        <v>#NAME?</v>
      </c>
      <c r="L1287" s="3">
        <v>52.5</v>
      </c>
      <c r="M1287" s="1">
        <v>57.5</v>
      </c>
      <c r="N1287" s="3">
        <v>57.5</v>
      </c>
      <c r="O1287" s="4" t="e">
        <f t="array" aca="1" ref="O1287">MAX(L1287:N1287*(1-strike(L1287:N1287)))</f>
        <v>#NAME?</v>
      </c>
      <c r="P1287" s="3">
        <v>95</v>
      </c>
      <c r="Q1287" s="1">
        <v>105</v>
      </c>
      <c r="R1287" s="1">
        <v>107.5</v>
      </c>
      <c r="S1287" s="4" t="e">
        <f t="array" aca="1" ref="S1287">MAX(P1287:R1287*(1-strike(P1287:R1287)))</f>
        <v>#NAME?</v>
      </c>
      <c r="T1287" s="4" t="e">
        <f t="shared" si="20"/>
        <v>#NAME?</v>
      </c>
      <c r="U1287" s="3">
        <v>225</v>
      </c>
      <c r="V1287" s="3">
        <v>305.62</v>
      </c>
      <c r="W1287" s="3">
        <v>5</v>
      </c>
      <c r="X1287" s="5">
        <v>2012</v>
      </c>
      <c r="Y1287" s="5" t="s">
        <v>852</v>
      </c>
      <c r="Z1287" s="5" t="s">
        <v>30</v>
      </c>
      <c r="AA1287" s="5">
        <v>1548</v>
      </c>
    </row>
    <row r="1288" spans="1:27">
      <c r="A1288" s="3">
        <v>10</v>
      </c>
      <c r="B1288" s="3" t="s">
        <v>973</v>
      </c>
      <c r="C1288" s="3">
        <v>1971</v>
      </c>
      <c r="D1288" s="3" t="s">
        <v>77</v>
      </c>
      <c r="E1288" s="3">
        <v>46.7</v>
      </c>
      <c r="F1288" s="2">
        <v>13511</v>
      </c>
      <c r="G1288" s="3">
        <v>8</v>
      </c>
      <c r="H1288" s="3">
        <v>70</v>
      </c>
      <c r="I1288" s="1">
        <v>75</v>
      </c>
      <c r="J1288" s="1">
        <v>75</v>
      </c>
      <c r="K1288" s="4" t="e">
        <f t="array" aca="1" ref="K1288">MAX(H1288:J1288*(1-strike(H1288:J1288)))</f>
        <v>#NAME?</v>
      </c>
      <c r="L1288" s="3">
        <v>52.5</v>
      </c>
      <c r="M1288" s="1">
        <v>57.5</v>
      </c>
      <c r="N1288" s="1">
        <v>57.5</v>
      </c>
      <c r="O1288" s="4" t="e">
        <f t="array" aca="1" ref="O1288">MAX(L1288:N1288*(1-strike(L1288:N1288)))</f>
        <v>#NAME?</v>
      </c>
      <c r="P1288" s="3">
        <v>97.5</v>
      </c>
      <c r="Q1288" s="3">
        <v>102.5</v>
      </c>
      <c r="R1288" s="3">
        <v>110</v>
      </c>
      <c r="S1288" s="4" t="e">
        <f t="array" aca="1" ref="S1288">MAX(P1288:R1288*(1-strike(P1288:R1288)))</f>
        <v>#NAME?</v>
      </c>
      <c r="T1288" s="4" t="e">
        <f t="shared" si="20"/>
        <v>#NAME?</v>
      </c>
      <c r="U1288" s="3">
        <v>232.5</v>
      </c>
      <c r="V1288" s="3">
        <v>314.13</v>
      </c>
      <c r="W1288" s="3">
        <v>1</v>
      </c>
      <c r="X1288" s="5">
        <v>2013</v>
      </c>
      <c r="Y1288" s="5" t="s">
        <v>852</v>
      </c>
      <c r="Z1288" s="5" t="s">
        <v>30</v>
      </c>
      <c r="AA1288" s="5">
        <v>1132</v>
      </c>
    </row>
    <row r="1289" spans="1:27">
      <c r="A1289" s="3">
        <v>5</v>
      </c>
      <c r="B1289" s="3" t="s">
        <v>974</v>
      </c>
      <c r="C1289" s="3">
        <v>1965</v>
      </c>
      <c r="D1289" s="3" t="s">
        <v>39</v>
      </c>
      <c r="E1289" s="3">
        <v>61.95</v>
      </c>
      <c r="F1289" s="2">
        <v>10877</v>
      </c>
      <c r="G1289" s="3">
        <v>10</v>
      </c>
      <c r="H1289" s="3">
        <v>125</v>
      </c>
      <c r="I1289" s="1">
        <v>132.5</v>
      </c>
      <c r="J1289" s="1">
        <v>132.5</v>
      </c>
      <c r="K1289" s="4" t="e">
        <f t="array" aca="1" ref="K1289">MAX(H1289:J1289*(1-strike(H1289:J1289)))</f>
        <v>#NAME?</v>
      </c>
      <c r="L1289" s="1">
        <v>87.5</v>
      </c>
      <c r="M1289" s="3">
        <v>87.5</v>
      </c>
      <c r="N1289" s="1">
        <v>90</v>
      </c>
      <c r="O1289" s="4" t="e">
        <f t="array" aca="1" ref="O1289">MAX(L1289:N1289*(1-strike(L1289:N1289)))</f>
        <v>#NAME?</v>
      </c>
      <c r="P1289" s="3">
        <v>155</v>
      </c>
      <c r="Q1289" s="3">
        <v>165</v>
      </c>
      <c r="R1289" s="1">
        <v>170</v>
      </c>
      <c r="S1289" s="4" t="e">
        <f t="array" aca="1" ref="S1289">MAX(P1289:R1289*(1-strike(P1289:R1289)))</f>
        <v>#NAME?</v>
      </c>
      <c r="T1289" s="4" t="e">
        <f t="shared" si="20"/>
        <v>#NAME?</v>
      </c>
      <c r="U1289" s="3">
        <v>377.5</v>
      </c>
      <c r="V1289" s="3">
        <v>410.63</v>
      </c>
      <c r="W1289" s="3">
        <v>6</v>
      </c>
      <c r="X1289" s="5">
        <v>2013</v>
      </c>
      <c r="Y1289" s="5" t="s">
        <v>852</v>
      </c>
      <c r="Z1289" s="5" t="s">
        <v>30</v>
      </c>
      <c r="AA1289" s="5">
        <v>1156</v>
      </c>
    </row>
    <row r="1290" spans="1:27">
      <c r="A1290" s="3">
        <v>9</v>
      </c>
      <c r="B1290" s="3" t="s">
        <v>975</v>
      </c>
      <c r="C1290" s="3">
        <v>1986</v>
      </c>
      <c r="D1290" s="3" t="s">
        <v>56</v>
      </c>
      <c r="E1290" s="3">
        <v>55.7</v>
      </c>
      <c r="F1290" s="2">
        <v>11816</v>
      </c>
      <c r="G1290" s="3">
        <v>9</v>
      </c>
      <c r="H1290" s="3">
        <v>120</v>
      </c>
      <c r="I1290" s="3">
        <v>125</v>
      </c>
      <c r="J1290" s="1">
        <v>127.5</v>
      </c>
      <c r="K1290" s="4" t="e">
        <f t="array" aca="1" ref="K1290">MAX(H1290:J1290*(1-strike(H1290:J1290)))</f>
        <v>#NAME?</v>
      </c>
      <c r="L1290" s="3">
        <v>75</v>
      </c>
      <c r="M1290" s="3">
        <v>77.5</v>
      </c>
      <c r="N1290" s="1">
        <v>80</v>
      </c>
      <c r="O1290" s="4" t="e">
        <f t="array" aca="1" ref="O1290">MAX(L1290:N1290*(1-strike(L1290:N1290)))</f>
        <v>#NAME?</v>
      </c>
      <c r="P1290" s="1">
        <v>132.5</v>
      </c>
      <c r="Q1290" s="3">
        <v>132.5</v>
      </c>
      <c r="R1290" s="1">
        <v>137.5</v>
      </c>
      <c r="S1290" s="4" t="e">
        <f t="array" aca="1" ref="S1290">MAX(P1290:R1290*(1-strike(P1290:R1290)))</f>
        <v>#NAME?</v>
      </c>
      <c r="T1290" s="4" t="e">
        <f t="shared" si="20"/>
        <v>#NAME?</v>
      </c>
      <c r="U1290" s="3">
        <v>335</v>
      </c>
      <c r="V1290" s="3">
        <v>395.84</v>
      </c>
      <c r="W1290" s="3">
        <v>2</v>
      </c>
      <c r="X1290" s="5">
        <v>2014</v>
      </c>
      <c r="Y1290" s="5" t="s">
        <v>852</v>
      </c>
      <c r="Z1290" s="5" t="s">
        <v>30</v>
      </c>
      <c r="AA1290" s="5">
        <v>771</v>
      </c>
    </row>
    <row r="1291" spans="1:27">
      <c r="A1291" s="4">
        <v>7</v>
      </c>
      <c r="B1291" s="4" t="s">
        <v>976</v>
      </c>
      <c r="C1291" s="4">
        <v>1970</v>
      </c>
      <c r="D1291" s="4" t="s">
        <v>977</v>
      </c>
      <c r="E1291" s="4">
        <v>79.34</v>
      </c>
      <c r="F1291" s="4">
        <v>0.91949999999999998</v>
      </c>
      <c r="G1291" s="4">
        <v>2</v>
      </c>
      <c r="H1291" s="4">
        <v>195</v>
      </c>
      <c r="I1291" s="6">
        <v>205</v>
      </c>
      <c r="J1291" s="6">
        <v>210</v>
      </c>
      <c r="K1291" s="4" t="e">
        <f t="array" aca="1" ref="K1291">MAX(H1291:J1291*(1-strike(H1291:J1291)))</f>
        <v>#NAME?</v>
      </c>
      <c r="L1291" s="4">
        <v>120</v>
      </c>
      <c r="M1291" s="4">
        <v>127.5</v>
      </c>
      <c r="N1291" s="4">
        <v>132.5</v>
      </c>
      <c r="O1291" s="4" t="e">
        <f t="array" aca="1" ref="O1291">MAX(L1291:N1291*(1-strike(L1291:N1291)))</f>
        <v>#NAME?</v>
      </c>
      <c r="P1291" s="4">
        <v>185</v>
      </c>
      <c r="Q1291" s="4">
        <v>195</v>
      </c>
      <c r="R1291" s="6">
        <v>202.5</v>
      </c>
      <c r="S1291" s="4" t="e">
        <f t="array" aca="1" ref="S1291">MAX(P1291:R1291*(1-strike(P1291:R1291)))</f>
        <v>#NAME?</v>
      </c>
      <c r="T1291" s="4" t="e">
        <f t="shared" si="20"/>
        <v>#NAME?</v>
      </c>
      <c r="U1291" s="4">
        <v>522.5</v>
      </c>
      <c r="V1291" s="4">
        <v>480.43</v>
      </c>
      <c r="W1291" s="4">
        <v>4</v>
      </c>
      <c r="X1291" s="5">
        <v>2014</v>
      </c>
      <c r="Y1291" s="5" t="s">
        <v>852</v>
      </c>
      <c r="Z1291" s="5" t="s">
        <v>171</v>
      </c>
      <c r="AA1291" s="5">
        <v>632</v>
      </c>
    </row>
    <row r="1292" spans="1:27" ht="15" customHeight="1">
      <c r="A1292" s="3">
        <v>6</v>
      </c>
      <c r="B1292" s="3" t="s">
        <v>278</v>
      </c>
      <c r="C1292" s="3">
        <v>1973</v>
      </c>
      <c r="D1292" s="3" t="s">
        <v>80</v>
      </c>
      <c r="E1292" s="3">
        <v>103.75</v>
      </c>
      <c r="F1292" s="3">
        <v>0.82420000000000004</v>
      </c>
      <c r="G1292" s="3">
        <v>16</v>
      </c>
      <c r="H1292" s="3">
        <v>177.5</v>
      </c>
      <c r="I1292" s="3">
        <v>185</v>
      </c>
      <c r="J1292" s="3">
        <v>190</v>
      </c>
      <c r="K1292" s="4" t="e">
        <f t="array" aca="1" ref="K1292">MAX(H1292:J1292*(1-strike(H1292:J1292)))</f>
        <v>#NAME?</v>
      </c>
      <c r="L1292" s="3">
        <v>95</v>
      </c>
      <c r="M1292" s="1">
        <v>100</v>
      </c>
      <c r="N1292" s="1">
        <v>100</v>
      </c>
      <c r="O1292" s="4" t="e">
        <f t="array" aca="1" ref="O1292">MAX(L1292:N1292*(1-strike(L1292:N1292)))</f>
        <v>#NAME?</v>
      </c>
      <c r="P1292" s="3">
        <v>177.5</v>
      </c>
      <c r="Q1292" s="1">
        <v>182.5</v>
      </c>
      <c r="R1292" s="1">
        <v>187.5</v>
      </c>
      <c r="S1292" s="4" t="e">
        <f t="array" aca="1" ref="S1292">MAX(P1292:R1292*(1-strike(P1292:R1292)))</f>
        <v>#NAME?</v>
      </c>
      <c r="T1292" s="4" t="e">
        <f t="shared" si="20"/>
        <v>#NAME?</v>
      </c>
      <c r="U1292" s="3">
        <v>462.5</v>
      </c>
      <c r="V1292" s="3">
        <v>381.19</v>
      </c>
      <c r="W1292" s="3">
        <v>5</v>
      </c>
      <c r="X1292" s="5">
        <v>2013</v>
      </c>
      <c r="Y1292" s="5" t="s">
        <v>852</v>
      </c>
      <c r="Z1292" s="5" t="s">
        <v>30</v>
      </c>
      <c r="AA1292" s="5">
        <v>1186</v>
      </c>
    </row>
    <row r="1293" spans="1:27">
      <c r="A1293" s="3">
        <v>2</v>
      </c>
      <c r="B1293" s="3" t="s">
        <v>281</v>
      </c>
      <c r="C1293" s="3">
        <v>1980</v>
      </c>
      <c r="D1293" s="3" t="s">
        <v>282</v>
      </c>
      <c r="E1293" s="3">
        <v>51.88</v>
      </c>
      <c r="F1293" s="2">
        <v>12489</v>
      </c>
      <c r="G1293" s="3">
        <v>16</v>
      </c>
      <c r="H1293" s="3">
        <v>200</v>
      </c>
      <c r="I1293" s="3">
        <v>210</v>
      </c>
      <c r="J1293" s="3">
        <v>215</v>
      </c>
      <c r="K1293" s="4" t="e">
        <f t="array" aca="1" ref="K1293">MAX(H1293:J1293*(1-strike(H1293:J1293)))</f>
        <v>#NAME?</v>
      </c>
      <c r="L1293" s="3">
        <v>92.5</v>
      </c>
      <c r="M1293" s="3">
        <v>97.5</v>
      </c>
      <c r="N1293" s="1">
        <v>100</v>
      </c>
      <c r="O1293" s="4" t="e">
        <f t="array" aca="1" ref="O1293">MAX(L1293:N1293*(1-strike(L1293:N1293)))</f>
        <v>#NAME?</v>
      </c>
      <c r="P1293" s="3">
        <v>167.5</v>
      </c>
      <c r="Q1293" s="3">
        <v>177.5</v>
      </c>
      <c r="R1293" s="1">
        <v>185</v>
      </c>
      <c r="S1293" s="4" t="e">
        <f t="array" aca="1" ref="S1293">MAX(P1293:R1293*(1-strike(P1293:R1293)))</f>
        <v>#NAME?</v>
      </c>
      <c r="T1293" s="4" t="e">
        <f t="shared" si="20"/>
        <v>#NAME?</v>
      </c>
      <c r="U1293" s="3">
        <v>490</v>
      </c>
      <c r="V1293" s="3">
        <v>611.95000000000005</v>
      </c>
      <c r="W1293" s="3">
        <v>9</v>
      </c>
      <c r="X1293" s="5">
        <v>2012</v>
      </c>
      <c r="Y1293" s="5" t="s">
        <v>852</v>
      </c>
      <c r="Z1293" s="5" t="s">
        <v>171</v>
      </c>
      <c r="AA1293" s="5">
        <v>1343</v>
      </c>
    </row>
    <row r="1294" spans="1:27">
      <c r="A1294" s="3">
        <v>3</v>
      </c>
      <c r="B1294" s="3" t="s">
        <v>281</v>
      </c>
      <c r="C1294" s="3">
        <v>1980</v>
      </c>
      <c r="D1294" s="3" t="s">
        <v>282</v>
      </c>
      <c r="E1294" s="3">
        <v>51.81</v>
      </c>
      <c r="F1294" s="2">
        <v>12502</v>
      </c>
      <c r="G1294" s="3">
        <v>16</v>
      </c>
      <c r="H1294" s="3">
        <v>205</v>
      </c>
      <c r="I1294" s="1">
        <v>218</v>
      </c>
      <c r="J1294" s="1">
        <v>218</v>
      </c>
      <c r="K1294" s="4" t="e">
        <f t="array" aca="1" ref="K1294">MAX(H1294:J1294*(1-strike(H1294:J1294)))</f>
        <v>#NAME?</v>
      </c>
      <c r="L1294" s="3">
        <v>92.5</v>
      </c>
      <c r="M1294" s="3">
        <v>97.5</v>
      </c>
      <c r="N1294" s="3">
        <v>100</v>
      </c>
      <c r="O1294" s="4" t="e">
        <f t="array" aca="1" ref="O1294">MAX(L1294:N1294*(1-strike(L1294:N1294)))</f>
        <v>#NAME?</v>
      </c>
      <c r="P1294" s="1">
        <v>170</v>
      </c>
      <c r="Q1294" s="1">
        <v>175</v>
      </c>
      <c r="R1294" s="3">
        <v>177.5</v>
      </c>
      <c r="S1294" s="4" t="e">
        <f t="array" aca="1" ref="S1294">MAX(P1294:R1294*(1-strike(P1294:R1294)))</f>
        <v>#NAME?</v>
      </c>
      <c r="T1294" s="4" t="e">
        <f t="shared" si="20"/>
        <v>#NAME?</v>
      </c>
      <c r="U1294" s="3">
        <v>482.5</v>
      </c>
      <c r="V1294" s="3">
        <v>603.22</v>
      </c>
      <c r="W1294" s="3">
        <v>8</v>
      </c>
      <c r="X1294" s="5">
        <v>2013</v>
      </c>
      <c r="Y1294" s="5" t="s">
        <v>852</v>
      </c>
      <c r="Z1294" s="5" t="s">
        <v>171</v>
      </c>
      <c r="AA1294" s="5">
        <v>941</v>
      </c>
    </row>
    <row r="1295" spans="1:27">
      <c r="A1295" s="3">
        <v>3</v>
      </c>
      <c r="B1295" s="3" t="s">
        <v>281</v>
      </c>
      <c r="C1295" s="3">
        <v>1980</v>
      </c>
      <c r="D1295" s="3" t="s">
        <v>282</v>
      </c>
      <c r="E1295" s="3">
        <v>51.9</v>
      </c>
      <c r="F1295" s="2">
        <v>12485</v>
      </c>
      <c r="G1295" s="3">
        <v>9</v>
      </c>
      <c r="H1295" s="3">
        <v>132.5</v>
      </c>
      <c r="I1295" s="3">
        <v>142.5</v>
      </c>
      <c r="J1295" s="3">
        <v>147.5</v>
      </c>
      <c r="K1295" s="4" t="e">
        <f t="array" aca="1" ref="K1295">MAX(H1295:J1295*(1-strike(H1295:J1295)))</f>
        <v>#NAME?</v>
      </c>
      <c r="L1295" s="3">
        <v>75</v>
      </c>
      <c r="M1295" s="3">
        <v>80</v>
      </c>
      <c r="N1295" s="3">
        <v>82.5</v>
      </c>
      <c r="O1295" s="4" t="e">
        <f t="array" aca="1" ref="O1295">MAX(L1295:N1295*(1-strike(L1295:N1295)))</f>
        <v>#NAME?</v>
      </c>
      <c r="P1295" s="3">
        <v>150</v>
      </c>
      <c r="Q1295" s="1">
        <v>160</v>
      </c>
      <c r="R1295" s="1">
        <v>162.5</v>
      </c>
      <c r="S1295" s="4" t="e">
        <f t="array" aca="1" ref="S1295">MAX(P1295:R1295*(1-strike(P1295:R1295)))</f>
        <v>#NAME?</v>
      </c>
      <c r="T1295" s="4" t="e">
        <f t="shared" si="20"/>
        <v>#NAME?</v>
      </c>
      <c r="U1295" s="3">
        <v>380</v>
      </c>
      <c r="V1295" s="3">
        <v>474.43</v>
      </c>
      <c r="W1295" s="3">
        <v>8</v>
      </c>
      <c r="X1295" s="5">
        <v>2014</v>
      </c>
      <c r="Y1295" s="5" t="s">
        <v>852</v>
      </c>
      <c r="Z1295" s="5" t="s">
        <v>30</v>
      </c>
      <c r="AA1295" s="5">
        <v>757</v>
      </c>
    </row>
    <row r="1296" spans="1:27">
      <c r="A1296" s="4">
        <v>2</v>
      </c>
      <c r="B1296" s="4" t="s">
        <v>281</v>
      </c>
      <c r="C1296" s="4">
        <v>1980</v>
      </c>
      <c r="D1296" s="4" t="s">
        <v>859</v>
      </c>
      <c r="E1296" s="4">
        <v>51.7</v>
      </c>
      <c r="F1296" s="7">
        <v>12522</v>
      </c>
      <c r="G1296" s="4">
        <v>10</v>
      </c>
      <c r="H1296" s="4">
        <v>195</v>
      </c>
      <c r="I1296" s="4">
        <v>205</v>
      </c>
      <c r="J1296" s="4">
        <v>212.5</v>
      </c>
      <c r="K1296" s="4" t="e">
        <f t="array" aca="1" ref="K1296">MAX(H1296:J1296*(1-strike(H1296:J1296)))</f>
        <v>#NAME?</v>
      </c>
      <c r="L1296" s="4">
        <v>92.5</v>
      </c>
      <c r="M1296" s="4">
        <v>97.5</v>
      </c>
      <c r="N1296" s="4">
        <v>102.5</v>
      </c>
      <c r="O1296" s="4" t="e">
        <f t="array" aca="1" ref="O1296">MAX(L1296:N1296*(1-strike(L1296:N1296)))</f>
        <v>#NAME?</v>
      </c>
      <c r="P1296" s="4">
        <v>162.5</v>
      </c>
      <c r="Q1296" s="4">
        <v>172.5</v>
      </c>
      <c r="R1296" s="4">
        <v>180</v>
      </c>
      <c r="S1296" s="4" t="e">
        <f t="array" aca="1" ref="S1296">MAX(P1296:R1296*(1-strike(P1296:R1296)))</f>
        <v>#NAME?</v>
      </c>
      <c r="T1296" s="4" t="e">
        <f t="shared" si="20"/>
        <v>#NAME?</v>
      </c>
      <c r="U1296" s="4">
        <v>495</v>
      </c>
      <c r="V1296" s="4">
        <v>619.83000000000004</v>
      </c>
      <c r="W1296" s="4">
        <v>9</v>
      </c>
      <c r="X1296" s="5">
        <v>2014</v>
      </c>
      <c r="Y1296" s="5" t="s">
        <v>852</v>
      </c>
      <c r="Z1296" s="5" t="s">
        <v>171</v>
      </c>
      <c r="AA1296" s="5">
        <v>577</v>
      </c>
    </row>
    <row r="1297" spans="1:27">
      <c r="A1297" s="3">
        <v>5</v>
      </c>
      <c r="B1297" s="3" t="s">
        <v>978</v>
      </c>
      <c r="C1297" s="3">
        <v>1975</v>
      </c>
      <c r="D1297" s="3" t="s">
        <v>80</v>
      </c>
      <c r="E1297" s="3">
        <v>62.7</v>
      </c>
      <c r="F1297" s="2">
        <v>10779</v>
      </c>
      <c r="G1297" s="3">
        <v>18</v>
      </c>
      <c r="H1297" s="1">
        <v>125</v>
      </c>
      <c r="I1297" s="3">
        <v>125</v>
      </c>
      <c r="J1297" s="1">
        <v>135</v>
      </c>
      <c r="K1297" s="4" t="e">
        <f t="array" aca="1" ref="K1297">MAX(H1297:J1297*(1-strike(H1297:J1297)))</f>
        <v>#NAME?</v>
      </c>
      <c r="L1297" s="3">
        <v>70</v>
      </c>
      <c r="M1297" s="3">
        <v>72.5</v>
      </c>
      <c r="N1297" s="3">
        <v>75</v>
      </c>
      <c r="O1297" s="4" t="e">
        <f t="array" aca="1" ref="O1297">MAX(L1297:N1297*(1-strike(L1297:N1297)))</f>
        <v>#NAME?</v>
      </c>
      <c r="P1297" s="3">
        <v>145</v>
      </c>
      <c r="Q1297" s="3">
        <v>152.5</v>
      </c>
      <c r="R1297" s="3">
        <v>157.5</v>
      </c>
      <c r="S1297" s="4" t="e">
        <f t="array" aca="1" ref="S1297">MAX(P1297:R1297*(1-strike(P1297:R1297)))</f>
        <v>#NAME?</v>
      </c>
      <c r="T1297" s="4" t="e">
        <f t="shared" si="20"/>
        <v>#NAME?</v>
      </c>
      <c r="U1297" s="3">
        <v>357.5</v>
      </c>
      <c r="V1297" s="3">
        <v>385.34</v>
      </c>
      <c r="W1297" s="3">
        <v>6</v>
      </c>
      <c r="X1297" s="5">
        <v>2012</v>
      </c>
      <c r="Y1297" s="5" t="s">
        <v>852</v>
      </c>
      <c r="Z1297" s="5" t="s">
        <v>30</v>
      </c>
      <c r="AA1297" s="5">
        <v>1579</v>
      </c>
    </row>
    <row r="1298" spans="1:27">
      <c r="A1298" s="3">
        <v>7</v>
      </c>
      <c r="B1298" s="3" t="s">
        <v>979</v>
      </c>
      <c r="C1298" s="3">
        <v>1991</v>
      </c>
      <c r="D1298" s="3" t="s">
        <v>77</v>
      </c>
      <c r="E1298" s="3">
        <v>57.65</v>
      </c>
      <c r="F1298" s="2">
        <v>11502</v>
      </c>
      <c r="G1298" s="3">
        <v>20</v>
      </c>
      <c r="H1298" s="3">
        <v>85</v>
      </c>
      <c r="I1298" s="1">
        <v>95</v>
      </c>
      <c r="J1298" s="1">
        <v>95</v>
      </c>
      <c r="K1298" s="4" t="e">
        <f t="array" aca="1" ref="K1298">MAX(H1298:J1298*(1-strike(H1298:J1298)))</f>
        <v>#NAME?</v>
      </c>
      <c r="L1298" s="3">
        <v>60</v>
      </c>
      <c r="M1298" s="3">
        <v>65</v>
      </c>
      <c r="N1298" s="1">
        <v>70</v>
      </c>
      <c r="O1298" s="4" t="e">
        <f t="array" aca="1" ref="O1298">MAX(L1298:N1298*(1-strike(L1298:N1298)))</f>
        <v>#NAME?</v>
      </c>
      <c r="P1298" s="3">
        <v>125</v>
      </c>
      <c r="Q1298" s="1">
        <v>140</v>
      </c>
      <c r="R1298" s="1">
        <v>140</v>
      </c>
      <c r="S1298" s="4" t="e">
        <f t="array" aca="1" ref="S1298">MAX(P1298:R1298*(1-strike(P1298:R1298)))</f>
        <v>#NAME?</v>
      </c>
      <c r="T1298" s="4" t="e">
        <f t="shared" si="20"/>
        <v>#NAME?</v>
      </c>
      <c r="U1298" s="3">
        <v>275</v>
      </c>
      <c r="V1298" s="3">
        <v>316.29000000000002</v>
      </c>
      <c r="W1298" s="3">
        <v>4</v>
      </c>
      <c r="X1298" s="5">
        <v>2012</v>
      </c>
      <c r="Y1298" s="5" t="s">
        <v>852</v>
      </c>
      <c r="Z1298" s="5" t="s">
        <v>30</v>
      </c>
      <c r="AA1298" s="5">
        <v>1581</v>
      </c>
    </row>
    <row r="1299" spans="1:27">
      <c r="A1299" s="3">
        <v>13</v>
      </c>
      <c r="B1299" s="3" t="s">
        <v>980</v>
      </c>
      <c r="C1299" s="3">
        <v>1985</v>
      </c>
      <c r="D1299" s="3" t="s">
        <v>45</v>
      </c>
      <c r="E1299" s="3">
        <v>71.61</v>
      </c>
      <c r="F1299" s="3">
        <v>0.97960000000000003</v>
      </c>
      <c r="G1299" s="3">
        <v>4</v>
      </c>
      <c r="H1299" s="3">
        <v>187.5</v>
      </c>
      <c r="I1299" s="1">
        <v>195</v>
      </c>
      <c r="J1299" s="3">
        <v>195</v>
      </c>
      <c r="K1299" s="4" t="e">
        <f t="array" aca="1" ref="K1299">MAX(H1299:J1299*(1-strike(H1299:J1299)))</f>
        <v>#NAME?</v>
      </c>
      <c r="L1299" s="3">
        <v>107.5</v>
      </c>
      <c r="M1299" s="1">
        <v>112.5</v>
      </c>
      <c r="N1299" s="1">
        <v>112.5</v>
      </c>
      <c r="O1299" s="4" t="e">
        <f t="array" aca="1" ref="O1299">MAX(L1299:N1299*(1-strike(L1299:N1299)))</f>
        <v>#NAME?</v>
      </c>
      <c r="P1299" s="3">
        <v>177.5</v>
      </c>
      <c r="Q1299" s="3">
        <v>187.5</v>
      </c>
      <c r="R1299" s="1">
        <v>192.5</v>
      </c>
      <c r="S1299" s="4" t="e">
        <f t="array" aca="1" ref="S1299">MAX(P1299:R1299*(1-strike(P1299:R1299)))</f>
        <v>#NAME?</v>
      </c>
      <c r="T1299" s="4" t="e">
        <f t="shared" si="20"/>
        <v>#NAME?</v>
      </c>
      <c r="U1299" s="3">
        <v>490</v>
      </c>
      <c r="V1299" s="3">
        <v>480</v>
      </c>
      <c r="W1299" s="3">
        <v>1</v>
      </c>
      <c r="X1299" s="5">
        <v>2012</v>
      </c>
      <c r="Y1299" s="5" t="s">
        <v>852</v>
      </c>
      <c r="Z1299" s="5" t="s">
        <v>171</v>
      </c>
      <c r="AA1299" s="5">
        <v>1398</v>
      </c>
    </row>
    <row r="1300" spans="1:27">
      <c r="A1300" s="3">
        <v>9</v>
      </c>
      <c r="B1300" s="3" t="s">
        <v>980</v>
      </c>
      <c r="C1300" s="3">
        <v>1985</v>
      </c>
      <c r="D1300" s="3" t="s">
        <v>45</v>
      </c>
      <c r="E1300" s="3">
        <v>69.36</v>
      </c>
      <c r="F1300" s="2">
        <v>10012</v>
      </c>
      <c r="G1300" s="3">
        <v>12</v>
      </c>
      <c r="H1300" s="3">
        <v>187.5</v>
      </c>
      <c r="I1300" s="3">
        <v>195</v>
      </c>
      <c r="J1300" s="3">
        <v>200</v>
      </c>
      <c r="K1300" s="4" t="e">
        <f t="array" aca="1" ref="K1300">MAX(H1300:J1300*(1-strike(H1300:J1300)))</f>
        <v>#NAME?</v>
      </c>
      <c r="L1300" s="3">
        <v>110</v>
      </c>
      <c r="M1300" s="1">
        <v>115</v>
      </c>
      <c r="N1300" s="3">
        <v>115</v>
      </c>
      <c r="O1300" s="4" t="e">
        <f t="array" aca="1" ref="O1300">MAX(L1300:N1300*(1-strike(L1300:N1300)))</f>
        <v>#NAME?</v>
      </c>
      <c r="P1300" s="3">
        <v>170</v>
      </c>
      <c r="Q1300" s="3">
        <v>175</v>
      </c>
      <c r="R1300" s="1">
        <v>185</v>
      </c>
      <c r="S1300" s="4" t="e">
        <f t="array" aca="1" ref="S1300">MAX(P1300:R1300*(1-strike(P1300:R1300)))</f>
        <v>#NAME?</v>
      </c>
      <c r="T1300" s="4" t="e">
        <f t="shared" si="20"/>
        <v>#NAME?</v>
      </c>
      <c r="U1300" s="3">
        <v>490</v>
      </c>
      <c r="V1300" s="3">
        <v>490.59</v>
      </c>
      <c r="W1300" s="3">
        <v>2</v>
      </c>
      <c r="X1300" s="5">
        <v>2013</v>
      </c>
      <c r="Y1300" s="5" t="s">
        <v>852</v>
      </c>
      <c r="Z1300" s="5" t="s">
        <v>171</v>
      </c>
      <c r="AA1300" s="5">
        <v>990</v>
      </c>
    </row>
    <row r="1301" spans="1:27">
      <c r="A1301" s="3">
        <v>4</v>
      </c>
      <c r="B1301" s="3" t="s">
        <v>981</v>
      </c>
      <c r="C1301" s="3">
        <v>1987</v>
      </c>
      <c r="D1301" s="3" t="s">
        <v>464</v>
      </c>
      <c r="E1301" s="3">
        <v>51.84</v>
      </c>
      <c r="F1301" s="2">
        <v>12496</v>
      </c>
      <c r="G1301" s="3">
        <v>21</v>
      </c>
      <c r="H1301" s="3">
        <v>175</v>
      </c>
      <c r="I1301" s="3">
        <v>182.5</v>
      </c>
      <c r="J1301" s="1">
        <v>190</v>
      </c>
      <c r="K1301" s="4" t="e">
        <f t="array" aca="1" ref="K1301">MAX(H1301:J1301*(1-strike(H1301:J1301)))</f>
        <v>#NAME?</v>
      </c>
      <c r="L1301" s="3">
        <v>87.5</v>
      </c>
      <c r="M1301" s="3">
        <v>92.5</v>
      </c>
      <c r="N1301" s="3">
        <v>95</v>
      </c>
      <c r="O1301" s="4" t="e">
        <f t="array" aca="1" ref="O1301">MAX(L1301:N1301*(1-strike(L1301:N1301)))</f>
        <v>#NAME?</v>
      </c>
      <c r="P1301" s="3">
        <v>175</v>
      </c>
      <c r="Q1301" s="1">
        <v>185</v>
      </c>
      <c r="R1301" s="1">
        <v>185</v>
      </c>
      <c r="S1301" s="4" t="e">
        <f t="array" aca="1" ref="S1301">MAX(P1301:R1301*(1-strike(P1301:R1301)))</f>
        <v>#NAME?</v>
      </c>
      <c r="T1301" s="4" t="e">
        <f t="shared" si="20"/>
        <v>#NAME?</v>
      </c>
      <c r="U1301" s="3">
        <v>452.5</v>
      </c>
      <c r="V1301" s="3">
        <v>565.46</v>
      </c>
      <c r="W1301" s="3">
        <v>7</v>
      </c>
      <c r="X1301" s="5">
        <v>2012</v>
      </c>
      <c r="Y1301" s="5" t="s">
        <v>852</v>
      </c>
      <c r="Z1301" s="5" t="s">
        <v>171</v>
      </c>
      <c r="AA1301" s="5">
        <v>1345</v>
      </c>
    </row>
    <row r="1302" spans="1:27" ht="15" customHeight="1">
      <c r="A1302" s="3">
        <v>2</v>
      </c>
      <c r="B1302" s="3" t="s">
        <v>283</v>
      </c>
      <c r="C1302" s="3">
        <v>1971</v>
      </c>
      <c r="D1302" s="3" t="s">
        <v>119</v>
      </c>
      <c r="E1302" s="3">
        <v>106.72</v>
      </c>
      <c r="F1302" s="3">
        <v>0.81859999999999999</v>
      </c>
      <c r="G1302" s="3">
        <v>6</v>
      </c>
      <c r="H1302" s="3">
        <v>235</v>
      </c>
      <c r="I1302" s="3">
        <v>242.5</v>
      </c>
      <c r="J1302" s="1">
        <v>250</v>
      </c>
      <c r="K1302" s="4" t="e">
        <f t="array" aca="1" ref="K1302">MAX(H1302:J1302*(1-strike(H1302:J1302)))</f>
        <v>#NAME?</v>
      </c>
      <c r="L1302" s="3">
        <v>160</v>
      </c>
      <c r="M1302" s="3">
        <v>170</v>
      </c>
      <c r="N1302" s="3">
        <v>177.5</v>
      </c>
      <c r="O1302" s="4" t="e">
        <f t="array" aca="1" ref="O1302">MAX(L1302:N1302*(1-strike(L1302:N1302)))</f>
        <v>#NAME?</v>
      </c>
      <c r="P1302" s="3">
        <v>190</v>
      </c>
      <c r="Q1302" s="3">
        <v>205</v>
      </c>
      <c r="R1302" s="3">
        <v>217.5</v>
      </c>
      <c r="S1302" s="4" t="e">
        <f t="array" aca="1" ref="S1302">MAX(P1302:R1302*(1-strike(P1302:R1302)))</f>
        <v>#NAME?</v>
      </c>
      <c r="T1302" s="4" t="e">
        <f t="shared" si="20"/>
        <v>#NAME?</v>
      </c>
      <c r="U1302" s="3">
        <v>637.5</v>
      </c>
      <c r="V1302" s="3">
        <v>521.83000000000004</v>
      </c>
      <c r="W1302" s="3">
        <v>9</v>
      </c>
      <c r="X1302" s="5">
        <v>2012</v>
      </c>
      <c r="Y1302" s="5" t="s">
        <v>852</v>
      </c>
      <c r="Z1302" s="5" t="s">
        <v>171</v>
      </c>
      <c r="AA1302" s="5">
        <v>1415</v>
      </c>
    </row>
    <row r="1303" spans="1:27">
      <c r="A1303" s="3">
        <v>4</v>
      </c>
      <c r="B1303" s="3" t="s">
        <v>283</v>
      </c>
      <c r="C1303" s="3">
        <v>1971</v>
      </c>
      <c r="D1303" s="3" t="s">
        <v>119</v>
      </c>
      <c r="E1303" s="3">
        <v>105.77</v>
      </c>
      <c r="F1303" s="3">
        <v>0.82030000000000003</v>
      </c>
      <c r="G1303" s="3">
        <v>12</v>
      </c>
      <c r="H1303" s="3">
        <v>235</v>
      </c>
      <c r="I1303" s="3">
        <v>245</v>
      </c>
      <c r="J1303" s="3">
        <v>252.5</v>
      </c>
      <c r="K1303" s="4" t="e">
        <f t="array" aca="1" ref="K1303">MAX(H1303:J1303*(1-strike(H1303:J1303)))</f>
        <v>#NAME?</v>
      </c>
      <c r="L1303" s="3">
        <v>170</v>
      </c>
      <c r="M1303" s="3">
        <v>180</v>
      </c>
      <c r="N1303" s="3">
        <v>182.5</v>
      </c>
      <c r="O1303" s="4" t="e">
        <f t="array" aca="1" ref="O1303">MAX(L1303:N1303*(1-strike(L1303:N1303)))</f>
        <v>#NAME?</v>
      </c>
      <c r="P1303" s="3">
        <v>200</v>
      </c>
      <c r="Q1303" s="3">
        <v>212.5</v>
      </c>
      <c r="R1303" s="1">
        <v>217.5</v>
      </c>
      <c r="S1303" s="4" t="e">
        <f t="array" aca="1" ref="S1303">MAX(P1303:R1303*(1-strike(P1303:R1303)))</f>
        <v>#NAME?</v>
      </c>
      <c r="T1303" s="4" t="e">
        <f t="shared" si="20"/>
        <v>#NAME?</v>
      </c>
      <c r="U1303" s="3">
        <v>647.5</v>
      </c>
      <c r="V1303" s="3">
        <v>531.14</v>
      </c>
      <c r="W1303" s="3">
        <v>7</v>
      </c>
      <c r="X1303" s="5">
        <v>2013</v>
      </c>
      <c r="Y1303" s="5" t="s">
        <v>852</v>
      </c>
      <c r="Z1303" s="5" t="s">
        <v>171</v>
      </c>
      <c r="AA1303" s="5">
        <v>1009</v>
      </c>
    </row>
    <row r="1304" spans="1:27">
      <c r="A1304" s="4">
        <v>5</v>
      </c>
      <c r="B1304" s="4" t="s">
        <v>283</v>
      </c>
      <c r="C1304" s="4">
        <v>1971</v>
      </c>
      <c r="D1304" s="4" t="s">
        <v>901</v>
      </c>
      <c r="E1304" s="4">
        <v>108.66</v>
      </c>
      <c r="F1304" s="4">
        <v>0.81520000000000004</v>
      </c>
      <c r="G1304" s="4">
        <v>17</v>
      </c>
      <c r="H1304" s="4">
        <v>240</v>
      </c>
      <c r="I1304" s="6">
        <v>247.5</v>
      </c>
      <c r="J1304" s="6">
        <v>247.5</v>
      </c>
      <c r="K1304" s="4" t="e">
        <f t="array" aca="1" ref="K1304">MAX(H1304:J1304*(1-strike(H1304:J1304)))</f>
        <v>#NAME?</v>
      </c>
      <c r="L1304" s="4">
        <v>180</v>
      </c>
      <c r="M1304" s="4">
        <v>190</v>
      </c>
      <c r="N1304" s="6">
        <v>200</v>
      </c>
      <c r="O1304" s="4" t="e">
        <f t="array" aca="1" ref="O1304">MAX(L1304:N1304*(1-strike(L1304:N1304)))</f>
        <v>#NAME?</v>
      </c>
      <c r="P1304" s="4">
        <v>195</v>
      </c>
      <c r="Q1304" s="4">
        <v>205</v>
      </c>
      <c r="R1304" s="6">
        <v>220</v>
      </c>
      <c r="S1304" s="4" t="e">
        <f t="array" aca="1" ref="S1304">MAX(P1304:R1304*(1-strike(P1304:R1304)))</f>
        <v>#NAME?</v>
      </c>
      <c r="T1304" s="4" t="e">
        <f t="shared" si="20"/>
        <v>#NAME?</v>
      </c>
      <c r="U1304" s="4">
        <v>635</v>
      </c>
      <c r="V1304" s="4">
        <v>517.65</v>
      </c>
      <c r="W1304" s="4">
        <v>6</v>
      </c>
      <c r="X1304" s="5">
        <v>2014</v>
      </c>
      <c r="Y1304" s="5" t="s">
        <v>852</v>
      </c>
      <c r="Z1304" s="5" t="s">
        <v>171</v>
      </c>
      <c r="AA1304" s="5">
        <v>639</v>
      </c>
    </row>
    <row r="1305" spans="1:27">
      <c r="A1305" s="3">
        <v>2</v>
      </c>
      <c r="B1305" s="3" t="s">
        <v>982</v>
      </c>
      <c r="C1305" s="3">
        <v>1983</v>
      </c>
      <c r="D1305" s="3" t="s">
        <v>62</v>
      </c>
      <c r="E1305" s="3">
        <v>102.65</v>
      </c>
      <c r="F1305" s="3">
        <v>0.82650000000000001</v>
      </c>
      <c r="G1305" s="3">
        <v>21</v>
      </c>
      <c r="H1305" s="3">
        <v>172.5</v>
      </c>
      <c r="I1305" s="3">
        <v>180</v>
      </c>
      <c r="J1305" s="3">
        <v>185</v>
      </c>
      <c r="K1305" s="4" t="e">
        <f t="array" aca="1" ref="K1305">MAX(H1305:J1305*(1-strike(H1305:J1305)))</f>
        <v>#NAME?</v>
      </c>
      <c r="L1305" s="3">
        <v>112.5</v>
      </c>
      <c r="M1305" s="3">
        <v>117.5</v>
      </c>
      <c r="N1305" s="3">
        <v>122.5</v>
      </c>
      <c r="O1305" s="4" t="e">
        <f t="array" aca="1" ref="O1305">MAX(L1305:N1305*(1-strike(L1305:N1305)))</f>
        <v>#NAME?</v>
      </c>
      <c r="P1305" s="3">
        <v>205</v>
      </c>
      <c r="Q1305" s="3">
        <v>215</v>
      </c>
      <c r="R1305" s="1">
        <v>220</v>
      </c>
      <c r="S1305" s="4" t="e">
        <f t="array" aca="1" ref="S1305">MAX(P1305:R1305*(1-strike(P1305:R1305)))</f>
        <v>#NAME?</v>
      </c>
      <c r="T1305" s="4" t="e">
        <f t="shared" si="20"/>
        <v>#NAME?</v>
      </c>
      <c r="U1305" s="3">
        <v>522.5</v>
      </c>
      <c r="V1305" s="3">
        <v>431.85</v>
      </c>
      <c r="W1305" s="3">
        <v>9</v>
      </c>
      <c r="X1305" s="5">
        <v>2013</v>
      </c>
      <c r="Y1305" s="5" t="s">
        <v>852</v>
      </c>
      <c r="Z1305" s="5" t="s">
        <v>30</v>
      </c>
      <c r="AA1305" s="5">
        <v>1182</v>
      </c>
    </row>
    <row r="1306" spans="1:27">
      <c r="A1306" s="3">
        <v>5</v>
      </c>
      <c r="B1306" s="3" t="s">
        <v>983</v>
      </c>
      <c r="C1306" s="3">
        <v>1987</v>
      </c>
      <c r="D1306" s="3" t="s">
        <v>62</v>
      </c>
      <c r="E1306" s="3">
        <v>52.9</v>
      </c>
      <c r="F1306" s="2">
        <v>12302</v>
      </c>
      <c r="G1306" s="3">
        <v>6</v>
      </c>
      <c r="H1306" s="3">
        <v>112.5</v>
      </c>
      <c r="I1306" s="3">
        <v>120</v>
      </c>
      <c r="J1306" s="1">
        <v>122.5</v>
      </c>
      <c r="K1306" s="4" t="e">
        <f t="array" aca="1" ref="K1306">MAX(H1306:J1306*(1-strike(H1306:J1306)))</f>
        <v>#NAME?</v>
      </c>
      <c r="L1306" s="3">
        <v>55</v>
      </c>
      <c r="M1306" s="3">
        <v>62.5</v>
      </c>
      <c r="N1306" s="3">
        <v>65</v>
      </c>
      <c r="O1306" s="4" t="e">
        <f t="array" aca="1" ref="O1306">MAX(L1306:N1306*(1-strike(L1306:N1306)))</f>
        <v>#NAME?</v>
      </c>
      <c r="P1306" s="3">
        <v>125</v>
      </c>
      <c r="Q1306" s="3">
        <v>145</v>
      </c>
      <c r="R1306" s="3">
        <v>150</v>
      </c>
      <c r="S1306" s="4" t="e">
        <f t="array" aca="1" ref="S1306">MAX(P1306:R1306*(1-strike(P1306:R1306)))</f>
        <v>#NAME?</v>
      </c>
      <c r="T1306" s="4" t="e">
        <f t="shared" si="20"/>
        <v>#NAME?</v>
      </c>
      <c r="U1306" s="3">
        <v>335</v>
      </c>
      <c r="V1306" s="3">
        <v>412.11</v>
      </c>
      <c r="W1306" s="3">
        <v>6</v>
      </c>
      <c r="X1306" s="5">
        <v>2012</v>
      </c>
      <c r="Y1306" s="5" t="s">
        <v>852</v>
      </c>
      <c r="Z1306" s="5" t="s">
        <v>30</v>
      </c>
      <c r="AA1306" s="5">
        <v>1567</v>
      </c>
    </row>
    <row r="1307" spans="1:27">
      <c r="A1307" s="3">
        <v>9</v>
      </c>
      <c r="B1307" s="3" t="s">
        <v>984</v>
      </c>
      <c r="C1307" s="3">
        <v>1968</v>
      </c>
      <c r="D1307" s="3" t="s">
        <v>54</v>
      </c>
      <c r="E1307" s="3">
        <v>71.73</v>
      </c>
      <c r="F1307" s="3">
        <v>0.97850000000000004</v>
      </c>
      <c r="G1307" s="3">
        <v>16</v>
      </c>
      <c r="H1307" s="3">
        <v>195</v>
      </c>
      <c r="I1307" s="3">
        <v>207.5</v>
      </c>
      <c r="J1307" s="1">
        <v>215</v>
      </c>
      <c r="K1307" s="4" t="e">
        <f t="array" aca="1" ref="K1307">MAX(H1307:J1307*(1-strike(H1307:J1307)))</f>
        <v>#NAME?</v>
      </c>
      <c r="L1307" s="3">
        <v>117.5</v>
      </c>
      <c r="M1307" s="3">
        <v>122.5</v>
      </c>
      <c r="N1307" s="1">
        <v>125</v>
      </c>
      <c r="O1307" s="4" t="e">
        <f t="array" aca="1" ref="O1307">MAX(L1307:N1307*(1-strike(L1307:N1307)))</f>
        <v>#NAME?</v>
      </c>
      <c r="P1307" s="3">
        <v>200</v>
      </c>
      <c r="Q1307" s="3">
        <v>210</v>
      </c>
      <c r="R1307" s="1">
        <v>215</v>
      </c>
      <c r="S1307" s="4" t="e">
        <f t="array" aca="1" ref="S1307">MAX(P1307:R1307*(1-strike(P1307:R1307)))</f>
        <v>#NAME?</v>
      </c>
      <c r="T1307" s="4" t="e">
        <f t="shared" si="20"/>
        <v>#NAME?</v>
      </c>
      <c r="U1307" s="3">
        <v>540</v>
      </c>
      <c r="V1307" s="3">
        <v>528.4</v>
      </c>
      <c r="W1307" s="3">
        <v>2</v>
      </c>
      <c r="X1307" s="5">
        <v>2012</v>
      </c>
      <c r="Y1307" s="5" t="s">
        <v>852</v>
      </c>
      <c r="Z1307" s="5" t="s">
        <v>171</v>
      </c>
      <c r="AA1307" s="5">
        <v>1394</v>
      </c>
    </row>
    <row r="1308" spans="1:27">
      <c r="A1308" s="3">
        <v>8</v>
      </c>
      <c r="B1308" s="3" t="s">
        <v>984</v>
      </c>
      <c r="C1308" s="3">
        <v>1968</v>
      </c>
      <c r="D1308" s="3" t="s">
        <v>54</v>
      </c>
      <c r="E1308" s="3">
        <v>70.5</v>
      </c>
      <c r="F1308" s="3">
        <v>0.99</v>
      </c>
      <c r="G1308" s="3">
        <v>2</v>
      </c>
      <c r="H1308" s="1">
        <v>195</v>
      </c>
      <c r="I1308" s="3">
        <v>195</v>
      </c>
      <c r="J1308" s="3">
        <v>202.5</v>
      </c>
      <c r="K1308" s="4" t="e">
        <f t="array" aca="1" ref="K1308">MAX(H1308:J1308*(1-strike(H1308:J1308)))</f>
        <v>#NAME?</v>
      </c>
      <c r="L1308" s="3">
        <v>117.5</v>
      </c>
      <c r="M1308" s="3">
        <v>120</v>
      </c>
      <c r="N1308" s="3">
        <v>122.5</v>
      </c>
      <c r="O1308" s="4" t="e">
        <f t="array" aca="1" ref="O1308">MAX(L1308:N1308*(1-strike(L1308:N1308)))</f>
        <v>#NAME?</v>
      </c>
      <c r="P1308" s="3">
        <v>195</v>
      </c>
      <c r="Q1308" s="1">
        <v>202.5</v>
      </c>
      <c r="R1308" s="3">
        <v>202.5</v>
      </c>
      <c r="S1308" s="4" t="e">
        <f t="array" aca="1" ref="S1308">MAX(P1308:R1308*(1-strike(P1308:R1308)))</f>
        <v>#NAME?</v>
      </c>
      <c r="T1308" s="4" t="e">
        <f t="shared" si="20"/>
        <v>#NAME?</v>
      </c>
      <c r="U1308" s="3">
        <v>527.5</v>
      </c>
      <c r="V1308" s="3">
        <v>522.23</v>
      </c>
      <c r="W1308" s="3">
        <v>3</v>
      </c>
      <c r="X1308" s="5">
        <v>2013</v>
      </c>
      <c r="Y1308" s="5" t="s">
        <v>852</v>
      </c>
      <c r="Z1308" s="5" t="s">
        <v>171</v>
      </c>
      <c r="AA1308" s="5">
        <v>989</v>
      </c>
    </row>
    <row r="1309" spans="1:27">
      <c r="A1309" s="4">
        <v>5</v>
      </c>
      <c r="B1309" s="4" t="s">
        <v>984</v>
      </c>
      <c r="C1309" s="4">
        <v>1968</v>
      </c>
      <c r="D1309" s="4" t="s">
        <v>851</v>
      </c>
      <c r="E1309" s="4">
        <v>71.56</v>
      </c>
      <c r="F1309" s="4">
        <v>0.97970000000000002</v>
      </c>
      <c r="G1309" s="4">
        <v>7</v>
      </c>
      <c r="H1309" s="4">
        <v>195</v>
      </c>
      <c r="I1309" s="4">
        <v>202.5</v>
      </c>
      <c r="J1309" s="4">
        <v>207.5</v>
      </c>
      <c r="K1309" s="4" t="e">
        <f t="array" aca="1" ref="K1309">MAX(H1309:J1309*(1-strike(H1309:J1309)))</f>
        <v>#NAME?</v>
      </c>
      <c r="L1309" s="4">
        <v>115</v>
      </c>
      <c r="M1309" s="4">
        <v>117.5</v>
      </c>
      <c r="N1309" s="6">
        <v>120</v>
      </c>
      <c r="O1309" s="4" t="e">
        <f t="array" aca="1" ref="O1309">MAX(L1309:N1309*(1-strike(L1309:N1309)))</f>
        <v>#NAME?</v>
      </c>
      <c r="P1309" s="4">
        <v>195</v>
      </c>
      <c r="Q1309" s="6">
        <v>205</v>
      </c>
      <c r="R1309" s="6">
        <v>205</v>
      </c>
      <c r="S1309" s="4" t="e">
        <f t="array" aca="1" ref="S1309">MAX(P1309:R1309*(1-strike(P1309:R1309)))</f>
        <v>#NAME?</v>
      </c>
      <c r="T1309" s="4" t="e">
        <f t="shared" si="20"/>
        <v>#NAME?</v>
      </c>
      <c r="U1309" s="4">
        <v>520</v>
      </c>
      <c r="V1309" s="4">
        <v>509.44</v>
      </c>
      <c r="W1309" s="4">
        <v>6</v>
      </c>
      <c r="X1309" s="5">
        <v>2014</v>
      </c>
      <c r="Y1309" s="5" t="s">
        <v>852</v>
      </c>
      <c r="Z1309" s="5" t="s">
        <v>171</v>
      </c>
      <c r="AA1309" s="5">
        <v>618</v>
      </c>
    </row>
    <row r="1310" spans="1:27">
      <c r="A1310" s="3">
        <v>6</v>
      </c>
      <c r="B1310" s="3" t="s">
        <v>985</v>
      </c>
      <c r="C1310" s="3">
        <v>1984</v>
      </c>
      <c r="D1310" s="3" t="s">
        <v>62</v>
      </c>
      <c r="E1310" s="3">
        <v>61.25</v>
      </c>
      <c r="F1310" s="2">
        <v>10973</v>
      </c>
      <c r="G1310" s="3">
        <v>19</v>
      </c>
      <c r="H1310" s="3">
        <v>120</v>
      </c>
      <c r="I1310" s="3">
        <v>135</v>
      </c>
      <c r="J1310" s="3">
        <v>137.5</v>
      </c>
      <c r="K1310" s="4" t="e">
        <f t="array" aca="1" ref="K1310">MAX(H1310:J1310*(1-strike(H1310:J1310)))</f>
        <v>#NAME?</v>
      </c>
      <c r="L1310" s="3">
        <v>72.5</v>
      </c>
      <c r="M1310" s="3">
        <v>77.5</v>
      </c>
      <c r="N1310" s="1">
        <v>85</v>
      </c>
      <c r="O1310" s="4" t="e">
        <f t="array" aca="1" ref="O1310">MAX(L1310:N1310*(1-strike(L1310:N1310)))</f>
        <v>#NAME?</v>
      </c>
      <c r="P1310" s="3">
        <v>165</v>
      </c>
      <c r="Q1310" s="3">
        <v>175</v>
      </c>
      <c r="R1310" s="3">
        <v>182.5</v>
      </c>
      <c r="S1310" s="4" t="e">
        <f t="array" aca="1" ref="S1310">MAX(P1310:R1310*(1-strike(P1310:R1310)))</f>
        <v>#NAME?</v>
      </c>
      <c r="T1310" s="4" t="e">
        <f t="shared" si="20"/>
        <v>#NAME?</v>
      </c>
      <c r="U1310" s="3">
        <v>397.5</v>
      </c>
      <c r="V1310" s="3">
        <v>436.18</v>
      </c>
      <c r="W1310" s="3">
        <v>5</v>
      </c>
      <c r="X1310" s="5">
        <v>2014</v>
      </c>
      <c r="Y1310" s="5" t="s">
        <v>852</v>
      </c>
      <c r="Z1310" s="5" t="s">
        <v>30</v>
      </c>
      <c r="AA1310" s="5">
        <v>784</v>
      </c>
    </row>
    <row r="1311" spans="1:27">
      <c r="A1311" s="3">
        <v>3</v>
      </c>
      <c r="B1311" s="3" t="s">
        <v>288</v>
      </c>
      <c r="C1311" s="3">
        <v>1968</v>
      </c>
      <c r="D1311" s="3" t="s">
        <v>289</v>
      </c>
      <c r="E1311" s="3">
        <v>50.7</v>
      </c>
      <c r="F1311" s="2">
        <v>12711</v>
      </c>
      <c r="G1311" s="3">
        <v>2</v>
      </c>
      <c r="H1311" s="3">
        <v>120</v>
      </c>
      <c r="I1311" s="3">
        <v>125</v>
      </c>
      <c r="J1311" s="1">
        <v>130</v>
      </c>
      <c r="K1311" s="4" t="e">
        <f t="array" aca="1" ref="K1311">MAX(H1311:J1311*(1-strike(H1311:J1311)))</f>
        <v>#NAME?</v>
      </c>
      <c r="L1311" s="3">
        <v>70</v>
      </c>
      <c r="M1311" s="1">
        <v>75</v>
      </c>
      <c r="N1311" s="3">
        <v>75</v>
      </c>
      <c r="O1311" s="4" t="e">
        <f t="array" aca="1" ref="O1311">MAX(L1311:N1311*(1-strike(L1311:N1311)))</f>
        <v>#NAME?</v>
      </c>
      <c r="P1311" s="3">
        <v>130</v>
      </c>
      <c r="Q1311" s="3">
        <v>140</v>
      </c>
      <c r="R1311" s="3">
        <v>152.5</v>
      </c>
      <c r="S1311" s="4" t="e">
        <f t="array" aca="1" ref="S1311">MAX(P1311:R1311*(1-strike(P1311:R1311)))</f>
        <v>#NAME?</v>
      </c>
      <c r="T1311" s="4" t="e">
        <f t="shared" si="20"/>
        <v>#NAME?</v>
      </c>
      <c r="U1311" s="3">
        <v>352.5</v>
      </c>
      <c r="V1311" s="3">
        <v>448.06</v>
      </c>
      <c r="W1311" s="3">
        <v>8</v>
      </c>
      <c r="X1311" s="5">
        <v>2012</v>
      </c>
      <c r="Y1311" s="5" t="s">
        <v>852</v>
      </c>
      <c r="Z1311" s="5" t="s">
        <v>30</v>
      </c>
      <c r="AA1311" s="5">
        <v>1552</v>
      </c>
    </row>
    <row r="1312" spans="1:27">
      <c r="A1312" s="3" t="s">
        <v>37</v>
      </c>
      <c r="B1312" s="3" t="s">
        <v>986</v>
      </c>
      <c r="C1312" s="3">
        <v>1985</v>
      </c>
      <c r="D1312" s="3" t="s">
        <v>28</v>
      </c>
      <c r="E1312" s="3">
        <v>56.44</v>
      </c>
      <c r="F1312" s="2">
        <v>11694</v>
      </c>
      <c r="G1312" s="3">
        <v>6</v>
      </c>
      <c r="H1312" s="1">
        <v>170</v>
      </c>
      <c r="I1312" s="1">
        <v>170</v>
      </c>
      <c r="J1312" s="1">
        <v>170</v>
      </c>
      <c r="K1312" s="4" t="e">
        <f t="array" aca="1" ref="K1312">MAX(H1312:J1312*(1-strike(H1312:J1312)))</f>
        <v>#NAME?</v>
      </c>
      <c r="L1312" s="3">
        <v>130</v>
      </c>
      <c r="M1312" s="3">
        <v>135</v>
      </c>
      <c r="N1312" s="3">
        <v>142.5</v>
      </c>
      <c r="O1312" s="4" t="e">
        <f t="array" aca="1" ref="O1312">MAX(L1312:N1312*(1-strike(L1312:N1312)))</f>
        <v>#NAME?</v>
      </c>
      <c r="P1312" s="3">
        <v>160</v>
      </c>
      <c r="Q1312" s="3">
        <v>180</v>
      </c>
      <c r="R1312" s="1">
        <v>192.5</v>
      </c>
      <c r="S1312" s="4" t="e">
        <f t="array" aca="1" ref="S1312">MAX(P1312:R1312*(1-strike(P1312:R1312)))</f>
        <v>#NAME?</v>
      </c>
      <c r="T1312" s="4" t="e">
        <f t="shared" si="20"/>
        <v>#NAME?</v>
      </c>
      <c r="U1312" s="3" t="s">
        <v>40</v>
      </c>
      <c r="V1312" s="3" t="s">
        <v>37</v>
      </c>
      <c r="W1312" s="3" t="s">
        <v>37</v>
      </c>
      <c r="X1312" s="5">
        <v>2013</v>
      </c>
      <c r="Y1312" s="5" t="s">
        <v>852</v>
      </c>
      <c r="Z1312" s="5" t="s">
        <v>171</v>
      </c>
      <c r="AA1312" s="5">
        <v>969</v>
      </c>
    </row>
    <row r="1313" spans="1:27">
      <c r="A1313" s="3">
        <v>2</v>
      </c>
      <c r="B1313" s="3" t="s">
        <v>987</v>
      </c>
      <c r="C1313" s="3">
        <v>1989</v>
      </c>
      <c r="D1313" s="3" t="s">
        <v>85</v>
      </c>
      <c r="E1313" s="3">
        <v>70.8</v>
      </c>
      <c r="F1313" s="3">
        <v>0.98709999999999998</v>
      </c>
      <c r="G1313" s="3">
        <v>9</v>
      </c>
      <c r="H1313" s="3">
        <v>125</v>
      </c>
      <c r="I1313" s="3">
        <v>135</v>
      </c>
      <c r="J1313" s="3">
        <v>137.5</v>
      </c>
      <c r="K1313" s="4" t="e">
        <f t="array" aca="1" ref="K1313">MAX(H1313:J1313*(1-strike(H1313:J1313)))</f>
        <v>#NAME?</v>
      </c>
      <c r="L1313" s="3">
        <v>80</v>
      </c>
      <c r="M1313" s="3">
        <v>85</v>
      </c>
      <c r="N1313" s="1">
        <v>87.5</v>
      </c>
      <c r="O1313" s="4" t="e">
        <f t="array" aca="1" ref="O1313">MAX(L1313:N1313*(1-strike(L1313:N1313)))</f>
        <v>#NAME?</v>
      </c>
      <c r="P1313" s="3">
        <v>180</v>
      </c>
      <c r="Q1313" s="3">
        <v>190</v>
      </c>
      <c r="R1313" s="1">
        <v>202.5</v>
      </c>
      <c r="S1313" s="4" t="e">
        <f t="array" aca="1" ref="S1313">MAX(P1313:R1313*(1-strike(P1313:R1313)))</f>
        <v>#NAME?</v>
      </c>
      <c r="T1313" s="4" t="e">
        <f t="shared" si="20"/>
        <v>#NAME?</v>
      </c>
      <c r="U1313" s="3">
        <v>412.5</v>
      </c>
      <c r="V1313" s="3">
        <v>407.17</v>
      </c>
      <c r="W1313" s="3">
        <v>9</v>
      </c>
      <c r="X1313" s="5">
        <v>2012</v>
      </c>
      <c r="Y1313" s="5" t="s">
        <v>852</v>
      </c>
      <c r="Z1313" s="5" t="s">
        <v>30</v>
      </c>
      <c r="AA1313" s="5">
        <v>1586</v>
      </c>
    </row>
    <row r="1314" spans="1:27">
      <c r="A1314" s="3">
        <v>3</v>
      </c>
      <c r="B1314" s="3" t="s">
        <v>987</v>
      </c>
      <c r="C1314" s="3">
        <v>1989</v>
      </c>
      <c r="D1314" s="3" t="s">
        <v>85</v>
      </c>
      <c r="E1314" s="3">
        <v>74.55</v>
      </c>
      <c r="F1314" s="3">
        <v>0.95430000000000004</v>
      </c>
      <c r="G1314" s="3">
        <v>4</v>
      </c>
      <c r="H1314" s="3">
        <v>130</v>
      </c>
      <c r="I1314" s="1">
        <v>140</v>
      </c>
      <c r="J1314" s="3">
        <v>147.5</v>
      </c>
      <c r="K1314" s="4" t="e">
        <f t="array" aca="1" ref="K1314">MAX(H1314:J1314*(1-strike(H1314:J1314)))</f>
        <v>#NAME?</v>
      </c>
      <c r="L1314" s="3">
        <v>80</v>
      </c>
      <c r="M1314" s="3">
        <v>90</v>
      </c>
      <c r="N1314" s="3">
        <v>95</v>
      </c>
      <c r="O1314" s="4" t="e">
        <f t="array" aca="1" ref="O1314">MAX(L1314:N1314*(1-strike(L1314:N1314)))</f>
        <v>#NAME?</v>
      </c>
      <c r="P1314" s="3">
        <v>170</v>
      </c>
      <c r="Q1314" s="1">
        <v>185</v>
      </c>
      <c r="R1314" s="3">
        <v>185</v>
      </c>
      <c r="S1314" s="4" t="e">
        <f t="array" aca="1" ref="S1314">MAX(P1314:R1314*(1-strike(P1314:R1314)))</f>
        <v>#NAME?</v>
      </c>
      <c r="T1314" s="4" t="e">
        <f t="shared" si="20"/>
        <v>#NAME?</v>
      </c>
      <c r="U1314" s="3">
        <v>427.5</v>
      </c>
      <c r="V1314" s="3">
        <v>407.94</v>
      </c>
      <c r="W1314" s="3">
        <v>8</v>
      </c>
      <c r="X1314" s="5">
        <v>2013</v>
      </c>
      <c r="Y1314" s="5" t="s">
        <v>852</v>
      </c>
      <c r="Z1314" s="5" t="s">
        <v>30</v>
      </c>
      <c r="AA1314" s="5">
        <v>1174</v>
      </c>
    </row>
    <row r="1315" spans="1:27">
      <c r="A1315" s="3">
        <v>3</v>
      </c>
      <c r="B1315" s="3" t="s">
        <v>987</v>
      </c>
      <c r="C1315" s="3">
        <v>1989</v>
      </c>
      <c r="D1315" s="3" t="s">
        <v>85</v>
      </c>
      <c r="E1315" s="3">
        <v>75.5</v>
      </c>
      <c r="F1315" s="3">
        <v>0.94669999999999999</v>
      </c>
      <c r="G1315" s="3">
        <v>11</v>
      </c>
      <c r="H1315" s="3">
        <v>152.5</v>
      </c>
      <c r="I1315" s="3">
        <v>162.5</v>
      </c>
      <c r="J1315" s="1">
        <v>167.5</v>
      </c>
      <c r="K1315" s="4" t="e">
        <f t="array" aca="1" ref="K1315">MAX(H1315:J1315*(1-strike(H1315:J1315)))</f>
        <v>#NAME?</v>
      </c>
      <c r="L1315" s="3">
        <v>90</v>
      </c>
      <c r="M1315" s="3">
        <v>97.5</v>
      </c>
      <c r="N1315" s="3">
        <v>100</v>
      </c>
      <c r="O1315" s="4" t="e">
        <f t="array" aca="1" ref="O1315">MAX(L1315:N1315*(1-strike(L1315:N1315)))</f>
        <v>#NAME?</v>
      </c>
      <c r="P1315" s="3">
        <v>187.5</v>
      </c>
      <c r="Q1315" s="3">
        <v>195</v>
      </c>
      <c r="R1315" s="3">
        <v>202.5</v>
      </c>
      <c r="S1315" s="4" t="e">
        <f t="array" aca="1" ref="S1315">MAX(P1315:R1315*(1-strike(P1315:R1315)))</f>
        <v>#NAME?</v>
      </c>
      <c r="T1315" s="4" t="e">
        <f t="shared" si="20"/>
        <v>#NAME?</v>
      </c>
      <c r="U1315" s="3">
        <v>465</v>
      </c>
      <c r="V1315" s="3">
        <v>440.22</v>
      </c>
      <c r="W1315" s="3">
        <v>8</v>
      </c>
      <c r="X1315" s="5">
        <v>2014</v>
      </c>
      <c r="Y1315" s="5" t="s">
        <v>852</v>
      </c>
      <c r="Z1315" s="5" t="s">
        <v>30</v>
      </c>
      <c r="AA1315" s="5">
        <v>803</v>
      </c>
    </row>
    <row r="1316" spans="1:27">
      <c r="A1316" s="3">
        <v>14</v>
      </c>
      <c r="B1316" s="3" t="s">
        <v>988</v>
      </c>
      <c r="C1316" s="3">
        <v>1982</v>
      </c>
      <c r="D1316" s="3" t="s">
        <v>194</v>
      </c>
      <c r="E1316" s="3">
        <v>56.15</v>
      </c>
      <c r="F1316" s="2">
        <v>11742</v>
      </c>
      <c r="G1316" s="3">
        <v>6</v>
      </c>
      <c r="H1316" s="3">
        <v>75</v>
      </c>
      <c r="I1316" s="3">
        <v>85</v>
      </c>
      <c r="J1316" s="3">
        <v>95</v>
      </c>
      <c r="K1316" s="4" t="e">
        <f t="array" aca="1" ref="K1316">MAX(H1316:J1316*(1-strike(H1316:J1316)))</f>
        <v>#NAME?</v>
      </c>
      <c r="L1316" s="3">
        <v>60</v>
      </c>
      <c r="M1316" s="3">
        <v>65</v>
      </c>
      <c r="N1316" s="1">
        <v>70</v>
      </c>
      <c r="O1316" s="4" t="e">
        <f t="array" aca="1" ref="O1316">MAX(L1316:N1316*(1-strike(L1316:N1316)))</f>
        <v>#NAME?</v>
      </c>
      <c r="P1316" s="3">
        <v>120</v>
      </c>
      <c r="Q1316" s="3">
        <v>132.5</v>
      </c>
      <c r="R1316" s="3">
        <v>142.5</v>
      </c>
      <c r="S1316" s="4" t="e">
        <f t="array" aca="1" ref="S1316">MAX(P1316:R1316*(1-strike(P1316:R1316)))</f>
        <v>#NAME?</v>
      </c>
      <c r="T1316" s="4" t="e">
        <f t="shared" si="20"/>
        <v>#NAME?</v>
      </c>
      <c r="U1316" s="3">
        <v>302.5</v>
      </c>
      <c r="V1316" s="3">
        <v>355.18</v>
      </c>
      <c r="W1316" s="3">
        <v>1</v>
      </c>
      <c r="X1316" s="5">
        <v>2014</v>
      </c>
      <c r="Y1316" s="5" t="s">
        <v>852</v>
      </c>
      <c r="Z1316" s="5" t="s">
        <v>30</v>
      </c>
      <c r="AA1316" s="5">
        <v>776</v>
      </c>
    </row>
    <row r="1317" spans="1:27" ht="15" customHeight="1">
      <c r="A1317" s="3">
        <v>3</v>
      </c>
      <c r="B1317" s="3" t="s">
        <v>989</v>
      </c>
      <c r="C1317" s="3">
        <v>1982</v>
      </c>
      <c r="D1317" s="3" t="s">
        <v>28</v>
      </c>
      <c r="E1317" s="3">
        <v>62.49</v>
      </c>
      <c r="F1317" s="2">
        <v>10806</v>
      </c>
      <c r="G1317" s="3">
        <v>8</v>
      </c>
      <c r="H1317" s="1">
        <v>210</v>
      </c>
      <c r="I1317" s="1">
        <v>215</v>
      </c>
      <c r="J1317" s="3">
        <v>215</v>
      </c>
      <c r="K1317" s="4" t="e">
        <f t="array" aca="1" ref="K1317">MAX(H1317:J1317*(1-strike(H1317:J1317)))</f>
        <v>#NAME?</v>
      </c>
      <c r="L1317" s="3">
        <v>150</v>
      </c>
      <c r="M1317" s="3">
        <v>157.5</v>
      </c>
      <c r="N1317" s="1">
        <v>162.5</v>
      </c>
      <c r="O1317" s="4" t="e">
        <f t="array" aca="1" ref="O1317">MAX(L1317:N1317*(1-strike(L1317:N1317)))</f>
        <v>#NAME?</v>
      </c>
      <c r="P1317" s="3">
        <v>182.5</v>
      </c>
      <c r="Q1317" s="3">
        <v>195</v>
      </c>
      <c r="R1317" s="3">
        <v>200</v>
      </c>
      <c r="S1317" s="4" t="e">
        <f t="array" aca="1" ref="S1317">MAX(P1317:R1317*(1-strike(P1317:R1317)))</f>
        <v>#NAME?</v>
      </c>
      <c r="T1317" s="4" t="e">
        <f t="shared" si="20"/>
        <v>#NAME?</v>
      </c>
      <c r="U1317" s="3">
        <v>572.5</v>
      </c>
      <c r="V1317" s="3">
        <v>618.66</v>
      </c>
      <c r="W1317" s="3">
        <v>8</v>
      </c>
      <c r="X1317" s="5">
        <v>2012</v>
      </c>
      <c r="Y1317" s="5" t="s">
        <v>852</v>
      </c>
      <c r="Z1317" s="5" t="s">
        <v>171</v>
      </c>
      <c r="AA1317" s="5">
        <v>1373</v>
      </c>
    </row>
    <row r="1318" spans="1:27">
      <c r="A1318" s="3">
        <v>4</v>
      </c>
      <c r="B1318" s="3" t="s">
        <v>989</v>
      </c>
      <c r="C1318" s="3">
        <v>1982</v>
      </c>
      <c r="D1318" s="3" t="s">
        <v>28</v>
      </c>
      <c r="E1318" s="3">
        <v>62.23</v>
      </c>
      <c r="F1318" s="2">
        <v>10840</v>
      </c>
      <c r="G1318" s="3">
        <v>1</v>
      </c>
      <c r="H1318" s="3">
        <v>202.5</v>
      </c>
      <c r="I1318" s="3">
        <v>210</v>
      </c>
      <c r="J1318" s="3">
        <v>212.5</v>
      </c>
      <c r="K1318" s="4" t="e">
        <f t="array" aca="1" ref="K1318">MAX(H1318:J1318*(1-strike(H1318:J1318)))</f>
        <v>#NAME?</v>
      </c>
      <c r="L1318" s="3">
        <v>155</v>
      </c>
      <c r="M1318" s="1">
        <v>162.5</v>
      </c>
      <c r="N1318" s="3">
        <v>162.5</v>
      </c>
      <c r="O1318" s="4" t="e">
        <f t="array" aca="1" ref="O1318">MAX(L1318:N1318*(1-strike(L1318:N1318)))</f>
        <v>#NAME?</v>
      </c>
      <c r="P1318" s="3">
        <v>185</v>
      </c>
      <c r="Q1318" s="3">
        <v>192.5</v>
      </c>
      <c r="R1318" s="1">
        <v>197.5</v>
      </c>
      <c r="S1318" s="4" t="e">
        <f t="array" aca="1" ref="S1318">MAX(P1318:R1318*(1-strike(P1318:R1318)))</f>
        <v>#NAME?</v>
      </c>
      <c r="T1318" s="4" t="e">
        <f t="shared" si="20"/>
        <v>#NAME?</v>
      </c>
      <c r="U1318" s="3">
        <v>567.5</v>
      </c>
      <c r="V1318" s="3">
        <v>615.16999999999996</v>
      </c>
      <c r="W1318" s="3">
        <v>7</v>
      </c>
      <c r="X1318" s="5">
        <v>2013</v>
      </c>
      <c r="Y1318" s="5" t="s">
        <v>852</v>
      </c>
      <c r="Z1318" s="5" t="s">
        <v>171</v>
      </c>
      <c r="AA1318" s="5">
        <v>975</v>
      </c>
    </row>
    <row r="1319" spans="1:27">
      <c r="A1319" s="3">
        <v>11</v>
      </c>
      <c r="B1319" s="3" t="s">
        <v>990</v>
      </c>
      <c r="C1319" s="3">
        <v>1992</v>
      </c>
      <c r="D1319" s="3" t="s">
        <v>62</v>
      </c>
      <c r="E1319" s="3">
        <v>51.2</v>
      </c>
      <c r="F1319" s="2">
        <v>12616</v>
      </c>
      <c r="G1319" s="3">
        <v>11</v>
      </c>
      <c r="H1319" s="3">
        <v>95</v>
      </c>
      <c r="I1319" s="3">
        <v>100</v>
      </c>
      <c r="J1319" s="1">
        <v>105</v>
      </c>
      <c r="K1319" s="4" t="e">
        <f t="array" aca="1" ref="K1319">MAX(H1319:J1319*(1-strike(H1319:J1319)))</f>
        <v>#NAME?</v>
      </c>
      <c r="L1319" s="3">
        <v>60</v>
      </c>
      <c r="M1319" s="3">
        <v>62.5</v>
      </c>
      <c r="N1319" s="3">
        <v>65</v>
      </c>
      <c r="O1319" s="4" t="e">
        <f t="array" aca="1" ref="O1319">MAX(L1319:N1319*(1-strike(L1319:N1319)))</f>
        <v>#NAME?</v>
      </c>
      <c r="P1319" s="3">
        <v>120</v>
      </c>
      <c r="Q1319" s="1">
        <v>130</v>
      </c>
      <c r="R1319" s="1">
        <v>130</v>
      </c>
      <c r="S1319" s="4" t="e">
        <f t="array" aca="1" ref="S1319">MAX(P1319:R1319*(1-strike(P1319:R1319)))</f>
        <v>#NAME?</v>
      </c>
      <c r="T1319" s="4" t="e">
        <f t="shared" si="20"/>
        <v>#NAME?</v>
      </c>
      <c r="U1319" s="3">
        <v>285</v>
      </c>
      <c r="V1319" s="3">
        <v>359.55</v>
      </c>
      <c r="W1319" s="3">
        <v>1</v>
      </c>
      <c r="X1319" s="5">
        <v>2012</v>
      </c>
      <c r="Y1319" s="5" t="s">
        <v>852</v>
      </c>
      <c r="Z1319" s="5" t="s">
        <v>30</v>
      </c>
      <c r="AA1319" s="5">
        <v>1560</v>
      </c>
    </row>
    <row r="1320" spans="1:27">
      <c r="A1320" s="3">
        <v>5</v>
      </c>
      <c r="B1320" s="3" t="s">
        <v>991</v>
      </c>
      <c r="C1320" s="3">
        <v>1980</v>
      </c>
      <c r="D1320" s="3" t="s">
        <v>28</v>
      </c>
      <c r="E1320" s="3">
        <v>69.16</v>
      </c>
      <c r="F1320" s="2">
        <v>10032</v>
      </c>
      <c r="G1320" s="3">
        <v>7</v>
      </c>
      <c r="H1320" s="3">
        <v>230</v>
      </c>
      <c r="I1320" s="1">
        <v>240</v>
      </c>
      <c r="J1320" s="1">
        <v>240</v>
      </c>
      <c r="K1320" s="4" t="e">
        <f t="array" aca="1" ref="K1320">MAX(H1320:J1320*(1-strike(H1320:J1320)))</f>
        <v>#NAME?</v>
      </c>
      <c r="L1320" s="3">
        <v>155</v>
      </c>
      <c r="M1320" s="1">
        <v>165</v>
      </c>
      <c r="N1320" s="3">
        <v>165</v>
      </c>
      <c r="O1320" s="4" t="e">
        <f t="array" aca="1" ref="O1320">MAX(L1320:N1320*(1-strike(L1320:N1320)))</f>
        <v>#NAME?</v>
      </c>
      <c r="P1320" s="3">
        <v>190</v>
      </c>
      <c r="Q1320" s="1">
        <v>202.5</v>
      </c>
      <c r="R1320" s="1">
        <v>202.5</v>
      </c>
      <c r="S1320" s="4" t="e">
        <f t="array" aca="1" ref="S1320">MAX(P1320:R1320*(1-strike(P1320:R1320)))</f>
        <v>#NAME?</v>
      </c>
      <c r="T1320" s="4" t="e">
        <f t="shared" si="20"/>
        <v>#NAME?</v>
      </c>
      <c r="U1320" s="3">
        <v>585</v>
      </c>
      <c r="V1320" s="3">
        <v>586.87</v>
      </c>
      <c r="W1320" s="3">
        <v>6</v>
      </c>
      <c r="X1320" s="5">
        <v>2012</v>
      </c>
      <c r="Y1320" s="5" t="s">
        <v>852</v>
      </c>
      <c r="Z1320" s="5" t="s">
        <v>171</v>
      </c>
      <c r="AA1320" s="5">
        <v>1390</v>
      </c>
    </row>
    <row r="1321" spans="1:27">
      <c r="A1321" s="3">
        <v>8</v>
      </c>
      <c r="B1321" s="3" t="s">
        <v>992</v>
      </c>
      <c r="C1321" s="3">
        <v>1983</v>
      </c>
      <c r="D1321" s="3" t="s">
        <v>119</v>
      </c>
      <c r="E1321" s="3">
        <v>56.25</v>
      </c>
      <c r="F1321" s="2">
        <v>11725</v>
      </c>
      <c r="G1321" s="3">
        <v>16</v>
      </c>
      <c r="H1321" s="3">
        <v>100</v>
      </c>
      <c r="I1321" s="3">
        <v>107.5</v>
      </c>
      <c r="J1321" s="1">
        <v>112.5</v>
      </c>
      <c r="K1321" s="4" t="e">
        <f t="array" aca="1" ref="K1321">MAX(H1321:J1321*(1-strike(H1321:J1321)))</f>
        <v>#NAME?</v>
      </c>
      <c r="L1321" s="3">
        <v>70</v>
      </c>
      <c r="M1321" s="3">
        <v>75</v>
      </c>
      <c r="N1321" s="1">
        <v>77.5</v>
      </c>
      <c r="O1321" s="4" t="e">
        <f t="array" aca="1" ref="O1321">MAX(L1321:N1321*(1-strike(L1321:N1321)))</f>
        <v>#NAME?</v>
      </c>
      <c r="P1321" s="3">
        <v>115</v>
      </c>
      <c r="Q1321" s="3">
        <v>125</v>
      </c>
      <c r="R1321" s="3">
        <v>132.5</v>
      </c>
      <c r="S1321" s="4" t="e">
        <f t="array" aca="1" ref="S1321">MAX(P1321:R1321*(1-strike(P1321:R1321)))</f>
        <v>#NAME?</v>
      </c>
      <c r="T1321" s="4" t="e">
        <f t="shared" si="20"/>
        <v>#NAME?</v>
      </c>
      <c r="U1321" s="3">
        <v>315</v>
      </c>
      <c r="V1321" s="3">
        <v>369.33</v>
      </c>
      <c r="W1321" s="3">
        <v>3</v>
      </c>
      <c r="X1321" s="5">
        <v>2012</v>
      </c>
      <c r="Y1321" s="5" t="s">
        <v>852</v>
      </c>
      <c r="Z1321" s="5" t="s">
        <v>30</v>
      </c>
      <c r="AA1321" s="5">
        <v>1570</v>
      </c>
    </row>
    <row r="1322" spans="1:27">
      <c r="A1322" s="3">
        <v>6</v>
      </c>
      <c r="B1322" s="3" t="s">
        <v>992</v>
      </c>
      <c r="C1322" s="3">
        <v>1983</v>
      </c>
      <c r="D1322" s="3" t="s">
        <v>119</v>
      </c>
      <c r="E1322" s="3">
        <v>57</v>
      </c>
      <c r="F1322" s="2">
        <v>11604</v>
      </c>
      <c r="G1322" s="3">
        <v>7</v>
      </c>
      <c r="H1322" s="3">
        <v>110</v>
      </c>
      <c r="I1322" s="1">
        <v>112.5</v>
      </c>
      <c r="J1322" s="1">
        <v>112.5</v>
      </c>
      <c r="K1322" s="4" t="e">
        <f t="array" aca="1" ref="K1322">MAX(H1322:J1322*(1-strike(H1322:J1322)))</f>
        <v>#NAME?</v>
      </c>
      <c r="L1322" s="3">
        <v>72.5</v>
      </c>
      <c r="M1322" s="3">
        <v>77.5</v>
      </c>
      <c r="N1322" s="1">
        <v>80</v>
      </c>
      <c r="O1322" s="4" t="e">
        <f t="array" aca="1" ref="O1322">MAX(L1322:N1322*(1-strike(L1322:N1322)))</f>
        <v>#NAME?</v>
      </c>
      <c r="P1322" s="3">
        <v>120</v>
      </c>
      <c r="Q1322" s="3">
        <v>130</v>
      </c>
      <c r="R1322" s="3">
        <v>140</v>
      </c>
      <c r="S1322" s="4" t="e">
        <f t="array" aca="1" ref="S1322">MAX(P1322:R1322*(1-strike(P1322:R1322)))</f>
        <v>#NAME?</v>
      </c>
      <c r="T1322" s="4" t="e">
        <f t="shared" si="20"/>
        <v>#NAME?</v>
      </c>
      <c r="U1322" s="3">
        <v>327.5</v>
      </c>
      <c r="V1322" s="3">
        <v>380.03</v>
      </c>
      <c r="W1322" s="3">
        <v>5</v>
      </c>
      <c r="X1322" s="5">
        <v>2013</v>
      </c>
      <c r="Y1322" s="5" t="s">
        <v>852</v>
      </c>
      <c r="Z1322" s="5" t="s">
        <v>30</v>
      </c>
      <c r="AA1322" s="5">
        <v>1149</v>
      </c>
    </row>
    <row r="1323" spans="1:27">
      <c r="A1323" s="3">
        <v>13</v>
      </c>
      <c r="B1323" s="3" t="s">
        <v>992</v>
      </c>
      <c r="C1323" s="3">
        <v>1983</v>
      </c>
      <c r="D1323" s="3" t="s">
        <v>119</v>
      </c>
      <c r="E1323" s="3">
        <v>56.95</v>
      </c>
      <c r="F1323" s="2">
        <v>11612</v>
      </c>
      <c r="G1323" s="3">
        <v>5</v>
      </c>
      <c r="H1323" s="3">
        <v>110</v>
      </c>
      <c r="I1323" s="1">
        <v>117.5</v>
      </c>
      <c r="J1323" s="1">
        <v>117.5</v>
      </c>
      <c r="K1323" s="4" t="e">
        <f t="array" aca="1" ref="K1323">MAX(H1323:J1323*(1-strike(H1323:J1323)))</f>
        <v>#NAME?</v>
      </c>
      <c r="L1323" s="3">
        <v>82.5</v>
      </c>
      <c r="M1323" s="1">
        <v>85</v>
      </c>
      <c r="N1323" s="1">
        <v>85</v>
      </c>
      <c r="O1323" s="4" t="e">
        <f t="array" aca="1" ref="O1323">MAX(L1323:N1323*(1-strike(L1323:N1323)))</f>
        <v>#NAME?</v>
      </c>
      <c r="P1323" s="3">
        <v>132.5</v>
      </c>
      <c r="Q1323" s="1">
        <v>140</v>
      </c>
      <c r="R1323" s="1">
        <v>142.5</v>
      </c>
      <c r="S1323" s="4" t="e">
        <f t="array" aca="1" ref="S1323">MAX(P1323:R1323*(1-strike(P1323:R1323)))</f>
        <v>#NAME?</v>
      </c>
      <c r="T1323" s="4" t="e">
        <f t="shared" si="20"/>
        <v>#NAME?</v>
      </c>
      <c r="U1323" s="3">
        <v>325</v>
      </c>
      <c r="V1323" s="3">
        <v>377.39</v>
      </c>
      <c r="W1323" s="3">
        <v>1</v>
      </c>
      <c r="X1323" s="5">
        <v>2014</v>
      </c>
      <c r="Y1323" s="5" t="s">
        <v>852</v>
      </c>
      <c r="Z1323" s="5" t="s">
        <v>30</v>
      </c>
      <c r="AA1323" s="5">
        <v>775</v>
      </c>
    </row>
    <row r="1324" spans="1:27">
      <c r="A1324" s="3">
        <v>4</v>
      </c>
      <c r="B1324" s="3" t="s">
        <v>993</v>
      </c>
      <c r="C1324" s="3">
        <v>1972</v>
      </c>
      <c r="D1324" s="3" t="s">
        <v>119</v>
      </c>
      <c r="E1324" s="3">
        <v>56.94</v>
      </c>
      <c r="F1324" s="2">
        <v>11614</v>
      </c>
      <c r="G1324" s="3">
        <v>3</v>
      </c>
      <c r="H1324" s="3">
        <v>187.5</v>
      </c>
      <c r="I1324" s="3">
        <v>200</v>
      </c>
      <c r="J1324" s="1">
        <v>205</v>
      </c>
      <c r="K1324" s="4" t="e">
        <f t="array" aca="1" ref="K1324">MAX(H1324:J1324*(1-strike(H1324:J1324)))</f>
        <v>#NAME?</v>
      </c>
      <c r="L1324" s="3">
        <v>122.5</v>
      </c>
      <c r="M1324" s="3">
        <v>127.5</v>
      </c>
      <c r="N1324" s="1">
        <v>130</v>
      </c>
      <c r="O1324" s="4" t="e">
        <f t="array" aca="1" ref="O1324">MAX(L1324:N1324*(1-strike(L1324:N1324)))</f>
        <v>#NAME?</v>
      </c>
      <c r="P1324" s="3">
        <v>175</v>
      </c>
      <c r="Q1324" s="1">
        <v>182.5</v>
      </c>
      <c r="R1324" s="1">
        <v>182.5</v>
      </c>
      <c r="S1324" s="4" t="e">
        <f t="array" aca="1" ref="S1324">MAX(P1324:R1324*(1-strike(P1324:R1324)))</f>
        <v>#NAME?</v>
      </c>
      <c r="T1324" s="4" t="e">
        <f t="shared" si="20"/>
        <v>#NAME?</v>
      </c>
      <c r="U1324" s="3" t="s">
        <v>994</v>
      </c>
      <c r="V1324" s="3">
        <v>583.58000000000004</v>
      </c>
      <c r="W1324" s="3">
        <v>7</v>
      </c>
      <c r="X1324" s="5">
        <v>2012</v>
      </c>
      <c r="Y1324" s="5" t="s">
        <v>852</v>
      </c>
      <c r="Z1324" s="5" t="s">
        <v>171</v>
      </c>
      <c r="AA1324" s="5">
        <v>1360</v>
      </c>
    </row>
    <row r="1325" spans="1:27">
      <c r="A1325" s="3">
        <v>3</v>
      </c>
      <c r="B1325" s="3" t="s">
        <v>294</v>
      </c>
      <c r="C1325" s="3">
        <v>1986</v>
      </c>
      <c r="D1325" s="3" t="s">
        <v>113</v>
      </c>
      <c r="E1325" s="3">
        <v>46.05</v>
      </c>
      <c r="F1325" s="2">
        <v>13646</v>
      </c>
      <c r="G1325" s="3">
        <v>6</v>
      </c>
      <c r="H1325" s="3">
        <v>110</v>
      </c>
      <c r="I1325" s="3">
        <v>115</v>
      </c>
      <c r="J1325" s="1">
        <v>117.5</v>
      </c>
      <c r="K1325" s="4" t="e">
        <f t="array" aca="1" ref="K1325">MAX(H1325:J1325*(1-strike(H1325:J1325)))</f>
        <v>#NAME?</v>
      </c>
      <c r="L1325" s="3">
        <v>52.5</v>
      </c>
      <c r="M1325" s="1">
        <v>57.5</v>
      </c>
      <c r="N1325" s="1">
        <v>57.5</v>
      </c>
      <c r="O1325" s="4" t="e">
        <f t="array" aca="1" ref="O1325">MAX(L1325:N1325*(1-strike(L1325:N1325)))</f>
        <v>#NAME?</v>
      </c>
      <c r="P1325" s="3">
        <v>142.5</v>
      </c>
      <c r="Q1325" s="1">
        <v>150</v>
      </c>
      <c r="R1325" s="3">
        <v>152.5</v>
      </c>
      <c r="S1325" s="4" t="e">
        <f t="array" aca="1" ref="S1325">MAX(P1325:R1325*(1-strike(P1325:R1325)))</f>
        <v>#NAME?</v>
      </c>
      <c r="T1325" s="4" t="e">
        <f t="shared" si="20"/>
        <v>#NAME?</v>
      </c>
      <c r="U1325" s="3">
        <v>320</v>
      </c>
      <c r="V1325" s="3">
        <v>436.69</v>
      </c>
      <c r="W1325" s="3">
        <v>8</v>
      </c>
      <c r="X1325" s="5">
        <v>2014</v>
      </c>
      <c r="Y1325" s="5" t="s">
        <v>852</v>
      </c>
      <c r="Z1325" s="5" t="s">
        <v>30</v>
      </c>
      <c r="AA1325" s="5">
        <v>749</v>
      </c>
    </row>
    <row r="1326" spans="1:27">
      <c r="A1326" s="3">
        <v>3</v>
      </c>
      <c r="B1326" s="3" t="s">
        <v>995</v>
      </c>
      <c r="C1326" s="3">
        <v>1974</v>
      </c>
      <c r="D1326" s="3" t="s">
        <v>80</v>
      </c>
      <c r="E1326" s="3">
        <v>56.88</v>
      </c>
      <c r="F1326" s="2">
        <v>11623</v>
      </c>
      <c r="G1326" s="3">
        <v>11</v>
      </c>
      <c r="H1326" s="3">
        <v>195</v>
      </c>
      <c r="I1326" s="3">
        <v>200</v>
      </c>
      <c r="J1326" s="3">
        <v>205</v>
      </c>
      <c r="K1326" s="4" t="e">
        <f t="array" aca="1" ref="K1326">MAX(H1326:J1326*(1-strike(H1326:J1326)))</f>
        <v>#NAME?</v>
      </c>
      <c r="L1326" s="1">
        <v>112.5</v>
      </c>
      <c r="M1326" s="3">
        <v>112.5</v>
      </c>
      <c r="N1326" s="3">
        <v>117.5</v>
      </c>
      <c r="O1326" s="4" t="e">
        <f t="array" aca="1" ref="O1326">MAX(L1326:N1326*(1-strike(L1326:N1326)))</f>
        <v>#NAME?</v>
      </c>
      <c r="P1326" s="1">
        <v>170</v>
      </c>
      <c r="Q1326" s="3">
        <v>170</v>
      </c>
      <c r="R1326" s="3">
        <v>180</v>
      </c>
      <c r="S1326" s="4" t="e">
        <f t="array" aca="1" ref="S1326">MAX(P1326:R1326*(1-strike(P1326:R1326)))</f>
        <v>#NAME?</v>
      </c>
      <c r="T1326" s="4" t="e">
        <f t="shared" si="20"/>
        <v>#NAME?</v>
      </c>
      <c r="U1326" s="3">
        <v>502.5</v>
      </c>
      <c r="V1326" s="3">
        <v>584.05999999999995</v>
      </c>
      <c r="W1326" s="3">
        <v>8</v>
      </c>
      <c r="X1326" s="5">
        <v>2012</v>
      </c>
      <c r="Y1326" s="5" t="s">
        <v>852</v>
      </c>
      <c r="Z1326" s="5" t="s">
        <v>171</v>
      </c>
      <c r="AA1326" s="5">
        <v>1359</v>
      </c>
    </row>
    <row r="1327" spans="1:27">
      <c r="A1327" s="3">
        <v>7</v>
      </c>
      <c r="B1327" s="3" t="s">
        <v>299</v>
      </c>
      <c r="C1327" s="3">
        <v>1967</v>
      </c>
      <c r="D1327" s="3" t="s">
        <v>300</v>
      </c>
      <c r="E1327" s="3">
        <v>86.78</v>
      </c>
      <c r="F1327" s="3">
        <v>0.87790000000000001</v>
      </c>
      <c r="G1327" s="3">
        <v>8</v>
      </c>
      <c r="H1327" s="1">
        <v>222.5</v>
      </c>
      <c r="I1327" s="3">
        <v>222.5</v>
      </c>
      <c r="J1327" s="1">
        <v>235</v>
      </c>
      <c r="K1327" s="4" t="e">
        <f t="array" aca="1" ref="K1327">MAX(H1327:J1327*(1-strike(H1327:J1327)))</f>
        <v>#NAME?</v>
      </c>
      <c r="L1327" s="3">
        <v>120</v>
      </c>
      <c r="M1327" s="3">
        <v>125</v>
      </c>
      <c r="N1327" s="1">
        <v>130</v>
      </c>
      <c r="O1327" s="4" t="e">
        <f t="array" aca="1" ref="O1327">MAX(L1327:N1327*(1-strike(L1327:N1327)))</f>
        <v>#NAME?</v>
      </c>
      <c r="P1327" s="3">
        <v>170</v>
      </c>
      <c r="Q1327" s="3">
        <v>180</v>
      </c>
      <c r="R1327" s="1">
        <v>190</v>
      </c>
      <c r="S1327" s="4" t="e">
        <f t="array" aca="1" ref="S1327">MAX(P1327:R1327*(1-strike(P1327:R1327)))</f>
        <v>#NAME?</v>
      </c>
      <c r="T1327" s="4" t="e">
        <f t="shared" si="20"/>
        <v>#NAME?</v>
      </c>
      <c r="U1327" s="3">
        <v>527.5</v>
      </c>
      <c r="V1327" s="3">
        <v>463.09</v>
      </c>
      <c r="W1327" s="3">
        <v>4</v>
      </c>
      <c r="X1327" s="5">
        <v>2012</v>
      </c>
      <c r="Y1327" s="5" t="s">
        <v>852</v>
      </c>
      <c r="Z1327" s="5" t="s">
        <v>171</v>
      </c>
      <c r="AA1327" s="5">
        <v>1420</v>
      </c>
    </row>
    <row r="1328" spans="1:27">
      <c r="A1328" s="3">
        <v>3</v>
      </c>
      <c r="B1328" s="3" t="s">
        <v>301</v>
      </c>
      <c r="C1328" s="3">
        <v>1972</v>
      </c>
      <c r="D1328" s="3" t="s">
        <v>62</v>
      </c>
      <c r="E1328" s="3">
        <v>71.19</v>
      </c>
      <c r="F1328" s="3">
        <v>0.98350000000000004</v>
      </c>
      <c r="G1328" s="3">
        <v>15</v>
      </c>
      <c r="H1328" s="3">
        <v>210</v>
      </c>
      <c r="I1328" s="3">
        <v>225</v>
      </c>
      <c r="J1328" s="1">
        <v>235</v>
      </c>
      <c r="K1328" s="4" t="e">
        <f t="array" aca="1" ref="K1328">MAX(H1328:J1328*(1-strike(H1328:J1328)))</f>
        <v>#NAME?</v>
      </c>
      <c r="L1328" s="3">
        <v>125</v>
      </c>
      <c r="M1328" s="1">
        <v>135</v>
      </c>
      <c r="N1328" s="1">
        <v>135</v>
      </c>
      <c r="O1328" s="4" t="e">
        <f t="array" aca="1" ref="O1328">MAX(L1328:N1328*(1-strike(L1328:N1328)))</f>
        <v>#NAME?</v>
      </c>
      <c r="P1328" s="1">
        <v>215</v>
      </c>
      <c r="Q1328" s="3">
        <v>215</v>
      </c>
      <c r="R1328" s="3">
        <v>247.5</v>
      </c>
      <c r="S1328" s="4" t="e">
        <f t="array" aca="1" ref="S1328">MAX(P1328:R1328*(1-strike(P1328:R1328)))</f>
        <v>#NAME?</v>
      </c>
      <c r="T1328" s="4" t="e">
        <f t="shared" si="20"/>
        <v>#NAME?</v>
      </c>
      <c r="U1328" s="3">
        <v>597.5</v>
      </c>
      <c r="V1328" s="3">
        <v>587.63</v>
      </c>
      <c r="W1328" s="3">
        <v>8</v>
      </c>
      <c r="X1328" s="5">
        <v>2012</v>
      </c>
      <c r="Y1328" s="5" t="s">
        <v>852</v>
      </c>
      <c r="Z1328" s="5" t="s">
        <v>171</v>
      </c>
      <c r="AA1328" s="5">
        <v>1388</v>
      </c>
    </row>
    <row r="1329" spans="1:27">
      <c r="A1329" s="4">
        <v>1</v>
      </c>
      <c r="B1329" s="4" t="s">
        <v>301</v>
      </c>
      <c r="C1329" s="4">
        <v>1972</v>
      </c>
      <c r="D1329" s="4" t="s">
        <v>876</v>
      </c>
      <c r="E1329" s="4">
        <v>71.7</v>
      </c>
      <c r="F1329" s="4">
        <v>0.9788</v>
      </c>
      <c r="G1329" s="4">
        <v>5</v>
      </c>
      <c r="H1329" s="4">
        <v>215</v>
      </c>
      <c r="I1329" s="6">
        <v>230</v>
      </c>
      <c r="J1329" s="4">
        <v>230</v>
      </c>
      <c r="K1329" s="4" t="e">
        <f t="array" aca="1" ref="K1329">MAX(H1329:J1329*(1-strike(H1329:J1329)))</f>
        <v>#NAME?</v>
      </c>
      <c r="L1329" s="4">
        <v>135</v>
      </c>
      <c r="M1329" s="4">
        <v>142.5</v>
      </c>
      <c r="N1329" s="4">
        <v>150</v>
      </c>
      <c r="O1329" s="4" t="e">
        <f t="array" aca="1" ref="O1329">MAX(L1329:N1329*(1-strike(L1329:N1329)))</f>
        <v>#NAME?</v>
      </c>
      <c r="P1329" s="4">
        <v>220</v>
      </c>
      <c r="Q1329" s="4">
        <v>235</v>
      </c>
      <c r="R1329" s="4">
        <v>247.5</v>
      </c>
      <c r="S1329" s="4" t="e">
        <f t="array" aca="1" ref="S1329">MAX(P1329:R1329*(1-strike(P1329:R1329)))</f>
        <v>#NAME?</v>
      </c>
      <c r="T1329" s="4" t="e">
        <f t="shared" si="20"/>
        <v>#NAME?</v>
      </c>
      <c r="U1329" s="4" t="s">
        <v>996</v>
      </c>
      <c r="V1329" s="4">
        <v>614.19000000000005</v>
      </c>
      <c r="W1329" s="4">
        <v>12</v>
      </c>
      <c r="X1329" s="5">
        <v>2014</v>
      </c>
      <c r="Y1329" s="5" t="s">
        <v>852</v>
      </c>
      <c r="Z1329" s="5" t="s">
        <v>171</v>
      </c>
      <c r="AA1329" s="5">
        <v>614</v>
      </c>
    </row>
    <row r="1330" spans="1:27" ht="15" customHeight="1">
      <c r="A1330" s="3">
        <v>6</v>
      </c>
      <c r="B1330" s="3" t="s">
        <v>302</v>
      </c>
      <c r="C1330" s="3">
        <v>1977</v>
      </c>
      <c r="D1330" s="3" t="s">
        <v>51</v>
      </c>
      <c r="E1330" s="3">
        <v>68.25</v>
      </c>
      <c r="F1330" s="2">
        <v>10126</v>
      </c>
      <c r="G1330" s="3">
        <v>5</v>
      </c>
      <c r="H1330" s="1">
        <v>137.5</v>
      </c>
      <c r="I1330" s="3">
        <v>137.5</v>
      </c>
      <c r="J1330" s="3">
        <v>150</v>
      </c>
      <c r="K1330" s="4" t="e">
        <f t="array" aca="1" ref="K1330">MAX(H1330:J1330*(1-strike(H1330:J1330)))</f>
        <v>#NAME?</v>
      </c>
      <c r="L1330" s="3">
        <v>60</v>
      </c>
      <c r="M1330" s="3">
        <v>65</v>
      </c>
      <c r="N1330" s="3">
        <v>70</v>
      </c>
      <c r="O1330" s="4" t="e">
        <f t="array" aca="1" ref="O1330">MAX(L1330:N1330*(1-strike(L1330:N1330)))</f>
        <v>#NAME?</v>
      </c>
      <c r="P1330" s="3">
        <v>160</v>
      </c>
      <c r="Q1330" s="3">
        <v>172.5</v>
      </c>
      <c r="R1330" s="1">
        <v>177.5</v>
      </c>
      <c r="S1330" s="4" t="e">
        <f t="array" aca="1" ref="S1330">MAX(P1330:R1330*(1-strike(P1330:R1330)))</f>
        <v>#NAME?</v>
      </c>
      <c r="T1330" s="4" t="e">
        <f t="shared" si="20"/>
        <v>#NAME?</v>
      </c>
      <c r="U1330" s="3">
        <v>392.5</v>
      </c>
      <c r="V1330" s="3">
        <v>397.45</v>
      </c>
      <c r="W1330" s="3">
        <v>5</v>
      </c>
      <c r="X1330" s="5">
        <v>2014</v>
      </c>
      <c r="Y1330" s="5" t="s">
        <v>852</v>
      </c>
      <c r="Z1330" s="5" t="s">
        <v>30</v>
      </c>
      <c r="AA1330" s="5">
        <v>796</v>
      </c>
    </row>
    <row r="1331" spans="1:27">
      <c r="A1331" s="3">
        <v>7</v>
      </c>
      <c r="B1331" s="3" t="s">
        <v>997</v>
      </c>
      <c r="C1331" s="3">
        <v>1967</v>
      </c>
      <c r="D1331" s="3" t="s">
        <v>62</v>
      </c>
      <c r="E1331" s="3">
        <v>86.65</v>
      </c>
      <c r="F1331" s="3">
        <v>0.87849999999999995</v>
      </c>
      <c r="G1331" s="3">
        <v>25</v>
      </c>
      <c r="H1331" s="3">
        <v>137.5</v>
      </c>
      <c r="I1331" s="3">
        <v>147.5</v>
      </c>
      <c r="J1331" s="3">
        <v>155</v>
      </c>
      <c r="K1331" s="4" t="e">
        <f t="array" aca="1" ref="K1331">MAX(H1331:J1331*(1-strike(H1331:J1331)))</f>
        <v>#NAME?</v>
      </c>
      <c r="L1331" s="3">
        <v>107.5</v>
      </c>
      <c r="M1331" s="3">
        <v>112.5</v>
      </c>
      <c r="N1331" s="3">
        <v>117.5</v>
      </c>
      <c r="O1331" s="4" t="e">
        <f t="array" aca="1" ref="O1331">MAX(L1331:N1331*(1-strike(L1331:N1331)))</f>
        <v>#NAME?</v>
      </c>
      <c r="P1331" s="3">
        <v>160</v>
      </c>
      <c r="Q1331" s="3">
        <v>170</v>
      </c>
      <c r="R1331" s="1">
        <v>177.5</v>
      </c>
      <c r="S1331" s="4" t="e">
        <f t="array" aca="1" ref="S1331">MAX(P1331:R1331*(1-strike(P1331:R1331)))</f>
        <v>#NAME?</v>
      </c>
      <c r="T1331" s="4" t="e">
        <f t="shared" si="20"/>
        <v>#NAME?</v>
      </c>
      <c r="U1331" s="3">
        <v>442.5</v>
      </c>
      <c r="V1331" s="3">
        <v>388.76</v>
      </c>
      <c r="W1331" s="3">
        <v>4</v>
      </c>
      <c r="X1331" s="5">
        <v>2013</v>
      </c>
      <c r="Y1331" s="5" t="s">
        <v>852</v>
      </c>
      <c r="Z1331" s="5" t="s">
        <v>30</v>
      </c>
      <c r="AA1331" s="5">
        <v>1187</v>
      </c>
    </row>
    <row r="1332" spans="1:27">
      <c r="A1332" s="3" t="s">
        <v>37</v>
      </c>
      <c r="B1332" s="3" t="s">
        <v>306</v>
      </c>
      <c r="C1332" s="3">
        <v>1991</v>
      </c>
      <c r="D1332" s="3" t="s">
        <v>45</v>
      </c>
      <c r="E1332" s="3">
        <v>80.349999999999994</v>
      </c>
      <c r="F1332" s="3">
        <v>0.91279999999999994</v>
      </c>
      <c r="G1332" s="3">
        <v>5</v>
      </c>
      <c r="H1332" s="3">
        <v>217.5</v>
      </c>
      <c r="I1332" s="3">
        <v>225</v>
      </c>
      <c r="J1332" s="3">
        <v>232.5</v>
      </c>
      <c r="K1332" s="4" t="e">
        <f t="array" aca="1" ref="K1332">MAX(H1332:J1332*(1-strike(H1332:J1332)))</f>
        <v>#NAME?</v>
      </c>
      <c r="L1332" s="1">
        <v>135</v>
      </c>
      <c r="M1332" s="1">
        <v>135</v>
      </c>
      <c r="N1332" s="1">
        <v>135</v>
      </c>
      <c r="O1332" s="4" t="e">
        <f t="array" aca="1" ref="O1332">MAX(L1332:N1332*(1-strike(L1332:N1332)))</f>
        <v>#NAME?</v>
      </c>
      <c r="P1332" s="3">
        <v>197.5</v>
      </c>
      <c r="Q1332" s="1">
        <v>207.5</v>
      </c>
      <c r="R1332" s="1">
        <v>212.5</v>
      </c>
      <c r="S1332" s="4" t="e">
        <f t="array" aca="1" ref="S1332">MAX(P1332:R1332*(1-strike(P1332:R1332)))</f>
        <v>#NAME?</v>
      </c>
      <c r="T1332" s="4" t="e">
        <f t="shared" si="20"/>
        <v>#NAME?</v>
      </c>
      <c r="U1332" s="3" t="s">
        <v>40</v>
      </c>
      <c r="V1332" s="3" t="s">
        <v>37</v>
      </c>
      <c r="W1332" s="3" t="s">
        <v>37</v>
      </c>
      <c r="X1332" s="5">
        <v>2013</v>
      </c>
      <c r="Y1332" s="5" t="s">
        <v>852</v>
      </c>
      <c r="Z1332" s="5" t="s">
        <v>171</v>
      </c>
      <c r="AA1332" s="5">
        <v>1004</v>
      </c>
    </row>
    <row r="1333" spans="1:27">
      <c r="A1333" s="3">
        <v>1</v>
      </c>
      <c r="B1333" s="3" t="s">
        <v>998</v>
      </c>
      <c r="C1333" s="3">
        <v>1986</v>
      </c>
      <c r="D1333" s="3" t="s">
        <v>28</v>
      </c>
      <c r="E1333" s="3">
        <v>56.65</v>
      </c>
      <c r="F1333" s="2">
        <v>11660</v>
      </c>
      <c r="G1333" s="3">
        <v>6</v>
      </c>
      <c r="H1333" s="3">
        <v>140</v>
      </c>
      <c r="I1333" s="3">
        <v>150</v>
      </c>
      <c r="J1333" s="1">
        <v>155</v>
      </c>
      <c r="K1333" s="4" t="e">
        <f t="array" aca="1" ref="K1333">MAX(H1333:J1333*(1-strike(H1333:J1333)))</f>
        <v>#NAME?</v>
      </c>
      <c r="L1333" s="3">
        <v>90</v>
      </c>
      <c r="M1333" s="3">
        <v>95</v>
      </c>
      <c r="N1333" s="1">
        <v>97.5</v>
      </c>
      <c r="O1333" s="4" t="e">
        <f t="array" aca="1" ref="O1333">MAX(L1333:N1333*(1-strike(L1333:N1333)))</f>
        <v>#NAME?</v>
      </c>
      <c r="P1333" s="3">
        <v>157.5</v>
      </c>
      <c r="Q1333" s="3">
        <v>167.5</v>
      </c>
      <c r="R1333" s="3">
        <v>175</v>
      </c>
      <c r="S1333" s="4" t="e">
        <f t="array" aca="1" ref="S1333">MAX(P1333:R1333*(1-strike(P1333:R1333)))</f>
        <v>#NAME?</v>
      </c>
      <c r="T1333" s="4" t="e">
        <f t="shared" si="20"/>
        <v>#NAME?</v>
      </c>
      <c r="U1333" s="3">
        <v>420</v>
      </c>
      <c r="V1333" s="3">
        <v>489.72</v>
      </c>
      <c r="W1333" s="3">
        <v>12</v>
      </c>
      <c r="X1333" s="5">
        <v>2013</v>
      </c>
      <c r="Y1333" s="5" t="s">
        <v>852</v>
      </c>
      <c r="Z1333" s="5" t="s">
        <v>30</v>
      </c>
      <c r="AA1333" s="5">
        <v>1144</v>
      </c>
    </row>
    <row r="1334" spans="1:27">
      <c r="A1334" s="3">
        <v>2</v>
      </c>
      <c r="B1334" s="3" t="s">
        <v>998</v>
      </c>
      <c r="C1334" s="3">
        <v>1986</v>
      </c>
      <c r="D1334" s="3" t="s">
        <v>28</v>
      </c>
      <c r="E1334" s="3">
        <v>56.86</v>
      </c>
      <c r="F1334" s="2">
        <v>11626</v>
      </c>
      <c r="G1334" s="3">
        <v>9</v>
      </c>
      <c r="H1334" s="3">
        <v>200</v>
      </c>
      <c r="I1334" s="3">
        <v>212.5</v>
      </c>
      <c r="J1334" s="3">
        <v>217.5</v>
      </c>
      <c r="K1334" s="4" t="e">
        <f t="array" aca="1" ref="K1334">MAX(H1334:J1334*(1-strike(H1334:J1334)))</f>
        <v>#NAME?</v>
      </c>
      <c r="L1334" s="3">
        <v>125</v>
      </c>
      <c r="M1334" s="3">
        <v>130</v>
      </c>
      <c r="N1334" s="3">
        <v>135</v>
      </c>
      <c r="O1334" s="4" t="e">
        <f t="array" aca="1" ref="O1334">MAX(L1334:N1334*(1-strike(L1334:N1334)))</f>
        <v>#NAME?</v>
      </c>
      <c r="P1334" s="3">
        <v>180</v>
      </c>
      <c r="Q1334" s="3">
        <v>190</v>
      </c>
      <c r="R1334" s="1">
        <v>197.5</v>
      </c>
      <c r="S1334" s="4" t="e">
        <f t="array" aca="1" ref="S1334">MAX(P1334:R1334*(1-strike(P1334:R1334)))</f>
        <v>#NAME?</v>
      </c>
      <c r="T1334" s="4" t="e">
        <f t="shared" si="20"/>
        <v>#NAME?</v>
      </c>
      <c r="U1334" s="3">
        <v>542.5</v>
      </c>
      <c r="V1334" s="3">
        <v>630.71</v>
      </c>
      <c r="W1334" s="3">
        <v>9</v>
      </c>
      <c r="X1334" s="5">
        <v>2013</v>
      </c>
      <c r="Y1334" s="5" t="s">
        <v>852</v>
      </c>
      <c r="Z1334" s="5" t="s">
        <v>171</v>
      </c>
      <c r="AA1334" s="5">
        <v>956</v>
      </c>
    </row>
    <row r="1335" spans="1:27">
      <c r="A1335" s="3">
        <v>7</v>
      </c>
      <c r="B1335" s="3" t="s">
        <v>999</v>
      </c>
      <c r="C1335" s="3">
        <v>1973</v>
      </c>
      <c r="D1335" s="3" t="s">
        <v>80</v>
      </c>
      <c r="E1335" s="3">
        <v>69.45</v>
      </c>
      <c r="F1335" s="2">
        <v>10003</v>
      </c>
      <c r="G1335" s="3">
        <v>8</v>
      </c>
      <c r="H1335" s="3">
        <v>107.5</v>
      </c>
      <c r="I1335" s="3">
        <v>112.5</v>
      </c>
      <c r="J1335" s="1">
        <v>117.5</v>
      </c>
      <c r="K1335" s="4" t="e">
        <f t="array" aca="1" ref="K1335">MAX(H1335:J1335*(1-strike(H1335:J1335)))</f>
        <v>#NAME?</v>
      </c>
      <c r="L1335" s="3">
        <v>85</v>
      </c>
      <c r="M1335" s="3">
        <v>87.5</v>
      </c>
      <c r="N1335" s="3">
        <v>90</v>
      </c>
      <c r="O1335" s="4" t="e">
        <f t="array" aca="1" ref="O1335">MAX(L1335:N1335*(1-strike(L1335:N1335)))</f>
        <v>#NAME?</v>
      </c>
      <c r="P1335" s="3">
        <v>140</v>
      </c>
      <c r="Q1335" s="3">
        <v>150</v>
      </c>
      <c r="R1335" s="1">
        <v>152.5</v>
      </c>
      <c r="S1335" s="4" t="e">
        <f t="array" aca="1" ref="S1335">MAX(P1335:R1335*(1-strike(P1335:R1335)))</f>
        <v>#NAME?</v>
      </c>
      <c r="T1335" s="4" t="e">
        <f t="shared" si="20"/>
        <v>#NAME?</v>
      </c>
      <c r="U1335" s="3">
        <v>352.5</v>
      </c>
      <c r="V1335" s="3">
        <v>352.6</v>
      </c>
      <c r="W1335" s="3">
        <v>4</v>
      </c>
      <c r="X1335" s="5">
        <v>2012</v>
      </c>
      <c r="Y1335" s="5" t="s">
        <v>852</v>
      </c>
      <c r="Z1335" s="5" t="s">
        <v>30</v>
      </c>
      <c r="AA1335" s="5">
        <v>1591</v>
      </c>
    </row>
    <row r="1336" spans="1:27">
      <c r="A1336" s="3">
        <v>8</v>
      </c>
      <c r="B1336" s="3" t="s">
        <v>1000</v>
      </c>
      <c r="C1336" s="3">
        <v>1984</v>
      </c>
      <c r="D1336" s="3" t="s">
        <v>51</v>
      </c>
      <c r="E1336" s="3">
        <v>71.849999999999994</v>
      </c>
      <c r="F1336" s="3">
        <v>0.97740000000000005</v>
      </c>
      <c r="G1336" s="3">
        <v>6</v>
      </c>
      <c r="H1336" s="3">
        <v>92.5</v>
      </c>
      <c r="I1336" s="3">
        <v>100</v>
      </c>
      <c r="J1336" s="1">
        <v>105</v>
      </c>
      <c r="K1336" s="4" t="e">
        <f t="array" aca="1" ref="K1336">MAX(H1336:J1336*(1-strike(H1336:J1336)))</f>
        <v>#NAME?</v>
      </c>
      <c r="L1336" s="3">
        <v>57.5</v>
      </c>
      <c r="M1336" s="3">
        <v>62.5</v>
      </c>
      <c r="N1336" s="3">
        <v>65</v>
      </c>
      <c r="O1336" s="4" t="e">
        <f t="array" aca="1" ref="O1336">MAX(L1336:N1336*(1-strike(L1336:N1336)))</f>
        <v>#NAME?</v>
      </c>
      <c r="P1336" s="3">
        <v>145</v>
      </c>
      <c r="Q1336" s="3">
        <v>155</v>
      </c>
      <c r="R1336" s="3">
        <v>160</v>
      </c>
      <c r="S1336" s="4" t="e">
        <f t="array" aca="1" ref="S1336">MAX(P1336:R1336*(1-strike(P1336:R1336)))</f>
        <v>#NAME?</v>
      </c>
      <c r="T1336" s="4" t="e">
        <f t="shared" si="20"/>
        <v>#NAME?</v>
      </c>
      <c r="U1336" s="3">
        <v>325</v>
      </c>
      <c r="V1336" s="3">
        <v>317.64999999999998</v>
      </c>
      <c r="W1336" s="3">
        <v>3</v>
      </c>
      <c r="X1336" s="5">
        <v>2012</v>
      </c>
      <c r="Y1336" s="5" t="s">
        <v>852</v>
      </c>
      <c r="Z1336" s="5" t="s">
        <v>30</v>
      </c>
      <c r="AA1336" s="5">
        <v>1592</v>
      </c>
    </row>
    <row r="1337" spans="1:27">
      <c r="A1337" s="3">
        <v>8</v>
      </c>
      <c r="B1337" s="3" t="s">
        <v>1000</v>
      </c>
      <c r="C1337" s="3">
        <v>1984</v>
      </c>
      <c r="D1337" s="3" t="s">
        <v>51</v>
      </c>
      <c r="E1337" s="3">
        <v>71.900000000000006</v>
      </c>
      <c r="F1337" s="3">
        <v>0.97689999999999999</v>
      </c>
      <c r="G1337" s="3">
        <v>17</v>
      </c>
      <c r="H1337" s="3">
        <v>95</v>
      </c>
      <c r="I1337" s="1">
        <v>100</v>
      </c>
      <c r="J1337" s="3">
        <v>100</v>
      </c>
      <c r="K1337" s="4" t="e">
        <f t="array" aca="1" ref="K1337">MAX(H1337:J1337*(1-strike(H1337:J1337)))</f>
        <v>#NAME?</v>
      </c>
      <c r="L1337" s="3">
        <v>60</v>
      </c>
      <c r="M1337" s="3">
        <v>65</v>
      </c>
      <c r="N1337" s="1">
        <v>67.5</v>
      </c>
      <c r="O1337" s="4" t="e">
        <f t="array" aca="1" ref="O1337">MAX(L1337:N1337*(1-strike(L1337:N1337)))</f>
        <v>#NAME?</v>
      </c>
      <c r="P1337" s="3">
        <v>150</v>
      </c>
      <c r="Q1337" s="1">
        <v>160</v>
      </c>
      <c r="R1337" s="1">
        <v>160</v>
      </c>
      <c r="S1337" s="4" t="e">
        <f t="array" aca="1" ref="S1337">MAX(P1337:R1337*(1-strike(P1337:R1337)))</f>
        <v>#NAME?</v>
      </c>
      <c r="T1337" s="4" t="e">
        <f t="shared" si="20"/>
        <v>#NAME?</v>
      </c>
      <c r="U1337" s="3">
        <v>315</v>
      </c>
      <c r="V1337" s="3">
        <v>307.72000000000003</v>
      </c>
      <c r="W1337" s="3">
        <v>3</v>
      </c>
      <c r="X1337" s="5">
        <v>2013</v>
      </c>
      <c r="Y1337" s="5" t="s">
        <v>852</v>
      </c>
      <c r="Z1337" s="5" t="s">
        <v>30</v>
      </c>
      <c r="AA1337" s="5">
        <v>1170</v>
      </c>
    </row>
    <row r="1338" spans="1:27">
      <c r="A1338" s="3">
        <v>12</v>
      </c>
      <c r="B1338" s="3" t="s">
        <v>307</v>
      </c>
      <c r="C1338" s="3">
        <v>1990</v>
      </c>
      <c r="D1338" s="3" t="s">
        <v>77</v>
      </c>
      <c r="E1338" s="3">
        <v>51.95</v>
      </c>
      <c r="F1338" s="2">
        <v>12476</v>
      </c>
      <c r="G1338" s="3">
        <v>19</v>
      </c>
      <c r="H1338" s="3">
        <v>130</v>
      </c>
      <c r="I1338" s="1">
        <v>142.5</v>
      </c>
      <c r="J1338" s="1">
        <v>142.5</v>
      </c>
      <c r="K1338" s="4" t="e">
        <f t="array" aca="1" ref="K1338">MAX(H1338:J1338*(1-strike(H1338:J1338)))</f>
        <v>#NAME?</v>
      </c>
      <c r="L1338" s="3">
        <v>75</v>
      </c>
      <c r="M1338" s="3">
        <v>82.5</v>
      </c>
      <c r="N1338" s="3">
        <v>87.5</v>
      </c>
      <c r="O1338" s="4" t="e">
        <f t="array" aca="1" ref="O1338">MAX(L1338:N1338*(1-strike(L1338:N1338)))</f>
        <v>#NAME?</v>
      </c>
      <c r="P1338" s="3">
        <v>140</v>
      </c>
      <c r="Q1338" s="3">
        <v>150</v>
      </c>
      <c r="R1338" s="3">
        <v>157.5</v>
      </c>
      <c r="S1338" s="4" t="e">
        <f t="array" aca="1" ref="S1338">MAX(P1338:R1338*(1-strike(P1338:R1338)))</f>
        <v>#NAME?</v>
      </c>
      <c r="T1338" s="4" t="e">
        <f t="shared" si="20"/>
        <v>#NAME?</v>
      </c>
      <c r="U1338" s="3">
        <v>375</v>
      </c>
      <c r="V1338" s="3">
        <v>467.85</v>
      </c>
      <c r="W1338" s="3">
        <v>1</v>
      </c>
      <c r="X1338" s="5">
        <v>2013</v>
      </c>
      <c r="Y1338" s="5" t="s">
        <v>852</v>
      </c>
      <c r="Z1338" s="5" t="s">
        <v>171</v>
      </c>
      <c r="AA1338" s="5">
        <v>950</v>
      </c>
    </row>
    <row r="1339" spans="1:27">
      <c r="A1339" s="4">
        <v>9</v>
      </c>
      <c r="B1339" s="4" t="s">
        <v>307</v>
      </c>
      <c r="C1339" s="4">
        <v>1990</v>
      </c>
      <c r="D1339" s="4" t="s">
        <v>911</v>
      </c>
      <c r="E1339" s="4">
        <v>50.5</v>
      </c>
      <c r="F1339" s="7">
        <v>12750</v>
      </c>
      <c r="G1339" s="4">
        <v>11</v>
      </c>
      <c r="H1339" s="6">
        <v>140</v>
      </c>
      <c r="I1339" s="4">
        <v>140</v>
      </c>
      <c r="J1339" s="4">
        <v>150</v>
      </c>
      <c r="K1339" s="4" t="e">
        <f t="array" aca="1" ref="K1339">MAX(H1339:J1339*(1-strike(H1339:J1339)))</f>
        <v>#NAME?</v>
      </c>
      <c r="L1339" s="4">
        <v>85</v>
      </c>
      <c r="M1339" s="4">
        <v>92.5</v>
      </c>
      <c r="N1339" s="6">
        <v>97.5</v>
      </c>
      <c r="O1339" s="4" t="e">
        <f t="array" aca="1" ref="O1339">MAX(L1339:N1339*(1-strike(L1339:N1339)))</f>
        <v>#NAME?</v>
      </c>
      <c r="P1339" s="4">
        <v>140</v>
      </c>
      <c r="Q1339" s="4">
        <v>150</v>
      </c>
      <c r="R1339" s="6">
        <v>160</v>
      </c>
      <c r="S1339" s="4" t="e">
        <f t="array" aca="1" ref="S1339">MAX(P1339:R1339*(1-strike(P1339:R1339)))</f>
        <v>#NAME?</v>
      </c>
      <c r="T1339" s="4" t="e">
        <f t="shared" si="20"/>
        <v>#NAME?</v>
      </c>
      <c r="U1339" s="4">
        <v>392.5</v>
      </c>
      <c r="V1339" s="4">
        <v>500.43</v>
      </c>
      <c r="W1339" s="4">
        <v>2</v>
      </c>
      <c r="X1339" s="5">
        <v>2014</v>
      </c>
      <c r="Y1339" s="5" t="s">
        <v>852</v>
      </c>
      <c r="Z1339" s="5" t="s">
        <v>171</v>
      </c>
      <c r="AA1339" s="5">
        <v>584</v>
      </c>
    </row>
    <row r="1340" spans="1:27">
      <c r="A1340" s="3">
        <v>12</v>
      </c>
      <c r="B1340" s="3" t="s">
        <v>1001</v>
      </c>
      <c r="C1340" s="3">
        <v>1987</v>
      </c>
      <c r="D1340" s="3" t="s">
        <v>77</v>
      </c>
      <c r="E1340" s="3">
        <v>55.95</v>
      </c>
      <c r="F1340" s="2">
        <v>11774</v>
      </c>
      <c r="G1340" s="3">
        <v>4</v>
      </c>
      <c r="H1340" s="3">
        <v>115</v>
      </c>
      <c r="I1340" s="1">
        <v>125</v>
      </c>
      <c r="J1340" s="1">
        <v>125</v>
      </c>
      <c r="K1340" s="4" t="e">
        <f t="array" aca="1" ref="K1340">MAX(H1340:J1340*(1-strike(H1340:J1340)))</f>
        <v>#NAME?</v>
      </c>
      <c r="L1340" s="3">
        <v>85</v>
      </c>
      <c r="M1340" s="3">
        <v>90</v>
      </c>
      <c r="N1340" s="1">
        <v>95</v>
      </c>
      <c r="O1340" s="4" t="e">
        <f t="array" aca="1" ref="O1340">MAX(L1340:N1340*(1-strike(L1340:N1340)))</f>
        <v>#NAME?</v>
      </c>
      <c r="P1340" s="3">
        <v>125</v>
      </c>
      <c r="Q1340" s="1">
        <v>135</v>
      </c>
      <c r="R1340" s="1">
        <v>135</v>
      </c>
      <c r="S1340" s="4" t="e">
        <f t="array" aca="1" ref="S1340">MAX(P1340:R1340*(1-strike(P1340:R1340)))</f>
        <v>#NAME?</v>
      </c>
      <c r="T1340" s="4" t="e">
        <f t="shared" si="20"/>
        <v>#NAME?</v>
      </c>
      <c r="U1340" s="3">
        <v>330</v>
      </c>
      <c r="V1340" s="3">
        <v>388.56</v>
      </c>
      <c r="W1340" s="3">
        <v>1</v>
      </c>
      <c r="X1340" s="5">
        <v>2014</v>
      </c>
      <c r="Y1340" s="5" t="s">
        <v>852</v>
      </c>
      <c r="Z1340" s="5" t="s">
        <v>30</v>
      </c>
      <c r="AA1340" s="5">
        <v>774</v>
      </c>
    </row>
    <row r="1341" spans="1:27">
      <c r="A1341" s="3">
        <v>1</v>
      </c>
      <c r="B1341" s="3" t="s">
        <v>308</v>
      </c>
      <c r="C1341" s="3">
        <v>1986</v>
      </c>
      <c r="D1341" s="3" t="s">
        <v>28</v>
      </c>
      <c r="E1341" s="3">
        <v>51.24</v>
      </c>
      <c r="F1341" s="2">
        <v>12608</v>
      </c>
      <c r="G1341" s="3">
        <v>1</v>
      </c>
      <c r="H1341" s="3">
        <v>180</v>
      </c>
      <c r="I1341" s="3">
        <v>192.5</v>
      </c>
      <c r="J1341" s="3">
        <v>200</v>
      </c>
      <c r="K1341" s="4" t="e">
        <f t="array" aca="1" ref="K1341">MAX(H1341:J1341*(1-strike(H1341:J1341)))</f>
        <v>#NAME?</v>
      </c>
      <c r="L1341" s="3">
        <v>120</v>
      </c>
      <c r="M1341" s="3">
        <v>125</v>
      </c>
      <c r="N1341" s="1">
        <v>130</v>
      </c>
      <c r="O1341" s="4" t="e">
        <f t="array" aca="1" ref="O1341">MAX(L1341:N1341*(1-strike(L1341:N1341)))</f>
        <v>#NAME?</v>
      </c>
      <c r="P1341" s="3">
        <v>165</v>
      </c>
      <c r="Q1341" s="3">
        <v>175</v>
      </c>
      <c r="R1341" s="3">
        <v>180</v>
      </c>
      <c r="S1341" s="4" t="e">
        <f t="array" aca="1" ref="S1341">MAX(P1341:R1341*(1-strike(P1341:R1341)))</f>
        <v>#NAME?</v>
      </c>
      <c r="T1341" s="4" t="e">
        <f t="shared" si="20"/>
        <v>#NAME?</v>
      </c>
      <c r="U1341" s="3" t="s">
        <v>1002</v>
      </c>
      <c r="V1341" s="3">
        <v>636.72</v>
      </c>
      <c r="W1341" s="3">
        <v>12</v>
      </c>
      <c r="X1341" s="5">
        <v>2012</v>
      </c>
      <c r="Y1341" s="5" t="s">
        <v>852</v>
      </c>
      <c r="Z1341" s="5" t="s">
        <v>171</v>
      </c>
      <c r="AA1341" s="5">
        <v>1342</v>
      </c>
    </row>
    <row r="1342" spans="1:27">
      <c r="A1342" s="3">
        <v>1</v>
      </c>
      <c r="B1342" s="3" t="s">
        <v>308</v>
      </c>
      <c r="C1342" s="3">
        <v>1986</v>
      </c>
      <c r="D1342" s="3" t="s">
        <v>28</v>
      </c>
      <c r="E1342" s="3">
        <v>50.75</v>
      </c>
      <c r="F1342" s="2">
        <v>12702</v>
      </c>
      <c r="G1342" s="3">
        <v>11</v>
      </c>
      <c r="H1342" s="3">
        <v>187.5</v>
      </c>
      <c r="I1342" s="3">
        <v>195</v>
      </c>
      <c r="J1342" s="3">
        <v>202.5</v>
      </c>
      <c r="K1342" s="4" t="e">
        <f t="array" aca="1" ref="K1342">MAX(H1342:J1342*(1-strike(H1342:J1342)))</f>
        <v>#NAME?</v>
      </c>
      <c r="L1342" s="3">
        <v>115</v>
      </c>
      <c r="M1342" s="3">
        <v>122.5</v>
      </c>
      <c r="N1342" s="3">
        <v>130</v>
      </c>
      <c r="O1342" s="4" t="e">
        <f t="array" aca="1" ref="O1342">MAX(L1342:N1342*(1-strike(L1342:N1342)))</f>
        <v>#NAME?</v>
      </c>
      <c r="P1342" s="3">
        <v>172.5</v>
      </c>
      <c r="Q1342" s="3">
        <v>182.5</v>
      </c>
      <c r="R1342" s="3">
        <v>190</v>
      </c>
      <c r="S1342" s="4" t="e">
        <f t="array" aca="1" ref="S1342">MAX(P1342:R1342*(1-strike(P1342:R1342)))</f>
        <v>#NAME?</v>
      </c>
      <c r="T1342" s="4" t="e">
        <f t="shared" si="20"/>
        <v>#NAME?</v>
      </c>
      <c r="U1342" s="3" t="s">
        <v>1003</v>
      </c>
      <c r="V1342" s="3">
        <v>663.68</v>
      </c>
      <c r="W1342" s="3">
        <v>12</v>
      </c>
      <c r="X1342" s="5">
        <v>2013</v>
      </c>
      <c r="Y1342" s="5" t="s">
        <v>852</v>
      </c>
      <c r="Z1342" s="5" t="s">
        <v>171</v>
      </c>
      <c r="AA1342" s="5">
        <v>939</v>
      </c>
    </row>
    <row r="1343" spans="1:27">
      <c r="A1343" s="4">
        <v>1</v>
      </c>
      <c r="B1343" s="4" t="s">
        <v>308</v>
      </c>
      <c r="C1343" s="4">
        <v>1986</v>
      </c>
      <c r="D1343" s="4" t="s">
        <v>903</v>
      </c>
      <c r="E1343" s="4">
        <v>51.36</v>
      </c>
      <c r="F1343" s="7">
        <v>12578</v>
      </c>
      <c r="G1343" s="4">
        <v>14</v>
      </c>
      <c r="H1343" s="4">
        <v>195</v>
      </c>
      <c r="I1343" s="4">
        <v>205</v>
      </c>
      <c r="J1343" s="6">
        <v>212.5</v>
      </c>
      <c r="K1343" s="4" t="e">
        <f t="array" aca="1" ref="K1343">MAX(H1343:J1343*(1-strike(H1343:J1343)))</f>
        <v>#NAME?</v>
      </c>
      <c r="L1343" s="4">
        <v>125</v>
      </c>
      <c r="M1343" s="4">
        <v>132.5</v>
      </c>
      <c r="N1343" s="4">
        <v>137.5</v>
      </c>
      <c r="O1343" s="4" t="e">
        <f t="array" aca="1" ref="O1343">MAX(L1343:N1343*(1-strike(L1343:N1343)))</f>
        <v>#NAME?</v>
      </c>
      <c r="P1343" s="4">
        <v>170</v>
      </c>
      <c r="Q1343" s="4">
        <v>182.5</v>
      </c>
      <c r="R1343" s="4">
        <v>187.5</v>
      </c>
      <c r="S1343" s="4" t="e">
        <f t="array" aca="1" ref="S1343">MAX(P1343:R1343*(1-strike(P1343:R1343)))</f>
        <v>#NAME?</v>
      </c>
      <c r="T1343" s="4" t="e">
        <f t="shared" si="20"/>
        <v>#NAME?</v>
      </c>
      <c r="U1343" s="4" t="s">
        <v>1004</v>
      </c>
      <c r="V1343" s="4">
        <v>666.63</v>
      </c>
      <c r="W1343" s="4">
        <v>12</v>
      </c>
      <c r="X1343" s="5">
        <v>2014</v>
      </c>
      <c r="Y1343" s="5" t="s">
        <v>852</v>
      </c>
      <c r="Z1343" s="5" t="s">
        <v>171</v>
      </c>
      <c r="AA1343" s="5">
        <v>576</v>
      </c>
    </row>
    <row r="1344" spans="1:27">
      <c r="A1344" s="3">
        <v>6</v>
      </c>
      <c r="B1344" s="3" t="s">
        <v>1005</v>
      </c>
      <c r="C1344" s="3">
        <v>1956</v>
      </c>
      <c r="D1344" s="3" t="s">
        <v>113</v>
      </c>
      <c r="E1344" s="3">
        <v>51.3</v>
      </c>
      <c r="F1344" s="2">
        <v>12597</v>
      </c>
      <c r="G1344" s="3">
        <v>8</v>
      </c>
      <c r="H1344" s="1">
        <v>100</v>
      </c>
      <c r="I1344" s="3">
        <v>100</v>
      </c>
      <c r="J1344" s="1">
        <v>105</v>
      </c>
      <c r="K1344" s="4" t="e">
        <f t="array" aca="1" ref="K1344">MAX(H1344:J1344*(1-strike(H1344:J1344)))</f>
        <v>#NAME?</v>
      </c>
      <c r="L1344" s="1">
        <v>60</v>
      </c>
      <c r="M1344" s="3">
        <v>62.5</v>
      </c>
      <c r="N1344" s="1">
        <v>65</v>
      </c>
      <c r="O1344" s="4" t="e">
        <f t="array" aca="1" ref="O1344">MAX(L1344:N1344*(1-strike(L1344:N1344)))</f>
        <v>#NAME?</v>
      </c>
      <c r="P1344" s="3">
        <v>130</v>
      </c>
      <c r="Q1344" s="3">
        <v>142.5</v>
      </c>
      <c r="R1344" s="3">
        <v>155</v>
      </c>
      <c r="S1344" s="4" t="e">
        <f t="array" aca="1" ref="S1344">MAX(P1344:R1344*(1-strike(P1344:R1344)))</f>
        <v>#NAME?</v>
      </c>
      <c r="T1344" s="4" t="e">
        <f t="shared" si="20"/>
        <v>#NAME?</v>
      </c>
      <c r="U1344" s="3">
        <v>317.5</v>
      </c>
      <c r="V1344" s="3">
        <v>399.95</v>
      </c>
      <c r="W1344" s="3">
        <v>5</v>
      </c>
      <c r="X1344" s="5">
        <v>2012</v>
      </c>
      <c r="Y1344" s="5" t="s">
        <v>852</v>
      </c>
      <c r="Z1344" s="5" t="s">
        <v>30</v>
      </c>
      <c r="AA1344" s="5">
        <v>1555</v>
      </c>
    </row>
    <row r="1345" spans="1:27">
      <c r="A1345" s="3">
        <v>7</v>
      </c>
      <c r="B1345" s="3" t="s">
        <v>1006</v>
      </c>
      <c r="C1345" s="3">
        <v>1974</v>
      </c>
      <c r="D1345" s="3" t="s">
        <v>80</v>
      </c>
      <c r="E1345" s="3">
        <v>51.55</v>
      </c>
      <c r="F1345" s="2">
        <v>12551</v>
      </c>
      <c r="G1345" s="3">
        <v>14</v>
      </c>
      <c r="H1345" s="1">
        <v>100</v>
      </c>
      <c r="I1345" s="3">
        <v>102.5</v>
      </c>
      <c r="J1345" s="1">
        <v>107.5</v>
      </c>
      <c r="K1345" s="4" t="e">
        <f t="array" aca="1" ref="K1345">MAX(H1345:J1345*(1-strike(H1345:J1345)))</f>
        <v>#NAME?</v>
      </c>
      <c r="L1345" s="3">
        <v>75</v>
      </c>
      <c r="M1345" s="3">
        <v>80</v>
      </c>
      <c r="N1345" s="1">
        <v>82.5</v>
      </c>
      <c r="O1345" s="4" t="e">
        <f t="array" aca="1" ref="O1345">MAX(L1345:N1345*(1-strike(L1345:N1345)))</f>
        <v>#NAME?</v>
      </c>
      <c r="P1345" s="3">
        <v>125</v>
      </c>
      <c r="Q1345" s="3">
        <v>132.5</v>
      </c>
      <c r="R1345" s="3">
        <v>135</v>
      </c>
      <c r="S1345" s="4" t="e">
        <f t="array" aca="1" ref="S1345">MAX(P1345:R1345*(1-strike(P1345:R1345)))</f>
        <v>#NAME?</v>
      </c>
      <c r="T1345" s="4" t="e">
        <f t="shared" si="20"/>
        <v>#NAME?</v>
      </c>
      <c r="U1345" s="3">
        <v>317.5</v>
      </c>
      <c r="V1345" s="3">
        <v>398.47</v>
      </c>
      <c r="W1345" s="3">
        <v>4</v>
      </c>
      <c r="X1345" s="5">
        <v>2012</v>
      </c>
      <c r="Y1345" s="5" t="s">
        <v>852</v>
      </c>
      <c r="Z1345" s="5" t="s">
        <v>30</v>
      </c>
      <c r="AA1345" s="5">
        <v>1556</v>
      </c>
    </row>
    <row r="1346" spans="1:27">
      <c r="A1346" s="3">
        <v>2</v>
      </c>
      <c r="B1346" s="3" t="s">
        <v>1007</v>
      </c>
      <c r="C1346" s="3">
        <v>1984</v>
      </c>
      <c r="D1346" s="3" t="s">
        <v>280</v>
      </c>
      <c r="E1346" s="3">
        <v>60.4</v>
      </c>
      <c r="F1346" s="2">
        <v>11092</v>
      </c>
      <c r="G1346" s="3">
        <v>10</v>
      </c>
      <c r="H1346" s="3">
        <v>210</v>
      </c>
      <c r="I1346" s="3">
        <v>220</v>
      </c>
      <c r="J1346" s="1">
        <v>230</v>
      </c>
      <c r="K1346" s="4" t="e">
        <f t="array" aca="1" ref="K1346">MAX(H1346:J1346*(1-strike(H1346:J1346)))</f>
        <v>#NAME?</v>
      </c>
      <c r="L1346" s="3">
        <v>125</v>
      </c>
      <c r="M1346" s="3">
        <v>132.5</v>
      </c>
      <c r="N1346" s="3">
        <v>142.5</v>
      </c>
      <c r="O1346" s="4" t="e">
        <f t="array" aca="1" ref="O1346">MAX(L1346:N1346*(1-strike(L1346:N1346)))</f>
        <v>#NAME?</v>
      </c>
      <c r="P1346" s="3">
        <v>215</v>
      </c>
      <c r="Q1346" s="3">
        <v>225</v>
      </c>
      <c r="R1346" s="1">
        <v>230</v>
      </c>
      <c r="S1346" s="4" t="e">
        <f t="array" aca="1" ref="S1346">MAX(P1346:R1346*(1-strike(P1346:R1346)))</f>
        <v>#NAME?</v>
      </c>
      <c r="T1346" s="4" t="e">
        <f t="shared" ref="T1346:T1409" si="21">IF(AND(K1346&lt;&gt;0,O1346&lt;&gt;0,S1346&lt;&gt;0),K1346+O1346+S1346,0)</f>
        <v>#NAME?</v>
      </c>
      <c r="U1346" s="3">
        <v>587.5</v>
      </c>
      <c r="V1346" s="3">
        <v>651.65</v>
      </c>
      <c r="W1346" s="3">
        <v>9</v>
      </c>
      <c r="X1346" s="5">
        <v>2012</v>
      </c>
      <c r="Y1346" s="5" t="s">
        <v>852</v>
      </c>
      <c r="Z1346" s="5" t="s">
        <v>171</v>
      </c>
      <c r="AA1346" s="5">
        <v>1372</v>
      </c>
    </row>
    <row r="1347" spans="1:27">
      <c r="A1347" s="3">
        <v>3</v>
      </c>
      <c r="B1347" s="3" t="s">
        <v>1007</v>
      </c>
      <c r="C1347" s="3">
        <v>1984</v>
      </c>
      <c r="D1347" s="3" t="s">
        <v>280</v>
      </c>
      <c r="E1347" s="3">
        <v>60.52</v>
      </c>
      <c r="F1347" s="2">
        <v>11075</v>
      </c>
      <c r="G1347" s="3">
        <v>9</v>
      </c>
      <c r="H1347" s="1">
        <v>200</v>
      </c>
      <c r="I1347" s="3">
        <v>200</v>
      </c>
      <c r="J1347" s="3">
        <v>220</v>
      </c>
      <c r="K1347" s="4" t="e">
        <f t="array" aca="1" ref="K1347">MAX(H1347:J1347*(1-strike(H1347:J1347)))</f>
        <v>#NAME?</v>
      </c>
      <c r="L1347" s="3">
        <v>125</v>
      </c>
      <c r="M1347" s="3">
        <v>135</v>
      </c>
      <c r="N1347" s="1">
        <v>142.5</v>
      </c>
      <c r="O1347" s="4" t="e">
        <f t="array" aca="1" ref="O1347">MAX(L1347:N1347*(1-strike(L1347:N1347)))</f>
        <v>#NAME?</v>
      </c>
      <c r="P1347" s="3">
        <v>210</v>
      </c>
      <c r="Q1347" s="3">
        <v>220</v>
      </c>
      <c r="R1347" s="1">
        <v>225</v>
      </c>
      <c r="S1347" s="4" t="e">
        <f t="array" aca="1" ref="S1347">MAX(P1347:R1347*(1-strike(P1347:R1347)))</f>
        <v>#NAME?</v>
      </c>
      <c r="T1347" s="4" t="e">
        <f t="shared" si="21"/>
        <v>#NAME?</v>
      </c>
      <c r="U1347" s="3">
        <v>575</v>
      </c>
      <c r="V1347" s="3">
        <v>636.80999999999995</v>
      </c>
      <c r="W1347" s="3">
        <v>8</v>
      </c>
      <c r="X1347" s="5">
        <v>2013</v>
      </c>
      <c r="Y1347" s="5" t="s">
        <v>852</v>
      </c>
      <c r="Z1347" s="5" t="s">
        <v>171</v>
      </c>
      <c r="AA1347" s="5">
        <v>974</v>
      </c>
    </row>
    <row r="1348" spans="1:27">
      <c r="A1348" s="3" t="s">
        <v>37</v>
      </c>
      <c r="B1348" s="3" t="s">
        <v>1008</v>
      </c>
      <c r="C1348" s="3">
        <v>1965</v>
      </c>
      <c r="D1348" s="3" t="s">
        <v>109</v>
      </c>
      <c r="E1348" s="3">
        <v>46.72</v>
      </c>
      <c r="F1348" s="2">
        <v>13507</v>
      </c>
      <c r="G1348" s="3">
        <v>14</v>
      </c>
      <c r="H1348" s="3">
        <v>135</v>
      </c>
      <c r="I1348" s="1">
        <v>140</v>
      </c>
      <c r="J1348" s="1">
        <v>142.5</v>
      </c>
      <c r="K1348" s="4" t="e">
        <f t="array" aca="1" ref="K1348">MAX(H1348:J1348*(1-strike(H1348:J1348)))</f>
        <v>#NAME?</v>
      </c>
      <c r="L1348" s="1">
        <v>107.5</v>
      </c>
      <c r="M1348" s="1">
        <v>107.5</v>
      </c>
      <c r="N1348" s="1">
        <v>107.5</v>
      </c>
      <c r="O1348" s="4" t="e">
        <f t="array" aca="1" ref="O1348">MAX(L1348:N1348*(1-strike(L1348:N1348)))</f>
        <v>#NAME?</v>
      </c>
      <c r="P1348" s="3"/>
      <c r="Q1348" s="3"/>
      <c r="R1348" s="3"/>
      <c r="S1348" s="4" t="e">
        <f t="array" aca="1" ref="S1348">MAX(P1348:R1348*(1-strike(P1348:R1348)))</f>
        <v>#NAME?</v>
      </c>
      <c r="T1348" s="4" t="e">
        <f t="shared" si="21"/>
        <v>#NAME?</v>
      </c>
      <c r="U1348" s="3" t="s">
        <v>40</v>
      </c>
      <c r="V1348" s="3" t="s">
        <v>37</v>
      </c>
      <c r="W1348" s="3" t="s">
        <v>37</v>
      </c>
      <c r="X1348" s="5">
        <v>2012</v>
      </c>
      <c r="Y1348" s="5" t="s">
        <v>852</v>
      </c>
      <c r="Z1348" s="5" t="s">
        <v>171</v>
      </c>
      <c r="AA1348" s="5">
        <v>1340</v>
      </c>
    </row>
    <row r="1349" spans="1:27">
      <c r="A1349" s="3">
        <v>4</v>
      </c>
      <c r="B1349" s="3" t="s">
        <v>1009</v>
      </c>
      <c r="C1349" s="3">
        <v>1988</v>
      </c>
      <c r="D1349" s="3" t="s">
        <v>113</v>
      </c>
      <c r="E1349" s="3">
        <v>62.1</v>
      </c>
      <c r="F1349" s="2">
        <v>10858</v>
      </c>
      <c r="G1349" s="3">
        <v>5</v>
      </c>
      <c r="H1349" s="3">
        <v>135</v>
      </c>
      <c r="I1349" s="1">
        <v>142.5</v>
      </c>
      <c r="J1349" s="1">
        <v>142.5</v>
      </c>
      <c r="K1349" s="4" t="e">
        <f t="array" aca="1" ref="K1349">MAX(H1349:J1349*(1-strike(H1349:J1349)))</f>
        <v>#NAME?</v>
      </c>
      <c r="L1349" s="3">
        <v>80</v>
      </c>
      <c r="M1349" s="3">
        <v>85</v>
      </c>
      <c r="N1349" s="1">
        <v>87.5</v>
      </c>
      <c r="O1349" s="4" t="e">
        <f t="array" aca="1" ref="O1349">MAX(L1349:N1349*(1-strike(L1349:N1349)))</f>
        <v>#NAME?</v>
      </c>
      <c r="P1349" s="3">
        <v>150</v>
      </c>
      <c r="Q1349" s="3">
        <v>160</v>
      </c>
      <c r="R1349" s="1">
        <v>175</v>
      </c>
      <c r="S1349" s="4" t="e">
        <f t="array" aca="1" ref="S1349">MAX(P1349:R1349*(1-strike(P1349:R1349)))</f>
        <v>#NAME?</v>
      </c>
      <c r="T1349" s="4" t="e">
        <f t="shared" si="21"/>
        <v>#NAME?</v>
      </c>
      <c r="U1349" s="3">
        <v>380</v>
      </c>
      <c r="V1349" s="3">
        <v>412.6</v>
      </c>
      <c r="W1349" s="3">
        <v>7</v>
      </c>
      <c r="X1349" s="5">
        <v>2013</v>
      </c>
      <c r="Y1349" s="5" t="s">
        <v>852</v>
      </c>
      <c r="Z1349" s="5" t="s">
        <v>30</v>
      </c>
      <c r="AA1349" s="5">
        <v>1155</v>
      </c>
    </row>
    <row r="1350" spans="1:27">
      <c r="A1350" s="3">
        <v>4</v>
      </c>
      <c r="B1350" s="3" t="s">
        <v>1010</v>
      </c>
      <c r="C1350" s="3">
        <v>1986</v>
      </c>
      <c r="D1350" s="3" t="s">
        <v>62</v>
      </c>
      <c r="E1350" s="3">
        <v>69.349999999999994</v>
      </c>
      <c r="F1350" s="2">
        <v>10013</v>
      </c>
      <c r="G1350" s="3">
        <v>5</v>
      </c>
      <c r="H1350" s="3">
        <v>122.5</v>
      </c>
      <c r="I1350" s="3">
        <v>132.5</v>
      </c>
      <c r="J1350" s="1">
        <v>140</v>
      </c>
      <c r="K1350" s="4" t="e">
        <f t="array" aca="1" ref="K1350">MAX(H1350:J1350*(1-strike(H1350:J1350)))</f>
        <v>#NAME?</v>
      </c>
      <c r="L1350" s="3">
        <v>75</v>
      </c>
      <c r="M1350" s="3">
        <v>80</v>
      </c>
      <c r="N1350" s="3">
        <v>82.5</v>
      </c>
      <c r="O1350" s="4" t="e">
        <f t="array" aca="1" ref="O1350">MAX(L1350:N1350*(1-strike(L1350:N1350)))</f>
        <v>#NAME?</v>
      </c>
      <c r="P1350" s="3">
        <v>167.5</v>
      </c>
      <c r="Q1350" s="3">
        <v>177.5</v>
      </c>
      <c r="R1350" s="3">
        <v>182.5</v>
      </c>
      <c r="S1350" s="4" t="e">
        <f t="array" aca="1" ref="S1350">MAX(P1350:R1350*(1-strike(P1350:R1350)))</f>
        <v>#NAME?</v>
      </c>
      <c r="T1350" s="4" t="e">
        <f t="shared" si="21"/>
        <v>#NAME?</v>
      </c>
      <c r="U1350" s="3">
        <v>397.5</v>
      </c>
      <c r="V1350" s="3">
        <v>398.01</v>
      </c>
      <c r="W1350" s="3">
        <v>7</v>
      </c>
      <c r="X1350" s="5">
        <v>2012</v>
      </c>
      <c r="Y1350" s="5" t="s">
        <v>852</v>
      </c>
      <c r="Z1350" s="5" t="s">
        <v>30</v>
      </c>
      <c r="AA1350" s="5">
        <v>1588</v>
      </c>
    </row>
    <row r="1351" spans="1:27">
      <c r="A1351" s="3">
        <v>2</v>
      </c>
      <c r="B1351" s="3" t="s">
        <v>1011</v>
      </c>
      <c r="C1351" s="3">
        <v>1976</v>
      </c>
      <c r="D1351" s="3" t="s">
        <v>35</v>
      </c>
      <c r="E1351" s="3">
        <v>94.84</v>
      </c>
      <c r="F1351" s="3">
        <v>0.84689999999999999</v>
      </c>
      <c r="G1351" s="3">
        <v>2</v>
      </c>
      <c r="H1351" s="3">
        <v>150</v>
      </c>
      <c r="I1351" s="3">
        <v>152.5</v>
      </c>
      <c r="J1351" s="3">
        <v>155</v>
      </c>
      <c r="K1351" s="4" t="e">
        <f t="array" aca="1" ref="K1351">MAX(H1351:J1351*(1-strike(H1351:J1351)))</f>
        <v>#NAME?</v>
      </c>
      <c r="L1351" s="3">
        <v>90</v>
      </c>
      <c r="M1351" s="3">
        <v>95</v>
      </c>
      <c r="N1351" s="1">
        <v>100</v>
      </c>
      <c r="O1351" s="4" t="e">
        <f t="array" aca="1" ref="O1351">MAX(L1351:N1351*(1-strike(L1351:N1351)))</f>
        <v>#NAME?</v>
      </c>
      <c r="P1351" s="3">
        <v>180</v>
      </c>
      <c r="Q1351" s="3">
        <v>185</v>
      </c>
      <c r="R1351" s="3">
        <v>187.5</v>
      </c>
      <c r="S1351" s="4" t="e">
        <f t="array" aca="1" ref="S1351">MAX(P1351:R1351*(1-strike(P1351:R1351)))</f>
        <v>#NAME?</v>
      </c>
      <c r="T1351" s="4" t="e">
        <f t="shared" si="21"/>
        <v>#NAME?</v>
      </c>
      <c r="U1351" s="3">
        <v>437.5</v>
      </c>
      <c r="V1351" s="3">
        <v>370.51</v>
      </c>
      <c r="W1351" s="3">
        <v>9</v>
      </c>
      <c r="X1351" s="5">
        <v>2012</v>
      </c>
      <c r="Y1351" s="5" t="s">
        <v>852</v>
      </c>
      <c r="Z1351" s="5" t="s">
        <v>30</v>
      </c>
      <c r="AA1351" s="5">
        <v>1603</v>
      </c>
    </row>
    <row r="1352" spans="1:27" ht="15" customHeight="1">
      <c r="A1352" s="3">
        <v>7</v>
      </c>
      <c r="B1352" s="3" t="s">
        <v>311</v>
      </c>
      <c r="C1352" s="3">
        <v>1983</v>
      </c>
      <c r="D1352" s="3" t="s">
        <v>51</v>
      </c>
      <c r="E1352" s="3">
        <v>83.82</v>
      </c>
      <c r="F1352" s="3">
        <v>0.89270000000000005</v>
      </c>
      <c r="G1352" s="3">
        <v>2</v>
      </c>
      <c r="H1352" s="1">
        <v>185</v>
      </c>
      <c r="I1352" s="3">
        <v>185</v>
      </c>
      <c r="J1352" s="1">
        <v>195</v>
      </c>
      <c r="K1352" s="4" t="e">
        <f t="array" aca="1" ref="K1352">MAX(H1352:J1352*(1-strike(H1352:J1352)))</f>
        <v>#NAME?</v>
      </c>
      <c r="L1352" s="1">
        <v>125</v>
      </c>
      <c r="M1352" s="3">
        <v>125</v>
      </c>
      <c r="N1352" s="3">
        <v>130</v>
      </c>
      <c r="O1352" s="4" t="e">
        <f t="array" aca="1" ref="O1352">MAX(L1352:N1352*(1-strike(L1352:N1352)))</f>
        <v>#NAME?</v>
      </c>
      <c r="P1352" s="3">
        <v>180</v>
      </c>
      <c r="Q1352" s="3">
        <v>187.5</v>
      </c>
      <c r="R1352" s="3">
        <v>192.5</v>
      </c>
      <c r="S1352" s="4" t="e">
        <f t="array" aca="1" ref="S1352">MAX(P1352:R1352*(1-strike(P1352:R1352)))</f>
        <v>#NAME?</v>
      </c>
      <c r="T1352" s="4" t="e">
        <f t="shared" si="21"/>
        <v>#NAME?</v>
      </c>
      <c r="U1352" s="3">
        <v>507.5</v>
      </c>
      <c r="V1352" s="3">
        <v>453.04</v>
      </c>
      <c r="W1352" s="3">
        <v>4</v>
      </c>
      <c r="X1352" s="5">
        <v>2012</v>
      </c>
      <c r="Y1352" s="5" t="s">
        <v>852</v>
      </c>
      <c r="Z1352" s="5" t="s">
        <v>171</v>
      </c>
      <c r="AA1352" s="5">
        <v>1409</v>
      </c>
    </row>
    <row r="1353" spans="1:27">
      <c r="A1353" s="3">
        <v>5</v>
      </c>
      <c r="B1353" s="3" t="s">
        <v>311</v>
      </c>
      <c r="C1353" s="3">
        <v>1983</v>
      </c>
      <c r="D1353" s="3" t="s">
        <v>51</v>
      </c>
      <c r="E1353" s="3">
        <v>83.63</v>
      </c>
      <c r="F1353" s="3">
        <v>0.89370000000000005</v>
      </c>
      <c r="G1353" s="3">
        <v>11</v>
      </c>
      <c r="H1353" s="3">
        <v>192.5</v>
      </c>
      <c r="I1353" s="3">
        <v>202.5</v>
      </c>
      <c r="J1353" s="1">
        <v>210</v>
      </c>
      <c r="K1353" s="4" t="e">
        <f t="array" aca="1" ref="K1353">MAX(H1353:J1353*(1-strike(H1353:J1353)))</f>
        <v>#NAME?</v>
      </c>
      <c r="L1353" s="3">
        <v>122.5</v>
      </c>
      <c r="M1353" s="1">
        <v>127.5</v>
      </c>
      <c r="N1353" s="1">
        <v>127.5</v>
      </c>
      <c r="O1353" s="4" t="e">
        <f t="array" aca="1" ref="O1353">MAX(L1353:N1353*(1-strike(L1353:N1353)))</f>
        <v>#NAME?</v>
      </c>
      <c r="P1353" s="3">
        <v>185</v>
      </c>
      <c r="Q1353" s="1">
        <v>192.5</v>
      </c>
      <c r="R1353" s="1">
        <v>192.5</v>
      </c>
      <c r="S1353" s="4" t="e">
        <f t="array" aca="1" ref="S1353">MAX(P1353:R1353*(1-strike(P1353:R1353)))</f>
        <v>#NAME?</v>
      </c>
      <c r="T1353" s="4" t="e">
        <f t="shared" si="21"/>
        <v>#NAME?</v>
      </c>
      <c r="U1353" s="3">
        <v>510</v>
      </c>
      <c r="V1353" s="3">
        <v>455.79</v>
      </c>
      <c r="W1353" s="3">
        <v>6</v>
      </c>
      <c r="X1353" s="5">
        <v>2013</v>
      </c>
      <c r="Y1353" s="5" t="s">
        <v>852</v>
      </c>
      <c r="Z1353" s="5" t="s">
        <v>171</v>
      </c>
      <c r="AA1353" s="5">
        <v>999</v>
      </c>
    </row>
    <row r="1354" spans="1:27">
      <c r="A1354" s="3">
        <v>6</v>
      </c>
      <c r="B1354" s="3" t="s">
        <v>311</v>
      </c>
      <c r="C1354" s="3">
        <v>1983</v>
      </c>
      <c r="D1354" s="3" t="s">
        <v>51</v>
      </c>
      <c r="E1354" s="3">
        <v>84</v>
      </c>
      <c r="F1354" s="3">
        <v>0.89170000000000005</v>
      </c>
      <c r="G1354" s="3">
        <v>14</v>
      </c>
      <c r="H1354" s="3">
        <v>140</v>
      </c>
      <c r="I1354" s="3">
        <v>150</v>
      </c>
      <c r="J1354" s="3">
        <v>155</v>
      </c>
      <c r="K1354" s="4" t="e">
        <f t="array" aca="1" ref="K1354">MAX(H1354:J1354*(1-strike(H1354:J1354)))</f>
        <v>#NAME?</v>
      </c>
      <c r="L1354" s="3">
        <v>85</v>
      </c>
      <c r="M1354" s="1">
        <v>90</v>
      </c>
      <c r="N1354" s="3"/>
      <c r="O1354" s="4" t="e">
        <f t="array" aca="1" ref="O1354">MAX(L1354:N1354*(1-strike(L1354:N1354)))</f>
        <v>#NAME?</v>
      </c>
      <c r="P1354" s="3">
        <v>170</v>
      </c>
      <c r="Q1354" s="1">
        <v>177.5</v>
      </c>
      <c r="R1354" s="1">
        <v>177.5</v>
      </c>
      <c r="S1354" s="4" t="e">
        <f t="array" aca="1" ref="S1354">MAX(P1354:R1354*(1-strike(P1354:R1354)))</f>
        <v>#NAME?</v>
      </c>
      <c r="T1354" s="4" t="e">
        <f t="shared" si="21"/>
        <v>#NAME?</v>
      </c>
      <c r="U1354" s="3">
        <v>410</v>
      </c>
      <c r="V1354" s="3">
        <v>365.6</v>
      </c>
      <c r="W1354" s="3">
        <v>5</v>
      </c>
      <c r="X1354" s="5">
        <v>2014</v>
      </c>
      <c r="Y1354" s="5" t="s">
        <v>852</v>
      </c>
      <c r="Z1354" s="5" t="s">
        <v>30</v>
      </c>
      <c r="AA1354" s="5">
        <v>806</v>
      </c>
    </row>
    <row r="1355" spans="1:27">
      <c r="A1355" s="4">
        <v>6</v>
      </c>
      <c r="B1355" s="4" t="s">
        <v>311</v>
      </c>
      <c r="C1355" s="4">
        <v>1983</v>
      </c>
      <c r="D1355" s="4" t="s">
        <v>905</v>
      </c>
      <c r="E1355" s="4">
        <v>83.82</v>
      </c>
      <c r="F1355" s="4">
        <v>0.89280000000000004</v>
      </c>
      <c r="G1355" s="4">
        <v>1</v>
      </c>
      <c r="H1355" s="4">
        <v>190</v>
      </c>
      <c r="I1355" s="4">
        <v>200</v>
      </c>
      <c r="J1355" s="4">
        <v>207.5</v>
      </c>
      <c r="K1355" s="4" t="e">
        <f t="array" aca="1" ref="K1355">MAX(H1355:J1355*(1-strike(H1355:J1355)))</f>
        <v>#NAME?</v>
      </c>
      <c r="L1355" s="4">
        <v>120</v>
      </c>
      <c r="M1355" s="6">
        <v>127.5</v>
      </c>
      <c r="N1355" s="4">
        <v>127.5</v>
      </c>
      <c r="O1355" s="4" t="e">
        <f t="array" aca="1" ref="O1355">MAX(L1355:N1355*(1-strike(L1355:N1355)))</f>
        <v>#NAME?</v>
      </c>
      <c r="P1355" s="4">
        <v>185</v>
      </c>
      <c r="Q1355" s="4">
        <v>195</v>
      </c>
      <c r="R1355" s="6">
        <v>200</v>
      </c>
      <c r="S1355" s="4" t="e">
        <f t="array" aca="1" ref="S1355">MAX(P1355:R1355*(1-strike(P1355:R1355)))</f>
        <v>#NAME?</v>
      </c>
      <c r="T1355" s="4" t="e">
        <f t="shared" si="21"/>
        <v>#NAME?</v>
      </c>
      <c r="U1355" s="4">
        <v>530</v>
      </c>
      <c r="V1355" s="4">
        <v>473.18</v>
      </c>
      <c r="W1355" s="4">
        <v>5</v>
      </c>
      <c r="X1355" s="5">
        <v>2014</v>
      </c>
      <c r="Y1355" s="5" t="s">
        <v>852</v>
      </c>
      <c r="Z1355" s="5" t="s">
        <v>171</v>
      </c>
      <c r="AA1355" s="5">
        <v>631</v>
      </c>
    </row>
    <row r="1356" spans="1:27">
      <c r="A1356" s="3">
        <v>11</v>
      </c>
      <c r="B1356" s="3" t="s">
        <v>1012</v>
      </c>
      <c r="C1356" s="3">
        <v>1972</v>
      </c>
      <c r="D1356" s="3" t="s">
        <v>80</v>
      </c>
      <c r="E1356" s="3">
        <v>51.84</v>
      </c>
      <c r="F1356" s="2">
        <v>12496</v>
      </c>
      <c r="G1356" s="3">
        <v>20</v>
      </c>
      <c r="H1356" s="1">
        <v>155</v>
      </c>
      <c r="I1356" s="3">
        <v>155</v>
      </c>
      <c r="J1356" s="1">
        <v>160</v>
      </c>
      <c r="K1356" s="4" t="e">
        <f t="array" aca="1" ref="K1356">MAX(H1356:J1356*(1-strike(H1356:J1356)))</f>
        <v>#NAME?</v>
      </c>
      <c r="L1356" s="3">
        <v>90</v>
      </c>
      <c r="M1356" s="1">
        <v>92.5</v>
      </c>
      <c r="N1356" s="1">
        <v>92.5</v>
      </c>
      <c r="O1356" s="4" t="e">
        <f t="array" aca="1" ref="O1356">MAX(L1356:N1356*(1-strike(L1356:N1356)))</f>
        <v>#NAME?</v>
      </c>
      <c r="P1356" s="3">
        <v>155</v>
      </c>
      <c r="Q1356" s="3">
        <v>160</v>
      </c>
      <c r="R1356" s="1">
        <v>167.5</v>
      </c>
      <c r="S1356" s="4" t="e">
        <f t="array" aca="1" ref="S1356">MAX(P1356:R1356*(1-strike(P1356:R1356)))</f>
        <v>#NAME?</v>
      </c>
      <c r="T1356" s="4" t="e">
        <f t="shared" si="21"/>
        <v>#NAME?</v>
      </c>
      <c r="U1356" s="3">
        <v>405</v>
      </c>
      <c r="V1356" s="3">
        <v>506.1</v>
      </c>
      <c r="W1356" s="3">
        <v>1</v>
      </c>
      <c r="X1356" s="5">
        <v>2012</v>
      </c>
      <c r="Y1356" s="5" t="s">
        <v>852</v>
      </c>
      <c r="Z1356" s="5" t="s">
        <v>171</v>
      </c>
      <c r="AA1356" s="5">
        <v>1352</v>
      </c>
    </row>
    <row r="1357" spans="1:27">
      <c r="A1357" s="3">
        <v>6</v>
      </c>
      <c r="B1357" s="3" t="s">
        <v>1012</v>
      </c>
      <c r="C1357" s="3">
        <v>1972</v>
      </c>
      <c r="D1357" s="3" t="s">
        <v>80</v>
      </c>
      <c r="E1357" s="3">
        <v>51.75</v>
      </c>
      <c r="F1357" s="2">
        <v>12513</v>
      </c>
      <c r="G1357" s="3">
        <v>4</v>
      </c>
      <c r="H1357" s="3">
        <v>92.5</v>
      </c>
      <c r="I1357" s="1">
        <v>97.5</v>
      </c>
      <c r="J1357" s="1">
        <v>97.5</v>
      </c>
      <c r="K1357" s="4" t="e">
        <f t="array" aca="1" ref="K1357">MAX(H1357:J1357*(1-strike(H1357:J1357)))</f>
        <v>#NAME?</v>
      </c>
      <c r="L1357" s="3">
        <v>70</v>
      </c>
      <c r="M1357" s="3">
        <v>72.5</v>
      </c>
      <c r="N1357" s="1">
        <v>75</v>
      </c>
      <c r="O1357" s="4" t="e">
        <f t="array" aca="1" ref="O1357">MAX(L1357:N1357*(1-strike(L1357:N1357)))</f>
        <v>#NAME?</v>
      </c>
      <c r="P1357" s="3">
        <v>142.5</v>
      </c>
      <c r="Q1357" s="1">
        <v>147.5</v>
      </c>
      <c r="R1357" s="1">
        <v>147.5</v>
      </c>
      <c r="S1357" s="4" t="e">
        <f t="array" aca="1" ref="S1357">MAX(P1357:R1357*(1-strike(P1357:R1357)))</f>
        <v>#NAME?</v>
      </c>
      <c r="T1357" s="4" t="e">
        <f t="shared" si="21"/>
        <v>#NAME?</v>
      </c>
      <c r="U1357" s="3">
        <v>307.5</v>
      </c>
      <c r="V1357" s="3">
        <v>384.77</v>
      </c>
      <c r="W1357" s="3">
        <v>5</v>
      </c>
      <c r="X1357" s="5">
        <v>2013</v>
      </c>
      <c r="Y1357" s="5" t="s">
        <v>852</v>
      </c>
      <c r="Z1357" s="5" t="s">
        <v>30</v>
      </c>
      <c r="AA1357" s="5">
        <v>1139</v>
      </c>
    </row>
    <row r="1358" spans="1:27">
      <c r="A1358" s="3" t="s">
        <v>37</v>
      </c>
      <c r="B1358" s="3" t="s">
        <v>1012</v>
      </c>
      <c r="C1358" s="3">
        <v>1972</v>
      </c>
      <c r="D1358" s="3" t="s">
        <v>80</v>
      </c>
      <c r="E1358" s="3">
        <v>51.83</v>
      </c>
      <c r="F1358" s="2">
        <v>12498</v>
      </c>
      <c r="G1358" s="3">
        <v>18</v>
      </c>
      <c r="H1358" s="1">
        <v>155</v>
      </c>
      <c r="I1358" s="1">
        <v>155</v>
      </c>
      <c r="J1358" s="1">
        <v>155</v>
      </c>
      <c r="K1358" s="4" t="e">
        <f t="array" aca="1" ref="K1358">MAX(H1358:J1358*(1-strike(H1358:J1358)))</f>
        <v>#NAME?</v>
      </c>
      <c r="L1358" s="1">
        <v>92.5</v>
      </c>
      <c r="M1358" s="3">
        <v>92.5</v>
      </c>
      <c r="N1358" s="1">
        <v>95</v>
      </c>
      <c r="O1358" s="4" t="e">
        <f t="array" aca="1" ref="O1358">MAX(L1358:N1358*(1-strike(L1358:N1358)))</f>
        <v>#NAME?</v>
      </c>
      <c r="P1358" s="3">
        <v>150</v>
      </c>
      <c r="Q1358" s="3"/>
      <c r="R1358" s="3"/>
      <c r="S1358" s="4" t="e">
        <f t="array" aca="1" ref="S1358">MAX(P1358:R1358*(1-strike(P1358:R1358)))</f>
        <v>#NAME?</v>
      </c>
      <c r="T1358" s="4" t="e">
        <f t="shared" si="21"/>
        <v>#NAME?</v>
      </c>
      <c r="U1358" s="3" t="s">
        <v>40</v>
      </c>
      <c r="V1358" s="3" t="s">
        <v>37</v>
      </c>
      <c r="W1358" s="3" t="s">
        <v>37</v>
      </c>
      <c r="X1358" s="5">
        <v>2013</v>
      </c>
      <c r="Y1358" s="5" t="s">
        <v>852</v>
      </c>
      <c r="Z1358" s="5" t="s">
        <v>171</v>
      </c>
      <c r="AA1358" s="5">
        <v>953</v>
      </c>
    </row>
    <row r="1359" spans="1:27">
      <c r="A1359" s="3">
        <v>14</v>
      </c>
      <c r="B1359" s="3" t="s">
        <v>1013</v>
      </c>
      <c r="C1359" s="3">
        <v>1993</v>
      </c>
      <c r="D1359" s="3" t="s">
        <v>359</v>
      </c>
      <c r="E1359" s="3">
        <v>50.98</v>
      </c>
      <c r="F1359" s="2">
        <v>12658</v>
      </c>
      <c r="G1359" s="3">
        <v>9</v>
      </c>
      <c r="H1359" s="3">
        <v>100</v>
      </c>
      <c r="I1359" s="1">
        <v>115</v>
      </c>
      <c r="J1359" s="3"/>
      <c r="K1359" s="4" t="e">
        <f t="array" aca="1" ref="K1359">MAX(H1359:J1359*(1-strike(H1359:J1359)))</f>
        <v>#NAME?</v>
      </c>
      <c r="L1359" s="3">
        <v>92.5</v>
      </c>
      <c r="M1359" s="1">
        <v>97.5</v>
      </c>
      <c r="N1359" s="1">
        <v>100</v>
      </c>
      <c r="O1359" s="4" t="e">
        <f t="array" aca="1" ref="O1359">MAX(L1359:N1359*(1-strike(L1359:N1359)))</f>
        <v>#NAME?</v>
      </c>
      <c r="P1359" s="3">
        <v>120</v>
      </c>
      <c r="Q1359" s="1">
        <v>140</v>
      </c>
      <c r="R1359" s="3"/>
      <c r="S1359" s="4" t="e">
        <f t="array" aca="1" ref="S1359">MAX(P1359:R1359*(1-strike(P1359:R1359)))</f>
        <v>#NAME?</v>
      </c>
      <c r="T1359" s="4" t="e">
        <f t="shared" si="21"/>
        <v>#NAME?</v>
      </c>
      <c r="U1359" s="3">
        <v>312.5</v>
      </c>
      <c r="V1359" s="3">
        <v>395.56</v>
      </c>
      <c r="W1359" s="3">
        <v>1</v>
      </c>
      <c r="X1359" s="5">
        <v>2013</v>
      </c>
      <c r="Y1359" s="5" t="s">
        <v>852</v>
      </c>
      <c r="Z1359" s="5" t="s">
        <v>171</v>
      </c>
      <c r="AA1359" s="5">
        <v>952</v>
      </c>
    </row>
    <row r="1360" spans="1:27">
      <c r="A1360" s="3">
        <v>6</v>
      </c>
      <c r="B1360" s="3" t="s">
        <v>1014</v>
      </c>
      <c r="C1360" s="3">
        <v>1979</v>
      </c>
      <c r="D1360" s="3" t="s">
        <v>56</v>
      </c>
      <c r="E1360" s="3">
        <v>46.15</v>
      </c>
      <c r="F1360" s="2">
        <v>13625</v>
      </c>
      <c r="G1360" s="3">
        <v>2</v>
      </c>
      <c r="H1360" s="3">
        <v>85</v>
      </c>
      <c r="I1360" s="1">
        <v>90</v>
      </c>
      <c r="J1360" s="3">
        <v>90</v>
      </c>
      <c r="K1360" s="4" t="e">
        <f t="array" aca="1" ref="K1360">MAX(H1360:J1360*(1-strike(H1360:J1360)))</f>
        <v>#NAME?</v>
      </c>
      <c r="L1360" s="3">
        <v>50</v>
      </c>
      <c r="M1360" s="3">
        <v>55</v>
      </c>
      <c r="N1360" s="1">
        <v>57.5</v>
      </c>
      <c r="O1360" s="4" t="e">
        <f t="array" aca="1" ref="O1360">MAX(L1360:N1360*(1-strike(L1360:N1360)))</f>
        <v>#NAME?</v>
      </c>
      <c r="P1360" s="3">
        <v>115</v>
      </c>
      <c r="Q1360" s="3">
        <v>122.5</v>
      </c>
      <c r="R1360" s="3">
        <v>125</v>
      </c>
      <c r="S1360" s="4" t="e">
        <f t="array" aca="1" ref="S1360">MAX(P1360:R1360*(1-strike(P1360:R1360)))</f>
        <v>#NAME?</v>
      </c>
      <c r="T1360" s="4" t="e">
        <f t="shared" si="21"/>
        <v>#NAME?</v>
      </c>
      <c r="U1360" s="3">
        <v>270</v>
      </c>
      <c r="V1360" s="3">
        <v>367.89</v>
      </c>
      <c r="W1360" s="3">
        <v>5</v>
      </c>
      <c r="X1360" s="5">
        <v>2014</v>
      </c>
      <c r="Y1360" s="5" t="s">
        <v>852</v>
      </c>
      <c r="Z1360" s="5" t="s">
        <v>30</v>
      </c>
      <c r="AA1360" s="5">
        <v>752</v>
      </c>
    </row>
    <row r="1361" spans="1:27">
      <c r="A1361" s="3">
        <v>1</v>
      </c>
      <c r="B1361" s="3" t="s">
        <v>313</v>
      </c>
      <c r="C1361" s="3">
        <v>1978</v>
      </c>
      <c r="D1361" s="3" t="s">
        <v>119</v>
      </c>
      <c r="E1361" s="3">
        <v>62.87</v>
      </c>
      <c r="F1361" s="2">
        <v>10757</v>
      </c>
      <c r="G1361" s="3">
        <v>14</v>
      </c>
      <c r="H1361" s="3">
        <v>210</v>
      </c>
      <c r="I1361" s="3">
        <v>220</v>
      </c>
      <c r="J1361" s="3">
        <v>227.5</v>
      </c>
      <c r="K1361" s="4" t="e">
        <f t="array" aca="1" ref="K1361">MAX(H1361:J1361*(1-strike(H1361:J1361)))</f>
        <v>#NAME?</v>
      </c>
      <c r="L1361" s="3">
        <v>150</v>
      </c>
      <c r="M1361" s="3">
        <v>160</v>
      </c>
      <c r="N1361" s="3">
        <v>165.5</v>
      </c>
      <c r="O1361" s="4" t="e">
        <f t="array" aca="1" ref="O1361">MAX(L1361:N1361*(1-strike(L1361:N1361)))</f>
        <v>#NAME?</v>
      </c>
      <c r="P1361" s="3">
        <v>220</v>
      </c>
      <c r="Q1361" s="3">
        <v>240</v>
      </c>
      <c r="R1361" s="1">
        <v>245.5</v>
      </c>
      <c r="S1361" s="4" t="e">
        <f t="array" aca="1" ref="S1361">MAX(P1361:R1361*(1-strike(P1361:R1361)))</f>
        <v>#NAME?</v>
      </c>
      <c r="T1361" s="4" t="e">
        <f t="shared" si="21"/>
        <v>#NAME?</v>
      </c>
      <c r="U1361" s="3" t="s">
        <v>1015</v>
      </c>
      <c r="V1361" s="3">
        <v>680.89</v>
      </c>
      <c r="W1361" s="3">
        <v>12</v>
      </c>
      <c r="X1361" s="5">
        <v>2012</v>
      </c>
      <c r="Y1361" s="5" t="s">
        <v>852</v>
      </c>
      <c r="Z1361" s="5" t="s">
        <v>171</v>
      </c>
      <c r="AA1361" s="5">
        <v>1371</v>
      </c>
    </row>
    <row r="1362" spans="1:27">
      <c r="A1362" s="3">
        <v>1</v>
      </c>
      <c r="B1362" s="3" t="s">
        <v>313</v>
      </c>
      <c r="C1362" s="3">
        <v>1978</v>
      </c>
      <c r="D1362" s="3" t="s">
        <v>119</v>
      </c>
      <c r="E1362" s="3">
        <v>62.84</v>
      </c>
      <c r="F1362" s="2">
        <v>10760</v>
      </c>
      <c r="G1362" s="3">
        <v>5</v>
      </c>
      <c r="H1362" s="3">
        <v>215</v>
      </c>
      <c r="I1362" s="3">
        <v>225</v>
      </c>
      <c r="J1362" s="3">
        <v>235.5</v>
      </c>
      <c r="K1362" s="4" t="e">
        <f t="array" aca="1" ref="K1362">MAX(H1362:J1362*(1-strike(H1362:J1362)))</f>
        <v>#NAME?</v>
      </c>
      <c r="L1362" s="3">
        <v>155</v>
      </c>
      <c r="M1362" s="1">
        <v>162.5</v>
      </c>
      <c r="N1362" s="3">
        <v>162.5</v>
      </c>
      <c r="O1362" s="4" t="e">
        <f t="array" aca="1" ref="O1362">MAX(L1362:N1362*(1-strike(L1362:N1362)))</f>
        <v>#NAME?</v>
      </c>
      <c r="P1362" s="3">
        <v>215</v>
      </c>
      <c r="Q1362" s="3">
        <v>230</v>
      </c>
      <c r="R1362" s="3">
        <v>240</v>
      </c>
      <c r="S1362" s="4" t="e">
        <f t="array" aca="1" ref="S1362">MAX(P1362:R1362*(1-strike(P1362:R1362)))</f>
        <v>#NAME?</v>
      </c>
      <c r="T1362" s="4" t="e">
        <f t="shared" si="21"/>
        <v>#NAME?</v>
      </c>
      <c r="U1362" s="3" t="s">
        <v>1016</v>
      </c>
      <c r="V1362" s="3">
        <v>686.49</v>
      </c>
      <c r="W1362" s="3">
        <v>12</v>
      </c>
      <c r="X1362" s="5">
        <v>2013</v>
      </c>
      <c r="Y1362" s="5" t="s">
        <v>852</v>
      </c>
      <c r="Z1362" s="5" t="s">
        <v>171</v>
      </c>
      <c r="AA1362" s="5">
        <v>972</v>
      </c>
    </row>
    <row r="1363" spans="1:27">
      <c r="A1363" s="4">
        <v>1</v>
      </c>
      <c r="B1363" s="4" t="s">
        <v>313</v>
      </c>
      <c r="C1363" s="4">
        <v>1978</v>
      </c>
      <c r="D1363" s="4" t="s">
        <v>901</v>
      </c>
      <c r="E1363" s="4">
        <v>62.62</v>
      </c>
      <c r="F1363" s="7">
        <v>10792</v>
      </c>
      <c r="G1363" s="4">
        <v>11</v>
      </c>
      <c r="H1363" s="4">
        <v>215</v>
      </c>
      <c r="I1363" s="4">
        <v>230</v>
      </c>
      <c r="J1363" s="4">
        <v>240.5</v>
      </c>
      <c r="K1363" s="4" t="e">
        <f t="array" aca="1" ref="K1363">MAX(H1363:J1363*(1-strike(H1363:J1363)))</f>
        <v>#NAME?</v>
      </c>
      <c r="L1363" s="4">
        <v>160</v>
      </c>
      <c r="M1363" s="4">
        <v>167</v>
      </c>
      <c r="N1363" s="4">
        <v>168</v>
      </c>
      <c r="O1363" s="4" t="e">
        <f t="array" aca="1" ref="O1363">MAX(L1363:N1363*(1-strike(L1363:N1363)))</f>
        <v>#NAME?</v>
      </c>
      <c r="P1363" s="4">
        <v>210</v>
      </c>
      <c r="Q1363" s="4">
        <v>220</v>
      </c>
      <c r="R1363" s="4">
        <v>230</v>
      </c>
      <c r="S1363" s="4" t="e">
        <f t="array" aca="1" ref="S1363">MAX(P1363:R1363*(1-strike(P1363:R1363)))</f>
        <v>#NAME?</v>
      </c>
      <c r="T1363" s="4" t="e">
        <f t="shared" si="21"/>
        <v>#NAME?</v>
      </c>
      <c r="U1363" s="4" t="s">
        <v>1017</v>
      </c>
      <c r="V1363" s="4">
        <v>689.06</v>
      </c>
      <c r="W1363" s="4">
        <v>12</v>
      </c>
      <c r="X1363" s="5">
        <v>2014</v>
      </c>
      <c r="Y1363" s="5" t="s">
        <v>852</v>
      </c>
      <c r="Z1363" s="5" t="s">
        <v>171</v>
      </c>
      <c r="AA1363" s="5">
        <v>603</v>
      </c>
    </row>
    <row r="1364" spans="1:27">
      <c r="A1364" s="3">
        <v>1</v>
      </c>
      <c r="B1364" s="3" t="s">
        <v>1018</v>
      </c>
      <c r="C1364" s="3">
        <v>1984</v>
      </c>
      <c r="D1364" s="3" t="s">
        <v>280</v>
      </c>
      <c r="E1364" s="3">
        <v>56.38</v>
      </c>
      <c r="F1364" s="2">
        <v>11704</v>
      </c>
      <c r="G1364" s="3">
        <v>7</v>
      </c>
      <c r="H1364" s="3">
        <v>205</v>
      </c>
      <c r="I1364" s="3">
        <v>215</v>
      </c>
      <c r="J1364" s="1">
        <v>222.5</v>
      </c>
      <c r="K1364" s="4" t="e">
        <f t="array" aca="1" ref="K1364">MAX(H1364:J1364*(1-strike(H1364:J1364)))</f>
        <v>#NAME?</v>
      </c>
      <c r="L1364" s="3">
        <v>130</v>
      </c>
      <c r="M1364" s="3">
        <v>135</v>
      </c>
      <c r="N1364" s="1">
        <v>140.5</v>
      </c>
      <c r="O1364" s="4" t="e">
        <f t="array" aca="1" ref="O1364">MAX(L1364:N1364*(1-strike(L1364:N1364)))</f>
        <v>#NAME?</v>
      </c>
      <c r="P1364" s="3">
        <v>180</v>
      </c>
      <c r="Q1364" s="3">
        <v>190</v>
      </c>
      <c r="R1364" s="3">
        <v>195</v>
      </c>
      <c r="S1364" s="4" t="e">
        <f t="array" aca="1" ref="S1364">MAX(P1364:R1364*(1-strike(P1364:R1364)))</f>
        <v>#NAME?</v>
      </c>
      <c r="T1364" s="4" t="e">
        <f t="shared" si="21"/>
        <v>#NAME?</v>
      </c>
      <c r="U1364" s="3">
        <v>545</v>
      </c>
      <c r="V1364" s="3">
        <v>637.87</v>
      </c>
      <c r="W1364" s="3">
        <v>12</v>
      </c>
      <c r="X1364" s="5">
        <v>2012</v>
      </c>
      <c r="Y1364" s="5" t="s">
        <v>852</v>
      </c>
      <c r="Z1364" s="5" t="s">
        <v>171</v>
      </c>
      <c r="AA1364" s="5">
        <v>1357</v>
      </c>
    </row>
    <row r="1365" spans="1:27">
      <c r="A1365" s="3">
        <v>1</v>
      </c>
      <c r="B1365" s="3" t="s">
        <v>314</v>
      </c>
      <c r="C1365" s="3">
        <v>1984</v>
      </c>
      <c r="D1365" s="3" t="s">
        <v>280</v>
      </c>
      <c r="E1365" s="3">
        <v>56.03</v>
      </c>
      <c r="F1365" s="2">
        <v>11761</v>
      </c>
      <c r="G1365" s="3">
        <v>5</v>
      </c>
      <c r="H1365" s="3">
        <v>205</v>
      </c>
      <c r="I1365" s="3">
        <v>215</v>
      </c>
      <c r="J1365" s="3">
        <v>216</v>
      </c>
      <c r="K1365" s="4" t="e">
        <f t="array" aca="1" ref="K1365">MAX(H1365:J1365*(1-strike(H1365:J1365)))</f>
        <v>#NAME?</v>
      </c>
      <c r="L1365" s="3">
        <v>130</v>
      </c>
      <c r="M1365" s="3">
        <v>135</v>
      </c>
      <c r="N1365" s="3">
        <v>141</v>
      </c>
      <c r="O1365" s="4" t="e">
        <f t="array" aca="1" ref="O1365">MAX(L1365:N1365*(1-strike(L1365:N1365)))</f>
        <v>#NAME?</v>
      </c>
      <c r="P1365" s="3">
        <v>180</v>
      </c>
      <c r="Q1365" s="3">
        <v>190</v>
      </c>
      <c r="R1365" s="1">
        <v>197.5</v>
      </c>
      <c r="S1365" s="4" t="e">
        <f t="array" aca="1" ref="S1365">MAX(P1365:R1365*(1-strike(P1365:R1365)))</f>
        <v>#NAME?</v>
      </c>
      <c r="T1365" s="4" t="e">
        <f t="shared" si="21"/>
        <v>#NAME?</v>
      </c>
      <c r="U1365" s="3">
        <v>547</v>
      </c>
      <c r="V1365" s="3">
        <v>643.33000000000004</v>
      </c>
      <c r="W1365" s="3">
        <v>12</v>
      </c>
      <c r="X1365" s="5">
        <v>2013</v>
      </c>
      <c r="Y1365" s="5" t="s">
        <v>852</v>
      </c>
      <c r="Z1365" s="5" t="s">
        <v>171</v>
      </c>
      <c r="AA1365" s="5">
        <v>955</v>
      </c>
    </row>
    <row r="1366" spans="1:27">
      <c r="A1366" s="4">
        <v>9</v>
      </c>
      <c r="B1366" s="4" t="s">
        <v>1019</v>
      </c>
      <c r="C1366" s="4">
        <v>1991</v>
      </c>
      <c r="D1366" s="4" t="s">
        <v>905</v>
      </c>
      <c r="E1366" s="4">
        <v>57.86</v>
      </c>
      <c r="F1366" s="7">
        <v>11463</v>
      </c>
      <c r="G1366" s="4">
        <v>5</v>
      </c>
      <c r="H1366" s="4">
        <v>150</v>
      </c>
      <c r="I1366" s="4">
        <v>160</v>
      </c>
      <c r="J1366" s="4">
        <v>167.5</v>
      </c>
      <c r="K1366" s="4" t="e">
        <f t="array" aca="1" ref="K1366">MAX(H1366:J1366*(1-strike(H1366:J1366)))</f>
        <v>#NAME?</v>
      </c>
      <c r="L1366" s="4">
        <v>95</v>
      </c>
      <c r="M1366" s="4">
        <v>102.5</v>
      </c>
      <c r="N1366" s="4">
        <v>107.5</v>
      </c>
      <c r="O1366" s="4" t="e">
        <f t="array" aca="1" ref="O1366">MAX(L1366:N1366*(1-strike(L1366:N1366)))</f>
        <v>#NAME?</v>
      </c>
      <c r="P1366" s="4">
        <v>150</v>
      </c>
      <c r="Q1366" s="4">
        <v>160</v>
      </c>
      <c r="R1366" s="4">
        <v>167.5</v>
      </c>
      <c r="S1366" s="4" t="e">
        <f t="array" aca="1" ref="S1366">MAX(P1366:R1366*(1-strike(P1366:R1366)))</f>
        <v>#NAME?</v>
      </c>
      <c r="T1366" s="4" t="e">
        <f t="shared" si="21"/>
        <v>#NAME?</v>
      </c>
      <c r="U1366" s="4">
        <v>442.5</v>
      </c>
      <c r="V1366" s="4">
        <v>507.23</v>
      </c>
      <c r="W1366" s="4">
        <v>2</v>
      </c>
      <c r="X1366" s="5">
        <v>2014</v>
      </c>
      <c r="Y1366" s="5" t="s">
        <v>852</v>
      </c>
      <c r="Z1366" s="5" t="s">
        <v>171</v>
      </c>
      <c r="AA1366" s="5">
        <v>611</v>
      </c>
    </row>
    <row r="1367" spans="1:27">
      <c r="A1367" s="3">
        <v>12</v>
      </c>
      <c r="B1367" s="3" t="s">
        <v>1020</v>
      </c>
      <c r="C1367" s="3">
        <v>1981</v>
      </c>
      <c r="D1367" s="3" t="s">
        <v>125</v>
      </c>
      <c r="E1367" s="3">
        <v>68.760000000000005</v>
      </c>
      <c r="F1367" s="2">
        <v>10073</v>
      </c>
      <c r="G1367" s="3">
        <v>6</v>
      </c>
      <c r="H1367" s="1">
        <v>182.5</v>
      </c>
      <c r="I1367" s="3">
        <v>182.5</v>
      </c>
      <c r="J1367" s="3">
        <v>190</v>
      </c>
      <c r="K1367" s="4" t="e">
        <f t="array" aca="1" ref="K1367">MAX(H1367:J1367*(1-strike(H1367:J1367)))</f>
        <v>#NAME?</v>
      </c>
      <c r="L1367" s="3">
        <v>107.5</v>
      </c>
      <c r="M1367" s="1">
        <v>115</v>
      </c>
      <c r="N1367" s="1">
        <v>115</v>
      </c>
      <c r="O1367" s="4" t="e">
        <f t="array" aca="1" ref="O1367">MAX(L1367:N1367*(1-strike(L1367:N1367)))</f>
        <v>#NAME?</v>
      </c>
      <c r="P1367" s="3">
        <v>195</v>
      </c>
      <c r="Q1367" s="3">
        <v>202.5</v>
      </c>
      <c r="R1367" s="3">
        <v>207.5</v>
      </c>
      <c r="S1367" s="4" t="e">
        <f t="array" aca="1" ref="S1367">MAX(P1367:R1367*(1-strike(P1367:R1367)))</f>
        <v>#NAME?</v>
      </c>
      <c r="T1367" s="4" t="e">
        <f t="shared" si="21"/>
        <v>#NAME?</v>
      </c>
      <c r="U1367" s="3">
        <v>505</v>
      </c>
      <c r="V1367" s="3">
        <v>508.68</v>
      </c>
      <c r="W1367" s="3">
        <v>1</v>
      </c>
      <c r="X1367" s="5">
        <v>2012</v>
      </c>
      <c r="Y1367" s="5" t="s">
        <v>852</v>
      </c>
      <c r="Z1367" s="5" t="s">
        <v>171</v>
      </c>
      <c r="AA1367" s="5">
        <v>1397</v>
      </c>
    </row>
    <row r="1368" spans="1:27">
      <c r="A1368" s="3">
        <v>7</v>
      </c>
      <c r="B1368" s="3" t="s">
        <v>1021</v>
      </c>
      <c r="C1368" s="3">
        <v>1968</v>
      </c>
      <c r="D1368" s="3" t="s">
        <v>62</v>
      </c>
      <c r="E1368" s="3">
        <v>56.4</v>
      </c>
      <c r="F1368" s="2">
        <v>11701</v>
      </c>
      <c r="G1368" s="3">
        <v>3</v>
      </c>
      <c r="H1368" s="3">
        <v>100</v>
      </c>
      <c r="I1368" s="3">
        <v>107.5</v>
      </c>
      <c r="J1368" s="1">
        <v>115</v>
      </c>
      <c r="K1368" s="4" t="e">
        <f t="array" aca="1" ref="K1368">MAX(H1368:J1368*(1-strike(H1368:J1368)))</f>
        <v>#NAME?</v>
      </c>
      <c r="L1368" s="3">
        <v>57.5</v>
      </c>
      <c r="M1368" s="3">
        <v>62.5</v>
      </c>
      <c r="N1368" s="3">
        <v>67.5</v>
      </c>
      <c r="O1368" s="4" t="e">
        <f t="array" aca="1" ref="O1368">MAX(L1368:N1368*(1-strike(L1368:N1368)))</f>
        <v>#NAME?</v>
      </c>
      <c r="P1368" s="3">
        <v>130</v>
      </c>
      <c r="Q1368" s="1">
        <v>140</v>
      </c>
      <c r="R1368" s="1">
        <v>140</v>
      </c>
      <c r="S1368" s="4" t="e">
        <f t="array" aca="1" ref="S1368">MAX(P1368:R1368*(1-strike(P1368:R1368)))</f>
        <v>#NAME?</v>
      </c>
      <c r="T1368" s="4" t="e">
        <f t="shared" si="21"/>
        <v>#NAME?</v>
      </c>
      <c r="U1368" s="3">
        <v>305</v>
      </c>
      <c r="V1368" s="3">
        <v>356.88</v>
      </c>
      <c r="W1368" s="3">
        <v>4</v>
      </c>
      <c r="X1368" s="5">
        <v>2013</v>
      </c>
      <c r="Y1368" s="5" t="s">
        <v>852</v>
      </c>
      <c r="Z1368" s="5" t="s">
        <v>30</v>
      </c>
      <c r="AA1368" s="5">
        <v>1150</v>
      </c>
    </row>
    <row r="1369" spans="1:27">
      <c r="A1369" s="3">
        <v>11</v>
      </c>
      <c r="B1369" s="3" t="s">
        <v>1022</v>
      </c>
      <c r="C1369" s="3">
        <v>1970</v>
      </c>
      <c r="D1369" s="3" t="s">
        <v>163</v>
      </c>
      <c r="E1369" s="3">
        <v>56.9</v>
      </c>
      <c r="F1369" s="2">
        <v>11620</v>
      </c>
      <c r="G1369" s="3">
        <v>2</v>
      </c>
      <c r="H1369" s="3">
        <v>130</v>
      </c>
      <c r="I1369" s="1">
        <v>137.5</v>
      </c>
      <c r="J1369" s="1">
        <v>137.5</v>
      </c>
      <c r="K1369" s="4" t="e">
        <f t="array" aca="1" ref="K1369">MAX(H1369:J1369*(1-strike(H1369:J1369)))</f>
        <v>#NAME?</v>
      </c>
      <c r="L1369" s="3">
        <v>62.5</v>
      </c>
      <c r="M1369" s="1">
        <v>65</v>
      </c>
      <c r="N1369" s="3">
        <v>65</v>
      </c>
      <c r="O1369" s="4" t="e">
        <f t="array" aca="1" ref="O1369">MAX(L1369:N1369*(1-strike(L1369:N1369)))</f>
        <v>#NAME?</v>
      </c>
      <c r="P1369" s="3">
        <v>137.5</v>
      </c>
      <c r="Q1369" s="1">
        <v>142.5</v>
      </c>
      <c r="R1369" s="1">
        <v>142.5</v>
      </c>
      <c r="S1369" s="4" t="e">
        <f t="array" aca="1" ref="S1369">MAX(P1369:R1369*(1-strike(P1369:R1369)))</f>
        <v>#NAME?</v>
      </c>
      <c r="T1369" s="4" t="e">
        <f t="shared" si="21"/>
        <v>#NAME?</v>
      </c>
      <c r="U1369" s="3">
        <v>332.5</v>
      </c>
      <c r="V1369" s="3">
        <v>386.36</v>
      </c>
      <c r="W1369" s="3">
        <v>1</v>
      </c>
      <c r="X1369" s="5">
        <v>2014</v>
      </c>
      <c r="Y1369" s="5" t="s">
        <v>852</v>
      </c>
      <c r="Z1369" s="5" t="s">
        <v>30</v>
      </c>
      <c r="AA1369" s="5">
        <v>773</v>
      </c>
    </row>
    <row r="1370" spans="1:27">
      <c r="A1370" s="3">
        <v>7</v>
      </c>
      <c r="B1370" s="3" t="s">
        <v>1023</v>
      </c>
      <c r="C1370" s="3">
        <v>1988</v>
      </c>
      <c r="D1370" s="3" t="s">
        <v>113</v>
      </c>
      <c r="E1370" s="3">
        <v>71.510000000000005</v>
      </c>
      <c r="F1370" s="3">
        <v>0.98050000000000004</v>
      </c>
      <c r="G1370" s="3">
        <v>13</v>
      </c>
      <c r="H1370" s="3">
        <v>200</v>
      </c>
      <c r="I1370" s="3">
        <v>210</v>
      </c>
      <c r="J1370" s="3">
        <v>217.5</v>
      </c>
      <c r="K1370" s="4" t="e">
        <f t="array" aca="1" ref="K1370">MAX(H1370:J1370*(1-strike(H1370:J1370)))</f>
        <v>#NAME?</v>
      </c>
      <c r="L1370" s="1">
        <v>140</v>
      </c>
      <c r="M1370" s="3">
        <v>140</v>
      </c>
      <c r="N1370" s="3">
        <v>145</v>
      </c>
      <c r="O1370" s="4" t="e">
        <f t="array" aca="1" ref="O1370">MAX(L1370:N1370*(1-strike(L1370:N1370)))</f>
        <v>#NAME?</v>
      </c>
      <c r="P1370" s="3">
        <v>177.5</v>
      </c>
      <c r="Q1370" s="3">
        <v>190</v>
      </c>
      <c r="R1370" s="1">
        <v>202.5</v>
      </c>
      <c r="S1370" s="4" t="e">
        <f t="array" aca="1" ref="S1370">MAX(P1370:R1370*(1-strike(P1370:R1370)))</f>
        <v>#NAME?</v>
      </c>
      <c r="T1370" s="4" t="e">
        <f t="shared" si="21"/>
        <v>#NAME?</v>
      </c>
      <c r="U1370" s="3">
        <v>552.5</v>
      </c>
      <c r="V1370" s="3">
        <v>541.73</v>
      </c>
      <c r="W1370" s="3">
        <v>4</v>
      </c>
      <c r="X1370" s="5">
        <v>2012</v>
      </c>
      <c r="Y1370" s="5" t="s">
        <v>852</v>
      </c>
      <c r="Z1370" s="5" t="s">
        <v>171</v>
      </c>
      <c r="AA1370" s="5">
        <v>1392</v>
      </c>
    </row>
    <row r="1371" spans="1:27" ht="15" customHeight="1">
      <c r="A1371" s="3">
        <v>5</v>
      </c>
      <c r="B1371" s="3" t="s">
        <v>1023</v>
      </c>
      <c r="C1371" s="3">
        <v>1988</v>
      </c>
      <c r="D1371" s="3" t="s">
        <v>113</v>
      </c>
      <c r="E1371" s="3">
        <v>71.64</v>
      </c>
      <c r="F1371" s="3">
        <v>0.97929999999999995</v>
      </c>
      <c r="G1371" s="3">
        <v>5</v>
      </c>
      <c r="H1371" s="3">
        <v>205</v>
      </c>
      <c r="I1371" s="3">
        <v>215</v>
      </c>
      <c r="J1371" s="1">
        <v>220</v>
      </c>
      <c r="K1371" s="4" t="e">
        <f t="array" aca="1" ref="K1371">MAX(H1371:J1371*(1-strike(H1371:J1371)))</f>
        <v>#NAME?</v>
      </c>
      <c r="L1371" s="3">
        <v>145</v>
      </c>
      <c r="M1371" s="3">
        <v>150</v>
      </c>
      <c r="N1371" s="3">
        <v>152.5</v>
      </c>
      <c r="O1371" s="4" t="e">
        <f t="array" aca="1" ref="O1371">MAX(L1371:N1371*(1-strike(L1371:N1371)))</f>
        <v>#NAME?</v>
      </c>
      <c r="P1371" s="3">
        <v>185</v>
      </c>
      <c r="Q1371" s="3">
        <v>192.5</v>
      </c>
      <c r="R1371" s="1">
        <v>200</v>
      </c>
      <c r="S1371" s="4" t="e">
        <f t="array" aca="1" ref="S1371">MAX(P1371:R1371*(1-strike(P1371:R1371)))</f>
        <v>#NAME?</v>
      </c>
      <c r="T1371" s="4" t="e">
        <f t="shared" si="21"/>
        <v>#NAME?</v>
      </c>
      <c r="U1371" s="3">
        <v>560</v>
      </c>
      <c r="V1371" s="3">
        <v>548.41</v>
      </c>
      <c r="W1371" s="3">
        <v>6</v>
      </c>
      <c r="X1371" s="5">
        <v>2013</v>
      </c>
      <c r="Y1371" s="5" t="s">
        <v>852</v>
      </c>
      <c r="Z1371" s="5" t="s">
        <v>171</v>
      </c>
      <c r="AA1371" s="5">
        <v>986</v>
      </c>
    </row>
    <row r="1372" spans="1:27">
      <c r="A1372" s="4">
        <v>3</v>
      </c>
      <c r="B1372" s="4" t="s">
        <v>316</v>
      </c>
      <c r="C1372" s="4">
        <v>1988</v>
      </c>
      <c r="D1372" s="4" t="s">
        <v>878</v>
      </c>
      <c r="E1372" s="4">
        <v>71.400000000000006</v>
      </c>
      <c r="F1372" s="4">
        <v>0.98150000000000004</v>
      </c>
      <c r="G1372" s="4">
        <v>6</v>
      </c>
      <c r="H1372" s="4">
        <v>215</v>
      </c>
      <c r="I1372" s="4">
        <v>222.5</v>
      </c>
      <c r="J1372" s="6">
        <v>227.5</v>
      </c>
      <c r="K1372" s="4" t="e">
        <f t="array" aca="1" ref="K1372">MAX(H1372:J1372*(1-strike(H1372:J1372)))</f>
        <v>#NAME?</v>
      </c>
      <c r="L1372" s="4">
        <v>145</v>
      </c>
      <c r="M1372" s="4">
        <v>150</v>
      </c>
      <c r="N1372" s="4">
        <v>152.5</v>
      </c>
      <c r="O1372" s="4" t="e">
        <f t="array" aca="1" ref="O1372">MAX(L1372:N1372*(1-strike(L1372:N1372)))</f>
        <v>#NAME?</v>
      </c>
      <c r="P1372" s="4">
        <v>190</v>
      </c>
      <c r="Q1372" s="4">
        <v>200</v>
      </c>
      <c r="R1372" s="4">
        <v>212.5</v>
      </c>
      <c r="S1372" s="4" t="e">
        <f t="array" aca="1" ref="S1372">MAX(P1372:R1372*(1-strike(P1372:R1372)))</f>
        <v>#NAME?</v>
      </c>
      <c r="T1372" s="4" t="e">
        <f t="shared" si="21"/>
        <v>#NAME?</v>
      </c>
      <c r="U1372" s="4">
        <v>587.5</v>
      </c>
      <c r="V1372" s="4">
        <v>576.63</v>
      </c>
      <c r="W1372" s="4">
        <v>8</v>
      </c>
      <c r="X1372" s="5">
        <v>2014</v>
      </c>
      <c r="Y1372" s="5" t="s">
        <v>852</v>
      </c>
      <c r="Z1372" s="5" t="s">
        <v>171</v>
      </c>
      <c r="AA1372" s="5">
        <v>616</v>
      </c>
    </row>
    <row r="1373" spans="1:27">
      <c r="A1373" s="3">
        <v>1</v>
      </c>
      <c r="B1373" s="3" t="s">
        <v>317</v>
      </c>
      <c r="C1373" s="3">
        <v>1973</v>
      </c>
      <c r="D1373" s="3" t="s">
        <v>318</v>
      </c>
      <c r="E1373" s="3">
        <v>83.35</v>
      </c>
      <c r="F1373" s="3">
        <v>0.8952</v>
      </c>
      <c r="G1373" s="3">
        <v>6</v>
      </c>
      <c r="H1373" s="3">
        <v>180</v>
      </c>
      <c r="I1373" s="3">
        <v>195</v>
      </c>
      <c r="J1373" s="3">
        <v>205</v>
      </c>
      <c r="K1373" s="4" t="e">
        <f t="array" aca="1" ref="K1373">MAX(H1373:J1373*(1-strike(H1373:J1373)))</f>
        <v>#NAME?</v>
      </c>
      <c r="L1373" s="3">
        <v>120</v>
      </c>
      <c r="M1373" s="3">
        <v>130</v>
      </c>
      <c r="N1373" s="3">
        <v>135</v>
      </c>
      <c r="O1373" s="4" t="e">
        <f t="array" aca="1" ref="O1373">MAX(L1373:N1373*(1-strike(L1373:N1373)))</f>
        <v>#NAME?</v>
      </c>
      <c r="P1373" s="3">
        <v>185</v>
      </c>
      <c r="Q1373" s="1">
        <v>195</v>
      </c>
      <c r="R1373" s="3">
        <v>195</v>
      </c>
      <c r="S1373" s="4" t="e">
        <f t="array" aca="1" ref="S1373">MAX(P1373:R1373*(1-strike(P1373:R1373)))</f>
        <v>#NAME?</v>
      </c>
      <c r="T1373" s="4" t="e">
        <f t="shared" si="21"/>
        <v>#NAME?</v>
      </c>
      <c r="U1373" s="3" t="s">
        <v>1024</v>
      </c>
      <c r="V1373" s="3">
        <v>478.95</v>
      </c>
      <c r="W1373" s="3">
        <v>12</v>
      </c>
      <c r="X1373" s="5">
        <v>2012</v>
      </c>
      <c r="Y1373" s="5" t="s">
        <v>852</v>
      </c>
      <c r="Z1373" s="5" t="s">
        <v>30</v>
      </c>
      <c r="AA1373" s="5">
        <v>1595</v>
      </c>
    </row>
    <row r="1374" spans="1:27">
      <c r="A1374" s="3">
        <v>2</v>
      </c>
      <c r="B1374" s="3" t="s">
        <v>317</v>
      </c>
      <c r="C1374" s="3">
        <v>1973</v>
      </c>
      <c r="D1374" s="3" t="s">
        <v>318</v>
      </c>
      <c r="E1374" s="3">
        <v>83.55</v>
      </c>
      <c r="F1374" s="3">
        <v>0.89419999999999999</v>
      </c>
      <c r="G1374" s="3">
        <v>9</v>
      </c>
      <c r="H1374" s="3">
        <v>245</v>
      </c>
      <c r="I1374" s="3">
        <v>250</v>
      </c>
      <c r="J1374" s="1">
        <v>252.5</v>
      </c>
      <c r="K1374" s="4" t="e">
        <f t="array" aca="1" ref="K1374">MAX(H1374:J1374*(1-strike(H1374:J1374)))</f>
        <v>#NAME?</v>
      </c>
      <c r="L1374" s="3">
        <v>160</v>
      </c>
      <c r="M1374" s="3">
        <v>167.5</v>
      </c>
      <c r="N1374" s="3">
        <v>172.5</v>
      </c>
      <c r="O1374" s="4" t="e">
        <f t="array" aca="1" ref="O1374">MAX(L1374:N1374*(1-strike(L1374:N1374)))</f>
        <v>#NAME?</v>
      </c>
      <c r="P1374" s="1">
        <v>215</v>
      </c>
      <c r="Q1374" s="3">
        <v>215</v>
      </c>
      <c r="R1374" s="1">
        <v>220</v>
      </c>
      <c r="S1374" s="4" t="e">
        <f t="array" aca="1" ref="S1374">MAX(P1374:R1374*(1-strike(P1374:R1374)))</f>
        <v>#NAME?</v>
      </c>
      <c r="T1374" s="4" t="e">
        <f t="shared" si="21"/>
        <v>#NAME?</v>
      </c>
      <c r="U1374" s="3">
        <v>637.5</v>
      </c>
      <c r="V1374" s="3">
        <v>570.02</v>
      </c>
      <c r="W1374" s="3">
        <v>9</v>
      </c>
      <c r="X1374" s="5">
        <v>2012</v>
      </c>
      <c r="Y1374" s="5" t="s">
        <v>852</v>
      </c>
      <c r="Z1374" s="5" t="s">
        <v>171</v>
      </c>
      <c r="AA1374" s="5">
        <v>1404</v>
      </c>
    </row>
    <row r="1375" spans="1:27">
      <c r="A1375" s="3">
        <v>1</v>
      </c>
      <c r="B1375" s="3" t="s">
        <v>317</v>
      </c>
      <c r="C1375" s="3">
        <v>1973</v>
      </c>
      <c r="D1375" s="3" t="s">
        <v>318</v>
      </c>
      <c r="E1375" s="3">
        <v>83.45</v>
      </c>
      <c r="F1375" s="3">
        <v>0.89470000000000005</v>
      </c>
      <c r="G1375" s="3">
        <v>7</v>
      </c>
      <c r="H1375" s="3">
        <v>190</v>
      </c>
      <c r="I1375" s="3">
        <v>200</v>
      </c>
      <c r="J1375" s="1">
        <v>205</v>
      </c>
      <c r="K1375" s="4" t="e">
        <f t="array" aca="1" ref="K1375">MAX(H1375:J1375*(1-strike(H1375:J1375)))</f>
        <v>#NAME?</v>
      </c>
      <c r="L1375" s="3">
        <v>127.5</v>
      </c>
      <c r="M1375" s="3">
        <v>132.5</v>
      </c>
      <c r="N1375" s="3">
        <v>135.5</v>
      </c>
      <c r="O1375" s="4" t="e">
        <f t="array" aca="1" ref="O1375">MAX(L1375:N1375*(1-strike(L1375:N1375)))</f>
        <v>#NAME?</v>
      </c>
      <c r="P1375" s="3">
        <v>180</v>
      </c>
      <c r="Q1375" s="1">
        <v>190</v>
      </c>
      <c r="R1375" s="3">
        <v>195</v>
      </c>
      <c r="S1375" s="4" t="e">
        <f t="array" aca="1" ref="S1375">MAX(P1375:R1375*(1-strike(P1375:R1375)))</f>
        <v>#NAME?</v>
      </c>
      <c r="T1375" s="4" t="e">
        <f t="shared" si="21"/>
        <v>#NAME?</v>
      </c>
      <c r="U1375" s="3">
        <v>530.5</v>
      </c>
      <c r="V1375" s="3">
        <v>474.64</v>
      </c>
      <c r="W1375" s="3">
        <v>12</v>
      </c>
      <c r="X1375" s="5">
        <v>2013</v>
      </c>
      <c r="Y1375" s="5" t="s">
        <v>852</v>
      </c>
      <c r="Z1375" s="5" t="s">
        <v>30</v>
      </c>
      <c r="AA1375" s="5">
        <v>1172</v>
      </c>
    </row>
    <row r="1376" spans="1:27">
      <c r="A1376" s="3">
        <v>1</v>
      </c>
      <c r="B1376" s="3" t="s">
        <v>317</v>
      </c>
      <c r="C1376" s="3">
        <v>1973</v>
      </c>
      <c r="D1376" s="3" t="s">
        <v>318</v>
      </c>
      <c r="E1376" s="3">
        <v>83.07</v>
      </c>
      <c r="F1376" s="3">
        <v>0.89680000000000004</v>
      </c>
      <c r="G1376" s="3">
        <v>1</v>
      </c>
      <c r="H1376" s="3">
        <v>240</v>
      </c>
      <c r="I1376" s="3">
        <v>255</v>
      </c>
      <c r="J1376" s="1">
        <v>268</v>
      </c>
      <c r="K1376" s="4" t="e">
        <f t="array" aca="1" ref="K1376">MAX(H1376:J1376*(1-strike(H1376:J1376)))</f>
        <v>#NAME?</v>
      </c>
      <c r="L1376" s="3">
        <v>165</v>
      </c>
      <c r="M1376" s="3">
        <v>175</v>
      </c>
      <c r="N1376" s="3">
        <v>180</v>
      </c>
      <c r="O1376" s="4" t="e">
        <f t="array" aca="1" ref="O1376">MAX(L1376:N1376*(1-strike(L1376:N1376)))</f>
        <v>#NAME?</v>
      </c>
      <c r="P1376" s="3">
        <v>200</v>
      </c>
      <c r="Q1376" s="3">
        <v>210</v>
      </c>
      <c r="R1376" s="1">
        <v>215</v>
      </c>
      <c r="S1376" s="4" t="e">
        <f t="array" aca="1" ref="S1376">MAX(P1376:R1376*(1-strike(P1376:R1376)))</f>
        <v>#NAME?</v>
      </c>
      <c r="T1376" s="4" t="e">
        <f t="shared" si="21"/>
        <v>#NAME?</v>
      </c>
      <c r="U1376" s="3">
        <v>645</v>
      </c>
      <c r="V1376" s="3">
        <v>578.44000000000005</v>
      </c>
      <c r="W1376" s="3">
        <v>12</v>
      </c>
      <c r="X1376" s="5">
        <v>2013</v>
      </c>
      <c r="Y1376" s="5" t="s">
        <v>852</v>
      </c>
      <c r="Z1376" s="5" t="s">
        <v>171</v>
      </c>
      <c r="AA1376" s="5">
        <v>995</v>
      </c>
    </row>
    <row r="1377" spans="1:27">
      <c r="A1377" s="3">
        <v>1</v>
      </c>
      <c r="B1377" s="3" t="s">
        <v>317</v>
      </c>
      <c r="C1377" s="3">
        <v>1973</v>
      </c>
      <c r="D1377" s="3" t="s">
        <v>318</v>
      </c>
      <c r="E1377" s="3">
        <v>83</v>
      </c>
      <c r="F1377" s="3">
        <v>0.8972</v>
      </c>
      <c r="G1377" s="3">
        <v>12</v>
      </c>
      <c r="H1377" s="3">
        <v>195</v>
      </c>
      <c r="I1377" s="1">
        <v>205.5</v>
      </c>
      <c r="J1377" s="1">
        <v>205.5</v>
      </c>
      <c r="K1377" s="4" t="e">
        <f t="array" aca="1" ref="K1377">MAX(H1377:J1377*(1-strike(H1377:J1377)))</f>
        <v>#NAME?</v>
      </c>
      <c r="L1377" s="3">
        <v>127.5</v>
      </c>
      <c r="M1377" s="1">
        <v>136</v>
      </c>
      <c r="N1377" s="1">
        <v>136</v>
      </c>
      <c r="O1377" s="4" t="e">
        <f t="array" aca="1" ref="O1377">MAX(L1377:N1377*(1-strike(L1377:N1377)))</f>
        <v>#NAME?</v>
      </c>
      <c r="P1377" s="3">
        <v>180</v>
      </c>
      <c r="Q1377" s="3">
        <v>190</v>
      </c>
      <c r="R1377" s="1">
        <v>197.5</v>
      </c>
      <c r="S1377" s="4" t="e">
        <f t="array" aca="1" ref="S1377">MAX(P1377:R1377*(1-strike(P1377:R1377)))</f>
        <v>#NAME?</v>
      </c>
      <c r="T1377" s="4" t="e">
        <f t="shared" si="21"/>
        <v>#NAME?</v>
      </c>
      <c r="U1377" s="3" t="s">
        <v>1025</v>
      </c>
      <c r="V1377" s="3">
        <v>459.81</v>
      </c>
      <c r="W1377" s="3">
        <v>12</v>
      </c>
      <c r="X1377" s="5">
        <v>2014</v>
      </c>
      <c r="Y1377" s="5" t="s">
        <v>852</v>
      </c>
      <c r="Z1377" s="5" t="s">
        <v>30</v>
      </c>
      <c r="AA1377" s="5">
        <v>801</v>
      </c>
    </row>
    <row r="1378" spans="1:27">
      <c r="A1378" s="4">
        <v>3</v>
      </c>
      <c r="B1378" s="4" t="s">
        <v>317</v>
      </c>
      <c r="C1378" s="4">
        <v>1973</v>
      </c>
      <c r="D1378" s="4" t="s">
        <v>1026</v>
      </c>
      <c r="E1378" s="4">
        <v>83.6</v>
      </c>
      <c r="F1378" s="4">
        <v>0.89390000000000003</v>
      </c>
      <c r="G1378" s="4">
        <v>7</v>
      </c>
      <c r="H1378" s="4">
        <v>247.5</v>
      </c>
      <c r="I1378" s="4">
        <v>257.5</v>
      </c>
      <c r="J1378" s="6">
        <v>262.5</v>
      </c>
      <c r="K1378" s="4" t="e">
        <f t="array" aca="1" ref="K1378">MAX(H1378:J1378*(1-strike(H1378:J1378)))</f>
        <v>#NAME?</v>
      </c>
      <c r="L1378" s="4">
        <v>165</v>
      </c>
      <c r="M1378" s="4">
        <v>175</v>
      </c>
      <c r="N1378" s="6">
        <v>181.5</v>
      </c>
      <c r="O1378" s="4" t="e">
        <f t="array" aca="1" ref="O1378">MAX(L1378:N1378*(1-strike(L1378:N1378)))</f>
        <v>#NAME?</v>
      </c>
      <c r="P1378" s="4">
        <v>210</v>
      </c>
      <c r="Q1378" s="6">
        <v>212.5</v>
      </c>
      <c r="R1378" s="6">
        <v>212.5</v>
      </c>
      <c r="S1378" s="4" t="e">
        <f t="array" aca="1" ref="S1378">MAX(P1378:R1378*(1-strike(P1378:R1378)))</f>
        <v>#NAME?</v>
      </c>
      <c r="T1378" s="4" t="e">
        <f t="shared" si="21"/>
        <v>#NAME?</v>
      </c>
      <c r="U1378" s="4">
        <v>642.5</v>
      </c>
      <c r="V1378" s="4">
        <v>574.33000000000004</v>
      </c>
      <c r="W1378" s="4">
        <v>8</v>
      </c>
      <c r="X1378" s="5">
        <v>2014</v>
      </c>
      <c r="Y1378" s="5" t="s">
        <v>852</v>
      </c>
      <c r="Z1378" s="5" t="s">
        <v>171</v>
      </c>
      <c r="AA1378" s="5">
        <v>628</v>
      </c>
    </row>
    <row r="1379" spans="1:27">
      <c r="A1379" s="4">
        <v>3</v>
      </c>
      <c r="B1379" s="4" t="s">
        <v>1027</v>
      </c>
      <c r="C1379" s="4">
        <v>1986</v>
      </c>
      <c r="D1379" s="4" t="s">
        <v>903</v>
      </c>
      <c r="E1379" s="4">
        <v>46.86</v>
      </c>
      <c r="F1379" s="7">
        <v>13470</v>
      </c>
      <c r="G1379" s="4">
        <v>4</v>
      </c>
      <c r="H1379" s="4">
        <v>170</v>
      </c>
      <c r="I1379" s="6">
        <v>180</v>
      </c>
      <c r="J1379" s="4">
        <v>180</v>
      </c>
      <c r="K1379" s="4" t="e">
        <f t="array" aca="1" ref="K1379">MAX(H1379:J1379*(1-strike(H1379:J1379)))</f>
        <v>#NAME?</v>
      </c>
      <c r="L1379" s="4">
        <v>105</v>
      </c>
      <c r="M1379" s="4">
        <v>112.5</v>
      </c>
      <c r="N1379" s="4">
        <v>115</v>
      </c>
      <c r="O1379" s="4" t="e">
        <f t="array" aca="1" ref="O1379">MAX(L1379:N1379*(1-strike(L1379:N1379)))</f>
        <v>#NAME?</v>
      </c>
      <c r="P1379" s="4">
        <v>155</v>
      </c>
      <c r="Q1379" s="6">
        <v>162.5</v>
      </c>
      <c r="R1379" s="4">
        <v>162.5</v>
      </c>
      <c r="S1379" s="4" t="e">
        <f t="array" aca="1" ref="S1379">MAX(P1379:R1379*(1-strike(P1379:R1379)))</f>
        <v>#NAME?</v>
      </c>
      <c r="T1379" s="4" t="e">
        <f t="shared" si="21"/>
        <v>#NAME?</v>
      </c>
      <c r="U1379" s="4" t="s">
        <v>1028</v>
      </c>
      <c r="V1379" s="4">
        <v>616.25</v>
      </c>
      <c r="W1379" s="4">
        <v>8</v>
      </c>
      <c r="X1379" s="5">
        <v>2014</v>
      </c>
      <c r="Y1379" s="5" t="s">
        <v>852</v>
      </c>
      <c r="Z1379" s="5" t="s">
        <v>171</v>
      </c>
      <c r="AA1379" s="5">
        <v>571</v>
      </c>
    </row>
    <row r="1380" spans="1:27">
      <c r="A1380" s="3">
        <v>8</v>
      </c>
      <c r="B1380" s="3" t="s">
        <v>320</v>
      </c>
      <c r="C1380" s="3">
        <v>1978</v>
      </c>
      <c r="D1380" s="3" t="s">
        <v>125</v>
      </c>
      <c r="E1380" s="3">
        <v>62.75</v>
      </c>
      <c r="F1380" s="2">
        <v>10772</v>
      </c>
      <c r="G1380" s="3">
        <v>21</v>
      </c>
      <c r="H1380" s="3">
        <v>100</v>
      </c>
      <c r="I1380" s="3">
        <v>105</v>
      </c>
      <c r="J1380" s="1">
        <v>110</v>
      </c>
      <c r="K1380" s="4" t="e">
        <f t="array" aca="1" ref="K1380">MAX(H1380:J1380*(1-strike(H1380:J1380)))</f>
        <v>#NAME?</v>
      </c>
      <c r="L1380" s="3">
        <v>80</v>
      </c>
      <c r="M1380" s="1">
        <v>87.5</v>
      </c>
      <c r="N1380" s="1">
        <v>87.5</v>
      </c>
      <c r="O1380" s="4" t="e">
        <f t="array" aca="1" ref="O1380">MAX(L1380:N1380*(1-strike(L1380:N1380)))</f>
        <v>#NAME?</v>
      </c>
      <c r="P1380" s="3">
        <v>150</v>
      </c>
      <c r="Q1380" s="3">
        <v>162.5</v>
      </c>
      <c r="R1380" s="1">
        <v>170</v>
      </c>
      <c r="S1380" s="4" t="e">
        <f t="array" aca="1" ref="S1380">MAX(P1380:R1380*(1-strike(P1380:R1380)))</f>
        <v>#NAME?</v>
      </c>
      <c r="T1380" s="4" t="e">
        <f t="shared" si="21"/>
        <v>#NAME?</v>
      </c>
      <c r="U1380" s="3">
        <v>347.5</v>
      </c>
      <c r="V1380" s="3">
        <v>374.33</v>
      </c>
      <c r="W1380" s="3">
        <v>3</v>
      </c>
      <c r="X1380" s="5">
        <v>2014</v>
      </c>
      <c r="Y1380" s="5" t="s">
        <v>852</v>
      </c>
      <c r="Z1380" s="5" t="s">
        <v>30</v>
      </c>
      <c r="AA1380" s="5">
        <v>787</v>
      </c>
    </row>
    <row r="1381" spans="1:27">
      <c r="A1381" s="3">
        <v>3</v>
      </c>
      <c r="B1381" s="3" t="s">
        <v>321</v>
      </c>
      <c r="C1381" s="3">
        <v>1992</v>
      </c>
      <c r="D1381" s="3" t="s">
        <v>74</v>
      </c>
      <c r="E1381" s="3">
        <v>107.55</v>
      </c>
      <c r="F1381" s="3">
        <v>0.81710000000000005</v>
      </c>
      <c r="G1381" s="3">
        <v>9</v>
      </c>
      <c r="H1381" s="3">
        <v>210</v>
      </c>
      <c r="I1381" s="3">
        <v>225</v>
      </c>
      <c r="J1381" s="3">
        <v>230</v>
      </c>
      <c r="K1381" s="4" t="e">
        <f t="array" aca="1" ref="K1381">MAX(H1381:J1381*(1-strike(H1381:J1381)))</f>
        <v>#NAME?</v>
      </c>
      <c r="L1381" s="3">
        <v>90</v>
      </c>
      <c r="M1381" s="3">
        <v>100</v>
      </c>
      <c r="N1381" s="3">
        <v>102.5</v>
      </c>
      <c r="O1381" s="4" t="e">
        <f t="array" aca="1" ref="O1381">MAX(L1381:N1381*(1-strike(L1381:N1381)))</f>
        <v>#NAME?</v>
      </c>
      <c r="P1381" s="3">
        <v>160</v>
      </c>
      <c r="Q1381" s="3">
        <v>167.5</v>
      </c>
      <c r="R1381" s="3">
        <v>175</v>
      </c>
      <c r="S1381" s="4" t="e">
        <f t="array" aca="1" ref="S1381">MAX(P1381:R1381*(1-strike(P1381:R1381)))</f>
        <v>#NAME?</v>
      </c>
      <c r="T1381" s="4" t="e">
        <f t="shared" si="21"/>
        <v>#NAME?</v>
      </c>
      <c r="U1381" s="3">
        <v>507.5</v>
      </c>
      <c r="V1381" s="3">
        <v>414.68</v>
      </c>
      <c r="W1381" s="3">
        <v>8</v>
      </c>
      <c r="X1381" s="5">
        <v>2013</v>
      </c>
      <c r="Y1381" s="5" t="s">
        <v>852</v>
      </c>
      <c r="Z1381" s="5" t="s">
        <v>30</v>
      </c>
      <c r="AA1381" s="5">
        <v>1183</v>
      </c>
    </row>
    <row r="1382" spans="1:27">
      <c r="A1382" s="3">
        <v>2</v>
      </c>
      <c r="B1382" s="3" t="s">
        <v>321</v>
      </c>
      <c r="C1382" s="3">
        <v>1992</v>
      </c>
      <c r="D1382" s="3" t="s">
        <v>74</v>
      </c>
      <c r="E1382" s="3">
        <v>112.5</v>
      </c>
      <c r="F1382" s="3">
        <v>0.80930000000000002</v>
      </c>
      <c r="G1382" s="3">
        <v>18</v>
      </c>
      <c r="H1382" s="3">
        <v>210</v>
      </c>
      <c r="I1382" s="3">
        <v>222.5</v>
      </c>
      <c r="J1382" s="3">
        <v>230.5</v>
      </c>
      <c r="K1382" s="4" t="e">
        <f t="array" aca="1" ref="K1382">MAX(H1382:J1382*(1-strike(H1382:J1382)))</f>
        <v>#NAME?</v>
      </c>
      <c r="L1382" s="3">
        <v>90</v>
      </c>
      <c r="M1382" s="3">
        <v>95</v>
      </c>
      <c r="N1382" s="3">
        <v>102.5</v>
      </c>
      <c r="O1382" s="4" t="e">
        <f t="array" aca="1" ref="O1382">MAX(L1382:N1382*(1-strike(L1382:N1382)))</f>
        <v>#NAME?</v>
      </c>
      <c r="P1382" s="3">
        <v>170</v>
      </c>
      <c r="Q1382" s="3">
        <v>175</v>
      </c>
      <c r="R1382" s="3">
        <v>180</v>
      </c>
      <c r="S1382" s="4" t="e">
        <f t="array" aca="1" ref="S1382">MAX(P1382:R1382*(1-strike(P1382:R1382)))</f>
        <v>#NAME?</v>
      </c>
      <c r="T1382" s="4" t="e">
        <f t="shared" si="21"/>
        <v>#NAME?</v>
      </c>
      <c r="U1382" s="3">
        <v>513</v>
      </c>
      <c r="V1382" s="3">
        <v>415.17</v>
      </c>
      <c r="W1382" s="3">
        <v>9</v>
      </c>
      <c r="X1382" s="5">
        <v>2014</v>
      </c>
      <c r="Y1382" s="5" t="s">
        <v>852</v>
      </c>
      <c r="Z1382" s="5" t="s">
        <v>30</v>
      </c>
      <c r="AA1382" s="5">
        <v>809</v>
      </c>
    </row>
    <row r="1383" spans="1:27">
      <c r="A1383" s="3">
        <v>11</v>
      </c>
      <c r="B1383" s="3" t="s">
        <v>1029</v>
      </c>
      <c r="C1383" s="3">
        <v>1990</v>
      </c>
      <c r="D1383" s="3" t="s">
        <v>77</v>
      </c>
      <c r="E1383" s="3">
        <v>52.05</v>
      </c>
      <c r="F1383" s="2">
        <v>12457</v>
      </c>
      <c r="G1383" s="3">
        <v>2</v>
      </c>
      <c r="H1383" s="3">
        <v>85</v>
      </c>
      <c r="I1383" s="3">
        <v>92.5</v>
      </c>
      <c r="J1383" s="1">
        <v>100</v>
      </c>
      <c r="K1383" s="4" t="e">
        <f t="array" aca="1" ref="K1383">MAX(H1383:J1383*(1-strike(H1383:J1383)))</f>
        <v>#NAME?</v>
      </c>
      <c r="L1383" s="3">
        <v>52.5</v>
      </c>
      <c r="M1383" s="3">
        <v>57.5</v>
      </c>
      <c r="N1383" s="3">
        <v>60</v>
      </c>
      <c r="O1383" s="4" t="e">
        <f t="array" aca="1" ref="O1383">MAX(L1383:N1383*(1-strike(L1383:N1383)))</f>
        <v>#NAME?</v>
      </c>
      <c r="P1383" s="3">
        <v>120</v>
      </c>
      <c r="Q1383" s="1">
        <v>130</v>
      </c>
      <c r="R1383" s="1">
        <v>132.5</v>
      </c>
      <c r="S1383" s="4" t="e">
        <f t="array" aca="1" ref="S1383">MAX(P1383:R1383*(1-strike(P1383:R1383)))</f>
        <v>#NAME?</v>
      </c>
      <c r="T1383" s="4" t="e">
        <f t="shared" si="21"/>
        <v>#NAME?</v>
      </c>
      <c r="U1383" s="3">
        <v>272.5</v>
      </c>
      <c r="V1383" s="3">
        <v>339.45</v>
      </c>
      <c r="W1383" s="3">
        <v>1</v>
      </c>
      <c r="X1383" s="5">
        <v>2012</v>
      </c>
      <c r="Y1383" s="5" t="s">
        <v>852</v>
      </c>
      <c r="Z1383" s="5" t="s">
        <v>30</v>
      </c>
      <c r="AA1383" s="5">
        <v>1573</v>
      </c>
    </row>
    <row r="1384" spans="1:27">
      <c r="A1384" s="3">
        <v>8</v>
      </c>
      <c r="B1384" s="3" t="s">
        <v>1030</v>
      </c>
      <c r="C1384" s="3">
        <v>1977</v>
      </c>
      <c r="D1384" s="3" t="s">
        <v>77</v>
      </c>
      <c r="E1384" s="3">
        <v>66.2</v>
      </c>
      <c r="F1384" s="2">
        <v>10351</v>
      </c>
      <c r="G1384" s="3">
        <v>9</v>
      </c>
      <c r="H1384" s="3">
        <v>112.5</v>
      </c>
      <c r="I1384" s="3">
        <v>120</v>
      </c>
      <c r="J1384" s="3">
        <v>125</v>
      </c>
      <c r="K1384" s="4" t="e">
        <f t="array" aca="1" ref="K1384">MAX(H1384:J1384*(1-strike(H1384:J1384)))</f>
        <v>#NAME?</v>
      </c>
      <c r="L1384" s="3">
        <v>55</v>
      </c>
      <c r="M1384" s="3">
        <v>60</v>
      </c>
      <c r="N1384" s="1">
        <v>65</v>
      </c>
      <c r="O1384" s="4" t="e">
        <f t="array" aca="1" ref="O1384">MAX(L1384:N1384*(1-strike(L1384:N1384)))</f>
        <v>#NAME?</v>
      </c>
      <c r="P1384" s="3">
        <v>127.5</v>
      </c>
      <c r="Q1384" s="3">
        <v>135</v>
      </c>
      <c r="R1384" s="1">
        <v>145</v>
      </c>
      <c r="S1384" s="4" t="e">
        <f t="array" aca="1" ref="S1384">MAX(P1384:R1384*(1-strike(P1384:R1384)))</f>
        <v>#NAME?</v>
      </c>
      <c r="T1384" s="4" t="e">
        <f t="shared" si="21"/>
        <v>#NAME?</v>
      </c>
      <c r="U1384" s="3">
        <v>320</v>
      </c>
      <c r="V1384" s="3">
        <v>331.23</v>
      </c>
      <c r="W1384" s="3">
        <v>3</v>
      </c>
      <c r="X1384" s="5">
        <v>2014</v>
      </c>
      <c r="Y1384" s="5" t="s">
        <v>852</v>
      </c>
      <c r="Z1384" s="5" t="s">
        <v>30</v>
      </c>
      <c r="AA1384" s="5">
        <v>798</v>
      </c>
    </row>
    <row r="1385" spans="1:27">
      <c r="A1385" s="3">
        <v>4</v>
      </c>
      <c r="B1385" s="3" t="s">
        <v>1031</v>
      </c>
      <c r="C1385" s="3">
        <v>1988</v>
      </c>
      <c r="D1385" s="3" t="s">
        <v>289</v>
      </c>
      <c r="E1385" s="3">
        <v>108.23</v>
      </c>
      <c r="F1385" s="3">
        <v>0.81589999999999996</v>
      </c>
      <c r="G1385" s="3">
        <v>17</v>
      </c>
      <c r="H1385" s="3">
        <v>210</v>
      </c>
      <c r="I1385" s="3">
        <v>220</v>
      </c>
      <c r="J1385" s="3">
        <v>230</v>
      </c>
      <c r="K1385" s="4" t="e">
        <f t="array" aca="1" ref="K1385">MAX(H1385:J1385*(1-strike(H1385:J1385)))</f>
        <v>#NAME?</v>
      </c>
      <c r="L1385" s="1">
        <v>175</v>
      </c>
      <c r="M1385" s="3">
        <v>175</v>
      </c>
      <c r="N1385" s="1">
        <v>180</v>
      </c>
      <c r="O1385" s="4" t="e">
        <f t="array" aca="1" ref="O1385">MAX(L1385:N1385*(1-strike(L1385:N1385)))</f>
        <v>#NAME?</v>
      </c>
      <c r="P1385" s="3">
        <v>160</v>
      </c>
      <c r="Q1385" s="3">
        <v>175</v>
      </c>
      <c r="R1385" s="1">
        <v>185</v>
      </c>
      <c r="S1385" s="4" t="e">
        <f t="array" aca="1" ref="S1385">MAX(P1385:R1385*(1-strike(P1385:R1385)))</f>
        <v>#NAME?</v>
      </c>
      <c r="T1385" s="4" t="e">
        <f t="shared" si="21"/>
        <v>#NAME?</v>
      </c>
      <c r="U1385" s="3">
        <v>580</v>
      </c>
      <c r="V1385" s="3">
        <v>473.24</v>
      </c>
      <c r="W1385" s="3">
        <v>7</v>
      </c>
      <c r="X1385" s="5">
        <v>2012</v>
      </c>
      <c r="Y1385" s="5" t="s">
        <v>852</v>
      </c>
      <c r="Z1385" s="5" t="s">
        <v>171</v>
      </c>
      <c r="AA1385" s="5">
        <v>1417</v>
      </c>
    </row>
    <row r="1386" spans="1:27" ht="15" customHeight="1">
      <c r="A1386" s="4">
        <v>8</v>
      </c>
      <c r="B1386" s="4" t="s">
        <v>1032</v>
      </c>
      <c r="C1386" s="4">
        <v>1979</v>
      </c>
      <c r="D1386" s="4" t="s">
        <v>878</v>
      </c>
      <c r="E1386" s="4">
        <v>62.18</v>
      </c>
      <c r="F1386" s="7">
        <v>10844</v>
      </c>
      <c r="G1386" s="4">
        <v>2</v>
      </c>
      <c r="H1386" s="4">
        <v>165</v>
      </c>
      <c r="I1386" s="6">
        <v>170</v>
      </c>
      <c r="J1386" s="4">
        <v>170</v>
      </c>
      <c r="K1386" s="4" t="e">
        <f t="array" aca="1" ref="K1386">MAX(H1386:J1386*(1-strike(H1386:J1386)))</f>
        <v>#NAME?</v>
      </c>
      <c r="L1386" s="4">
        <v>87.5</v>
      </c>
      <c r="M1386" s="4">
        <v>92.5</v>
      </c>
      <c r="N1386" s="4">
        <v>95</v>
      </c>
      <c r="O1386" s="4" t="e">
        <f t="array" aca="1" ref="O1386">MAX(L1386:N1386*(1-strike(L1386:N1386)))</f>
        <v>#NAME?</v>
      </c>
      <c r="P1386" s="4">
        <v>165</v>
      </c>
      <c r="Q1386" s="4">
        <v>172.5</v>
      </c>
      <c r="R1386" s="4">
        <v>180</v>
      </c>
      <c r="S1386" s="4" t="e">
        <f t="array" aca="1" ref="S1386">MAX(P1386:R1386*(1-strike(P1386:R1386)))</f>
        <v>#NAME?</v>
      </c>
      <c r="T1386" s="4" t="e">
        <f t="shared" si="21"/>
        <v>#NAME?</v>
      </c>
      <c r="U1386" s="4">
        <v>445</v>
      </c>
      <c r="V1386" s="4">
        <v>482.55</v>
      </c>
      <c r="W1386" s="4">
        <v>3</v>
      </c>
      <c r="X1386" s="5">
        <v>2014</v>
      </c>
      <c r="Y1386" s="5" t="s">
        <v>852</v>
      </c>
      <c r="Z1386" s="5" t="s">
        <v>171</v>
      </c>
      <c r="AA1386" s="5">
        <v>610</v>
      </c>
    </row>
    <row r="1387" spans="1:27">
      <c r="A1387" s="3">
        <v>12</v>
      </c>
      <c r="B1387" s="3" t="s">
        <v>1033</v>
      </c>
      <c r="C1387" s="3">
        <v>1994</v>
      </c>
      <c r="D1387" s="3" t="s">
        <v>336</v>
      </c>
      <c r="E1387" s="3">
        <v>55.84</v>
      </c>
      <c r="F1387" s="2">
        <v>11793</v>
      </c>
      <c r="G1387" s="3">
        <v>12</v>
      </c>
      <c r="H1387" s="3">
        <v>125</v>
      </c>
      <c r="I1387" s="3">
        <v>132.5</v>
      </c>
      <c r="J1387" s="1">
        <v>145</v>
      </c>
      <c r="K1387" s="4" t="e">
        <f t="array" aca="1" ref="K1387">MAX(H1387:J1387*(1-strike(H1387:J1387)))</f>
        <v>#NAME?</v>
      </c>
      <c r="L1387" s="3">
        <v>60</v>
      </c>
      <c r="M1387" s="3">
        <v>65</v>
      </c>
      <c r="N1387" s="1">
        <v>70</v>
      </c>
      <c r="O1387" s="4" t="e">
        <f t="array" aca="1" ref="O1387">MAX(L1387:N1387*(1-strike(L1387:N1387)))</f>
        <v>#NAME?</v>
      </c>
      <c r="P1387" s="3">
        <v>130</v>
      </c>
      <c r="Q1387" s="3">
        <v>140</v>
      </c>
      <c r="R1387" s="1">
        <v>147.5</v>
      </c>
      <c r="S1387" s="4" t="e">
        <f t="array" aca="1" ref="S1387">MAX(P1387:R1387*(1-strike(P1387:R1387)))</f>
        <v>#NAME?</v>
      </c>
      <c r="T1387" s="4" t="e">
        <f t="shared" si="21"/>
        <v>#NAME?</v>
      </c>
      <c r="U1387" s="3">
        <v>337.5</v>
      </c>
      <c r="V1387" s="3">
        <v>398</v>
      </c>
      <c r="W1387" s="3">
        <v>1</v>
      </c>
      <c r="X1387" s="5">
        <v>2012</v>
      </c>
      <c r="Y1387" s="5" t="s">
        <v>852</v>
      </c>
      <c r="Z1387" s="5" t="s">
        <v>171</v>
      </c>
      <c r="AA1387" s="5">
        <v>1368</v>
      </c>
    </row>
    <row r="1388" spans="1:27">
      <c r="A1388" s="3">
        <v>8</v>
      </c>
      <c r="B1388" s="3" t="s">
        <v>324</v>
      </c>
      <c r="C1388" s="3">
        <v>1976</v>
      </c>
      <c r="D1388" s="3" t="s">
        <v>49</v>
      </c>
      <c r="E1388" s="3">
        <v>61.97</v>
      </c>
      <c r="F1388" s="2">
        <v>10875</v>
      </c>
      <c r="G1388" s="3">
        <v>9</v>
      </c>
      <c r="H1388" s="1">
        <v>197.5</v>
      </c>
      <c r="I1388" s="1">
        <v>197.5</v>
      </c>
      <c r="J1388" s="3">
        <v>197.5</v>
      </c>
      <c r="K1388" s="4" t="e">
        <f t="array" aca="1" ref="K1388">MAX(H1388:J1388*(1-strike(H1388:J1388)))</f>
        <v>#NAME?</v>
      </c>
      <c r="L1388" s="3">
        <v>95</v>
      </c>
      <c r="M1388" s="3">
        <v>100</v>
      </c>
      <c r="N1388" s="3">
        <v>102.5</v>
      </c>
      <c r="O1388" s="4" t="e">
        <f t="array" aca="1" ref="O1388">MAX(L1388:N1388*(1-strike(L1388:N1388)))</f>
        <v>#NAME?</v>
      </c>
      <c r="P1388" s="3">
        <v>205</v>
      </c>
      <c r="Q1388" s="1">
        <v>210</v>
      </c>
      <c r="R1388" s="1">
        <v>210</v>
      </c>
      <c r="S1388" s="4" t="e">
        <f t="array" aca="1" ref="S1388">MAX(P1388:R1388*(1-strike(P1388:R1388)))</f>
        <v>#NAME?</v>
      </c>
      <c r="T1388" s="4" t="e">
        <f t="shared" si="21"/>
        <v>#NAME?</v>
      </c>
      <c r="U1388" s="3">
        <v>505</v>
      </c>
      <c r="V1388" s="3">
        <v>549.17999999999995</v>
      </c>
      <c r="W1388" s="3">
        <v>3</v>
      </c>
      <c r="X1388" s="5">
        <v>2012</v>
      </c>
      <c r="Y1388" s="5" t="s">
        <v>852</v>
      </c>
      <c r="Z1388" s="5" t="s">
        <v>171</v>
      </c>
      <c r="AA1388" s="5">
        <v>1378</v>
      </c>
    </row>
    <row r="1389" spans="1:27">
      <c r="A1389" s="3">
        <v>5</v>
      </c>
      <c r="B1389" s="3" t="s">
        <v>324</v>
      </c>
      <c r="C1389" s="3">
        <v>1976</v>
      </c>
      <c r="D1389" s="3" t="s">
        <v>49</v>
      </c>
      <c r="E1389" s="3">
        <v>62.3</v>
      </c>
      <c r="F1389" s="2">
        <v>10831</v>
      </c>
      <c r="G1389" s="3">
        <v>3</v>
      </c>
      <c r="H1389" s="3">
        <v>205</v>
      </c>
      <c r="I1389" s="3">
        <v>217.5</v>
      </c>
      <c r="J1389" s="3">
        <v>222.5</v>
      </c>
      <c r="K1389" s="4" t="e">
        <f t="array" aca="1" ref="K1389">MAX(H1389:J1389*(1-strike(H1389:J1389)))</f>
        <v>#NAME?</v>
      </c>
      <c r="L1389" s="3">
        <v>100</v>
      </c>
      <c r="M1389" s="3">
        <v>107.5</v>
      </c>
      <c r="N1389" s="3">
        <v>110</v>
      </c>
      <c r="O1389" s="4" t="e">
        <f t="array" aca="1" ref="O1389">MAX(L1389:N1389*(1-strike(L1389:N1389)))</f>
        <v>#NAME?</v>
      </c>
      <c r="P1389" s="3">
        <v>210</v>
      </c>
      <c r="Q1389" s="1">
        <v>220</v>
      </c>
      <c r="R1389" s="1">
        <v>220</v>
      </c>
      <c r="S1389" s="4" t="e">
        <f t="array" aca="1" ref="S1389">MAX(P1389:R1389*(1-strike(P1389:R1389)))</f>
        <v>#NAME?</v>
      </c>
      <c r="T1389" s="4" t="e">
        <f t="shared" si="21"/>
        <v>#NAME?</v>
      </c>
      <c r="U1389" s="3">
        <v>542.5</v>
      </c>
      <c r="V1389" s="3">
        <v>587.58000000000004</v>
      </c>
      <c r="W1389" s="3">
        <v>6</v>
      </c>
      <c r="X1389" s="5">
        <v>2013</v>
      </c>
      <c r="Y1389" s="5" t="s">
        <v>852</v>
      </c>
      <c r="Z1389" s="5" t="s">
        <v>171</v>
      </c>
      <c r="AA1389" s="5">
        <v>976</v>
      </c>
    </row>
    <row r="1390" spans="1:27">
      <c r="A1390" s="3">
        <v>3</v>
      </c>
      <c r="B1390" s="3" t="s">
        <v>324</v>
      </c>
      <c r="C1390" s="3">
        <v>1976</v>
      </c>
      <c r="D1390" s="3" t="s">
        <v>49</v>
      </c>
      <c r="E1390" s="3">
        <v>61.85</v>
      </c>
      <c r="F1390" s="2">
        <v>10891</v>
      </c>
      <c r="G1390" s="3">
        <v>24</v>
      </c>
      <c r="H1390" s="1">
        <v>155</v>
      </c>
      <c r="I1390" s="1">
        <v>155</v>
      </c>
      <c r="J1390" s="3">
        <v>160</v>
      </c>
      <c r="K1390" s="4" t="e">
        <f t="array" aca="1" ref="K1390">MAX(H1390:J1390*(1-strike(H1390:J1390)))</f>
        <v>#NAME?</v>
      </c>
      <c r="L1390" s="3">
        <v>75</v>
      </c>
      <c r="M1390" s="3">
        <v>80</v>
      </c>
      <c r="N1390" s="1">
        <v>82.5</v>
      </c>
      <c r="O1390" s="4" t="e">
        <f t="array" aca="1" ref="O1390">MAX(L1390:N1390*(1-strike(L1390:N1390)))</f>
        <v>#NAME?</v>
      </c>
      <c r="P1390" s="3">
        <v>175</v>
      </c>
      <c r="Q1390" s="3">
        <v>182.5</v>
      </c>
      <c r="R1390" s="1">
        <v>192.5</v>
      </c>
      <c r="S1390" s="4" t="e">
        <f t="array" aca="1" ref="S1390">MAX(P1390:R1390*(1-strike(P1390:R1390)))</f>
        <v>#NAME?</v>
      </c>
      <c r="T1390" s="4" t="e">
        <f t="shared" si="21"/>
        <v>#NAME?</v>
      </c>
      <c r="U1390" s="3">
        <v>422.5</v>
      </c>
      <c r="V1390" s="3">
        <v>460.14</v>
      </c>
      <c r="W1390" s="3">
        <v>8</v>
      </c>
      <c r="X1390" s="5">
        <v>2014</v>
      </c>
      <c r="Y1390" s="5" t="s">
        <v>852</v>
      </c>
      <c r="Z1390" s="5" t="s">
        <v>30</v>
      </c>
      <c r="AA1390" s="5">
        <v>781</v>
      </c>
    </row>
    <row r="1391" spans="1:27">
      <c r="A1391" s="4">
        <v>2</v>
      </c>
      <c r="B1391" s="4" t="s">
        <v>324</v>
      </c>
      <c r="C1391" s="4">
        <v>1976</v>
      </c>
      <c r="D1391" s="4" t="s">
        <v>867</v>
      </c>
      <c r="E1391" s="4">
        <v>61.68</v>
      </c>
      <c r="F1391" s="7">
        <v>10911</v>
      </c>
      <c r="G1391" s="4">
        <v>8</v>
      </c>
      <c r="H1391" s="6">
        <v>220</v>
      </c>
      <c r="I1391" s="4">
        <v>232.5</v>
      </c>
      <c r="J1391" s="6">
        <v>240.5</v>
      </c>
      <c r="K1391" s="4" t="e">
        <f t="array" aca="1" ref="K1391">MAX(H1391:J1391*(1-strike(H1391:J1391)))</f>
        <v>#NAME?</v>
      </c>
      <c r="L1391" s="4">
        <v>110</v>
      </c>
      <c r="M1391" s="6">
        <v>115</v>
      </c>
      <c r="N1391" s="4">
        <v>115</v>
      </c>
      <c r="O1391" s="4" t="e">
        <f t="array" aca="1" ref="O1391">MAX(L1391:N1391*(1-strike(L1391:N1391)))</f>
        <v>#NAME?</v>
      </c>
      <c r="P1391" s="4">
        <v>210</v>
      </c>
      <c r="Q1391" s="6">
        <v>215</v>
      </c>
      <c r="R1391" s="6">
        <v>220</v>
      </c>
      <c r="S1391" s="4" t="e">
        <f t="array" aca="1" ref="S1391">MAX(P1391:R1391*(1-strike(P1391:R1391)))</f>
        <v>#NAME?</v>
      </c>
      <c r="T1391" s="4" t="e">
        <f t="shared" si="21"/>
        <v>#NAME?</v>
      </c>
      <c r="U1391" s="4">
        <v>557.5</v>
      </c>
      <c r="V1391" s="4">
        <v>608.28</v>
      </c>
      <c r="W1391" s="4">
        <v>9</v>
      </c>
      <c r="X1391" s="5">
        <v>2014</v>
      </c>
      <c r="Y1391" s="5" t="s">
        <v>852</v>
      </c>
      <c r="Z1391" s="5" t="s">
        <v>171</v>
      </c>
      <c r="AA1391" s="5">
        <v>604</v>
      </c>
    </row>
    <row r="1392" spans="1:27">
      <c r="A1392" s="3">
        <v>10</v>
      </c>
      <c r="B1392" s="3" t="s">
        <v>325</v>
      </c>
      <c r="C1392" s="3">
        <v>1974</v>
      </c>
      <c r="D1392" s="3" t="s">
        <v>77</v>
      </c>
      <c r="E1392" s="3">
        <v>56.91</v>
      </c>
      <c r="F1392" s="2">
        <v>11618</v>
      </c>
      <c r="G1392" s="3">
        <v>9</v>
      </c>
      <c r="H1392" s="1">
        <v>160</v>
      </c>
      <c r="I1392" s="3">
        <v>160</v>
      </c>
      <c r="J1392" s="1">
        <v>170</v>
      </c>
      <c r="K1392" s="4" t="e">
        <f t="array" aca="1" ref="K1392">MAX(H1392:J1392*(1-strike(H1392:J1392)))</f>
        <v>#NAME?</v>
      </c>
      <c r="L1392" s="3">
        <v>90</v>
      </c>
      <c r="M1392" s="1">
        <v>95</v>
      </c>
      <c r="N1392" s="1">
        <v>95</v>
      </c>
      <c r="O1392" s="4" t="e">
        <f t="array" aca="1" ref="O1392">MAX(L1392:N1392*(1-strike(L1392:N1392)))</f>
        <v>#NAME?</v>
      </c>
      <c r="P1392" s="3">
        <v>160</v>
      </c>
      <c r="Q1392" s="3">
        <v>167.5</v>
      </c>
      <c r="R1392" s="3">
        <v>175</v>
      </c>
      <c r="S1392" s="4" t="e">
        <f t="array" aca="1" ref="S1392">MAX(P1392:R1392*(1-strike(P1392:R1392)))</f>
        <v>#NAME?</v>
      </c>
      <c r="T1392" s="4" t="e">
        <f t="shared" si="21"/>
        <v>#NAME?</v>
      </c>
      <c r="U1392" s="3">
        <v>425</v>
      </c>
      <c r="V1392" s="3">
        <v>493.78</v>
      </c>
      <c r="W1392" s="3">
        <v>1</v>
      </c>
      <c r="X1392" s="5">
        <v>2012</v>
      </c>
      <c r="Y1392" s="5" t="s">
        <v>852</v>
      </c>
      <c r="Z1392" s="5" t="s">
        <v>171</v>
      </c>
      <c r="AA1392" s="5">
        <v>1366</v>
      </c>
    </row>
    <row r="1393" spans="1:27">
      <c r="A1393" s="3">
        <v>8</v>
      </c>
      <c r="B1393" s="3" t="s">
        <v>325</v>
      </c>
      <c r="C1393" s="3">
        <v>1974</v>
      </c>
      <c r="D1393" s="3" t="s">
        <v>77</v>
      </c>
      <c r="E1393" s="3">
        <v>56.67</v>
      </c>
      <c r="F1393" s="2">
        <v>11657</v>
      </c>
      <c r="G1393" s="3">
        <v>16</v>
      </c>
      <c r="H1393" s="1">
        <v>160</v>
      </c>
      <c r="I1393" s="3">
        <v>160</v>
      </c>
      <c r="J1393" s="1">
        <v>170</v>
      </c>
      <c r="K1393" s="4" t="e">
        <f t="array" aca="1" ref="K1393">MAX(H1393:J1393*(1-strike(H1393:J1393)))</f>
        <v>#NAME?</v>
      </c>
      <c r="L1393" s="3">
        <v>90</v>
      </c>
      <c r="M1393" s="3">
        <v>95</v>
      </c>
      <c r="N1393" s="1">
        <v>100</v>
      </c>
      <c r="O1393" s="4" t="e">
        <f t="array" aca="1" ref="O1393">MAX(L1393:N1393*(1-strike(L1393:N1393)))</f>
        <v>#NAME?</v>
      </c>
      <c r="P1393" s="1">
        <v>165</v>
      </c>
      <c r="Q1393" s="3">
        <v>165</v>
      </c>
      <c r="R1393" s="1">
        <v>175</v>
      </c>
      <c r="S1393" s="4" t="e">
        <f t="array" aca="1" ref="S1393">MAX(P1393:R1393*(1-strike(P1393:R1393)))</f>
        <v>#NAME?</v>
      </c>
      <c r="T1393" s="4" t="e">
        <f t="shared" si="21"/>
        <v>#NAME?</v>
      </c>
      <c r="U1393" s="3">
        <v>420</v>
      </c>
      <c r="V1393" s="3">
        <v>489.59</v>
      </c>
      <c r="W1393" s="3">
        <v>3</v>
      </c>
      <c r="X1393" s="5">
        <v>2013</v>
      </c>
      <c r="Y1393" s="5" t="s">
        <v>852</v>
      </c>
      <c r="Z1393" s="5" t="s">
        <v>171</v>
      </c>
      <c r="AA1393" s="5">
        <v>962</v>
      </c>
    </row>
    <row r="1394" spans="1:27">
      <c r="A1394" s="4">
        <v>9</v>
      </c>
      <c r="B1394" s="4" t="s">
        <v>325</v>
      </c>
      <c r="C1394" s="4">
        <v>1974</v>
      </c>
      <c r="D1394" s="4" t="s">
        <v>911</v>
      </c>
      <c r="E1394" s="4">
        <v>56.6</v>
      </c>
      <c r="F1394" s="7">
        <v>11668</v>
      </c>
      <c r="G1394" s="4">
        <v>3</v>
      </c>
      <c r="H1394" s="4">
        <v>152.5</v>
      </c>
      <c r="I1394" s="4">
        <v>160</v>
      </c>
      <c r="J1394" s="6">
        <v>167.5</v>
      </c>
      <c r="K1394" s="4" t="e">
        <f t="array" aca="1" ref="K1394">MAX(H1394:J1394*(1-strike(H1394:J1394)))</f>
        <v>#NAME?</v>
      </c>
      <c r="L1394" s="4">
        <v>90</v>
      </c>
      <c r="M1394" s="6">
        <v>95</v>
      </c>
      <c r="N1394" s="6">
        <v>95</v>
      </c>
      <c r="O1394" s="4" t="e">
        <f t="array" aca="1" ref="O1394">MAX(L1394:N1394*(1-strike(L1394:N1394)))</f>
        <v>#NAME?</v>
      </c>
      <c r="P1394" s="4">
        <v>160</v>
      </c>
      <c r="Q1394" s="4">
        <v>167.5</v>
      </c>
      <c r="R1394" s="6">
        <v>175</v>
      </c>
      <c r="S1394" s="4" t="e">
        <f t="array" aca="1" ref="S1394">MAX(P1394:R1394*(1-strike(P1394:R1394)))</f>
        <v>#NAME?</v>
      </c>
      <c r="T1394" s="4" t="e">
        <f t="shared" si="21"/>
        <v>#NAME?</v>
      </c>
      <c r="U1394" s="4">
        <v>417.5</v>
      </c>
      <c r="V1394" s="4">
        <v>487.13</v>
      </c>
      <c r="W1394" s="4">
        <v>2</v>
      </c>
      <c r="X1394" s="5">
        <v>2014</v>
      </c>
      <c r="Y1394" s="5" t="s">
        <v>852</v>
      </c>
      <c r="Z1394" s="5" t="s">
        <v>171</v>
      </c>
      <c r="AA1394" s="5">
        <v>598</v>
      </c>
    </row>
    <row r="1395" spans="1:27">
      <c r="A1395" s="3">
        <v>10</v>
      </c>
      <c r="B1395" s="3" t="s">
        <v>1034</v>
      </c>
      <c r="C1395" s="3">
        <v>1962</v>
      </c>
      <c r="D1395" s="3" t="s">
        <v>77</v>
      </c>
      <c r="E1395" s="3">
        <v>53.5</v>
      </c>
      <c r="F1395" s="2">
        <v>12194</v>
      </c>
      <c r="G1395" s="3">
        <v>15</v>
      </c>
      <c r="H1395" s="3">
        <v>80</v>
      </c>
      <c r="I1395" s="3">
        <v>90</v>
      </c>
      <c r="J1395" s="1">
        <v>102.5</v>
      </c>
      <c r="K1395" s="4" t="e">
        <f t="array" aca="1" ref="K1395">MAX(H1395:J1395*(1-strike(H1395:J1395)))</f>
        <v>#NAME?</v>
      </c>
      <c r="L1395" s="3">
        <v>60</v>
      </c>
      <c r="M1395" s="3">
        <v>65</v>
      </c>
      <c r="N1395" s="1">
        <v>70</v>
      </c>
      <c r="O1395" s="4" t="e">
        <f t="array" aca="1" ref="O1395">MAX(L1395:N1395*(1-strike(L1395:N1395)))</f>
        <v>#NAME?</v>
      </c>
      <c r="P1395" s="3">
        <v>120</v>
      </c>
      <c r="Q1395" s="3">
        <v>125</v>
      </c>
      <c r="R1395" s="3">
        <v>127.5</v>
      </c>
      <c r="S1395" s="4" t="e">
        <f t="array" aca="1" ref="S1395">MAX(P1395:R1395*(1-strike(P1395:R1395)))</f>
        <v>#NAME?</v>
      </c>
      <c r="T1395" s="4" t="e">
        <f t="shared" si="21"/>
        <v>#NAME?</v>
      </c>
      <c r="U1395" s="3">
        <v>282.5</v>
      </c>
      <c r="V1395" s="3">
        <v>344.48</v>
      </c>
      <c r="W1395" s="3">
        <v>1</v>
      </c>
      <c r="X1395" s="5">
        <v>2012</v>
      </c>
      <c r="Y1395" s="5" t="s">
        <v>852</v>
      </c>
      <c r="Z1395" s="5" t="s">
        <v>30</v>
      </c>
      <c r="AA1395" s="5">
        <v>1572</v>
      </c>
    </row>
    <row r="1396" spans="1:27">
      <c r="A1396" s="3">
        <v>12</v>
      </c>
      <c r="B1396" s="3" t="s">
        <v>1034</v>
      </c>
      <c r="C1396" s="3">
        <v>1962</v>
      </c>
      <c r="D1396" s="3" t="s">
        <v>77</v>
      </c>
      <c r="E1396" s="3">
        <v>51.83</v>
      </c>
      <c r="F1396" s="2">
        <v>12498</v>
      </c>
      <c r="G1396" s="3">
        <v>6</v>
      </c>
      <c r="H1396" s="3">
        <v>135</v>
      </c>
      <c r="I1396" s="3">
        <v>142.5</v>
      </c>
      <c r="J1396" s="1">
        <v>152.5</v>
      </c>
      <c r="K1396" s="4" t="e">
        <f t="array" aca="1" ref="K1396">MAX(H1396:J1396*(1-strike(H1396:J1396)))</f>
        <v>#NAME?</v>
      </c>
      <c r="L1396" s="3">
        <v>92.5</v>
      </c>
      <c r="M1396" s="3">
        <v>95</v>
      </c>
      <c r="N1396" s="1">
        <v>100</v>
      </c>
      <c r="O1396" s="4" t="e">
        <f t="array" aca="1" ref="O1396">MAX(L1396:N1396*(1-strike(L1396:N1396)))</f>
        <v>#NAME?</v>
      </c>
      <c r="P1396" s="3">
        <v>142.5</v>
      </c>
      <c r="Q1396" s="3">
        <v>150</v>
      </c>
      <c r="R1396" s="1">
        <v>157.5</v>
      </c>
      <c r="S1396" s="4" t="e">
        <f t="array" aca="1" ref="S1396">MAX(P1396:R1396*(1-strike(P1396:R1396)))</f>
        <v>#NAME?</v>
      </c>
      <c r="T1396" s="4" t="e">
        <f t="shared" si="21"/>
        <v>#NAME?</v>
      </c>
      <c r="U1396" s="3">
        <v>387.5</v>
      </c>
      <c r="V1396" s="3">
        <v>484.3</v>
      </c>
      <c r="W1396" s="3">
        <v>1</v>
      </c>
      <c r="X1396" s="5">
        <v>2012</v>
      </c>
      <c r="Y1396" s="5" t="s">
        <v>852</v>
      </c>
      <c r="Z1396" s="5" t="s">
        <v>171</v>
      </c>
      <c r="AA1396" s="5">
        <v>1353</v>
      </c>
    </row>
    <row r="1397" spans="1:27">
      <c r="A1397" s="3">
        <v>11</v>
      </c>
      <c r="B1397" s="3" t="s">
        <v>1034</v>
      </c>
      <c r="C1397" s="3">
        <v>1962</v>
      </c>
      <c r="D1397" s="3" t="s">
        <v>77</v>
      </c>
      <c r="E1397" s="3">
        <v>51.59</v>
      </c>
      <c r="F1397" s="2">
        <v>12543</v>
      </c>
      <c r="G1397" s="3">
        <v>14</v>
      </c>
      <c r="H1397" s="3">
        <v>137.5</v>
      </c>
      <c r="I1397" s="1">
        <v>147.5</v>
      </c>
      <c r="J1397" s="1">
        <v>147.5</v>
      </c>
      <c r="K1397" s="4" t="e">
        <f t="array" aca="1" ref="K1397">MAX(H1397:J1397*(1-strike(H1397:J1397)))</f>
        <v>#NAME?</v>
      </c>
      <c r="L1397" s="3">
        <v>92.5</v>
      </c>
      <c r="M1397" s="3">
        <v>95</v>
      </c>
      <c r="N1397" s="3">
        <v>97.5</v>
      </c>
      <c r="O1397" s="4" t="e">
        <f t="array" aca="1" ref="O1397">MAX(L1397:N1397*(1-strike(L1397:N1397)))</f>
        <v>#NAME?</v>
      </c>
      <c r="P1397" s="3">
        <v>140</v>
      </c>
      <c r="Q1397" s="3">
        <v>150</v>
      </c>
      <c r="R1397" s="1">
        <v>157.5</v>
      </c>
      <c r="S1397" s="4" t="e">
        <f t="array" aca="1" ref="S1397">MAX(P1397:R1397*(1-strike(P1397:R1397)))</f>
        <v>#NAME?</v>
      </c>
      <c r="T1397" s="4" t="e">
        <f t="shared" si="21"/>
        <v>#NAME?</v>
      </c>
      <c r="U1397" s="3">
        <v>385</v>
      </c>
      <c r="V1397" s="3">
        <v>482.91</v>
      </c>
      <c r="W1397" s="3">
        <v>1</v>
      </c>
      <c r="X1397" s="5">
        <v>2013</v>
      </c>
      <c r="Y1397" s="5" t="s">
        <v>852</v>
      </c>
      <c r="Z1397" s="5" t="s">
        <v>171</v>
      </c>
      <c r="AA1397" s="5">
        <v>949</v>
      </c>
    </row>
    <row r="1398" spans="1:27">
      <c r="A1398" s="4">
        <v>11</v>
      </c>
      <c r="B1398" s="4" t="s">
        <v>1034</v>
      </c>
      <c r="C1398" s="4">
        <v>1962</v>
      </c>
      <c r="D1398" s="4" t="s">
        <v>911</v>
      </c>
      <c r="E1398" s="4">
        <v>51.7</v>
      </c>
      <c r="F1398" s="7">
        <v>12522</v>
      </c>
      <c r="G1398" s="4">
        <v>19</v>
      </c>
      <c r="H1398" s="6">
        <v>135</v>
      </c>
      <c r="I1398" s="6">
        <v>135</v>
      </c>
      <c r="J1398" s="4">
        <v>135</v>
      </c>
      <c r="K1398" s="4" t="e">
        <f t="array" aca="1" ref="K1398">MAX(H1398:J1398*(1-strike(H1398:J1398)))</f>
        <v>#NAME?</v>
      </c>
      <c r="L1398" s="6">
        <v>90</v>
      </c>
      <c r="M1398" s="6">
        <v>90</v>
      </c>
      <c r="N1398" s="4">
        <v>90</v>
      </c>
      <c r="O1398" s="4" t="e">
        <f t="array" aca="1" ref="O1398">MAX(L1398:N1398*(1-strike(L1398:N1398)))</f>
        <v>#NAME?</v>
      </c>
      <c r="P1398" s="4">
        <v>135</v>
      </c>
      <c r="Q1398" s="4">
        <v>145</v>
      </c>
      <c r="R1398" s="6">
        <v>150</v>
      </c>
      <c r="S1398" s="4" t="e">
        <f t="array" aca="1" ref="S1398">MAX(P1398:R1398*(1-strike(P1398:R1398)))</f>
        <v>#NAME?</v>
      </c>
      <c r="T1398" s="4" t="e">
        <f t="shared" si="21"/>
        <v>#NAME?</v>
      </c>
      <c r="U1398" s="4">
        <v>370</v>
      </c>
      <c r="V1398" s="4">
        <v>463.31</v>
      </c>
      <c r="W1398" s="4">
        <v>1</v>
      </c>
      <c r="X1398" s="5">
        <v>2014</v>
      </c>
      <c r="Y1398" s="5" t="s">
        <v>852</v>
      </c>
      <c r="Z1398" s="5" t="s">
        <v>171</v>
      </c>
      <c r="AA1398" s="5">
        <v>586</v>
      </c>
    </row>
    <row r="1399" spans="1:27">
      <c r="A1399" s="3">
        <v>2</v>
      </c>
      <c r="B1399" s="3" t="s">
        <v>326</v>
      </c>
      <c r="C1399" s="3">
        <v>1973</v>
      </c>
      <c r="D1399" s="3" t="s">
        <v>62</v>
      </c>
      <c r="E1399" s="3">
        <v>61.6</v>
      </c>
      <c r="F1399" s="2">
        <v>10925</v>
      </c>
      <c r="G1399" s="3">
        <v>11</v>
      </c>
      <c r="H1399" s="3">
        <v>137.5</v>
      </c>
      <c r="I1399" s="1">
        <v>142.5</v>
      </c>
      <c r="J1399" s="3">
        <v>142.5</v>
      </c>
      <c r="K1399" s="4" t="e">
        <f t="array" aca="1" ref="K1399">MAX(H1399:J1399*(1-strike(H1399:J1399)))</f>
        <v>#NAME?</v>
      </c>
      <c r="L1399" s="3">
        <v>125</v>
      </c>
      <c r="M1399" s="3">
        <v>132.5</v>
      </c>
      <c r="N1399" s="1">
        <v>137</v>
      </c>
      <c r="O1399" s="4" t="e">
        <f t="array" aca="1" ref="O1399">MAX(L1399:N1399*(1-strike(L1399:N1399)))</f>
        <v>#NAME?</v>
      </c>
      <c r="P1399" s="3">
        <v>172.5</v>
      </c>
      <c r="Q1399" s="3">
        <v>192.5</v>
      </c>
      <c r="R1399" s="1">
        <v>200</v>
      </c>
      <c r="S1399" s="4" t="e">
        <f t="array" aca="1" ref="S1399">MAX(P1399:R1399*(1-strike(P1399:R1399)))</f>
        <v>#NAME?</v>
      </c>
      <c r="T1399" s="4" t="e">
        <f t="shared" si="21"/>
        <v>#NAME?</v>
      </c>
      <c r="U1399" s="3">
        <v>467.5</v>
      </c>
      <c r="V1399" s="3">
        <v>510.74</v>
      </c>
      <c r="W1399" s="3">
        <v>9</v>
      </c>
      <c r="X1399" s="5">
        <v>2012</v>
      </c>
      <c r="Y1399" s="5" t="s">
        <v>852</v>
      </c>
      <c r="Z1399" s="5" t="s">
        <v>30</v>
      </c>
      <c r="AA1399" s="5">
        <v>1576</v>
      </c>
    </row>
    <row r="1400" spans="1:27">
      <c r="A1400" s="3">
        <v>1</v>
      </c>
      <c r="B1400" s="3" t="s">
        <v>326</v>
      </c>
      <c r="C1400" s="3">
        <v>1973</v>
      </c>
      <c r="D1400" s="3" t="s">
        <v>62</v>
      </c>
      <c r="E1400" s="3">
        <v>60.65</v>
      </c>
      <c r="F1400" s="2">
        <v>11056</v>
      </c>
      <c r="G1400" s="3">
        <v>22</v>
      </c>
      <c r="H1400" s="3">
        <v>130</v>
      </c>
      <c r="I1400" s="3">
        <v>142.5</v>
      </c>
      <c r="J1400" s="1">
        <v>150</v>
      </c>
      <c r="K1400" s="4" t="e">
        <f t="array" aca="1" ref="K1400">MAX(H1400:J1400*(1-strike(H1400:J1400)))</f>
        <v>#NAME?</v>
      </c>
      <c r="L1400" s="3">
        <v>125</v>
      </c>
      <c r="M1400" s="3">
        <v>137.5</v>
      </c>
      <c r="N1400" s="1">
        <v>140.5</v>
      </c>
      <c r="O1400" s="4" t="e">
        <f t="array" aca="1" ref="O1400">MAX(L1400:N1400*(1-strike(L1400:N1400)))</f>
        <v>#NAME?</v>
      </c>
      <c r="P1400" s="3">
        <v>160</v>
      </c>
      <c r="Q1400" s="3">
        <v>190</v>
      </c>
      <c r="R1400" s="3">
        <v>197.5</v>
      </c>
      <c r="S1400" s="4" t="e">
        <f t="array" aca="1" ref="S1400">MAX(P1400:R1400*(1-strike(P1400:R1400)))</f>
        <v>#NAME?</v>
      </c>
      <c r="T1400" s="4" t="e">
        <f t="shared" si="21"/>
        <v>#NAME?</v>
      </c>
      <c r="U1400" s="3">
        <v>477.5</v>
      </c>
      <c r="V1400" s="3">
        <v>527.91999999999996</v>
      </c>
      <c r="W1400" s="3">
        <v>12</v>
      </c>
      <c r="X1400" s="5">
        <v>2014</v>
      </c>
      <c r="Y1400" s="5" t="s">
        <v>852</v>
      </c>
      <c r="Z1400" s="5" t="s">
        <v>30</v>
      </c>
      <c r="AA1400" s="5">
        <v>779</v>
      </c>
    </row>
    <row r="1401" spans="1:27" ht="15" customHeight="1">
      <c r="A1401" s="3">
        <v>5</v>
      </c>
      <c r="B1401" s="3" t="s">
        <v>1035</v>
      </c>
      <c r="C1401" s="3">
        <v>1982</v>
      </c>
      <c r="D1401" s="3" t="s">
        <v>125</v>
      </c>
      <c r="E1401" s="3">
        <v>67.650000000000006</v>
      </c>
      <c r="F1401" s="2">
        <v>10190</v>
      </c>
      <c r="G1401" s="3">
        <v>8</v>
      </c>
      <c r="H1401" s="3">
        <v>145</v>
      </c>
      <c r="I1401" s="3">
        <v>152.5</v>
      </c>
      <c r="J1401" s="1">
        <v>157.5</v>
      </c>
      <c r="K1401" s="4" t="e">
        <f t="array" aca="1" ref="K1401">MAX(H1401:J1401*(1-strike(H1401:J1401)))</f>
        <v>#NAME?</v>
      </c>
      <c r="L1401" s="3">
        <v>75</v>
      </c>
      <c r="M1401" s="3">
        <v>80</v>
      </c>
      <c r="N1401" s="1">
        <v>82.5</v>
      </c>
      <c r="O1401" s="4" t="e">
        <f t="array" aca="1" ref="O1401">MAX(L1401:N1401*(1-strike(L1401:N1401)))</f>
        <v>#NAME?</v>
      </c>
      <c r="P1401" s="3">
        <v>155</v>
      </c>
      <c r="Q1401" s="3">
        <v>160</v>
      </c>
      <c r="R1401" s="1">
        <v>162.5</v>
      </c>
      <c r="S1401" s="4" t="e">
        <f t="array" aca="1" ref="S1401">MAX(P1401:R1401*(1-strike(P1401:R1401)))</f>
        <v>#NAME?</v>
      </c>
      <c r="T1401" s="4" t="e">
        <f t="shared" si="21"/>
        <v>#NAME?</v>
      </c>
      <c r="U1401" s="3">
        <v>392.5</v>
      </c>
      <c r="V1401" s="3">
        <v>399.96</v>
      </c>
      <c r="W1401" s="3">
        <v>6</v>
      </c>
      <c r="X1401" s="5">
        <v>2014</v>
      </c>
      <c r="Y1401" s="5" t="s">
        <v>852</v>
      </c>
      <c r="Z1401" s="5" t="s">
        <v>30</v>
      </c>
      <c r="AA1401" s="5">
        <v>795</v>
      </c>
    </row>
    <row r="1402" spans="1:27" ht="15" customHeight="1">
      <c r="A1402" s="3">
        <v>10</v>
      </c>
      <c r="B1402" s="3" t="s">
        <v>329</v>
      </c>
      <c r="C1402" s="3">
        <v>1986</v>
      </c>
      <c r="D1402" s="3" t="s">
        <v>318</v>
      </c>
      <c r="E1402" s="3">
        <v>71.77</v>
      </c>
      <c r="F1402" s="3">
        <v>0.97819999999999996</v>
      </c>
      <c r="G1402" s="3">
        <v>2</v>
      </c>
      <c r="H1402" s="1">
        <v>195</v>
      </c>
      <c r="I1402" s="3">
        <v>195</v>
      </c>
      <c r="J1402" s="1">
        <v>200</v>
      </c>
      <c r="K1402" s="4" t="e">
        <f t="array" aca="1" ref="K1402">MAX(H1402:J1402*(1-strike(H1402:J1402)))</f>
        <v>#NAME?</v>
      </c>
      <c r="L1402" s="1">
        <v>132.5</v>
      </c>
      <c r="M1402" s="3">
        <v>132.5</v>
      </c>
      <c r="N1402" s="1">
        <v>137.5</v>
      </c>
      <c r="O1402" s="4" t="e">
        <f t="array" aca="1" ref="O1402">MAX(L1402:N1402*(1-strike(L1402:N1402)))</f>
        <v>#NAME?</v>
      </c>
      <c r="P1402" s="3">
        <v>202.5</v>
      </c>
      <c r="Q1402" s="3">
        <v>212.5</v>
      </c>
      <c r="R1402" s="1">
        <v>217.5</v>
      </c>
      <c r="S1402" s="4" t="e">
        <f t="array" aca="1" ref="S1402">MAX(P1402:R1402*(1-strike(P1402:R1402)))</f>
        <v>#NAME?</v>
      </c>
      <c r="T1402" s="4" t="e">
        <f t="shared" si="21"/>
        <v>#NAME?</v>
      </c>
      <c r="U1402" s="3">
        <v>540</v>
      </c>
      <c r="V1402" s="3">
        <v>528.21</v>
      </c>
      <c r="W1402" s="3">
        <v>1</v>
      </c>
      <c r="X1402" s="5">
        <v>2012</v>
      </c>
      <c r="Y1402" s="5" t="s">
        <v>852</v>
      </c>
      <c r="Z1402" s="5" t="s">
        <v>171</v>
      </c>
      <c r="AA1402" s="5">
        <v>1395</v>
      </c>
    </row>
    <row r="1403" spans="1:27">
      <c r="A1403" s="3">
        <v>6</v>
      </c>
      <c r="B1403" s="3" t="s">
        <v>329</v>
      </c>
      <c r="C1403" s="3">
        <v>1986</v>
      </c>
      <c r="D1403" s="3" t="s">
        <v>318</v>
      </c>
      <c r="E1403" s="3">
        <v>70.540000000000006</v>
      </c>
      <c r="F1403" s="3">
        <v>0.98960000000000004</v>
      </c>
      <c r="G1403" s="3">
        <v>1</v>
      </c>
      <c r="H1403" s="3">
        <v>190</v>
      </c>
      <c r="I1403" s="3">
        <v>197.5</v>
      </c>
      <c r="J1403" s="1">
        <v>202.5</v>
      </c>
      <c r="K1403" s="4" t="e">
        <f t="array" aca="1" ref="K1403">MAX(H1403:J1403*(1-strike(H1403:J1403)))</f>
        <v>#NAME?</v>
      </c>
      <c r="L1403" s="3">
        <v>132.5</v>
      </c>
      <c r="M1403" s="3">
        <v>137.5</v>
      </c>
      <c r="N1403" s="3">
        <v>142.5</v>
      </c>
      <c r="O1403" s="4" t="e">
        <f t="array" aca="1" ref="O1403">MAX(L1403:N1403*(1-strike(L1403:N1403)))</f>
        <v>#NAME?</v>
      </c>
      <c r="P1403" s="3">
        <v>195</v>
      </c>
      <c r="Q1403" s="3">
        <v>207.5</v>
      </c>
      <c r="R1403" s="1">
        <v>212.5</v>
      </c>
      <c r="S1403" s="4" t="e">
        <f t="array" aca="1" ref="S1403">MAX(P1403:R1403*(1-strike(P1403:R1403)))</f>
        <v>#NAME?</v>
      </c>
      <c r="T1403" s="4" t="e">
        <f t="shared" si="21"/>
        <v>#NAME?</v>
      </c>
      <c r="U1403" s="3">
        <v>547.5</v>
      </c>
      <c r="V1403" s="3">
        <v>541.80999999999995</v>
      </c>
      <c r="W1403" s="3">
        <v>5</v>
      </c>
      <c r="X1403" s="5">
        <v>2013</v>
      </c>
      <c r="Y1403" s="5" t="s">
        <v>852</v>
      </c>
      <c r="Z1403" s="5" t="s">
        <v>171</v>
      </c>
      <c r="AA1403" s="5">
        <v>987</v>
      </c>
    </row>
    <row r="1404" spans="1:27">
      <c r="A1404" s="3">
        <v>2</v>
      </c>
      <c r="B1404" s="3" t="s">
        <v>330</v>
      </c>
      <c r="C1404" s="3">
        <v>1988</v>
      </c>
      <c r="D1404" s="3" t="s">
        <v>28</v>
      </c>
      <c r="E1404" s="3">
        <v>79.849999999999994</v>
      </c>
      <c r="F1404" s="3">
        <v>0.91600000000000004</v>
      </c>
      <c r="G1404" s="3">
        <v>15</v>
      </c>
      <c r="H1404" s="3">
        <v>170</v>
      </c>
      <c r="I1404" s="3">
        <v>180</v>
      </c>
      <c r="J1404" s="1">
        <v>190</v>
      </c>
      <c r="K1404" s="4" t="e">
        <f t="array" aca="1" ref="K1404">MAX(H1404:J1404*(1-strike(H1404:J1404)))</f>
        <v>#NAME?</v>
      </c>
      <c r="L1404" s="3">
        <v>102.5</v>
      </c>
      <c r="M1404" s="3">
        <v>107.5</v>
      </c>
      <c r="N1404" s="3">
        <v>110</v>
      </c>
      <c r="O1404" s="4" t="e">
        <f t="array" aca="1" ref="O1404">MAX(L1404:N1404*(1-strike(L1404:N1404)))</f>
        <v>#NAME?</v>
      </c>
      <c r="P1404" s="3">
        <v>175</v>
      </c>
      <c r="Q1404" s="3">
        <v>185</v>
      </c>
      <c r="R1404" s="3">
        <v>190</v>
      </c>
      <c r="S1404" s="4" t="e">
        <f t="array" aca="1" ref="S1404">MAX(P1404:R1404*(1-strike(P1404:R1404)))</f>
        <v>#NAME?</v>
      </c>
      <c r="T1404" s="4" t="e">
        <f t="shared" si="21"/>
        <v>#NAME?</v>
      </c>
      <c r="U1404" s="3">
        <v>480</v>
      </c>
      <c r="V1404" s="3">
        <v>439.66</v>
      </c>
      <c r="W1404" s="3">
        <v>9</v>
      </c>
      <c r="X1404" s="5">
        <v>2014</v>
      </c>
      <c r="Y1404" s="5" t="s">
        <v>852</v>
      </c>
      <c r="Z1404" s="5" t="s">
        <v>30</v>
      </c>
      <c r="AA1404" s="5">
        <v>802</v>
      </c>
    </row>
    <row r="1405" spans="1:27">
      <c r="A1405" s="4">
        <v>4</v>
      </c>
      <c r="B1405" s="4" t="s">
        <v>330</v>
      </c>
      <c r="C1405" s="4">
        <v>1988</v>
      </c>
      <c r="D1405" s="4" t="s">
        <v>903</v>
      </c>
      <c r="E1405" s="4">
        <v>80.400000000000006</v>
      </c>
      <c r="F1405" s="4">
        <v>0.91249999999999998</v>
      </c>
      <c r="G1405" s="4">
        <v>6</v>
      </c>
      <c r="H1405" s="4">
        <v>252.5</v>
      </c>
      <c r="I1405" s="6">
        <v>262.5</v>
      </c>
      <c r="J1405" s="4">
        <v>262.5</v>
      </c>
      <c r="K1405" s="4" t="e">
        <f t="array" aca="1" ref="K1405">MAX(H1405:J1405*(1-strike(H1405:J1405)))</f>
        <v>#NAME?</v>
      </c>
      <c r="L1405" s="4">
        <v>145</v>
      </c>
      <c r="M1405" s="4">
        <v>152.5</v>
      </c>
      <c r="N1405" s="4">
        <v>157.5</v>
      </c>
      <c r="O1405" s="4" t="e">
        <f t="array" aca="1" ref="O1405">MAX(L1405:N1405*(1-strike(L1405:N1405)))</f>
        <v>#NAME?</v>
      </c>
      <c r="P1405" s="4">
        <v>190</v>
      </c>
      <c r="Q1405" s="4">
        <v>200</v>
      </c>
      <c r="R1405" s="4">
        <v>210</v>
      </c>
      <c r="S1405" s="4" t="e">
        <f t="array" aca="1" ref="S1405">MAX(P1405:R1405*(1-strike(P1405:R1405)))</f>
        <v>#NAME?</v>
      </c>
      <c r="T1405" s="4" t="e">
        <f t="shared" si="21"/>
        <v>#NAME?</v>
      </c>
      <c r="U1405" s="4">
        <v>630</v>
      </c>
      <c r="V1405" s="4">
        <v>574.87</v>
      </c>
      <c r="W1405" s="4">
        <v>7</v>
      </c>
      <c r="X1405" s="5">
        <v>2014</v>
      </c>
      <c r="Y1405" s="5" t="s">
        <v>852</v>
      </c>
      <c r="Z1405" s="5" t="s">
        <v>171</v>
      </c>
      <c r="AA1405" s="5">
        <v>629</v>
      </c>
    </row>
    <row r="1406" spans="1:27">
      <c r="A1406" s="3">
        <v>5</v>
      </c>
      <c r="B1406" s="3" t="s">
        <v>1036</v>
      </c>
      <c r="C1406" s="3">
        <v>1980</v>
      </c>
      <c r="D1406" s="3" t="s">
        <v>28</v>
      </c>
      <c r="E1406" s="3">
        <v>78.22</v>
      </c>
      <c r="F1406" s="3">
        <v>0.92679999999999996</v>
      </c>
      <c r="G1406" s="3">
        <v>1</v>
      </c>
      <c r="H1406" s="3">
        <v>225</v>
      </c>
      <c r="I1406" s="3">
        <v>232.5</v>
      </c>
      <c r="J1406" s="1">
        <v>237.5</v>
      </c>
      <c r="K1406" s="4" t="e">
        <f t="array" aca="1" ref="K1406">MAX(H1406:J1406*(1-strike(H1406:J1406)))</f>
        <v>#NAME?</v>
      </c>
      <c r="L1406" s="3">
        <v>135</v>
      </c>
      <c r="M1406" s="3">
        <v>140</v>
      </c>
      <c r="N1406" s="3">
        <v>145</v>
      </c>
      <c r="O1406" s="4" t="e">
        <f t="array" aca="1" ref="O1406">MAX(L1406:N1406*(1-strike(L1406:N1406)))</f>
        <v>#NAME?</v>
      </c>
      <c r="P1406" s="3">
        <v>205</v>
      </c>
      <c r="Q1406" s="3">
        <v>215</v>
      </c>
      <c r="R1406" s="1">
        <v>222.5</v>
      </c>
      <c r="S1406" s="4" t="e">
        <f t="array" aca="1" ref="S1406">MAX(P1406:R1406*(1-strike(P1406:R1406)))</f>
        <v>#NAME?</v>
      </c>
      <c r="T1406" s="4" t="e">
        <f t="shared" si="21"/>
        <v>#NAME?</v>
      </c>
      <c r="U1406" s="3">
        <v>592.5</v>
      </c>
      <c r="V1406" s="3">
        <v>549.11</v>
      </c>
      <c r="W1406" s="3">
        <v>6</v>
      </c>
      <c r="X1406" s="5">
        <v>2012</v>
      </c>
      <c r="Y1406" s="5" t="s">
        <v>852</v>
      </c>
      <c r="Z1406" s="5" t="s">
        <v>171</v>
      </c>
      <c r="AA1406" s="5">
        <v>1407</v>
      </c>
    </row>
    <row r="1407" spans="1:27">
      <c r="A1407" s="3">
        <v>5</v>
      </c>
      <c r="B1407" s="3" t="s">
        <v>1037</v>
      </c>
      <c r="C1407" s="3">
        <v>1981</v>
      </c>
      <c r="D1407" s="3" t="s">
        <v>56</v>
      </c>
      <c r="E1407" s="3">
        <v>101.35</v>
      </c>
      <c r="F1407" s="3">
        <v>0.82940000000000003</v>
      </c>
      <c r="G1407" s="3">
        <v>5</v>
      </c>
      <c r="H1407" s="3">
        <v>137.5</v>
      </c>
      <c r="I1407" s="3">
        <v>145</v>
      </c>
      <c r="J1407" s="1">
        <v>152.5</v>
      </c>
      <c r="K1407" s="4" t="e">
        <f t="array" aca="1" ref="K1407">MAX(H1407:J1407*(1-strike(H1407:J1407)))</f>
        <v>#NAME?</v>
      </c>
      <c r="L1407" s="3">
        <v>70</v>
      </c>
      <c r="M1407" s="3">
        <v>75</v>
      </c>
      <c r="N1407" s="3">
        <v>77.5</v>
      </c>
      <c r="O1407" s="4" t="e">
        <f t="array" aca="1" ref="O1407">MAX(L1407:N1407*(1-strike(L1407:N1407)))</f>
        <v>#NAME?</v>
      </c>
      <c r="P1407" s="3">
        <v>170</v>
      </c>
      <c r="Q1407" s="1">
        <v>180</v>
      </c>
      <c r="R1407" s="1">
        <v>180</v>
      </c>
      <c r="S1407" s="4" t="e">
        <f t="array" aca="1" ref="S1407">MAX(P1407:R1407*(1-strike(P1407:R1407)))</f>
        <v>#NAME?</v>
      </c>
      <c r="T1407" s="4" t="e">
        <f t="shared" si="21"/>
        <v>#NAME?</v>
      </c>
      <c r="U1407" s="3">
        <v>392.5</v>
      </c>
      <c r="V1407" s="3">
        <v>325.52999999999997</v>
      </c>
      <c r="W1407" s="3">
        <v>6</v>
      </c>
      <c r="X1407" s="5">
        <v>2012</v>
      </c>
      <c r="Y1407" s="5" t="s">
        <v>852</v>
      </c>
      <c r="Z1407" s="5" t="s">
        <v>30</v>
      </c>
      <c r="AA1407" s="5">
        <v>1606</v>
      </c>
    </row>
    <row r="1408" spans="1:27">
      <c r="A1408" s="3">
        <v>7</v>
      </c>
      <c r="B1408" s="3" t="s">
        <v>1037</v>
      </c>
      <c r="C1408" s="3">
        <v>1981</v>
      </c>
      <c r="D1408" s="3" t="s">
        <v>56</v>
      </c>
      <c r="E1408" s="3">
        <v>83.5</v>
      </c>
      <c r="F1408" s="3">
        <v>0.89439999999999997</v>
      </c>
      <c r="G1408" s="3">
        <v>19</v>
      </c>
      <c r="H1408" s="3">
        <v>105</v>
      </c>
      <c r="I1408" s="3">
        <v>115</v>
      </c>
      <c r="J1408" s="1">
        <v>122.5</v>
      </c>
      <c r="K1408" s="4" t="e">
        <f t="array" aca="1" ref="K1408">MAX(H1408:J1408*(1-strike(H1408:J1408)))</f>
        <v>#NAME?</v>
      </c>
      <c r="L1408" s="3">
        <v>67.5</v>
      </c>
      <c r="M1408" s="3">
        <v>72.5</v>
      </c>
      <c r="N1408" s="1">
        <v>77.5</v>
      </c>
      <c r="O1408" s="4" t="e">
        <f t="array" aca="1" ref="O1408">MAX(L1408:N1408*(1-strike(L1408:N1408)))</f>
        <v>#NAME?</v>
      </c>
      <c r="P1408" s="3">
        <v>155</v>
      </c>
      <c r="Q1408" s="3">
        <v>162.5</v>
      </c>
      <c r="R1408" s="1">
        <v>172.5</v>
      </c>
      <c r="S1408" s="4" t="e">
        <f t="array" aca="1" ref="S1408">MAX(P1408:R1408*(1-strike(P1408:R1408)))</f>
        <v>#NAME?</v>
      </c>
      <c r="T1408" s="4" t="e">
        <f t="shared" si="21"/>
        <v>#NAME?</v>
      </c>
      <c r="U1408" s="3">
        <v>350</v>
      </c>
      <c r="V1408" s="3">
        <v>313.04000000000002</v>
      </c>
      <c r="W1408" s="3">
        <v>4</v>
      </c>
      <c r="X1408" s="5">
        <v>2013</v>
      </c>
      <c r="Y1408" s="5" t="s">
        <v>852</v>
      </c>
      <c r="Z1408" s="5" t="s">
        <v>30</v>
      </c>
      <c r="AA1408" s="5">
        <v>1178</v>
      </c>
    </row>
    <row r="1409" spans="1:27" ht="15" customHeight="1">
      <c r="A1409" s="3">
        <v>13</v>
      </c>
      <c r="B1409" s="3" t="s">
        <v>1038</v>
      </c>
      <c r="C1409" s="3">
        <v>1991</v>
      </c>
      <c r="D1409" s="3" t="s">
        <v>480</v>
      </c>
      <c r="E1409" s="3">
        <v>62.01</v>
      </c>
      <c r="F1409" s="2">
        <v>10870</v>
      </c>
      <c r="G1409" s="3">
        <v>4</v>
      </c>
      <c r="H1409" s="3">
        <v>150</v>
      </c>
      <c r="I1409" s="1">
        <v>162.5</v>
      </c>
      <c r="J1409" s="3">
        <v>162.5</v>
      </c>
      <c r="K1409" s="4" t="e">
        <f t="array" aca="1" ref="K1409">MAX(H1409:J1409*(1-strike(H1409:J1409)))</f>
        <v>#NAME?</v>
      </c>
      <c r="L1409" s="3">
        <v>75</v>
      </c>
      <c r="M1409" s="3">
        <v>80</v>
      </c>
      <c r="N1409" s="3"/>
      <c r="O1409" s="4" t="e">
        <f t="array" aca="1" ref="O1409">MAX(L1409:N1409*(1-strike(L1409:N1409)))</f>
        <v>#NAME?</v>
      </c>
      <c r="P1409" s="3">
        <v>130</v>
      </c>
      <c r="Q1409" s="3">
        <v>140</v>
      </c>
      <c r="R1409" s="1">
        <v>145</v>
      </c>
      <c r="S1409" s="4" t="e">
        <f t="array" aca="1" ref="S1409">MAX(P1409:R1409*(1-strike(P1409:R1409)))</f>
        <v>#NAME?</v>
      </c>
      <c r="T1409" s="4" t="e">
        <f t="shared" si="21"/>
        <v>#NAME?</v>
      </c>
      <c r="U1409" s="3">
        <v>382.5</v>
      </c>
      <c r="V1409" s="3">
        <v>415.76</v>
      </c>
      <c r="W1409" s="3">
        <v>1</v>
      </c>
      <c r="X1409" s="5">
        <v>2012</v>
      </c>
      <c r="Y1409" s="5" t="s">
        <v>852</v>
      </c>
      <c r="Z1409" s="5" t="s">
        <v>171</v>
      </c>
      <c r="AA1409" s="5">
        <v>1383</v>
      </c>
    </row>
    <row r="1410" spans="1:27">
      <c r="A1410" s="4">
        <v>10</v>
      </c>
      <c r="B1410" s="4" t="s">
        <v>1039</v>
      </c>
      <c r="C1410" s="4">
        <v>1980</v>
      </c>
      <c r="D1410" s="4" t="s">
        <v>911</v>
      </c>
      <c r="E1410" s="4">
        <v>56.04</v>
      </c>
      <c r="F1410" s="7">
        <v>11766</v>
      </c>
      <c r="G1410" s="4">
        <v>6</v>
      </c>
      <c r="H1410" s="4">
        <v>135</v>
      </c>
      <c r="I1410" s="4">
        <v>140</v>
      </c>
      <c r="J1410" s="4">
        <v>142.5</v>
      </c>
      <c r="K1410" s="4" t="e">
        <f t="array" aca="1" ref="K1410">MAX(H1410:J1410*(1-strike(H1410:J1410)))</f>
        <v>#NAME?</v>
      </c>
      <c r="L1410" s="6">
        <v>70</v>
      </c>
      <c r="M1410" s="6">
        <v>70</v>
      </c>
      <c r="N1410" s="4">
        <v>70</v>
      </c>
      <c r="O1410" s="4" t="e">
        <f t="array" aca="1" ref="O1410">MAX(L1410:N1410*(1-strike(L1410:N1410)))</f>
        <v>#NAME?</v>
      </c>
      <c r="P1410" s="6">
        <v>120</v>
      </c>
      <c r="Q1410" s="4">
        <v>120</v>
      </c>
      <c r="R1410" s="6">
        <v>125</v>
      </c>
      <c r="S1410" s="4" t="e">
        <f t="array" aca="1" ref="S1410">MAX(P1410:R1410*(1-strike(P1410:R1410)))</f>
        <v>#NAME?</v>
      </c>
      <c r="T1410" s="4" t="e">
        <f t="shared" ref="T1410:T1453" si="22">IF(AND(K1410&lt;&gt;0,O1410&lt;&gt;0,S1410&lt;&gt;0),K1410+O1410+S1410,0)</f>
        <v>#NAME?</v>
      </c>
      <c r="U1410" s="4">
        <v>332.5</v>
      </c>
      <c r="V1410" s="4">
        <v>391.21</v>
      </c>
      <c r="W1410" s="4">
        <v>1</v>
      </c>
      <c r="X1410" s="5">
        <v>2014</v>
      </c>
      <c r="Y1410" s="5" t="s">
        <v>852</v>
      </c>
      <c r="Z1410" s="5" t="s">
        <v>171</v>
      </c>
      <c r="AA1410" s="5">
        <v>599</v>
      </c>
    </row>
    <row r="1411" spans="1:27">
      <c r="A1411" s="3">
        <v>3</v>
      </c>
      <c r="B1411" s="3" t="s">
        <v>333</v>
      </c>
      <c r="C1411" s="3">
        <v>1978</v>
      </c>
      <c r="D1411" s="3" t="s">
        <v>318</v>
      </c>
      <c r="E1411" s="3">
        <v>112.31</v>
      </c>
      <c r="F1411" s="3">
        <v>0.80959999999999999</v>
      </c>
      <c r="G1411" s="3">
        <v>19</v>
      </c>
      <c r="H1411" s="3">
        <v>205</v>
      </c>
      <c r="I1411" s="3">
        <v>220</v>
      </c>
      <c r="J1411" s="3">
        <v>227.5</v>
      </c>
      <c r="K1411" s="4" t="e">
        <f t="array" aca="1" ref="K1411">MAX(H1411:J1411*(1-strike(H1411:J1411)))</f>
        <v>#NAME?</v>
      </c>
      <c r="L1411" s="3">
        <v>165</v>
      </c>
      <c r="M1411" s="3">
        <v>175</v>
      </c>
      <c r="N1411" s="3">
        <v>180</v>
      </c>
      <c r="O1411" s="4" t="e">
        <f t="array" aca="1" ref="O1411">MAX(L1411:N1411*(1-strike(L1411:N1411)))</f>
        <v>#NAME?</v>
      </c>
      <c r="P1411" s="3">
        <v>180</v>
      </c>
      <c r="Q1411" s="3">
        <v>190</v>
      </c>
      <c r="R1411" s="1">
        <v>195</v>
      </c>
      <c r="S1411" s="4" t="e">
        <f t="array" aca="1" ref="S1411">MAX(P1411:R1411*(1-strike(P1411:R1411)))</f>
        <v>#NAME?</v>
      </c>
      <c r="T1411" s="4" t="e">
        <f t="shared" si="22"/>
        <v>#NAME?</v>
      </c>
      <c r="U1411" s="3">
        <v>597.5</v>
      </c>
      <c r="V1411" s="3">
        <v>483.73</v>
      </c>
      <c r="W1411" s="3">
        <v>8</v>
      </c>
      <c r="X1411" s="5">
        <v>2012</v>
      </c>
      <c r="Y1411" s="5" t="s">
        <v>852</v>
      </c>
      <c r="Z1411" s="5" t="s">
        <v>171</v>
      </c>
      <c r="AA1411" s="5">
        <v>1416</v>
      </c>
    </row>
    <row r="1412" spans="1:27">
      <c r="A1412" s="3">
        <v>7</v>
      </c>
      <c r="B1412" s="3" t="s">
        <v>1040</v>
      </c>
      <c r="C1412" s="3">
        <v>1988</v>
      </c>
      <c r="D1412" s="3" t="s">
        <v>62</v>
      </c>
      <c r="E1412" s="3">
        <v>70.209999999999994</v>
      </c>
      <c r="F1412" s="3">
        <v>0.99280000000000002</v>
      </c>
      <c r="G1412" s="3">
        <v>3</v>
      </c>
      <c r="H1412" s="3">
        <v>192.5</v>
      </c>
      <c r="I1412" s="3">
        <v>205</v>
      </c>
      <c r="J1412" s="3">
        <v>210</v>
      </c>
      <c r="K1412" s="4" t="e">
        <f t="array" aca="1" ref="K1412">MAX(H1412:J1412*(1-strike(H1412:J1412)))</f>
        <v>#NAME?</v>
      </c>
      <c r="L1412" s="3">
        <v>130</v>
      </c>
      <c r="M1412" s="3">
        <v>135</v>
      </c>
      <c r="N1412" s="3">
        <v>140</v>
      </c>
      <c r="O1412" s="4" t="e">
        <f t="array" aca="1" ref="O1412">MAX(L1412:N1412*(1-strike(L1412:N1412)))</f>
        <v>#NAME?</v>
      </c>
      <c r="P1412" s="3">
        <v>175</v>
      </c>
      <c r="Q1412" s="3">
        <v>185</v>
      </c>
      <c r="R1412" s="1">
        <v>187.5</v>
      </c>
      <c r="S1412" s="4" t="e">
        <f t="array" aca="1" ref="S1412">MAX(P1412:R1412*(1-strike(P1412:R1412)))</f>
        <v>#NAME?</v>
      </c>
      <c r="T1412" s="4" t="e">
        <f t="shared" si="22"/>
        <v>#NAME?</v>
      </c>
      <c r="U1412" s="3">
        <v>535</v>
      </c>
      <c r="V1412" s="3">
        <v>531.15</v>
      </c>
      <c r="W1412" s="3">
        <v>4</v>
      </c>
      <c r="X1412" s="5">
        <v>2013</v>
      </c>
      <c r="Y1412" s="5" t="s">
        <v>852</v>
      </c>
      <c r="Z1412" s="5" t="s">
        <v>171</v>
      </c>
      <c r="AA1412" s="5">
        <v>988</v>
      </c>
    </row>
    <row r="1413" spans="1:27">
      <c r="A1413" s="3">
        <v>7</v>
      </c>
      <c r="B1413" s="3" t="s">
        <v>1041</v>
      </c>
      <c r="C1413" s="3">
        <v>1988</v>
      </c>
      <c r="D1413" s="3" t="s">
        <v>194</v>
      </c>
      <c r="E1413" s="3">
        <v>47.7</v>
      </c>
      <c r="F1413" s="2">
        <v>13305</v>
      </c>
      <c r="G1413" s="3">
        <v>10</v>
      </c>
      <c r="H1413" s="3">
        <v>80</v>
      </c>
      <c r="I1413" s="3">
        <v>90</v>
      </c>
      <c r="J1413" s="3">
        <v>105</v>
      </c>
      <c r="K1413" s="4" t="e">
        <f t="array" aca="1" ref="K1413">MAX(H1413:J1413*(1-strike(H1413:J1413)))</f>
        <v>#NAME?</v>
      </c>
      <c r="L1413" s="3">
        <v>35</v>
      </c>
      <c r="M1413" s="3">
        <v>40</v>
      </c>
      <c r="N1413" s="1">
        <v>42.5</v>
      </c>
      <c r="O1413" s="4" t="e">
        <f t="array" aca="1" ref="O1413">MAX(L1413:N1413*(1-strike(L1413:N1413)))</f>
        <v>#NAME?</v>
      </c>
      <c r="P1413" s="3">
        <v>110</v>
      </c>
      <c r="Q1413" s="3">
        <v>120</v>
      </c>
      <c r="R1413" s="3">
        <v>125</v>
      </c>
      <c r="S1413" s="4" t="e">
        <f t="array" aca="1" ref="S1413">MAX(P1413:R1413*(1-strike(P1413:R1413)))</f>
        <v>#NAME?</v>
      </c>
      <c r="T1413" s="4" t="e">
        <f t="shared" si="22"/>
        <v>#NAME?</v>
      </c>
      <c r="U1413" s="3">
        <v>270</v>
      </c>
      <c r="V1413" s="3">
        <v>359.24</v>
      </c>
      <c r="W1413" s="3">
        <v>4</v>
      </c>
      <c r="X1413" s="5">
        <v>2014</v>
      </c>
      <c r="Y1413" s="5" t="s">
        <v>852</v>
      </c>
      <c r="Z1413" s="5" t="s">
        <v>30</v>
      </c>
      <c r="AA1413" s="5">
        <v>761</v>
      </c>
    </row>
    <row r="1414" spans="1:27">
      <c r="A1414" s="3" t="s">
        <v>37</v>
      </c>
      <c r="B1414" s="3" t="s">
        <v>1042</v>
      </c>
      <c r="C1414" s="3">
        <v>1977</v>
      </c>
      <c r="D1414" s="3" t="s">
        <v>194</v>
      </c>
      <c r="E1414" s="3">
        <v>61.35</v>
      </c>
      <c r="F1414" s="2">
        <v>10959</v>
      </c>
      <c r="G1414" s="3">
        <v>20</v>
      </c>
      <c r="H1414" s="1">
        <v>110</v>
      </c>
      <c r="I1414" s="1">
        <v>110</v>
      </c>
      <c r="J1414" s="1">
        <v>110</v>
      </c>
      <c r="K1414" s="4" t="e">
        <f t="array" aca="1" ref="K1414">MAX(H1414:J1414*(1-strike(H1414:J1414)))</f>
        <v>#NAME?</v>
      </c>
      <c r="L1414" s="3">
        <v>60</v>
      </c>
      <c r="M1414" s="3">
        <v>62.5</v>
      </c>
      <c r="N1414" s="1">
        <v>65</v>
      </c>
      <c r="O1414" s="4" t="e">
        <f t="array" aca="1" ref="O1414">MAX(L1414:N1414*(1-strike(L1414:N1414)))</f>
        <v>#NAME?</v>
      </c>
      <c r="P1414" s="3">
        <v>125</v>
      </c>
      <c r="Q1414" s="3">
        <v>130</v>
      </c>
      <c r="R1414" s="3">
        <v>135</v>
      </c>
      <c r="S1414" s="4" t="e">
        <f t="array" aca="1" ref="S1414">MAX(P1414:R1414*(1-strike(P1414:R1414)))</f>
        <v>#NAME?</v>
      </c>
      <c r="T1414" s="4" t="e">
        <f t="shared" si="22"/>
        <v>#NAME?</v>
      </c>
      <c r="U1414" s="3" t="s">
        <v>40</v>
      </c>
      <c r="V1414" s="3" t="s">
        <v>37</v>
      </c>
      <c r="W1414" s="3" t="s">
        <v>37</v>
      </c>
      <c r="X1414" s="5">
        <v>2014</v>
      </c>
      <c r="Y1414" s="5" t="s">
        <v>852</v>
      </c>
      <c r="Z1414" s="5" t="s">
        <v>30</v>
      </c>
      <c r="AA1414" s="5">
        <v>789</v>
      </c>
    </row>
    <row r="1415" spans="1:27">
      <c r="A1415" s="3">
        <v>8</v>
      </c>
      <c r="B1415" s="3" t="s">
        <v>1043</v>
      </c>
      <c r="C1415" s="3">
        <v>1984</v>
      </c>
      <c r="D1415" s="3" t="s">
        <v>77</v>
      </c>
      <c r="E1415" s="3">
        <v>50.9</v>
      </c>
      <c r="F1415" s="2">
        <v>12673</v>
      </c>
      <c r="G1415" s="3">
        <v>16</v>
      </c>
      <c r="H1415" s="3">
        <v>90</v>
      </c>
      <c r="I1415" s="1">
        <v>100</v>
      </c>
      <c r="J1415" s="1">
        <v>100</v>
      </c>
      <c r="K1415" s="4" t="e">
        <f t="array" aca="1" ref="K1415">MAX(H1415:J1415*(1-strike(H1415:J1415)))</f>
        <v>#NAME?</v>
      </c>
      <c r="L1415" s="3">
        <v>67.5</v>
      </c>
      <c r="M1415" s="3">
        <v>70</v>
      </c>
      <c r="N1415" s="1">
        <v>72.5</v>
      </c>
      <c r="O1415" s="4" t="e">
        <f t="array" aca="1" ref="O1415">MAX(L1415:N1415*(1-strike(L1415:N1415)))</f>
        <v>#NAME?</v>
      </c>
      <c r="P1415" s="3">
        <v>140</v>
      </c>
      <c r="Q1415" s="3">
        <v>145</v>
      </c>
      <c r="R1415" s="3">
        <v>155</v>
      </c>
      <c r="S1415" s="4" t="e">
        <f t="array" aca="1" ref="S1415">MAX(P1415:R1415*(1-strike(P1415:R1415)))</f>
        <v>#NAME?</v>
      </c>
      <c r="T1415" s="4" t="e">
        <f t="shared" si="22"/>
        <v>#NAME?</v>
      </c>
      <c r="U1415" s="3">
        <v>315</v>
      </c>
      <c r="V1415" s="3">
        <v>399.19</v>
      </c>
      <c r="W1415" s="3">
        <v>3</v>
      </c>
      <c r="X1415" s="5">
        <v>2012</v>
      </c>
      <c r="Y1415" s="5" t="s">
        <v>852</v>
      </c>
      <c r="Z1415" s="5" t="s">
        <v>30</v>
      </c>
      <c r="AA1415" s="5">
        <v>1557</v>
      </c>
    </row>
    <row r="1416" spans="1:27">
      <c r="A1416" s="3">
        <v>4</v>
      </c>
      <c r="B1416" s="3" t="s">
        <v>1044</v>
      </c>
      <c r="C1416" s="3">
        <v>1990</v>
      </c>
      <c r="D1416" s="3" t="s">
        <v>56</v>
      </c>
      <c r="E1416" s="3">
        <v>80.099999999999994</v>
      </c>
      <c r="F1416" s="3">
        <v>0.91439999999999999</v>
      </c>
      <c r="G1416" s="3">
        <v>13</v>
      </c>
      <c r="H1416" s="3">
        <v>160</v>
      </c>
      <c r="I1416" s="1">
        <v>167.5</v>
      </c>
      <c r="J1416" s="1">
        <v>167.5</v>
      </c>
      <c r="K1416" s="4" t="e">
        <f t="array" aca="1" ref="K1416">MAX(H1416:J1416*(1-strike(H1416:J1416)))</f>
        <v>#NAME?</v>
      </c>
      <c r="L1416" s="3">
        <v>97.5</v>
      </c>
      <c r="M1416" s="3">
        <v>105</v>
      </c>
      <c r="N1416" s="1">
        <v>107.5</v>
      </c>
      <c r="O1416" s="4" t="e">
        <f t="array" aca="1" ref="O1416">MAX(L1416:N1416*(1-strike(L1416:N1416)))</f>
        <v>#NAME?</v>
      </c>
      <c r="P1416" s="3">
        <v>185</v>
      </c>
      <c r="Q1416" s="3">
        <v>192.5</v>
      </c>
      <c r="R1416" s="1">
        <v>200</v>
      </c>
      <c r="S1416" s="4" t="e">
        <f t="array" aca="1" ref="S1416">MAX(P1416:R1416*(1-strike(P1416:R1416)))</f>
        <v>#NAME?</v>
      </c>
      <c r="T1416" s="4" t="e">
        <f t="shared" si="22"/>
        <v>#NAME?</v>
      </c>
      <c r="U1416" s="3">
        <v>457.5</v>
      </c>
      <c r="V1416" s="3">
        <v>418.34</v>
      </c>
      <c r="W1416" s="3">
        <v>7</v>
      </c>
      <c r="X1416" s="5">
        <v>2014</v>
      </c>
      <c r="Y1416" s="5" t="s">
        <v>852</v>
      </c>
      <c r="Z1416" s="5" t="s">
        <v>30</v>
      </c>
      <c r="AA1416" s="5">
        <v>804</v>
      </c>
    </row>
    <row r="1417" spans="1:27">
      <c r="A1417" s="3">
        <v>4</v>
      </c>
      <c r="B1417" s="3" t="s">
        <v>335</v>
      </c>
      <c r="C1417" s="3">
        <v>1985</v>
      </c>
      <c r="D1417" s="3" t="s">
        <v>336</v>
      </c>
      <c r="E1417" s="3">
        <v>46.14</v>
      </c>
      <c r="F1417" s="2">
        <v>13628</v>
      </c>
      <c r="G1417" s="3">
        <v>17</v>
      </c>
      <c r="H1417" s="3">
        <v>162.5</v>
      </c>
      <c r="I1417" s="3">
        <v>167.5</v>
      </c>
      <c r="J1417" s="1">
        <v>170</v>
      </c>
      <c r="K1417" s="4" t="e">
        <f t="array" aca="1" ref="K1417">MAX(H1417:J1417*(1-strike(H1417:J1417)))</f>
        <v>#NAME?</v>
      </c>
      <c r="L1417" s="3">
        <v>85</v>
      </c>
      <c r="M1417" s="3">
        <v>90</v>
      </c>
      <c r="N1417" s="1">
        <v>92.5</v>
      </c>
      <c r="O1417" s="4" t="e">
        <f t="array" aca="1" ref="O1417">MAX(L1417:N1417*(1-strike(L1417:N1417)))</f>
        <v>#NAME?</v>
      </c>
      <c r="P1417" s="3">
        <v>145</v>
      </c>
      <c r="Q1417" s="3">
        <v>152.5</v>
      </c>
      <c r="R1417" s="1">
        <v>157.5</v>
      </c>
      <c r="S1417" s="4" t="e">
        <f t="array" aca="1" ref="S1417">MAX(P1417:R1417*(1-strike(P1417:R1417)))</f>
        <v>#NAME?</v>
      </c>
      <c r="T1417" s="4" t="e">
        <f t="shared" si="22"/>
        <v>#NAME?</v>
      </c>
      <c r="U1417" s="3">
        <v>410</v>
      </c>
      <c r="V1417" s="3">
        <v>558.73</v>
      </c>
      <c r="W1417" s="3">
        <v>7</v>
      </c>
      <c r="X1417" s="5">
        <v>2012</v>
      </c>
      <c r="Y1417" s="5" t="s">
        <v>852</v>
      </c>
      <c r="Z1417" s="5" t="s">
        <v>171</v>
      </c>
      <c r="AA1417" s="5">
        <v>1338</v>
      </c>
    </row>
    <row r="1418" spans="1:27">
      <c r="A1418" s="3">
        <v>3</v>
      </c>
      <c r="B1418" s="3" t="s">
        <v>335</v>
      </c>
      <c r="C1418" s="3">
        <v>1983</v>
      </c>
      <c r="D1418" s="3" t="s">
        <v>336</v>
      </c>
      <c r="E1418" s="3">
        <v>46.44</v>
      </c>
      <c r="F1418" s="2">
        <v>13565</v>
      </c>
      <c r="G1418" s="3">
        <v>3</v>
      </c>
      <c r="H1418" s="1">
        <v>170</v>
      </c>
      <c r="I1418" s="3">
        <v>170</v>
      </c>
      <c r="J1418" s="1">
        <v>177.5</v>
      </c>
      <c r="K1418" s="4" t="e">
        <f t="array" aca="1" ref="K1418">MAX(H1418:J1418*(1-strike(H1418:J1418)))</f>
        <v>#NAME?</v>
      </c>
      <c r="L1418" s="3">
        <v>92.5</v>
      </c>
      <c r="M1418" s="3">
        <v>97.5</v>
      </c>
      <c r="N1418" s="1">
        <v>100</v>
      </c>
      <c r="O1418" s="4" t="e">
        <f t="array" aca="1" ref="O1418">MAX(L1418:N1418*(1-strike(L1418:N1418)))</f>
        <v>#NAME?</v>
      </c>
      <c r="P1418" s="1">
        <v>147.5</v>
      </c>
      <c r="Q1418" s="3">
        <v>147.5</v>
      </c>
      <c r="R1418" s="1">
        <v>160</v>
      </c>
      <c r="S1418" s="4" t="e">
        <f t="array" aca="1" ref="S1418">MAX(P1418:R1418*(1-strike(P1418:R1418)))</f>
        <v>#NAME?</v>
      </c>
      <c r="T1418" s="4" t="e">
        <f t="shared" si="22"/>
        <v>#NAME?</v>
      </c>
      <c r="U1418" s="3">
        <v>415</v>
      </c>
      <c r="V1418" s="3">
        <v>562.95000000000005</v>
      </c>
      <c r="W1418" s="3">
        <v>8</v>
      </c>
      <c r="X1418" s="5">
        <v>2013</v>
      </c>
      <c r="Y1418" s="5" t="s">
        <v>852</v>
      </c>
      <c r="Z1418" s="5" t="s">
        <v>171</v>
      </c>
      <c r="AA1418" s="5">
        <v>935</v>
      </c>
    </row>
    <row r="1419" spans="1:27">
      <c r="A1419" s="4">
        <v>4</v>
      </c>
      <c r="B1419" s="4" t="s">
        <v>335</v>
      </c>
      <c r="C1419" s="4">
        <v>1983</v>
      </c>
      <c r="D1419" s="4" t="s">
        <v>977</v>
      </c>
      <c r="E1419" s="4">
        <v>46.42</v>
      </c>
      <c r="F1419" s="7">
        <v>13573</v>
      </c>
      <c r="G1419" s="4">
        <v>2</v>
      </c>
      <c r="H1419" s="4">
        <v>175</v>
      </c>
      <c r="I1419" s="4">
        <v>180</v>
      </c>
      <c r="J1419" s="4">
        <v>185</v>
      </c>
      <c r="K1419" s="4" t="e">
        <f t="array" aca="1" ref="K1419">MAX(H1419:J1419*(1-strike(H1419:J1419)))</f>
        <v>#NAME?</v>
      </c>
      <c r="L1419" s="4">
        <v>95</v>
      </c>
      <c r="M1419" s="4">
        <v>97.5</v>
      </c>
      <c r="N1419" s="4">
        <v>100</v>
      </c>
      <c r="O1419" s="4" t="e">
        <f t="array" aca="1" ref="O1419">MAX(L1419:N1419*(1-strike(L1419:N1419)))</f>
        <v>#NAME?</v>
      </c>
      <c r="P1419" s="4">
        <v>150</v>
      </c>
      <c r="Q1419" s="4">
        <v>155</v>
      </c>
      <c r="R1419" s="6">
        <v>165</v>
      </c>
      <c r="S1419" s="4" t="e">
        <f t="array" aca="1" ref="S1419">MAX(P1419:R1419*(1-strike(P1419:R1419)))</f>
        <v>#NAME?</v>
      </c>
      <c r="T1419" s="4" t="e">
        <f t="shared" si="22"/>
        <v>#NAME?</v>
      </c>
      <c r="U1419" s="4">
        <v>440</v>
      </c>
      <c r="V1419" s="4">
        <v>597.21</v>
      </c>
      <c r="W1419" s="4">
        <v>7</v>
      </c>
      <c r="X1419" s="5">
        <v>2014</v>
      </c>
      <c r="Y1419" s="5" t="s">
        <v>852</v>
      </c>
      <c r="Z1419" s="5" t="s">
        <v>171</v>
      </c>
      <c r="AA1419" s="5">
        <v>572</v>
      </c>
    </row>
    <row r="1420" spans="1:27">
      <c r="A1420" s="3">
        <v>2</v>
      </c>
      <c r="B1420" s="3" t="s">
        <v>337</v>
      </c>
      <c r="C1420" s="3">
        <v>1979</v>
      </c>
      <c r="D1420" s="3" t="s">
        <v>28</v>
      </c>
      <c r="E1420" s="3">
        <v>56.7</v>
      </c>
      <c r="F1420" s="2">
        <v>11652</v>
      </c>
      <c r="G1420" s="3">
        <v>7</v>
      </c>
      <c r="H1420" s="3">
        <v>135</v>
      </c>
      <c r="I1420" s="3">
        <v>140</v>
      </c>
      <c r="J1420" s="1">
        <v>142.5</v>
      </c>
      <c r="K1420" s="4" t="e">
        <f t="array" aca="1" ref="K1420">MAX(H1420:J1420*(1-strike(H1420:J1420)))</f>
        <v>#NAME?</v>
      </c>
      <c r="L1420" s="3">
        <v>85</v>
      </c>
      <c r="M1420" s="3">
        <v>90</v>
      </c>
      <c r="N1420" s="3">
        <v>92.5</v>
      </c>
      <c r="O1420" s="4" t="e">
        <f t="array" aca="1" ref="O1420">MAX(L1420:N1420*(1-strike(L1420:N1420)))</f>
        <v>#NAME?</v>
      </c>
      <c r="P1420" s="3">
        <v>152.5</v>
      </c>
      <c r="Q1420" s="3">
        <v>162.5</v>
      </c>
      <c r="R1420" s="1">
        <v>170</v>
      </c>
      <c r="S1420" s="4" t="e">
        <f t="array" aca="1" ref="S1420">MAX(P1420:R1420*(1-strike(P1420:R1420)))</f>
        <v>#NAME?</v>
      </c>
      <c r="T1420" s="4" t="e">
        <f t="shared" si="22"/>
        <v>#NAME?</v>
      </c>
      <c r="U1420" s="3">
        <v>395</v>
      </c>
      <c r="V1420" s="3">
        <v>460.25</v>
      </c>
      <c r="W1420" s="3">
        <v>9</v>
      </c>
      <c r="X1420" s="5">
        <v>2012</v>
      </c>
      <c r="Y1420" s="5" t="s">
        <v>852</v>
      </c>
      <c r="Z1420" s="5" t="s">
        <v>30</v>
      </c>
      <c r="AA1420" s="5">
        <v>1564</v>
      </c>
    </row>
    <row r="1421" spans="1:27">
      <c r="A1421" s="3">
        <v>6</v>
      </c>
      <c r="B1421" s="3" t="s">
        <v>337</v>
      </c>
      <c r="C1421" s="3">
        <v>1979</v>
      </c>
      <c r="D1421" s="3" t="s">
        <v>28</v>
      </c>
      <c r="E1421" s="3">
        <v>56.8</v>
      </c>
      <c r="F1421" s="2">
        <v>11636</v>
      </c>
      <c r="G1421" s="3">
        <v>8</v>
      </c>
      <c r="H1421" s="3">
        <v>130</v>
      </c>
      <c r="I1421" s="3">
        <v>137.5</v>
      </c>
      <c r="J1421" s="3">
        <v>142.5</v>
      </c>
      <c r="K1421" s="4" t="e">
        <f t="array" aca="1" ref="K1421">MAX(H1421:J1421*(1-strike(H1421:J1421)))</f>
        <v>#NAME?</v>
      </c>
      <c r="L1421" s="3">
        <v>82.5</v>
      </c>
      <c r="M1421" s="3">
        <v>87.5</v>
      </c>
      <c r="N1421" s="1">
        <v>90</v>
      </c>
      <c r="O1421" s="4" t="e">
        <f t="array" aca="1" ref="O1421">MAX(L1421:N1421*(1-strike(L1421:N1421)))</f>
        <v>#NAME?</v>
      </c>
      <c r="P1421" s="3">
        <v>145</v>
      </c>
      <c r="Q1421" s="1">
        <v>150</v>
      </c>
      <c r="R1421" s="1">
        <v>150</v>
      </c>
      <c r="S1421" s="4" t="e">
        <f t="array" aca="1" ref="S1421">MAX(P1421:R1421*(1-strike(P1421:R1421)))</f>
        <v>#NAME?</v>
      </c>
      <c r="T1421" s="4" t="e">
        <f t="shared" si="22"/>
        <v>#NAME?</v>
      </c>
      <c r="U1421" s="3">
        <v>375</v>
      </c>
      <c r="V1421" s="3">
        <v>436.35</v>
      </c>
      <c r="W1421" s="3">
        <v>5</v>
      </c>
      <c r="X1421" s="5">
        <v>2014</v>
      </c>
      <c r="Y1421" s="5" t="s">
        <v>852</v>
      </c>
      <c r="Z1421" s="5" t="s">
        <v>30</v>
      </c>
      <c r="AA1421" s="5">
        <v>768</v>
      </c>
    </row>
    <row r="1422" spans="1:27" ht="15" customHeight="1">
      <c r="A1422" s="3">
        <v>2</v>
      </c>
      <c r="B1422" s="3" t="s">
        <v>1045</v>
      </c>
      <c r="C1422" s="3">
        <v>1986</v>
      </c>
      <c r="D1422" s="3" t="s">
        <v>28</v>
      </c>
      <c r="E1422" s="3">
        <v>46.83</v>
      </c>
      <c r="F1422" s="2">
        <v>13484</v>
      </c>
      <c r="G1422" s="3">
        <v>2</v>
      </c>
      <c r="H1422" s="3">
        <v>167.5</v>
      </c>
      <c r="I1422" s="3">
        <v>177.5</v>
      </c>
      <c r="J1422" s="1">
        <v>182.5</v>
      </c>
      <c r="K1422" s="4" t="e">
        <f t="array" aca="1" ref="K1422">MAX(H1422:J1422*(1-strike(H1422:J1422)))</f>
        <v>#NAME?</v>
      </c>
      <c r="L1422" s="3">
        <v>90</v>
      </c>
      <c r="M1422" s="3">
        <v>95</v>
      </c>
      <c r="N1422" s="1">
        <v>100</v>
      </c>
      <c r="O1422" s="4" t="e">
        <f t="array" aca="1" ref="O1422">MAX(L1422:N1422*(1-strike(L1422:N1422)))</f>
        <v>#NAME?</v>
      </c>
      <c r="P1422" s="3">
        <v>160</v>
      </c>
      <c r="Q1422" s="3">
        <v>167.5</v>
      </c>
      <c r="R1422" s="3">
        <v>175</v>
      </c>
      <c r="S1422" s="4" t="e">
        <f t="array" aca="1" ref="S1422">MAX(P1422:R1422*(1-strike(P1422:R1422)))</f>
        <v>#NAME?</v>
      </c>
      <c r="T1422" s="4" t="e">
        <f t="shared" si="22"/>
        <v>#NAME?</v>
      </c>
      <c r="U1422" s="3">
        <v>447.5</v>
      </c>
      <c r="V1422" s="3">
        <v>603.41</v>
      </c>
      <c r="W1422" s="3">
        <v>9</v>
      </c>
      <c r="X1422" s="5">
        <v>2013</v>
      </c>
      <c r="Y1422" s="5" t="s">
        <v>852</v>
      </c>
      <c r="Z1422" s="5" t="s">
        <v>171</v>
      </c>
      <c r="AA1422" s="5">
        <v>934</v>
      </c>
    </row>
    <row r="1423" spans="1:27">
      <c r="A1423" s="3">
        <v>7</v>
      </c>
      <c r="B1423" s="3" t="s">
        <v>1046</v>
      </c>
      <c r="C1423" s="3">
        <v>1990</v>
      </c>
      <c r="D1423" s="3" t="s">
        <v>282</v>
      </c>
      <c r="E1423" s="3">
        <v>109.98</v>
      </c>
      <c r="F1423" s="3">
        <v>0.81310000000000004</v>
      </c>
      <c r="G1423" s="3">
        <v>14</v>
      </c>
      <c r="H1423" s="3">
        <v>200</v>
      </c>
      <c r="I1423" s="3">
        <v>215</v>
      </c>
      <c r="J1423" s="1">
        <v>230</v>
      </c>
      <c r="K1423" s="4" t="e">
        <f t="array" aca="1" ref="K1423">MAX(H1423:J1423*(1-strike(H1423:J1423)))</f>
        <v>#NAME?</v>
      </c>
      <c r="L1423" s="3">
        <v>117.5</v>
      </c>
      <c r="M1423" s="3">
        <v>127.5</v>
      </c>
      <c r="N1423" s="3">
        <v>132.5</v>
      </c>
      <c r="O1423" s="4" t="e">
        <f t="array" aca="1" ref="O1423">MAX(L1423:N1423*(1-strike(L1423:N1423)))</f>
        <v>#NAME?</v>
      </c>
      <c r="P1423" s="3">
        <v>200</v>
      </c>
      <c r="Q1423" s="3">
        <v>215</v>
      </c>
      <c r="R1423" s="1">
        <v>220</v>
      </c>
      <c r="S1423" s="4" t="e">
        <f t="array" aca="1" ref="S1423">MAX(P1423:R1423*(1-strike(P1423:R1423)))</f>
        <v>#NAME?</v>
      </c>
      <c r="T1423" s="4" t="e">
        <f t="shared" si="22"/>
        <v>#NAME?</v>
      </c>
      <c r="U1423" s="3">
        <v>562.5</v>
      </c>
      <c r="V1423" s="3">
        <v>457.37</v>
      </c>
      <c r="W1423" s="3">
        <v>4</v>
      </c>
      <c r="X1423" s="5">
        <v>2013</v>
      </c>
      <c r="Y1423" s="5" t="s">
        <v>852</v>
      </c>
      <c r="Z1423" s="5" t="s">
        <v>171</v>
      </c>
      <c r="AA1423" s="5">
        <v>1012</v>
      </c>
    </row>
    <row r="1424" spans="1:27">
      <c r="A1424" s="3">
        <v>4</v>
      </c>
      <c r="B1424" s="3" t="s">
        <v>1046</v>
      </c>
      <c r="C1424" s="3">
        <v>1990</v>
      </c>
      <c r="D1424" s="3" t="s">
        <v>282</v>
      </c>
      <c r="E1424" s="3">
        <v>106.1</v>
      </c>
      <c r="F1424" s="3">
        <v>0.81969999999999998</v>
      </c>
      <c r="G1424" s="3">
        <v>19</v>
      </c>
      <c r="H1424" s="3">
        <v>140</v>
      </c>
      <c r="I1424" s="3">
        <v>152.5</v>
      </c>
      <c r="J1424" s="3">
        <v>160</v>
      </c>
      <c r="K1424" s="4" t="e">
        <f t="array" aca="1" ref="K1424">MAX(H1424:J1424*(1-strike(H1424:J1424)))</f>
        <v>#NAME?</v>
      </c>
      <c r="L1424" s="3">
        <v>80</v>
      </c>
      <c r="M1424" s="3">
        <v>87.5</v>
      </c>
      <c r="N1424" s="1">
        <v>92.5</v>
      </c>
      <c r="O1424" s="4" t="e">
        <f t="array" aca="1" ref="O1424">MAX(L1424:N1424*(1-strike(L1424:N1424)))</f>
        <v>#NAME?</v>
      </c>
      <c r="P1424" s="3">
        <v>172.5</v>
      </c>
      <c r="Q1424" s="3">
        <v>182.5</v>
      </c>
      <c r="R1424" s="3">
        <v>185</v>
      </c>
      <c r="S1424" s="4" t="e">
        <f t="array" aca="1" ref="S1424">MAX(P1424:R1424*(1-strike(P1424:R1424)))</f>
        <v>#NAME?</v>
      </c>
      <c r="T1424" s="4" t="e">
        <f t="shared" si="22"/>
        <v>#NAME?</v>
      </c>
      <c r="U1424" s="3">
        <v>432.5</v>
      </c>
      <c r="V1424" s="3">
        <v>354.52</v>
      </c>
      <c r="W1424" s="3">
        <v>7</v>
      </c>
      <c r="X1424" s="5">
        <v>2014</v>
      </c>
      <c r="Y1424" s="5" t="s">
        <v>852</v>
      </c>
      <c r="Z1424" s="5" t="s">
        <v>30</v>
      </c>
      <c r="AA1424" s="5">
        <v>811</v>
      </c>
    </row>
    <row r="1425" spans="1:27">
      <c r="A1425" s="4">
        <v>7</v>
      </c>
      <c r="B1425" s="4" t="s">
        <v>1046</v>
      </c>
      <c r="C1425" s="4">
        <v>1990</v>
      </c>
      <c r="D1425" s="4" t="s">
        <v>859</v>
      </c>
      <c r="E1425" s="4">
        <v>103.4</v>
      </c>
      <c r="F1425" s="4">
        <v>0.82489999999999997</v>
      </c>
      <c r="G1425" s="4">
        <v>15</v>
      </c>
      <c r="H1425" s="4">
        <v>190</v>
      </c>
      <c r="I1425" s="4">
        <v>210</v>
      </c>
      <c r="J1425" s="6">
        <v>222.5</v>
      </c>
      <c r="K1425" s="4" t="e">
        <f t="array" aca="1" ref="K1425">MAX(H1425:J1425*(1-strike(H1425:J1425)))</f>
        <v>#NAME?</v>
      </c>
      <c r="L1425" s="4">
        <v>115</v>
      </c>
      <c r="M1425" s="4">
        <v>125</v>
      </c>
      <c r="N1425" s="4">
        <v>130</v>
      </c>
      <c r="O1425" s="4" t="e">
        <f t="array" aca="1" ref="O1425">MAX(L1425:N1425*(1-strike(L1425:N1425)))</f>
        <v>#NAME?</v>
      </c>
      <c r="P1425" s="4">
        <v>195</v>
      </c>
      <c r="Q1425" s="4">
        <v>207.5</v>
      </c>
      <c r="R1425" s="6">
        <v>220</v>
      </c>
      <c r="S1425" s="4" t="e">
        <f t="array" aca="1" ref="S1425">MAX(P1425:R1425*(1-strike(P1425:R1425)))</f>
        <v>#NAME?</v>
      </c>
      <c r="T1425" s="4" t="e">
        <f t="shared" si="22"/>
        <v>#NAME?</v>
      </c>
      <c r="U1425" s="4">
        <v>547.5</v>
      </c>
      <c r="V1425" s="4">
        <v>451.63</v>
      </c>
      <c r="W1425" s="4">
        <v>4</v>
      </c>
      <c r="X1425" s="5">
        <v>2014</v>
      </c>
      <c r="Y1425" s="5" t="s">
        <v>852</v>
      </c>
      <c r="Z1425" s="5" t="s">
        <v>171</v>
      </c>
      <c r="AA1425" s="5">
        <v>641</v>
      </c>
    </row>
    <row r="1426" spans="1:27">
      <c r="A1426" s="3">
        <v>4</v>
      </c>
      <c r="B1426" s="3" t="s">
        <v>340</v>
      </c>
      <c r="C1426" s="3">
        <v>1975</v>
      </c>
      <c r="D1426" s="3" t="s">
        <v>28</v>
      </c>
      <c r="E1426" s="3">
        <v>62.25</v>
      </c>
      <c r="F1426" s="2">
        <v>10837</v>
      </c>
      <c r="G1426" s="3">
        <v>23</v>
      </c>
      <c r="H1426" s="3">
        <v>140</v>
      </c>
      <c r="I1426" s="3">
        <v>145</v>
      </c>
      <c r="J1426" s="1">
        <v>150</v>
      </c>
      <c r="K1426" s="4" t="e">
        <f t="array" aca="1" ref="K1426">MAX(H1426:J1426*(1-strike(H1426:J1426)))</f>
        <v>#NAME?</v>
      </c>
      <c r="L1426" s="3">
        <v>95</v>
      </c>
      <c r="M1426" s="1">
        <v>100</v>
      </c>
      <c r="N1426" s="1">
        <v>100</v>
      </c>
      <c r="O1426" s="4" t="e">
        <f t="array" aca="1" ref="O1426">MAX(L1426:N1426*(1-strike(L1426:N1426)))</f>
        <v>#NAME?</v>
      </c>
      <c r="P1426" s="3">
        <v>165</v>
      </c>
      <c r="Q1426" s="3">
        <v>172.5</v>
      </c>
      <c r="R1426" s="3">
        <v>180</v>
      </c>
      <c r="S1426" s="4" t="e">
        <f t="array" aca="1" ref="S1426">MAX(P1426:R1426*(1-strike(P1426:R1426)))</f>
        <v>#NAME?</v>
      </c>
      <c r="T1426" s="4" t="e">
        <f t="shared" si="22"/>
        <v>#NAME?</v>
      </c>
      <c r="U1426" s="3">
        <v>420</v>
      </c>
      <c r="V1426" s="3">
        <v>455.18</v>
      </c>
      <c r="W1426" s="3">
        <v>7</v>
      </c>
      <c r="X1426" s="5">
        <v>2014</v>
      </c>
      <c r="Y1426" s="5" t="s">
        <v>852</v>
      </c>
      <c r="Z1426" s="5" t="s">
        <v>30</v>
      </c>
      <c r="AA1426" s="5">
        <v>782</v>
      </c>
    </row>
    <row r="1427" spans="1:27">
      <c r="A1427" s="3">
        <v>4</v>
      </c>
      <c r="B1427" s="3" t="s">
        <v>341</v>
      </c>
      <c r="C1427" s="3">
        <v>1988</v>
      </c>
      <c r="D1427" s="3" t="s">
        <v>80</v>
      </c>
      <c r="E1427" s="3">
        <v>62.75</v>
      </c>
      <c r="F1427" s="2">
        <v>10772</v>
      </c>
      <c r="G1427" s="3">
        <v>4</v>
      </c>
      <c r="H1427" s="3">
        <v>135</v>
      </c>
      <c r="I1427" s="3">
        <v>142.5</v>
      </c>
      <c r="J1427" s="1">
        <v>145</v>
      </c>
      <c r="K1427" s="4" t="e">
        <f t="array" aca="1" ref="K1427">MAX(H1427:J1427*(1-strike(H1427:J1427)))</f>
        <v>#NAME?</v>
      </c>
      <c r="L1427" s="3">
        <v>85</v>
      </c>
      <c r="M1427" s="3">
        <v>90</v>
      </c>
      <c r="N1427" s="1">
        <v>92.5</v>
      </c>
      <c r="O1427" s="4" t="e">
        <f t="array" aca="1" ref="O1427">MAX(L1427:N1427*(1-strike(L1427:N1427)))</f>
        <v>#NAME?</v>
      </c>
      <c r="P1427" s="3">
        <v>160</v>
      </c>
      <c r="Q1427" s="3">
        <v>172.5</v>
      </c>
      <c r="R1427" s="1">
        <v>180</v>
      </c>
      <c r="S1427" s="4" t="e">
        <f t="array" aca="1" ref="S1427">MAX(P1427:R1427*(1-strike(P1427:R1427)))</f>
        <v>#NAME?</v>
      </c>
      <c r="T1427" s="4" t="e">
        <f t="shared" si="22"/>
        <v>#NAME?</v>
      </c>
      <c r="U1427" s="3">
        <v>405</v>
      </c>
      <c r="V1427" s="3">
        <v>436.26</v>
      </c>
      <c r="W1427" s="3">
        <v>7</v>
      </c>
      <c r="X1427" s="5">
        <v>2012</v>
      </c>
      <c r="Y1427" s="5" t="s">
        <v>852</v>
      </c>
      <c r="Z1427" s="5" t="s">
        <v>30</v>
      </c>
      <c r="AA1427" s="5">
        <v>1578</v>
      </c>
    </row>
    <row r="1428" spans="1:27">
      <c r="A1428" s="3">
        <v>3</v>
      </c>
      <c r="B1428" s="3" t="s">
        <v>341</v>
      </c>
      <c r="C1428" s="3">
        <v>1988</v>
      </c>
      <c r="D1428" s="3" t="s">
        <v>80</v>
      </c>
      <c r="E1428" s="3">
        <v>62.95</v>
      </c>
      <c r="F1428" s="2">
        <v>10747</v>
      </c>
      <c r="G1428" s="3">
        <v>3</v>
      </c>
      <c r="H1428" s="3">
        <v>142.5</v>
      </c>
      <c r="I1428" s="3">
        <v>150</v>
      </c>
      <c r="J1428" s="3">
        <v>155</v>
      </c>
      <c r="K1428" s="4" t="e">
        <f t="array" aca="1" ref="K1428">MAX(H1428:J1428*(1-strike(H1428:J1428)))</f>
        <v>#NAME?</v>
      </c>
      <c r="L1428" s="3">
        <v>82.5</v>
      </c>
      <c r="M1428" s="3">
        <v>87.5</v>
      </c>
      <c r="N1428" s="3">
        <v>90</v>
      </c>
      <c r="O1428" s="4" t="e">
        <f t="array" aca="1" ref="O1428">MAX(L1428:N1428*(1-strike(L1428:N1428)))</f>
        <v>#NAME?</v>
      </c>
      <c r="P1428" s="3">
        <v>160</v>
      </c>
      <c r="Q1428" s="3">
        <v>170</v>
      </c>
      <c r="R1428" s="1">
        <v>177.5</v>
      </c>
      <c r="S1428" s="4" t="e">
        <f t="array" aca="1" ref="S1428">MAX(P1428:R1428*(1-strike(P1428:R1428)))</f>
        <v>#NAME?</v>
      </c>
      <c r="T1428" s="4" t="e">
        <f t="shared" si="22"/>
        <v>#NAME?</v>
      </c>
      <c r="U1428" s="3">
        <v>415</v>
      </c>
      <c r="V1428" s="3">
        <v>445.98</v>
      </c>
      <c r="W1428" s="3">
        <v>8</v>
      </c>
      <c r="X1428" s="5">
        <v>2013</v>
      </c>
      <c r="Y1428" s="5" t="s">
        <v>852</v>
      </c>
      <c r="Z1428" s="5" t="s">
        <v>30</v>
      </c>
      <c r="AA1428" s="5">
        <v>1154</v>
      </c>
    </row>
    <row r="1429" spans="1:27">
      <c r="A1429" s="3">
        <v>1</v>
      </c>
      <c r="B1429" s="3" t="s">
        <v>342</v>
      </c>
      <c r="C1429" s="3">
        <v>1978</v>
      </c>
      <c r="D1429" s="3" t="s">
        <v>62</v>
      </c>
      <c r="E1429" s="3">
        <v>61.65</v>
      </c>
      <c r="F1429" s="2">
        <v>10918</v>
      </c>
      <c r="G1429" s="3">
        <v>12</v>
      </c>
      <c r="H1429" s="3">
        <v>130</v>
      </c>
      <c r="I1429" s="3">
        <v>142.5</v>
      </c>
      <c r="J1429" s="1">
        <v>152.5</v>
      </c>
      <c r="K1429" s="4" t="e">
        <f t="array" aca="1" ref="K1429">MAX(H1429:J1429*(1-strike(H1429:J1429)))</f>
        <v>#NAME?</v>
      </c>
      <c r="L1429" s="3">
        <v>100</v>
      </c>
      <c r="M1429" s="3">
        <v>105</v>
      </c>
      <c r="N1429" s="1">
        <v>107.5</v>
      </c>
      <c r="O1429" s="4" t="e">
        <f t="array" aca="1" ref="O1429">MAX(L1429:N1429*(1-strike(L1429:N1429)))</f>
        <v>#NAME?</v>
      </c>
      <c r="P1429" s="3">
        <v>200</v>
      </c>
      <c r="Q1429" s="3">
        <v>215</v>
      </c>
      <c r="R1429" s="3">
        <v>220.5</v>
      </c>
      <c r="S1429" s="4" t="e">
        <f t="array" aca="1" ref="S1429">MAX(P1429:R1429*(1-strike(P1429:R1429)))</f>
        <v>#NAME?</v>
      </c>
      <c r="T1429" s="4" t="e">
        <f t="shared" si="22"/>
        <v>#NAME?</v>
      </c>
      <c r="U1429" s="3">
        <v>468</v>
      </c>
      <c r="V1429" s="3">
        <v>510.96</v>
      </c>
      <c r="W1429" s="3">
        <v>12</v>
      </c>
      <c r="X1429" s="5">
        <v>2012</v>
      </c>
      <c r="Y1429" s="5" t="s">
        <v>852</v>
      </c>
      <c r="Z1429" s="5" t="s">
        <v>30</v>
      </c>
      <c r="AA1429" s="5">
        <v>1575</v>
      </c>
    </row>
    <row r="1430" spans="1:27">
      <c r="A1430" s="3">
        <v>1</v>
      </c>
      <c r="B1430" s="3" t="s">
        <v>342</v>
      </c>
      <c r="C1430" s="3">
        <v>1978</v>
      </c>
      <c r="D1430" s="3" t="s">
        <v>62</v>
      </c>
      <c r="E1430" s="3">
        <v>62.25</v>
      </c>
      <c r="F1430" s="2">
        <v>10837</v>
      </c>
      <c r="G1430" s="3">
        <v>9</v>
      </c>
      <c r="H1430" s="3">
        <v>140</v>
      </c>
      <c r="I1430" s="3">
        <v>150</v>
      </c>
      <c r="J1430" s="3">
        <v>157.5</v>
      </c>
      <c r="K1430" s="4" t="e">
        <f t="array" aca="1" ref="K1430">MAX(H1430:J1430*(1-strike(H1430:J1430)))</f>
        <v>#NAME?</v>
      </c>
      <c r="L1430" s="1">
        <v>97.5</v>
      </c>
      <c r="M1430" s="1">
        <v>97.5</v>
      </c>
      <c r="N1430" s="3">
        <v>97.5</v>
      </c>
      <c r="O1430" s="4" t="e">
        <f t="array" aca="1" ref="O1430">MAX(L1430:N1430*(1-strike(L1430:N1430)))</f>
        <v>#NAME?</v>
      </c>
      <c r="P1430" s="3">
        <v>205</v>
      </c>
      <c r="Q1430" s="3">
        <v>212.5</v>
      </c>
      <c r="R1430" s="3">
        <v>221</v>
      </c>
      <c r="S1430" s="4" t="e">
        <f t="array" aca="1" ref="S1430">MAX(P1430:R1430*(1-strike(P1430:R1430)))</f>
        <v>#NAME?</v>
      </c>
      <c r="T1430" s="4" t="e">
        <f t="shared" si="22"/>
        <v>#NAME?</v>
      </c>
      <c r="U1430" s="3">
        <v>476</v>
      </c>
      <c r="V1430" s="3">
        <v>515.87</v>
      </c>
      <c r="W1430" s="3">
        <v>12</v>
      </c>
      <c r="X1430" s="5">
        <v>2013</v>
      </c>
      <c r="Y1430" s="5" t="s">
        <v>852</v>
      </c>
      <c r="Z1430" s="5" t="s">
        <v>30</v>
      </c>
      <c r="AA1430" s="5">
        <v>1152</v>
      </c>
    </row>
    <row r="1431" spans="1:27">
      <c r="A1431" s="3">
        <v>1</v>
      </c>
      <c r="B1431" s="3" t="s">
        <v>342</v>
      </c>
      <c r="C1431" s="3">
        <v>1978</v>
      </c>
      <c r="D1431" s="3" t="s">
        <v>62</v>
      </c>
      <c r="E1431" s="3">
        <v>65.25</v>
      </c>
      <c r="F1431" s="2">
        <v>10461</v>
      </c>
      <c r="G1431" s="3">
        <v>2</v>
      </c>
      <c r="H1431" s="3">
        <v>160</v>
      </c>
      <c r="I1431" s="3">
        <v>172.5</v>
      </c>
      <c r="J1431" s="1">
        <v>182.5</v>
      </c>
      <c r="K1431" s="4" t="e">
        <f t="array" aca="1" ref="K1431">MAX(H1431:J1431*(1-strike(H1431:J1431)))</f>
        <v>#NAME?</v>
      </c>
      <c r="L1431" s="3">
        <v>97.5</v>
      </c>
      <c r="M1431" s="3">
        <v>107.5</v>
      </c>
      <c r="N1431" s="1">
        <v>110</v>
      </c>
      <c r="O1431" s="4" t="e">
        <f t="array" aca="1" ref="O1431">MAX(L1431:N1431*(1-strike(L1431:N1431)))</f>
        <v>#NAME?</v>
      </c>
      <c r="P1431" s="3">
        <v>215</v>
      </c>
      <c r="Q1431" s="3">
        <v>230</v>
      </c>
      <c r="R1431" s="1">
        <v>233</v>
      </c>
      <c r="S1431" s="4" t="e">
        <f t="array" aca="1" ref="S1431">MAX(P1431:R1431*(1-strike(P1431:R1431)))</f>
        <v>#NAME?</v>
      </c>
      <c r="T1431" s="4" t="e">
        <f t="shared" si="22"/>
        <v>#NAME?</v>
      </c>
      <c r="U1431" s="3" t="s">
        <v>1047</v>
      </c>
      <c r="V1431" s="3">
        <v>533.51</v>
      </c>
      <c r="W1431" s="3">
        <v>12</v>
      </c>
      <c r="X1431" s="5">
        <v>2014</v>
      </c>
      <c r="Y1431" s="5" t="s">
        <v>852</v>
      </c>
      <c r="Z1431" s="5" t="s">
        <v>30</v>
      </c>
      <c r="AA1431" s="5">
        <v>791</v>
      </c>
    </row>
    <row r="1432" spans="1:27">
      <c r="A1432" s="3">
        <v>4</v>
      </c>
      <c r="B1432" s="3" t="s">
        <v>1048</v>
      </c>
      <c r="C1432" s="3">
        <v>1968</v>
      </c>
      <c r="D1432" s="3" t="s">
        <v>62</v>
      </c>
      <c r="E1432" s="3">
        <v>81.900000000000006</v>
      </c>
      <c r="F1432" s="3">
        <v>0.90339999999999998</v>
      </c>
      <c r="G1432" s="3">
        <v>3</v>
      </c>
      <c r="H1432" s="1">
        <v>115</v>
      </c>
      <c r="I1432" s="3">
        <v>115</v>
      </c>
      <c r="J1432" s="3">
        <v>122.5</v>
      </c>
      <c r="K1432" s="4" t="e">
        <f t="array" aca="1" ref="K1432">MAX(H1432:J1432*(1-strike(H1432:J1432)))</f>
        <v>#NAME?</v>
      </c>
      <c r="L1432" s="3">
        <v>102.5</v>
      </c>
      <c r="M1432" s="3">
        <v>107.5</v>
      </c>
      <c r="N1432" s="3">
        <v>110</v>
      </c>
      <c r="O1432" s="4" t="e">
        <f t="array" aca="1" ref="O1432">MAX(L1432:N1432*(1-strike(L1432:N1432)))</f>
        <v>#NAME?</v>
      </c>
      <c r="P1432" s="3">
        <v>145</v>
      </c>
      <c r="Q1432" s="3">
        <v>155</v>
      </c>
      <c r="R1432" s="3">
        <v>160</v>
      </c>
      <c r="S1432" s="4" t="e">
        <f t="array" aca="1" ref="S1432">MAX(P1432:R1432*(1-strike(P1432:R1432)))</f>
        <v>#NAME?</v>
      </c>
      <c r="T1432" s="4" t="e">
        <f t="shared" si="22"/>
        <v>#NAME?</v>
      </c>
      <c r="U1432" s="3">
        <v>392.5</v>
      </c>
      <c r="V1432" s="3">
        <v>354.58</v>
      </c>
      <c r="W1432" s="3">
        <v>7</v>
      </c>
      <c r="X1432" s="5">
        <v>2012</v>
      </c>
      <c r="Y1432" s="5" t="s">
        <v>852</v>
      </c>
      <c r="Z1432" s="5" t="s">
        <v>30</v>
      </c>
      <c r="AA1432" s="5">
        <v>1598</v>
      </c>
    </row>
    <row r="1433" spans="1:27">
      <c r="A1433" s="3">
        <v>7</v>
      </c>
      <c r="B1433" s="3" t="s">
        <v>1049</v>
      </c>
      <c r="C1433" s="3">
        <v>1986</v>
      </c>
      <c r="D1433" s="3" t="s">
        <v>51</v>
      </c>
      <c r="E1433" s="3">
        <v>62.5</v>
      </c>
      <c r="F1433" s="2">
        <v>10805</v>
      </c>
      <c r="G1433" s="3">
        <v>4</v>
      </c>
      <c r="H1433" s="3">
        <v>132.5</v>
      </c>
      <c r="I1433" s="1">
        <v>140</v>
      </c>
      <c r="J1433" s="1">
        <v>140</v>
      </c>
      <c r="K1433" s="4" t="e">
        <f t="array" aca="1" ref="K1433">MAX(H1433:J1433*(1-strike(H1433:J1433)))</f>
        <v>#NAME?</v>
      </c>
      <c r="L1433" s="3">
        <v>70</v>
      </c>
      <c r="M1433" s="1">
        <v>72.5</v>
      </c>
      <c r="N1433" s="3">
        <v>72.5</v>
      </c>
      <c r="O1433" s="4" t="e">
        <f t="array" aca="1" ref="O1433">MAX(L1433:N1433*(1-strike(L1433:N1433)))</f>
        <v>#NAME?</v>
      </c>
      <c r="P1433" s="3">
        <v>160</v>
      </c>
      <c r="Q1433" s="3">
        <v>165</v>
      </c>
      <c r="R1433" s="1">
        <v>172.5</v>
      </c>
      <c r="S1433" s="4" t="e">
        <f t="array" aca="1" ref="S1433">MAX(P1433:R1433*(1-strike(P1433:R1433)))</f>
        <v>#NAME?</v>
      </c>
      <c r="T1433" s="4" t="e">
        <f t="shared" si="22"/>
        <v>#NAME?</v>
      </c>
      <c r="U1433" s="3">
        <v>370</v>
      </c>
      <c r="V1433" s="3">
        <v>399.79</v>
      </c>
      <c r="W1433" s="3">
        <v>4</v>
      </c>
      <c r="X1433" s="5">
        <v>2013</v>
      </c>
      <c r="Y1433" s="5" t="s">
        <v>852</v>
      </c>
      <c r="Z1433" s="5" t="s">
        <v>30</v>
      </c>
      <c r="AA1433" s="5">
        <v>1158</v>
      </c>
    </row>
    <row r="1434" spans="1:27" ht="15" customHeight="1">
      <c r="A1434" s="3">
        <v>9</v>
      </c>
      <c r="B1434" s="3" t="s">
        <v>1050</v>
      </c>
      <c r="C1434" s="3">
        <v>1991</v>
      </c>
      <c r="D1434" s="3" t="s">
        <v>125</v>
      </c>
      <c r="E1434" s="3">
        <v>51.4</v>
      </c>
      <c r="F1434" s="2">
        <v>12578</v>
      </c>
      <c r="G1434" s="3">
        <v>10</v>
      </c>
      <c r="H1434" s="3">
        <v>100</v>
      </c>
      <c r="I1434" s="3">
        <v>107.5</v>
      </c>
      <c r="J1434" s="3">
        <v>115</v>
      </c>
      <c r="K1434" s="4" t="e">
        <f t="array" aca="1" ref="K1434">MAX(H1434:J1434*(1-strike(H1434:J1434)))</f>
        <v>#NAME?</v>
      </c>
      <c r="L1434" s="3">
        <v>60</v>
      </c>
      <c r="M1434" s="3">
        <v>65</v>
      </c>
      <c r="N1434" s="1">
        <v>67.5</v>
      </c>
      <c r="O1434" s="4" t="e">
        <f t="array" aca="1" ref="O1434">MAX(L1434:N1434*(1-strike(L1434:N1434)))</f>
        <v>#NAME?</v>
      </c>
      <c r="P1434" s="3">
        <v>120</v>
      </c>
      <c r="Q1434" s="3">
        <v>130</v>
      </c>
      <c r="R1434" s="3">
        <v>135</v>
      </c>
      <c r="S1434" s="4" t="e">
        <f t="array" aca="1" ref="S1434">MAX(P1434:R1434*(1-strike(P1434:R1434)))</f>
        <v>#NAME?</v>
      </c>
      <c r="T1434" s="4" t="e">
        <f t="shared" si="22"/>
        <v>#NAME?</v>
      </c>
      <c r="U1434" s="3">
        <v>315</v>
      </c>
      <c r="V1434" s="3">
        <v>396.2</v>
      </c>
      <c r="W1434" s="3">
        <v>2</v>
      </c>
      <c r="X1434" s="5">
        <v>2012</v>
      </c>
      <c r="Y1434" s="5" t="s">
        <v>852</v>
      </c>
      <c r="Z1434" s="5" t="s">
        <v>30</v>
      </c>
      <c r="AA1434" s="5">
        <v>1558</v>
      </c>
    </row>
    <row r="1435" spans="1:27">
      <c r="A1435" s="3">
        <v>5</v>
      </c>
      <c r="B1435" s="3" t="s">
        <v>1051</v>
      </c>
      <c r="C1435" s="3">
        <v>1986</v>
      </c>
      <c r="D1435" s="3" t="s">
        <v>62</v>
      </c>
      <c r="E1435" s="3">
        <v>98.3</v>
      </c>
      <c r="F1435" s="3">
        <v>0.83689999999999998</v>
      </c>
      <c r="G1435" s="3">
        <v>11</v>
      </c>
      <c r="H1435" s="3">
        <v>217.5</v>
      </c>
      <c r="I1435" s="3">
        <v>230</v>
      </c>
      <c r="J1435" s="3">
        <v>240</v>
      </c>
      <c r="K1435" s="4" t="e">
        <f t="array" aca="1" ref="K1435">MAX(H1435:J1435*(1-strike(H1435:J1435)))</f>
        <v>#NAME?</v>
      </c>
      <c r="L1435" s="3">
        <v>107.5</v>
      </c>
      <c r="M1435" s="1">
        <v>117.5</v>
      </c>
      <c r="N1435" s="3">
        <v>122.5</v>
      </c>
      <c r="O1435" s="4" t="e">
        <f t="array" aca="1" ref="O1435">MAX(L1435:N1435*(1-strike(L1435:N1435)))</f>
        <v>#NAME?</v>
      </c>
      <c r="P1435" s="3">
        <v>190</v>
      </c>
      <c r="Q1435" s="3">
        <v>200</v>
      </c>
      <c r="R1435" s="1">
        <v>210</v>
      </c>
      <c r="S1435" s="4" t="e">
        <f t="array" aca="1" ref="S1435">MAX(P1435:R1435*(1-strike(P1435:R1435)))</f>
        <v>#NAME?</v>
      </c>
      <c r="T1435" s="4" t="e">
        <f t="shared" si="22"/>
        <v>#NAME?</v>
      </c>
      <c r="U1435" s="3">
        <v>562.5</v>
      </c>
      <c r="V1435" s="3">
        <v>470.75</v>
      </c>
      <c r="W1435" s="3">
        <v>6</v>
      </c>
      <c r="X1435" s="5">
        <v>2012</v>
      </c>
      <c r="Y1435" s="5" t="s">
        <v>852</v>
      </c>
      <c r="Z1435" s="5" t="s">
        <v>171</v>
      </c>
      <c r="AA1435" s="5">
        <v>1418</v>
      </c>
    </row>
    <row r="1436" spans="1:27">
      <c r="A1436" s="3">
        <v>11</v>
      </c>
      <c r="B1436" s="3" t="s">
        <v>343</v>
      </c>
      <c r="C1436" s="3">
        <v>1979</v>
      </c>
      <c r="D1436" s="3" t="s">
        <v>318</v>
      </c>
      <c r="E1436" s="3">
        <v>56.78</v>
      </c>
      <c r="F1436" s="2">
        <v>11639</v>
      </c>
      <c r="G1436" s="3">
        <v>10</v>
      </c>
      <c r="H1436" s="3">
        <v>135</v>
      </c>
      <c r="I1436" s="3">
        <v>142.5</v>
      </c>
      <c r="J1436" s="3">
        <v>145</v>
      </c>
      <c r="K1436" s="4" t="e">
        <f t="array" aca="1" ref="K1436">MAX(H1436:J1436*(1-strike(H1436:J1436)))</f>
        <v>#NAME?</v>
      </c>
      <c r="L1436" s="3">
        <v>80</v>
      </c>
      <c r="M1436" s="3">
        <v>87.5</v>
      </c>
      <c r="N1436" s="1">
        <v>90</v>
      </c>
      <c r="O1436" s="4" t="e">
        <f t="array" aca="1" ref="O1436">MAX(L1436:N1436*(1-strike(L1436:N1436)))</f>
        <v>#NAME?</v>
      </c>
      <c r="P1436" s="3">
        <v>130</v>
      </c>
      <c r="Q1436" s="1">
        <v>135</v>
      </c>
      <c r="R1436" s="1">
        <v>135</v>
      </c>
      <c r="S1436" s="4" t="e">
        <f t="array" aca="1" ref="S1436">MAX(P1436:R1436*(1-strike(P1436:R1436)))</f>
        <v>#NAME?</v>
      </c>
      <c r="T1436" s="4" t="e">
        <f t="shared" si="22"/>
        <v>#NAME?</v>
      </c>
      <c r="U1436" s="3">
        <v>362.5</v>
      </c>
      <c r="V1436" s="3">
        <v>421.92</v>
      </c>
      <c r="W1436" s="3">
        <v>1</v>
      </c>
      <c r="X1436" s="5">
        <v>2012</v>
      </c>
      <c r="Y1436" s="5" t="s">
        <v>852</v>
      </c>
      <c r="Z1436" s="5" t="s">
        <v>171</v>
      </c>
      <c r="AA1436" s="5">
        <v>1367</v>
      </c>
    </row>
    <row r="1437" spans="1:27">
      <c r="A1437" s="3">
        <v>10</v>
      </c>
      <c r="B1437" s="3" t="s">
        <v>343</v>
      </c>
      <c r="C1437" s="3">
        <v>1979</v>
      </c>
      <c r="D1437" s="3" t="s">
        <v>318</v>
      </c>
      <c r="E1437" s="3">
        <v>56.49</v>
      </c>
      <c r="F1437" s="2">
        <v>11686</v>
      </c>
      <c r="G1437" s="3">
        <v>8</v>
      </c>
      <c r="H1437" s="3">
        <v>140</v>
      </c>
      <c r="I1437" s="3">
        <v>147.5</v>
      </c>
      <c r="J1437" s="3">
        <v>152.5</v>
      </c>
      <c r="K1437" s="4" t="e">
        <f t="array" aca="1" ref="K1437">MAX(H1437:J1437*(1-strike(H1437:J1437)))</f>
        <v>#NAME?</v>
      </c>
      <c r="L1437" s="3">
        <v>87.5</v>
      </c>
      <c r="M1437" s="3">
        <v>92.5</v>
      </c>
      <c r="N1437" s="3">
        <v>95</v>
      </c>
      <c r="O1437" s="4" t="e">
        <f t="array" aca="1" ref="O1437">MAX(L1437:N1437*(1-strike(L1437:N1437)))</f>
        <v>#NAME?</v>
      </c>
      <c r="P1437" s="1">
        <v>145</v>
      </c>
      <c r="Q1437" s="1">
        <v>145</v>
      </c>
      <c r="R1437" s="3">
        <v>145</v>
      </c>
      <c r="S1437" s="4" t="e">
        <f t="array" aca="1" ref="S1437">MAX(P1437:R1437*(1-strike(P1437:R1437)))</f>
        <v>#NAME?</v>
      </c>
      <c r="T1437" s="4" t="e">
        <f t="shared" si="22"/>
        <v>#NAME?</v>
      </c>
      <c r="U1437" s="3">
        <v>392.5</v>
      </c>
      <c r="V1437" s="3">
        <v>458.68</v>
      </c>
      <c r="W1437" s="3">
        <v>1</v>
      </c>
      <c r="X1437" s="5">
        <v>2013</v>
      </c>
      <c r="Y1437" s="5" t="s">
        <v>852</v>
      </c>
      <c r="Z1437" s="5" t="s">
        <v>171</v>
      </c>
      <c r="AA1437" s="5">
        <v>964</v>
      </c>
    </row>
    <row r="1438" spans="1:27">
      <c r="A1438" s="3">
        <v>15</v>
      </c>
      <c r="B1438" s="3" t="s">
        <v>1052</v>
      </c>
      <c r="C1438" s="3">
        <v>1977</v>
      </c>
      <c r="D1438" s="3" t="s">
        <v>194</v>
      </c>
      <c r="E1438" s="3">
        <v>56.1</v>
      </c>
      <c r="F1438" s="2">
        <v>11750</v>
      </c>
      <c r="G1438" s="3">
        <v>3</v>
      </c>
      <c r="H1438" s="3">
        <v>95</v>
      </c>
      <c r="I1438" s="1">
        <v>105</v>
      </c>
      <c r="J1438" s="3">
        <v>105</v>
      </c>
      <c r="K1438" s="4" t="e">
        <f t="array" aca="1" ref="K1438">MAX(H1438:J1438*(1-strike(H1438:J1438)))</f>
        <v>#NAME?</v>
      </c>
      <c r="L1438" s="3">
        <v>35</v>
      </c>
      <c r="M1438" s="3">
        <v>40</v>
      </c>
      <c r="N1438" s="3">
        <v>42.5</v>
      </c>
      <c r="O1438" s="4" t="e">
        <f t="array" aca="1" ref="O1438">MAX(L1438:N1438*(1-strike(L1438:N1438)))</f>
        <v>#NAME?</v>
      </c>
      <c r="P1438" s="3">
        <v>125</v>
      </c>
      <c r="Q1438" s="3">
        <v>137.5</v>
      </c>
      <c r="R1438" s="3">
        <v>147.5</v>
      </c>
      <c r="S1438" s="4" t="e">
        <f t="array" aca="1" ref="S1438">MAX(P1438:R1438*(1-strike(P1438:R1438)))</f>
        <v>#NAME?</v>
      </c>
      <c r="T1438" s="4" t="e">
        <f t="shared" si="22"/>
        <v>#NAME?</v>
      </c>
      <c r="U1438" s="3">
        <v>295</v>
      </c>
      <c r="V1438" s="3">
        <v>346.63</v>
      </c>
      <c r="W1438" s="3">
        <v>1</v>
      </c>
      <c r="X1438" s="5">
        <v>2014</v>
      </c>
      <c r="Y1438" s="5" t="s">
        <v>852</v>
      </c>
      <c r="Z1438" s="5" t="s">
        <v>30</v>
      </c>
      <c r="AA1438" s="5">
        <v>777</v>
      </c>
    </row>
    <row r="1439" spans="1:27">
      <c r="A1439" s="3">
        <v>1</v>
      </c>
      <c r="B1439" s="3" t="s">
        <v>345</v>
      </c>
      <c r="C1439" s="3">
        <v>1986</v>
      </c>
      <c r="D1439" s="3" t="s">
        <v>74</v>
      </c>
      <c r="E1439" s="3">
        <v>56.7</v>
      </c>
      <c r="F1439" s="2">
        <v>11652</v>
      </c>
      <c r="G1439" s="3">
        <v>8</v>
      </c>
      <c r="H1439" s="3">
        <v>110</v>
      </c>
      <c r="I1439" s="3">
        <v>122.5</v>
      </c>
      <c r="J1439" s="3">
        <v>130</v>
      </c>
      <c r="K1439" s="4" t="e">
        <f t="array" aca="1" ref="K1439">MAX(H1439:J1439*(1-strike(H1439:J1439)))</f>
        <v>#NAME?</v>
      </c>
      <c r="L1439" s="3">
        <v>85</v>
      </c>
      <c r="M1439" s="3">
        <v>92.5</v>
      </c>
      <c r="N1439" s="3">
        <v>95</v>
      </c>
      <c r="O1439" s="4" t="e">
        <f t="array" aca="1" ref="O1439">MAX(L1439:N1439*(1-strike(L1439:N1439)))</f>
        <v>#NAME?</v>
      </c>
      <c r="P1439" s="3">
        <v>165</v>
      </c>
      <c r="Q1439" s="3">
        <v>172.5</v>
      </c>
      <c r="R1439" s="1">
        <v>177.5</v>
      </c>
      <c r="S1439" s="4" t="e">
        <f t="array" aca="1" ref="S1439">MAX(P1439:R1439*(1-strike(P1439:R1439)))</f>
        <v>#NAME?</v>
      </c>
      <c r="T1439" s="4" t="e">
        <f t="shared" si="22"/>
        <v>#NAME?</v>
      </c>
      <c r="U1439" s="3">
        <v>397.5</v>
      </c>
      <c r="V1439" s="3">
        <v>463.16</v>
      </c>
      <c r="W1439" s="3">
        <v>12</v>
      </c>
      <c r="X1439" s="5">
        <v>2012</v>
      </c>
      <c r="Y1439" s="5" t="s">
        <v>852</v>
      </c>
      <c r="Z1439" s="5" t="s">
        <v>30</v>
      </c>
      <c r="AA1439" s="5">
        <v>1563</v>
      </c>
    </row>
    <row r="1440" spans="1:27">
      <c r="A1440" s="3">
        <v>2</v>
      </c>
      <c r="B1440" s="3" t="s">
        <v>345</v>
      </c>
      <c r="C1440" s="3">
        <v>1986</v>
      </c>
      <c r="D1440" s="3" t="s">
        <v>74</v>
      </c>
      <c r="E1440" s="3">
        <v>56.21</v>
      </c>
      <c r="F1440" s="2">
        <v>11731</v>
      </c>
      <c r="G1440" s="3">
        <v>2</v>
      </c>
      <c r="H1440" s="1">
        <v>180</v>
      </c>
      <c r="I1440" s="3">
        <v>180</v>
      </c>
      <c r="J1440" s="3">
        <v>187.5</v>
      </c>
      <c r="K1440" s="4" t="e">
        <f t="array" aca="1" ref="K1440">MAX(H1440:J1440*(1-strike(H1440:J1440)))</f>
        <v>#NAME?</v>
      </c>
      <c r="L1440" s="3">
        <v>120</v>
      </c>
      <c r="M1440" s="1">
        <v>127.5</v>
      </c>
      <c r="N1440" s="1">
        <v>127.5</v>
      </c>
      <c r="O1440" s="4" t="e">
        <f t="array" aca="1" ref="O1440">MAX(L1440:N1440*(1-strike(L1440:N1440)))</f>
        <v>#NAME?</v>
      </c>
      <c r="P1440" s="3">
        <v>185</v>
      </c>
      <c r="Q1440" s="3">
        <v>192.5</v>
      </c>
      <c r="R1440" s="3">
        <v>195</v>
      </c>
      <c r="S1440" s="4" t="e">
        <f t="array" aca="1" ref="S1440">MAX(P1440:R1440*(1-strike(P1440:R1440)))</f>
        <v>#NAME?</v>
      </c>
      <c r="T1440" s="4" t="e">
        <f t="shared" si="22"/>
        <v>#NAME?</v>
      </c>
      <c r="U1440" s="3">
        <v>502.5</v>
      </c>
      <c r="V1440" s="3">
        <v>589.5</v>
      </c>
      <c r="W1440" s="3">
        <v>9</v>
      </c>
      <c r="X1440" s="5">
        <v>2012</v>
      </c>
      <c r="Y1440" s="5" t="s">
        <v>852</v>
      </c>
      <c r="Z1440" s="5" t="s">
        <v>171</v>
      </c>
      <c r="AA1440" s="5">
        <v>1358</v>
      </c>
    </row>
    <row r="1441" spans="1:27">
      <c r="A1441" s="3">
        <v>2</v>
      </c>
      <c r="B1441" s="3" t="s">
        <v>345</v>
      </c>
      <c r="C1441" s="3">
        <v>1986</v>
      </c>
      <c r="D1441" s="3" t="s">
        <v>74</v>
      </c>
      <c r="E1441" s="3">
        <v>56.5</v>
      </c>
      <c r="F1441" s="2">
        <v>11684</v>
      </c>
      <c r="G1441" s="3">
        <v>2</v>
      </c>
      <c r="H1441" s="3">
        <v>115</v>
      </c>
      <c r="I1441" s="1">
        <v>130</v>
      </c>
      <c r="J1441" s="3">
        <v>130</v>
      </c>
      <c r="K1441" s="4" t="e">
        <f t="array" aca="1" ref="K1441">MAX(H1441:J1441*(1-strike(H1441:J1441)))</f>
        <v>#NAME?</v>
      </c>
      <c r="L1441" s="3">
        <v>85</v>
      </c>
      <c r="M1441" s="3">
        <v>92.5</v>
      </c>
      <c r="N1441" s="1">
        <v>97.5</v>
      </c>
      <c r="O1441" s="4" t="e">
        <f t="array" aca="1" ref="O1441">MAX(L1441:N1441*(1-strike(L1441:N1441)))</f>
        <v>#NAME?</v>
      </c>
      <c r="P1441" s="3">
        <v>165</v>
      </c>
      <c r="Q1441" s="3">
        <v>175</v>
      </c>
      <c r="R1441" s="1">
        <v>197.5</v>
      </c>
      <c r="S1441" s="4" t="e">
        <f t="array" aca="1" ref="S1441">MAX(P1441:R1441*(1-strike(P1441:R1441)))</f>
        <v>#NAME?</v>
      </c>
      <c r="T1441" s="4" t="e">
        <f t="shared" si="22"/>
        <v>#NAME?</v>
      </c>
      <c r="U1441" s="3">
        <v>397.5</v>
      </c>
      <c r="V1441" s="3">
        <v>464.44</v>
      </c>
      <c r="W1441" s="3">
        <v>9</v>
      </c>
      <c r="X1441" s="5">
        <v>2013</v>
      </c>
      <c r="Y1441" s="5" t="s">
        <v>852</v>
      </c>
      <c r="Z1441" s="5" t="s">
        <v>30</v>
      </c>
      <c r="AA1441" s="5">
        <v>1145</v>
      </c>
    </row>
    <row r="1442" spans="1:27">
      <c r="A1442" s="3">
        <v>3</v>
      </c>
      <c r="B1442" s="3" t="s">
        <v>345</v>
      </c>
      <c r="C1442" s="3">
        <v>1986</v>
      </c>
      <c r="D1442" s="3" t="s">
        <v>74</v>
      </c>
      <c r="E1442" s="3">
        <v>56.13</v>
      </c>
      <c r="F1442" s="2">
        <v>11745</v>
      </c>
      <c r="G1442" s="3">
        <v>14</v>
      </c>
      <c r="H1442" s="3">
        <v>180</v>
      </c>
      <c r="I1442" s="3">
        <v>185</v>
      </c>
      <c r="J1442" s="3">
        <v>190</v>
      </c>
      <c r="K1442" s="4" t="e">
        <f t="array" aca="1" ref="K1442">MAX(H1442:J1442*(1-strike(H1442:J1442)))</f>
        <v>#NAME?</v>
      </c>
      <c r="L1442" s="3">
        <v>120</v>
      </c>
      <c r="M1442" s="3">
        <v>130</v>
      </c>
      <c r="N1442" s="1">
        <v>132.5</v>
      </c>
      <c r="O1442" s="4" t="e">
        <f t="array" aca="1" ref="O1442">MAX(L1442:N1442*(1-strike(L1442:N1442)))</f>
        <v>#NAME?</v>
      </c>
      <c r="P1442" s="3">
        <v>185</v>
      </c>
      <c r="Q1442" s="3">
        <v>195</v>
      </c>
      <c r="R1442" s="1">
        <v>200</v>
      </c>
      <c r="S1442" s="4" t="e">
        <f t="array" aca="1" ref="S1442">MAX(P1442:R1442*(1-strike(P1442:R1442)))</f>
        <v>#NAME?</v>
      </c>
      <c r="T1442" s="4" t="e">
        <f t="shared" si="22"/>
        <v>#NAME?</v>
      </c>
      <c r="U1442" s="3">
        <v>515</v>
      </c>
      <c r="V1442" s="3">
        <v>604.87</v>
      </c>
      <c r="W1442" s="3">
        <v>8</v>
      </c>
      <c r="X1442" s="5">
        <v>2013</v>
      </c>
      <c r="Y1442" s="5" t="s">
        <v>852</v>
      </c>
      <c r="Z1442" s="5" t="s">
        <v>171</v>
      </c>
      <c r="AA1442" s="5">
        <v>957</v>
      </c>
    </row>
    <row r="1443" spans="1:27">
      <c r="A1443" s="3">
        <v>4</v>
      </c>
      <c r="B1443" s="3" t="s">
        <v>345</v>
      </c>
      <c r="C1443" s="3">
        <v>1986</v>
      </c>
      <c r="D1443" s="3" t="s">
        <v>74</v>
      </c>
      <c r="E1443" s="3">
        <v>56.3</v>
      </c>
      <c r="F1443" s="2">
        <v>11717</v>
      </c>
      <c r="G1443" s="3">
        <v>11</v>
      </c>
      <c r="H1443" s="3">
        <v>115</v>
      </c>
      <c r="I1443" s="3">
        <v>125</v>
      </c>
      <c r="J1443" s="1">
        <v>130</v>
      </c>
      <c r="K1443" s="4" t="e">
        <f t="array" aca="1" ref="K1443">MAX(H1443:J1443*(1-strike(H1443:J1443)))</f>
        <v>#NAME?</v>
      </c>
      <c r="L1443" s="3">
        <v>85</v>
      </c>
      <c r="M1443" s="3">
        <v>92.5</v>
      </c>
      <c r="N1443" s="3">
        <v>97.5</v>
      </c>
      <c r="O1443" s="4" t="e">
        <f t="array" aca="1" ref="O1443">MAX(L1443:N1443*(1-strike(L1443:N1443)))</f>
        <v>#NAME?</v>
      </c>
      <c r="P1443" s="3">
        <v>155</v>
      </c>
      <c r="Q1443" s="3">
        <v>165</v>
      </c>
      <c r="R1443" s="3">
        <v>175</v>
      </c>
      <c r="S1443" s="4" t="e">
        <f t="array" aca="1" ref="S1443">MAX(P1443:R1443*(1-strike(P1443:R1443)))</f>
        <v>#NAME?</v>
      </c>
      <c r="T1443" s="4" t="e">
        <f t="shared" si="22"/>
        <v>#NAME?</v>
      </c>
      <c r="U1443" s="3">
        <v>397.5</v>
      </c>
      <c r="V1443" s="3">
        <v>465.75</v>
      </c>
      <c r="W1443" s="3">
        <v>7</v>
      </c>
      <c r="X1443" s="5">
        <v>2014</v>
      </c>
      <c r="Y1443" s="5" t="s">
        <v>852</v>
      </c>
      <c r="Z1443" s="5" t="s">
        <v>30</v>
      </c>
      <c r="AA1443" s="5">
        <v>766</v>
      </c>
    </row>
    <row r="1444" spans="1:27" ht="15" customHeight="1">
      <c r="A1444" s="4">
        <v>2</v>
      </c>
      <c r="B1444" s="4" t="s">
        <v>345</v>
      </c>
      <c r="C1444" s="4">
        <v>1986</v>
      </c>
      <c r="D1444" s="4" t="s">
        <v>888</v>
      </c>
      <c r="E1444" s="4">
        <v>56.38</v>
      </c>
      <c r="F1444" s="7">
        <v>11701</v>
      </c>
      <c r="G1444" s="4">
        <v>9</v>
      </c>
      <c r="H1444" s="4">
        <v>180</v>
      </c>
      <c r="I1444" s="4">
        <v>190</v>
      </c>
      <c r="J1444" s="4">
        <v>197.5</v>
      </c>
      <c r="K1444" s="4" t="e">
        <f t="array" aca="1" ref="K1444">MAX(H1444:J1444*(1-strike(H1444:J1444)))</f>
        <v>#NAME?</v>
      </c>
      <c r="L1444" s="4">
        <v>115</v>
      </c>
      <c r="M1444" s="4">
        <v>120</v>
      </c>
      <c r="N1444" s="6">
        <v>125</v>
      </c>
      <c r="O1444" s="4" t="e">
        <f t="array" aca="1" ref="O1444">MAX(L1444:N1444*(1-strike(L1444:N1444)))</f>
        <v>#NAME?</v>
      </c>
      <c r="P1444" s="4">
        <v>190</v>
      </c>
      <c r="Q1444" s="4">
        <v>197.5</v>
      </c>
      <c r="R1444" s="6">
        <v>202.5</v>
      </c>
      <c r="S1444" s="4" t="e">
        <f t="array" aca="1" ref="S1444">MAX(P1444:R1444*(1-strike(P1444:R1444)))</f>
        <v>#NAME?</v>
      </c>
      <c r="T1444" s="4" t="e">
        <f t="shared" si="22"/>
        <v>#NAME?</v>
      </c>
      <c r="U1444" s="4">
        <v>515</v>
      </c>
      <c r="V1444" s="4">
        <v>602.6</v>
      </c>
      <c r="W1444" s="4">
        <v>9</v>
      </c>
      <c r="X1444" s="5">
        <v>2014</v>
      </c>
      <c r="Y1444" s="5" t="s">
        <v>852</v>
      </c>
      <c r="Z1444" s="5" t="s">
        <v>171</v>
      </c>
      <c r="AA1444" s="5">
        <v>591</v>
      </c>
    </row>
    <row r="1445" spans="1:27">
      <c r="A1445" s="3">
        <v>2</v>
      </c>
      <c r="B1445" s="3" t="s">
        <v>1053</v>
      </c>
      <c r="C1445" s="3">
        <v>1986</v>
      </c>
      <c r="D1445" s="3" t="s">
        <v>39</v>
      </c>
      <c r="E1445" s="3">
        <v>51.3</v>
      </c>
      <c r="F1445" s="2">
        <v>12597</v>
      </c>
      <c r="G1445" s="3">
        <v>16</v>
      </c>
      <c r="H1445" s="1">
        <v>115</v>
      </c>
      <c r="I1445" s="3">
        <v>115</v>
      </c>
      <c r="J1445" s="1">
        <v>120</v>
      </c>
      <c r="K1445" s="4" t="e">
        <f t="array" aca="1" ref="K1445">MAX(H1445:J1445*(1-strike(H1445:J1445)))</f>
        <v>#NAME?</v>
      </c>
      <c r="L1445" s="3">
        <v>90</v>
      </c>
      <c r="M1445" s="1">
        <v>92.5</v>
      </c>
      <c r="N1445" s="1">
        <v>92.5</v>
      </c>
      <c r="O1445" s="4" t="e">
        <f t="array" aca="1" ref="O1445">MAX(L1445:N1445*(1-strike(L1445:N1445)))</f>
        <v>#NAME?</v>
      </c>
      <c r="P1445" s="3">
        <v>152.5</v>
      </c>
      <c r="Q1445" s="1">
        <v>157.5</v>
      </c>
      <c r="R1445" s="1">
        <v>157.5</v>
      </c>
      <c r="S1445" s="4" t="e">
        <f t="array" aca="1" ref="S1445">MAX(P1445:R1445*(1-strike(P1445:R1445)))</f>
        <v>#NAME?</v>
      </c>
      <c r="T1445" s="4" t="e">
        <f t="shared" si="22"/>
        <v>#NAME?</v>
      </c>
      <c r="U1445" s="3">
        <v>357.5</v>
      </c>
      <c r="V1445" s="3">
        <v>450.34</v>
      </c>
      <c r="W1445" s="3">
        <v>9</v>
      </c>
      <c r="X1445" s="5">
        <v>2013</v>
      </c>
      <c r="Y1445" s="5" t="s">
        <v>852</v>
      </c>
      <c r="Z1445" s="5" t="s">
        <v>30</v>
      </c>
      <c r="AA1445" s="5">
        <v>1135</v>
      </c>
    </row>
    <row r="1446" spans="1:27">
      <c r="A1446" s="3" t="s">
        <v>37</v>
      </c>
      <c r="B1446" s="3" t="s">
        <v>1054</v>
      </c>
      <c r="C1446" s="3">
        <v>1986</v>
      </c>
      <c r="D1446" s="3" t="s">
        <v>28</v>
      </c>
      <c r="E1446" s="3">
        <v>105.75</v>
      </c>
      <c r="F1446" s="3">
        <v>0.82030000000000003</v>
      </c>
      <c r="G1446" s="3">
        <v>6</v>
      </c>
      <c r="H1446" s="3">
        <v>175</v>
      </c>
      <c r="I1446" s="3">
        <v>185</v>
      </c>
      <c r="J1446" s="3">
        <v>192.5</v>
      </c>
      <c r="K1446" s="4" t="e">
        <f t="array" aca="1" ref="K1446">MAX(H1446:J1446*(1-strike(H1446:J1446)))</f>
        <v>#NAME?</v>
      </c>
      <c r="L1446" s="3">
        <v>102.5</v>
      </c>
      <c r="M1446" s="3">
        <v>107.5</v>
      </c>
      <c r="N1446" s="3">
        <v>110</v>
      </c>
      <c r="O1446" s="4" t="e">
        <f t="array" aca="1" ref="O1446">MAX(L1446:N1446*(1-strike(L1446:N1446)))</f>
        <v>#NAME?</v>
      </c>
      <c r="P1446" s="3">
        <v>195</v>
      </c>
      <c r="Q1446" s="3">
        <v>210</v>
      </c>
      <c r="R1446" s="3">
        <v>220</v>
      </c>
      <c r="S1446" s="4" t="e">
        <f t="array" aca="1" ref="S1446">MAX(P1446:R1446*(1-strike(P1446:R1446)))</f>
        <v>#NAME?</v>
      </c>
      <c r="T1446" s="4" t="e">
        <f t="shared" si="22"/>
        <v>#NAME?</v>
      </c>
      <c r="U1446" s="3" t="s">
        <v>361</v>
      </c>
      <c r="V1446" s="3" t="s">
        <v>37</v>
      </c>
      <c r="W1446" s="3" t="s">
        <v>37</v>
      </c>
      <c r="X1446" s="5">
        <v>2012</v>
      </c>
      <c r="Y1446" s="5" t="s">
        <v>852</v>
      </c>
      <c r="Z1446" s="5" t="s">
        <v>30</v>
      </c>
      <c r="AA1446" s="5">
        <v>1608</v>
      </c>
    </row>
    <row r="1447" spans="1:27">
      <c r="A1447" s="3">
        <v>10</v>
      </c>
      <c r="B1447" s="3" t="s">
        <v>1055</v>
      </c>
      <c r="C1447" s="3">
        <v>1981</v>
      </c>
      <c r="D1447" s="3" t="s">
        <v>119</v>
      </c>
      <c r="E1447" s="3">
        <v>62.35</v>
      </c>
      <c r="F1447" s="2">
        <v>10825</v>
      </c>
      <c r="G1447" s="3">
        <v>1</v>
      </c>
      <c r="H1447" s="3">
        <v>110</v>
      </c>
      <c r="I1447" s="1">
        <v>120</v>
      </c>
      <c r="J1447" s="3">
        <v>120</v>
      </c>
      <c r="K1447" s="4" t="e">
        <f t="array" aca="1" ref="K1447">MAX(H1447:J1447*(1-strike(H1447:J1447)))</f>
        <v>#NAME?</v>
      </c>
      <c r="L1447" s="1">
        <v>80</v>
      </c>
      <c r="M1447" s="3">
        <v>80</v>
      </c>
      <c r="N1447" s="1">
        <v>82.5</v>
      </c>
      <c r="O1447" s="4" t="e">
        <f t="array" aca="1" ref="O1447">MAX(L1447:N1447*(1-strike(L1447:N1447)))</f>
        <v>#NAME?</v>
      </c>
      <c r="P1447" s="3">
        <v>130</v>
      </c>
      <c r="Q1447" s="1">
        <v>140</v>
      </c>
      <c r="R1447" s="1">
        <v>140</v>
      </c>
      <c r="S1447" s="4" t="e">
        <f t="array" aca="1" ref="S1447">MAX(P1447:R1447*(1-strike(P1447:R1447)))</f>
        <v>#NAME?</v>
      </c>
      <c r="T1447" s="4" t="e">
        <f t="shared" si="22"/>
        <v>#NAME?</v>
      </c>
      <c r="U1447" s="3">
        <v>330</v>
      </c>
      <c r="V1447" s="3">
        <v>357.21</v>
      </c>
      <c r="W1447" s="3">
        <v>1</v>
      </c>
      <c r="X1447" s="5">
        <v>2013</v>
      </c>
      <c r="Y1447" s="5" t="s">
        <v>852</v>
      </c>
      <c r="Z1447" s="5" t="s">
        <v>30</v>
      </c>
      <c r="AA1447" s="5">
        <v>1161</v>
      </c>
    </row>
    <row r="1448" spans="1:27">
      <c r="A1448" s="3">
        <v>15</v>
      </c>
      <c r="B1448" s="3" t="s">
        <v>1056</v>
      </c>
      <c r="C1448" s="3">
        <v>1988</v>
      </c>
      <c r="D1448" s="3" t="s">
        <v>480</v>
      </c>
      <c r="E1448" s="3">
        <v>70.400000000000006</v>
      </c>
      <c r="F1448" s="3">
        <v>0.99099999999999999</v>
      </c>
      <c r="G1448" s="3">
        <v>10</v>
      </c>
      <c r="H1448" s="3">
        <v>150</v>
      </c>
      <c r="I1448" s="3">
        <v>160</v>
      </c>
      <c r="J1448" s="1">
        <v>170</v>
      </c>
      <c r="K1448" s="4" t="e">
        <f t="array" aca="1" ref="K1448">MAX(H1448:J1448*(1-strike(H1448:J1448)))</f>
        <v>#NAME?</v>
      </c>
      <c r="L1448" s="3">
        <v>100</v>
      </c>
      <c r="M1448" s="1">
        <v>110</v>
      </c>
      <c r="N1448" s="1">
        <v>110</v>
      </c>
      <c r="O1448" s="4" t="e">
        <f t="array" aca="1" ref="O1448">MAX(L1448:N1448*(1-strike(L1448:N1448)))</f>
        <v>#NAME?</v>
      </c>
      <c r="P1448" s="1">
        <v>120</v>
      </c>
      <c r="Q1448" s="3">
        <v>130</v>
      </c>
      <c r="R1448" s="1">
        <v>140</v>
      </c>
      <c r="S1448" s="4" t="e">
        <f t="array" aca="1" ref="S1448">MAX(P1448:R1448*(1-strike(P1448:R1448)))</f>
        <v>#NAME?</v>
      </c>
      <c r="T1448" s="4" t="e">
        <f t="shared" si="22"/>
        <v>#NAME?</v>
      </c>
      <c r="U1448" s="3">
        <v>390</v>
      </c>
      <c r="V1448" s="3">
        <v>386.49</v>
      </c>
      <c r="W1448" s="3">
        <v>1</v>
      </c>
      <c r="X1448" s="5">
        <v>2012</v>
      </c>
      <c r="Y1448" s="5" t="s">
        <v>852</v>
      </c>
      <c r="Z1448" s="5" t="s">
        <v>171</v>
      </c>
      <c r="AA1448" s="5">
        <v>1400</v>
      </c>
    </row>
    <row r="1449" spans="1:27">
      <c r="A1449" s="3">
        <v>5</v>
      </c>
      <c r="B1449" s="3" t="s">
        <v>1056</v>
      </c>
      <c r="C1449" s="3">
        <v>1988</v>
      </c>
      <c r="D1449" s="3" t="s">
        <v>480</v>
      </c>
      <c r="E1449" s="3">
        <v>75.8</v>
      </c>
      <c r="F1449" s="3">
        <v>0.94440000000000002</v>
      </c>
      <c r="G1449" s="3">
        <v>2</v>
      </c>
      <c r="H1449" s="1">
        <v>140</v>
      </c>
      <c r="I1449" s="3">
        <v>140</v>
      </c>
      <c r="J1449" s="3">
        <v>150</v>
      </c>
      <c r="K1449" s="4" t="e">
        <f t="array" aca="1" ref="K1449">MAX(H1449:J1449*(1-strike(H1449:J1449)))</f>
        <v>#NAME?</v>
      </c>
      <c r="L1449" s="3">
        <v>100</v>
      </c>
      <c r="M1449" s="1">
        <v>105</v>
      </c>
      <c r="N1449" s="3">
        <v>105</v>
      </c>
      <c r="O1449" s="4" t="e">
        <f t="array" aca="1" ref="O1449">MAX(L1449:N1449*(1-strike(L1449:N1449)))</f>
        <v>#NAME?</v>
      </c>
      <c r="P1449" s="3">
        <v>130</v>
      </c>
      <c r="Q1449" s="1">
        <v>140</v>
      </c>
      <c r="R1449" s="3">
        <v>140</v>
      </c>
      <c r="S1449" s="4" t="e">
        <f t="array" aca="1" ref="S1449">MAX(P1449:R1449*(1-strike(P1449:R1449)))</f>
        <v>#NAME?</v>
      </c>
      <c r="T1449" s="4" t="e">
        <f t="shared" si="22"/>
        <v>#NAME?</v>
      </c>
      <c r="U1449" s="3">
        <v>395</v>
      </c>
      <c r="V1449" s="3">
        <v>373.04</v>
      </c>
      <c r="W1449" s="3">
        <v>6</v>
      </c>
      <c r="X1449" s="5">
        <v>2013</v>
      </c>
      <c r="Y1449" s="5" t="s">
        <v>852</v>
      </c>
      <c r="Z1449" s="5" t="s">
        <v>30</v>
      </c>
      <c r="AA1449" s="5">
        <v>1176</v>
      </c>
    </row>
    <row r="1450" spans="1:27">
      <c r="A1450" s="4">
        <v>6</v>
      </c>
      <c r="B1450" s="4" t="s">
        <v>1057</v>
      </c>
      <c r="C1450" s="4">
        <v>1983</v>
      </c>
      <c r="D1450" s="4" t="s">
        <v>878</v>
      </c>
      <c r="E1450" s="4">
        <v>56.76</v>
      </c>
      <c r="F1450" s="7">
        <v>11636</v>
      </c>
      <c r="G1450" s="4">
        <v>7</v>
      </c>
      <c r="H1450" s="6">
        <v>167.5</v>
      </c>
      <c r="I1450" s="4">
        <v>167.5</v>
      </c>
      <c r="J1450" s="6">
        <v>177.5</v>
      </c>
      <c r="K1450" s="4" t="e">
        <f t="array" aca="1" ref="K1450">MAX(H1450:J1450*(1-strike(H1450:J1450)))</f>
        <v>#NAME?</v>
      </c>
      <c r="L1450" s="4">
        <v>95</v>
      </c>
      <c r="M1450" s="4">
        <v>100</v>
      </c>
      <c r="N1450" s="6">
        <v>102.5</v>
      </c>
      <c r="O1450" s="4" t="e">
        <f t="array" aca="1" ref="O1450">MAX(L1450:N1450*(1-strike(L1450:N1450)))</f>
        <v>#NAME?</v>
      </c>
      <c r="P1450" s="4">
        <v>170</v>
      </c>
      <c r="Q1450" s="6">
        <v>177.5</v>
      </c>
      <c r="R1450" s="6">
        <v>177.5</v>
      </c>
      <c r="S1450" s="4" t="e">
        <f t="array" aca="1" ref="S1450">MAX(P1450:R1450*(1-strike(P1450:R1450)))</f>
        <v>#NAME?</v>
      </c>
      <c r="T1450" s="4" t="e">
        <f t="shared" si="22"/>
        <v>#NAME?</v>
      </c>
      <c r="U1450" s="4">
        <v>437.5</v>
      </c>
      <c r="V1450" s="4">
        <v>509.07</v>
      </c>
      <c r="W1450" s="4">
        <v>5</v>
      </c>
      <c r="X1450" s="5">
        <v>2014</v>
      </c>
      <c r="Y1450" s="5" t="s">
        <v>852</v>
      </c>
      <c r="Z1450" s="5" t="s">
        <v>171</v>
      </c>
      <c r="AA1450" s="5">
        <v>595</v>
      </c>
    </row>
    <row r="1451" spans="1:27">
      <c r="A1451" s="3">
        <v>6</v>
      </c>
      <c r="B1451" s="3" t="s">
        <v>1058</v>
      </c>
      <c r="C1451" s="3">
        <v>1987</v>
      </c>
      <c r="D1451" s="3" t="s">
        <v>62</v>
      </c>
      <c r="E1451" s="3">
        <v>46.15</v>
      </c>
      <c r="F1451" s="2">
        <v>13625</v>
      </c>
      <c r="G1451" s="3">
        <v>15</v>
      </c>
      <c r="H1451" s="3">
        <v>97.5</v>
      </c>
      <c r="I1451" s="1">
        <v>102.5</v>
      </c>
      <c r="J1451" s="1">
        <v>102.5</v>
      </c>
      <c r="K1451" s="4" t="e">
        <f t="array" aca="1" ref="K1451">MAX(H1451:J1451*(1-strike(H1451:J1451)))</f>
        <v>#NAME?</v>
      </c>
      <c r="L1451" s="3">
        <v>52.5</v>
      </c>
      <c r="M1451" s="1">
        <v>57.5</v>
      </c>
      <c r="N1451" s="3">
        <v>57.5</v>
      </c>
      <c r="O1451" s="4" t="e">
        <f t="array" aca="1" ref="O1451">MAX(L1451:N1451*(1-strike(L1451:N1451)))</f>
        <v>#NAME?</v>
      </c>
      <c r="P1451" s="3">
        <v>122.5</v>
      </c>
      <c r="Q1451" s="3">
        <v>130</v>
      </c>
      <c r="R1451" s="1">
        <v>137.5</v>
      </c>
      <c r="S1451" s="4" t="e">
        <f t="array" aca="1" ref="S1451">MAX(P1451:R1451*(1-strike(P1451:R1451)))</f>
        <v>#NAME?</v>
      </c>
      <c r="T1451" s="4" t="e">
        <f t="shared" si="22"/>
        <v>#NAME?</v>
      </c>
      <c r="U1451" s="3">
        <v>285</v>
      </c>
      <c r="V1451" s="3">
        <v>388.33</v>
      </c>
      <c r="W1451" s="3">
        <v>5</v>
      </c>
      <c r="X1451" s="5">
        <v>2013</v>
      </c>
      <c r="Y1451" s="5" t="s">
        <v>852</v>
      </c>
      <c r="Z1451" s="5" t="s">
        <v>30</v>
      </c>
      <c r="AA1451" s="5">
        <v>1128</v>
      </c>
    </row>
    <row r="1452" spans="1:27">
      <c r="A1452" s="3">
        <v>9</v>
      </c>
      <c r="B1452" s="3" t="s">
        <v>1059</v>
      </c>
      <c r="C1452" s="3">
        <v>1984</v>
      </c>
      <c r="D1452" s="3" t="s">
        <v>85</v>
      </c>
      <c r="E1452" s="3">
        <v>61.73</v>
      </c>
      <c r="F1452" s="2">
        <v>10907</v>
      </c>
      <c r="G1452" s="3">
        <v>2</v>
      </c>
      <c r="H1452" s="1">
        <v>165</v>
      </c>
      <c r="I1452" s="3">
        <v>165</v>
      </c>
      <c r="J1452" s="1">
        <v>175</v>
      </c>
      <c r="K1452" s="4" t="e">
        <f t="array" aca="1" ref="K1452">MAX(H1452:J1452*(1-strike(H1452:J1452)))</f>
        <v>#NAME?</v>
      </c>
      <c r="L1452" s="3">
        <v>80</v>
      </c>
      <c r="M1452" s="1">
        <v>85</v>
      </c>
      <c r="N1452" s="3">
        <v>85</v>
      </c>
      <c r="O1452" s="4" t="e">
        <f t="array" aca="1" ref="O1452">MAX(L1452:N1452*(1-strike(L1452:N1452)))</f>
        <v>#NAME?</v>
      </c>
      <c r="P1452" s="3">
        <v>175</v>
      </c>
      <c r="Q1452" s="3">
        <v>185</v>
      </c>
      <c r="R1452" s="3">
        <v>190</v>
      </c>
      <c r="S1452" s="4" t="e">
        <f t="array" aca="1" ref="S1452">MAX(P1452:R1452*(1-strike(P1452:R1452)))</f>
        <v>#NAME?</v>
      </c>
      <c r="T1452" s="4" t="e">
        <f t="shared" si="22"/>
        <v>#NAME?</v>
      </c>
      <c r="U1452" s="3">
        <v>440</v>
      </c>
      <c r="V1452" s="3">
        <v>479.91</v>
      </c>
      <c r="W1452" s="3">
        <v>2</v>
      </c>
      <c r="X1452" s="5">
        <v>2013</v>
      </c>
      <c r="Y1452" s="5" t="s">
        <v>852</v>
      </c>
      <c r="Z1452" s="5" t="s">
        <v>171</v>
      </c>
      <c r="AA1452" s="5">
        <v>980</v>
      </c>
    </row>
    <row r="1453" spans="1:27">
      <c r="A1453" s="3">
        <v>3</v>
      </c>
      <c r="B1453" s="3" t="s">
        <v>1060</v>
      </c>
      <c r="C1453" s="3">
        <v>1967</v>
      </c>
      <c r="D1453" s="3" t="s">
        <v>28</v>
      </c>
      <c r="E1453" s="3">
        <v>66.95</v>
      </c>
      <c r="F1453" s="2">
        <v>10267</v>
      </c>
      <c r="G1453" s="3">
        <v>2</v>
      </c>
      <c r="H1453" s="3">
        <v>130</v>
      </c>
      <c r="I1453" s="3">
        <v>135</v>
      </c>
      <c r="J1453" s="3">
        <v>137.5</v>
      </c>
      <c r="K1453" s="4" t="e">
        <f t="array" aca="1" ref="K1453">MAX(H1453:J1453*(1-strike(H1453:J1453)))</f>
        <v>#NAME?</v>
      </c>
      <c r="L1453" s="3">
        <v>75</v>
      </c>
      <c r="M1453" s="3">
        <v>80</v>
      </c>
      <c r="N1453" s="3">
        <v>82.5</v>
      </c>
      <c r="O1453" s="4" t="e">
        <f t="array" aca="1" ref="O1453">MAX(L1453:N1453*(1-strike(L1453:N1453)))</f>
        <v>#NAME?</v>
      </c>
      <c r="P1453" s="3">
        <v>170</v>
      </c>
      <c r="Q1453" s="3">
        <v>185</v>
      </c>
      <c r="R1453" s="1">
        <v>192.5</v>
      </c>
      <c r="S1453" s="4" t="e">
        <f t="array" aca="1" ref="S1453">MAX(P1453:R1453*(1-strike(P1453:R1453)))</f>
        <v>#NAME?</v>
      </c>
      <c r="T1453" s="4" t="e">
        <f t="shared" si="22"/>
        <v>#NAME?</v>
      </c>
      <c r="U1453" s="3">
        <v>405</v>
      </c>
      <c r="V1453" s="3">
        <v>415.79</v>
      </c>
      <c r="W1453" s="3">
        <v>8</v>
      </c>
      <c r="X1453" s="5">
        <v>2012</v>
      </c>
      <c r="Y1453" s="5" t="s">
        <v>852</v>
      </c>
      <c r="Z1453" s="5" t="s">
        <v>30</v>
      </c>
      <c r="AA1453" s="5">
        <v>1587</v>
      </c>
    </row>
  </sheetData>
  <sortState ref="A2:AA1453">
    <sortCondition ref="Y2:Y1453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57"/>
  <sheetViews>
    <sheetView workbookViewId="0">
      <pane ySplit="1" topLeftCell="A1330" activePane="bottomLeft" state="frozen"/>
      <selection pane="bottomLeft" activeCell="E434" sqref="E434"/>
    </sheetView>
  </sheetViews>
  <sheetFormatPr defaultRowHeight="15"/>
  <cols>
    <col min="1" max="1" width="25.5703125" bestFit="1" customWidth="1"/>
    <col min="2" max="2" width="9.5703125" bestFit="1" customWidth="1"/>
    <col min="3" max="3" width="5.85546875" bestFit="1" customWidth="1"/>
    <col min="4" max="4" width="12.28515625" bestFit="1" customWidth="1"/>
    <col min="5" max="5" width="10.28515625" bestFit="1" customWidth="1"/>
    <col min="6" max="6" width="10.7109375" bestFit="1" customWidth="1"/>
    <col min="7" max="7" width="12.42578125" bestFit="1" customWidth="1"/>
    <col min="8" max="8" width="7" bestFit="1" customWidth="1"/>
    <col min="9" max="9" width="5" bestFit="1" customWidth="1"/>
    <col min="10" max="10" width="4.140625" bestFit="1" customWidth="1"/>
    <col min="11" max="11" width="8.140625" bestFit="1" customWidth="1"/>
    <col min="12" max="12" width="17.42578125" style="8" bestFit="1" customWidth="1"/>
  </cols>
  <sheetData>
    <row r="1" spans="1:12" s="9" customFormat="1">
      <c r="A1" s="9" t="s">
        <v>1061</v>
      </c>
      <c r="B1" s="9" t="s">
        <v>1062</v>
      </c>
      <c r="C1" s="9" t="s">
        <v>3</v>
      </c>
      <c r="D1" s="9" t="s">
        <v>1063</v>
      </c>
      <c r="E1" s="9" t="s">
        <v>10</v>
      </c>
      <c r="F1" s="9" t="s">
        <v>14</v>
      </c>
      <c r="G1" s="9" t="s">
        <v>18</v>
      </c>
      <c r="H1" s="9" t="s">
        <v>1064</v>
      </c>
      <c r="I1" s="9" t="s">
        <v>23</v>
      </c>
      <c r="J1" s="9" t="s">
        <v>24</v>
      </c>
      <c r="K1" s="9" t="s">
        <v>25</v>
      </c>
      <c r="L1" s="10" t="s">
        <v>1065</v>
      </c>
    </row>
    <row r="2" spans="1:12">
      <c r="A2" t="s">
        <v>102</v>
      </c>
      <c r="B2">
        <v>1985</v>
      </c>
      <c r="C2" t="s">
        <v>62</v>
      </c>
      <c r="D2">
        <v>58.7</v>
      </c>
      <c r="E2">
        <v>225</v>
      </c>
      <c r="F2">
        <v>97.5</v>
      </c>
      <c r="G2">
        <v>172.5</v>
      </c>
      <c r="H2">
        <v>495</v>
      </c>
      <c r="I2">
        <v>2012</v>
      </c>
      <c r="J2" t="s">
        <v>29</v>
      </c>
      <c r="K2" t="s">
        <v>30</v>
      </c>
      <c r="L2" s="8">
        <f t="shared" ref="L2:L65" si="0">IF(AND(F2&lt;&gt;0,E2&lt;&gt;0),F2/E2,"")</f>
        <v>0.43333333333333335</v>
      </c>
    </row>
    <row r="3" spans="1:12">
      <c r="A3" t="s">
        <v>103</v>
      </c>
      <c r="B3">
        <v>1966</v>
      </c>
      <c r="C3" t="s">
        <v>62</v>
      </c>
      <c r="D3">
        <v>58.55</v>
      </c>
      <c r="E3">
        <v>172.5</v>
      </c>
      <c r="F3">
        <v>75</v>
      </c>
      <c r="G3">
        <v>235</v>
      </c>
      <c r="H3">
        <v>482.5</v>
      </c>
      <c r="I3">
        <v>2014</v>
      </c>
      <c r="J3" t="s">
        <v>29</v>
      </c>
      <c r="K3" t="s">
        <v>30</v>
      </c>
      <c r="L3" s="8">
        <f t="shared" si="0"/>
        <v>0.43478260869565216</v>
      </c>
    </row>
    <row r="4" spans="1:12">
      <c r="A4" t="s">
        <v>31</v>
      </c>
      <c r="B4">
        <v>1987</v>
      </c>
      <c r="C4" t="s">
        <v>32</v>
      </c>
      <c r="D4">
        <v>103.85</v>
      </c>
      <c r="E4">
        <v>240</v>
      </c>
      <c r="F4">
        <v>120</v>
      </c>
      <c r="G4">
        <v>270</v>
      </c>
      <c r="H4">
        <v>630</v>
      </c>
      <c r="I4">
        <v>2012</v>
      </c>
      <c r="J4" t="s">
        <v>29</v>
      </c>
      <c r="K4" t="s">
        <v>30</v>
      </c>
      <c r="L4" s="8">
        <f t="shared" si="0"/>
        <v>0.5</v>
      </c>
    </row>
    <row r="5" spans="1:12">
      <c r="A5" t="s">
        <v>413</v>
      </c>
      <c r="B5">
        <v>1988</v>
      </c>
      <c r="C5" t="s">
        <v>113</v>
      </c>
      <c r="D5">
        <v>90.9</v>
      </c>
      <c r="E5">
        <v>252.5</v>
      </c>
      <c r="F5">
        <v>130</v>
      </c>
      <c r="G5">
        <v>0</v>
      </c>
      <c r="H5">
        <v>0</v>
      </c>
      <c r="I5">
        <v>2013</v>
      </c>
      <c r="J5" t="s">
        <v>29</v>
      </c>
      <c r="K5" t="s">
        <v>30</v>
      </c>
      <c r="L5" s="8">
        <f t="shared" si="0"/>
        <v>0.51485148514851486</v>
      </c>
    </row>
    <row r="6" spans="1:12">
      <c r="A6" t="s">
        <v>549</v>
      </c>
      <c r="B6">
        <v>1989</v>
      </c>
      <c r="C6" t="s">
        <v>51</v>
      </c>
      <c r="D6">
        <v>57.75</v>
      </c>
      <c r="E6">
        <v>155</v>
      </c>
      <c r="F6">
        <v>80</v>
      </c>
      <c r="G6">
        <v>225</v>
      </c>
      <c r="H6">
        <v>460</v>
      </c>
      <c r="I6">
        <v>2014</v>
      </c>
      <c r="J6" t="s">
        <v>29</v>
      </c>
      <c r="K6" t="s">
        <v>30</v>
      </c>
      <c r="L6" s="8">
        <f t="shared" si="0"/>
        <v>0.5161290322580645</v>
      </c>
    </row>
    <row r="7" spans="1:12">
      <c r="A7" t="s">
        <v>103</v>
      </c>
      <c r="B7">
        <v>1966</v>
      </c>
      <c r="C7" t="s">
        <v>62</v>
      </c>
      <c r="D7">
        <v>58.75</v>
      </c>
      <c r="E7">
        <v>192.5</v>
      </c>
      <c r="F7">
        <v>100</v>
      </c>
      <c r="G7">
        <v>230</v>
      </c>
      <c r="H7">
        <v>522.5</v>
      </c>
      <c r="I7">
        <v>2013</v>
      </c>
      <c r="J7" t="s">
        <v>29</v>
      </c>
      <c r="K7" t="s">
        <v>30</v>
      </c>
      <c r="L7" s="8">
        <f t="shared" si="0"/>
        <v>0.51948051948051943</v>
      </c>
    </row>
    <row r="8" spans="1:12">
      <c r="A8" t="s">
        <v>107</v>
      </c>
      <c r="B8">
        <v>1982</v>
      </c>
      <c r="C8" t="s">
        <v>42</v>
      </c>
      <c r="D8">
        <v>58.5</v>
      </c>
      <c r="E8">
        <v>210</v>
      </c>
      <c r="F8">
        <v>110</v>
      </c>
      <c r="G8">
        <v>215</v>
      </c>
      <c r="H8">
        <v>535</v>
      </c>
      <c r="I8">
        <v>2014</v>
      </c>
      <c r="J8" t="s">
        <v>29</v>
      </c>
      <c r="K8" t="s">
        <v>30</v>
      </c>
      <c r="L8" s="8">
        <f t="shared" si="0"/>
        <v>0.52380952380952384</v>
      </c>
    </row>
    <row r="9" spans="1:12">
      <c r="A9" t="s">
        <v>107</v>
      </c>
      <c r="B9">
        <v>1982</v>
      </c>
      <c r="C9" t="s">
        <v>42</v>
      </c>
      <c r="D9">
        <v>58.25</v>
      </c>
      <c r="E9">
        <v>200</v>
      </c>
      <c r="F9">
        <v>105</v>
      </c>
      <c r="G9">
        <v>0</v>
      </c>
      <c r="H9">
        <v>0</v>
      </c>
      <c r="I9">
        <v>2013</v>
      </c>
      <c r="J9" t="s">
        <v>29</v>
      </c>
      <c r="K9" t="s">
        <v>30</v>
      </c>
      <c r="L9" s="8">
        <f t="shared" si="0"/>
        <v>0.52500000000000002</v>
      </c>
    </row>
    <row r="10" spans="1:12">
      <c r="A10" t="s">
        <v>548</v>
      </c>
      <c r="B10">
        <v>1981</v>
      </c>
      <c r="C10" t="s">
        <v>56</v>
      </c>
      <c r="D10">
        <v>104.65</v>
      </c>
      <c r="E10">
        <v>267.5</v>
      </c>
      <c r="F10">
        <v>142.5</v>
      </c>
      <c r="G10">
        <v>305</v>
      </c>
      <c r="H10">
        <v>715</v>
      </c>
      <c r="I10">
        <v>2014</v>
      </c>
      <c r="J10" t="s">
        <v>29</v>
      </c>
      <c r="K10" t="s">
        <v>30</v>
      </c>
      <c r="L10" s="8">
        <f t="shared" si="0"/>
        <v>0.53271028037383172</v>
      </c>
    </row>
    <row r="11" spans="1:12">
      <c r="A11" t="s">
        <v>103</v>
      </c>
      <c r="B11">
        <v>1966</v>
      </c>
      <c r="C11" t="s">
        <v>62</v>
      </c>
      <c r="D11">
        <v>58.55</v>
      </c>
      <c r="E11">
        <v>187.5</v>
      </c>
      <c r="F11">
        <v>100</v>
      </c>
      <c r="G11">
        <v>252.5</v>
      </c>
      <c r="H11">
        <v>540</v>
      </c>
      <c r="I11">
        <v>2012</v>
      </c>
      <c r="J11" t="s">
        <v>29</v>
      </c>
      <c r="K11" t="s">
        <v>30</v>
      </c>
      <c r="L11" s="8">
        <f t="shared" si="0"/>
        <v>0.53333333333333333</v>
      </c>
    </row>
    <row r="12" spans="1:12">
      <c r="A12" t="s">
        <v>41</v>
      </c>
      <c r="B12">
        <v>1976</v>
      </c>
      <c r="C12" t="s">
        <v>42</v>
      </c>
      <c r="D12">
        <v>118.45</v>
      </c>
      <c r="E12">
        <v>356</v>
      </c>
      <c r="F12">
        <v>190</v>
      </c>
      <c r="G12">
        <v>320</v>
      </c>
      <c r="H12">
        <v>866</v>
      </c>
      <c r="I12">
        <v>2013</v>
      </c>
      <c r="J12" t="s">
        <v>29</v>
      </c>
      <c r="K12" t="s">
        <v>30</v>
      </c>
      <c r="L12" s="8">
        <f t="shared" si="0"/>
        <v>0.5337078651685393</v>
      </c>
    </row>
    <row r="13" spans="1:12">
      <c r="A13" t="s">
        <v>624</v>
      </c>
      <c r="B13">
        <v>1976</v>
      </c>
      <c r="C13" t="s">
        <v>163</v>
      </c>
      <c r="D13">
        <v>102.5</v>
      </c>
      <c r="E13">
        <v>315</v>
      </c>
      <c r="F13">
        <v>170</v>
      </c>
      <c r="G13">
        <v>290</v>
      </c>
      <c r="H13">
        <v>775</v>
      </c>
      <c r="I13">
        <v>2014</v>
      </c>
      <c r="J13" t="s">
        <v>29</v>
      </c>
      <c r="K13" t="s">
        <v>30</v>
      </c>
      <c r="L13" s="8">
        <f t="shared" si="0"/>
        <v>0.53968253968253965</v>
      </c>
    </row>
    <row r="14" spans="1:12">
      <c r="A14" t="s">
        <v>63</v>
      </c>
      <c r="B14">
        <v>1989</v>
      </c>
      <c r="C14" t="s">
        <v>56</v>
      </c>
      <c r="D14">
        <v>73.849999999999994</v>
      </c>
      <c r="E14">
        <v>187.5</v>
      </c>
      <c r="F14">
        <v>102.5</v>
      </c>
      <c r="G14">
        <v>227.5</v>
      </c>
      <c r="H14">
        <v>517.5</v>
      </c>
      <c r="I14">
        <v>2012</v>
      </c>
      <c r="J14" t="s">
        <v>29</v>
      </c>
      <c r="K14" t="s">
        <v>30</v>
      </c>
      <c r="L14" s="8">
        <f t="shared" si="0"/>
        <v>0.54666666666666663</v>
      </c>
    </row>
    <row r="15" spans="1:12">
      <c r="A15" t="s">
        <v>626</v>
      </c>
      <c r="B15">
        <v>1983</v>
      </c>
      <c r="C15" t="s">
        <v>445</v>
      </c>
      <c r="D15">
        <v>156.85</v>
      </c>
      <c r="E15">
        <v>392.5</v>
      </c>
      <c r="F15">
        <v>215</v>
      </c>
      <c r="G15">
        <v>320</v>
      </c>
      <c r="H15">
        <v>927.5</v>
      </c>
      <c r="I15">
        <v>2015</v>
      </c>
      <c r="J15" t="s">
        <v>29</v>
      </c>
      <c r="K15" t="s">
        <v>30</v>
      </c>
      <c r="L15" s="8">
        <f t="shared" si="0"/>
        <v>0.54777070063694266</v>
      </c>
    </row>
    <row r="16" spans="1:12">
      <c r="A16" t="s">
        <v>131</v>
      </c>
      <c r="B16">
        <v>1985</v>
      </c>
      <c r="C16" t="s">
        <v>77</v>
      </c>
      <c r="D16">
        <v>92.3</v>
      </c>
      <c r="E16">
        <v>260</v>
      </c>
      <c r="F16">
        <v>142.5</v>
      </c>
      <c r="G16">
        <v>270</v>
      </c>
      <c r="H16">
        <v>672.5</v>
      </c>
      <c r="I16">
        <v>2012</v>
      </c>
      <c r="J16" t="s">
        <v>29</v>
      </c>
      <c r="K16" t="s">
        <v>30</v>
      </c>
      <c r="L16" s="8">
        <f t="shared" si="0"/>
        <v>0.54807692307692313</v>
      </c>
    </row>
    <row r="17" spans="1:12">
      <c r="A17" t="s">
        <v>107</v>
      </c>
      <c r="B17">
        <v>1982</v>
      </c>
      <c r="C17" t="s">
        <v>42</v>
      </c>
      <c r="D17">
        <v>59</v>
      </c>
      <c r="E17">
        <v>200</v>
      </c>
      <c r="F17">
        <v>110</v>
      </c>
      <c r="G17">
        <v>217.5</v>
      </c>
      <c r="H17">
        <v>527.5</v>
      </c>
      <c r="I17">
        <v>2012</v>
      </c>
      <c r="J17" t="s">
        <v>29</v>
      </c>
      <c r="K17" t="s">
        <v>30</v>
      </c>
      <c r="L17" s="8">
        <f t="shared" si="0"/>
        <v>0.55000000000000004</v>
      </c>
    </row>
    <row r="18" spans="1:12">
      <c r="A18" t="s">
        <v>666</v>
      </c>
      <c r="B18">
        <v>1987</v>
      </c>
      <c r="C18" t="s">
        <v>56</v>
      </c>
      <c r="D18">
        <v>125.69</v>
      </c>
      <c r="E18">
        <v>300</v>
      </c>
      <c r="F18">
        <v>165</v>
      </c>
      <c r="G18">
        <v>320</v>
      </c>
      <c r="H18">
        <v>785</v>
      </c>
      <c r="I18">
        <v>2015</v>
      </c>
      <c r="J18" t="s">
        <v>29</v>
      </c>
      <c r="K18" t="s">
        <v>30</v>
      </c>
      <c r="L18" s="8">
        <f t="shared" si="0"/>
        <v>0.55000000000000004</v>
      </c>
    </row>
    <row r="19" spans="1:12">
      <c r="A19" t="s">
        <v>750</v>
      </c>
      <c r="B19">
        <v>1989</v>
      </c>
      <c r="C19" t="s">
        <v>359</v>
      </c>
      <c r="D19">
        <v>78.900000000000006</v>
      </c>
      <c r="E19">
        <v>245</v>
      </c>
      <c r="F19">
        <v>135</v>
      </c>
      <c r="G19">
        <v>282.5</v>
      </c>
      <c r="H19">
        <v>662.5</v>
      </c>
      <c r="I19">
        <v>2013</v>
      </c>
      <c r="J19" t="s">
        <v>29</v>
      </c>
      <c r="K19" t="s">
        <v>30</v>
      </c>
      <c r="L19" s="8">
        <f t="shared" si="0"/>
        <v>0.55102040816326525</v>
      </c>
    </row>
    <row r="20" spans="1:12">
      <c r="A20" t="s">
        <v>837</v>
      </c>
      <c r="B20">
        <v>1986</v>
      </c>
      <c r="C20" t="s">
        <v>62</v>
      </c>
      <c r="D20">
        <v>171.65</v>
      </c>
      <c r="E20">
        <v>425.5</v>
      </c>
      <c r="F20">
        <v>235</v>
      </c>
      <c r="G20">
        <v>340</v>
      </c>
      <c r="H20">
        <v>1000.5</v>
      </c>
      <c r="I20">
        <v>2015</v>
      </c>
      <c r="J20" t="s">
        <v>29</v>
      </c>
      <c r="K20" t="s">
        <v>30</v>
      </c>
      <c r="L20" s="8">
        <f t="shared" si="0"/>
        <v>0.55229142185663926</v>
      </c>
    </row>
    <row r="21" spans="1:12">
      <c r="A21" t="s">
        <v>69</v>
      </c>
      <c r="B21">
        <v>1983</v>
      </c>
      <c r="C21" t="s">
        <v>45</v>
      </c>
      <c r="D21">
        <v>103.6</v>
      </c>
      <c r="E21">
        <v>307.5</v>
      </c>
      <c r="F21">
        <v>170</v>
      </c>
      <c r="G21">
        <v>330</v>
      </c>
      <c r="H21">
        <v>807.5</v>
      </c>
      <c r="I21">
        <v>2014</v>
      </c>
      <c r="J21" t="s">
        <v>29</v>
      </c>
      <c r="K21" t="s">
        <v>30</v>
      </c>
      <c r="L21" s="8">
        <f t="shared" si="0"/>
        <v>0.55284552845528456</v>
      </c>
    </row>
    <row r="22" spans="1:12">
      <c r="A22" t="s">
        <v>115</v>
      </c>
      <c r="B22">
        <v>1994</v>
      </c>
      <c r="C22" t="s">
        <v>56</v>
      </c>
      <c r="D22">
        <v>73.849999999999994</v>
      </c>
      <c r="E22">
        <v>185</v>
      </c>
      <c r="F22">
        <v>102.5</v>
      </c>
      <c r="G22">
        <v>210</v>
      </c>
      <c r="H22">
        <v>497.5</v>
      </c>
      <c r="I22">
        <v>2012</v>
      </c>
      <c r="J22" t="s">
        <v>29</v>
      </c>
      <c r="K22" t="s">
        <v>30</v>
      </c>
      <c r="L22" s="8">
        <f t="shared" si="0"/>
        <v>0.55405405405405406</v>
      </c>
    </row>
    <row r="23" spans="1:12">
      <c r="A23" t="s">
        <v>114</v>
      </c>
      <c r="B23">
        <v>1975</v>
      </c>
      <c r="C23" t="s">
        <v>56</v>
      </c>
      <c r="D23">
        <v>65.900000000000006</v>
      </c>
      <c r="E23">
        <v>180</v>
      </c>
      <c r="F23">
        <v>100</v>
      </c>
      <c r="G23">
        <v>255</v>
      </c>
      <c r="H23">
        <v>535</v>
      </c>
      <c r="I23">
        <v>2014</v>
      </c>
      <c r="J23" t="s">
        <v>29</v>
      </c>
      <c r="K23" t="s">
        <v>30</v>
      </c>
      <c r="L23" s="8">
        <f t="shared" si="0"/>
        <v>0.55555555555555558</v>
      </c>
    </row>
    <row r="24" spans="1:12">
      <c r="A24" t="s">
        <v>575</v>
      </c>
      <c r="B24">
        <v>1983</v>
      </c>
      <c r="C24" t="s">
        <v>576</v>
      </c>
      <c r="D24">
        <v>73.22</v>
      </c>
      <c r="E24">
        <v>242.5</v>
      </c>
      <c r="F24">
        <v>135</v>
      </c>
      <c r="G24">
        <v>295</v>
      </c>
      <c r="H24">
        <v>672.5</v>
      </c>
      <c r="I24">
        <v>2015</v>
      </c>
      <c r="J24" t="s">
        <v>29</v>
      </c>
      <c r="K24" t="s">
        <v>30</v>
      </c>
      <c r="L24" s="8">
        <f t="shared" si="0"/>
        <v>0.55670103092783507</v>
      </c>
    </row>
    <row r="25" spans="1:12">
      <c r="A25" t="s">
        <v>41</v>
      </c>
      <c r="B25">
        <v>1976</v>
      </c>
      <c r="C25" t="s">
        <v>42</v>
      </c>
      <c r="D25">
        <v>119.7</v>
      </c>
      <c r="E25">
        <v>375</v>
      </c>
      <c r="F25">
        <v>210</v>
      </c>
      <c r="G25">
        <v>360</v>
      </c>
      <c r="H25">
        <v>945</v>
      </c>
      <c r="I25">
        <v>2014</v>
      </c>
      <c r="J25" t="s">
        <v>29</v>
      </c>
      <c r="K25" t="s">
        <v>30</v>
      </c>
      <c r="L25" s="8">
        <f t="shared" si="0"/>
        <v>0.56000000000000005</v>
      </c>
    </row>
    <row r="26" spans="1:12">
      <c r="A26" t="s">
        <v>98</v>
      </c>
      <c r="B26">
        <v>1982</v>
      </c>
      <c r="C26" t="s">
        <v>28</v>
      </c>
      <c r="D26">
        <v>151.4</v>
      </c>
      <c r="E26">
        <v>330</v>
      </c>
      <c r="F26">
        <v>185</v>
      </c>
      <c r="G26">
        <v>332.5</v>
      </c>
      <c r="H26">
        <v>847.5</v>
      </c>
      <c r="I26">
        <v>2012</v>
      </c>
      <c r="J26" t="s">
        <v>29</v>
      </c>
      <c r="K26" t="s">
        <v>30</v>
      </c>
      <c r="L26" s="8">
        <f t="shared" si="0"/>
        <v>0.56060606060606055</v>
      </c>
    </row>
    <row r="27" spans="1:12">
      <c r="A27" t="s">
        <v>98</v>
      </c>
      <c r="B27">
        <v>1982</v>
      </c>
      <c r="C27" t="s">
        <v>28</v>
      </c>
      <c r="D27">
        <v>142.29</v>
      </c>
      <c r="E27">
        <v>365</v>
      </c>
      <c r="F27">
        <v>205</v>
      </c>
      <c r="G27">
        <v>362.5</v>
      </c>
      <c r="H27">
        <v>932.5</v>
      </c>
      <c r="I27">
        <v>2015</v>
      </c>
      <c r="J27" t="s">
        <v>29</v>
      </c>
      <c r="K27" t="s">
        <v>30</v>
      </c>
      <c r="L27" s="8">
        <f t="shared" si="0"/>
        <v>0.56164383561643838</v>
      </c>
    </row>
    <row r="28" spans="1:12">
      <c r="A28" t="s">
        <v>168</v>
      </c>
      <c r="B28">
        <v>1969</v>
      </c>
      <c r="C28" t="s">
        <v>35</v>
      </c>
      <c r="D28">
        <v>58.9</v>
      </c>
      <c r="E28">
        <v>155</v>
      </c>
      <c r="F28">
        <v>87.5</v>
      </c>
      <c r="G28">
        <v>215</v>
      </c>
      <c r="H28">
        <v>457.5</v>
      </c>
      <c r="I28">
        <v>2012</v>
      </c>
      <c r="J28" t="s">
        <v>29</v>
      </c>
      <c r="K28" t="s">
        <v>30</v>
      </c>
      <c r="L28" s="8">
        <f t="shared" si="0"/>
        <v>0.56451612903225812</v>
      </c>
    </row>
    <row r="29" spans="1:12">
      <c r="A29" t="s">
        <v>114</v>
      </c>
      <c r="B29">
        <v>1975</v>
      </c>
      <c r="C29" t="s">
        <v>56</v>
      </c>
      <c r="D29">
        <v>65.45</v>
      </c>
      <c r="E29">
        <v>172.5</v>
      </c>
      <c r="F29">
        <v>97.5</v>
      </c>
      <c r="G29">
        <v>250</v>
      </c>
      <c r="H29">
        <v>520</v>
      </c>
      <c r="I29">
        <v>2012</v>
      </c>
      <c r="J29" t="s">
        <v>29</v>
      </c>
      <c r="K29" t="s">
        <v>30</v>
      </c>
      <c r="L29" s="8">
        <f t="shared" si="0"/>
        <v>0.56521739130434778</v>
      </c>
    </row>
    <row r="30" spans="1:12">
      <c r="A30" t="s">
        <v>128</v>
      </c>
      <c r="B30">
        <v>1979</v>
      </c>
      <c r="C30" t="s">
        <v>129</v>
      </c>
      <c r="D30">
        <v>103.8</v>
      </c>
      <c r="E30">
        <v>265</v>
      </c>
      <c r="F30">
        <v>150</v>
      </c>
      <c r="G30">
        <v>312.5</v>
      </c>
      <c r="H30">
        <v>727.5</v>
      </c>
      <c r="I30">
        <v>2012</v>
      </c>
      <c r="J30" t="s">
        <v>29</v>
      </c>
      <c r="K30" t="s">
        <v>30</v>
      </c>
      <c r="L30" s="8">
        <f t="shared" si="0"/>
        <v>0.56603773584905659</v>
      </c>
    </row>
    <row r="31" spans="1:12">
      <c r="A31" t="s">
        <v>154</v>
      </c>
      <c r="B31">
        <v>1987</v>
      </c>
      <c r="C31" t="s">
        <v>62</v>
      </c>
      <c r="D31">
        <v>167.02</v>
      </c>
      <c r="E31">
        <v>410</v>
      </c>
      <c r="F31">
        <v>232.5</v>
      </c>
      <c r="G31">
        <v>335</v>
      </c>
      <c r="H31">
        <v>977.5</v>
      </c>
      <c r="I31">
        <v>2015</v>
      </c>
      <c r="J31" t="s">
        <v>29</v>
      </c>
      <c r="K31" t="s">
        <v>30</v>
      </c>
      <c r="L31" s="8">
        <f t="shared" si="0"/>
        <v>0.56707317073170727</v>
      </c>
    </row>
    <row r="32" spans="1:12">
      <c r="A32" t="s">
        <v>124</v>
      </c>
      <c r="B32">
        <v>1966</v>
      </c>
      <c r="C32" t="s">
        <v>125</v>
      </c>
      <c r="D32">
        <v>73.25</v>
      </c>
      <c r="E32">
        <v>220</v>
      </c>
      <c r="F32">
        <v>125</v>
      </c>
      <c r="G32">
        <v>242.5</v>
      </c>
      <c r="H32">
        <v>587.5</v>
      </c>
      <c r="I32">
        <v>2012</v>
      </c>
      <c r="J32" t="s">
        <v>29</v>
      </c>
      <c r="K32" t="s">
        <v>30</v>
      </c>
      <c r="L32" s="8">
        <f t="shared" si="0"/>
        <v>0.56818181818181823</v>
      </c>
    </row>
    <row r="33" spans="1:12">
      <c r="A33" t="s">
        <v>678</v>
      </c>
      <c r="B33">
        <v>1981</v>
      </c>
      <c r="C33" t="s">
        <v>62</v>
      </c>
      <c r="D33">
        <v>91.48</v>
      </c>
      <c r="E33">
        <v>303</v>
      </c>
      <c r="F33">
        <v>172.5</v>
      </c>
      <c r="G33">
        <v>322.5</v>
      </c>
      <c r="H33">
        <v>798</v>
      </c>
      <c r="I33">
        <v>2015</v>
      </c>
      <c r="J33" t="s">
        <v>29</v>
      </c>
      <c r="K33" t="s">
        <v>30</v>
      </c>
      <c r="L33" s="8">
        <f t="shared" si="0"/>
        <v>0.56930693069306926</v>
      </c>
    </row>
    <row r="34" spans="1:12">
      <c r="A34" t="s">
        <v>837</v>
      </c>
      <c r="B34">
        <v>1986</v>
      </c>
      <c r="C34" t="s">
        <v>62</v>
      </c>
      <c r="D34">
        <v>162.4</v>
      </c>
      <c r="E34">
        <v>412.5</v>
      </c>
      <c r="F34">
        <v>235</v>
      </c>
      <c r="G34">
        <v>325</v>
      </c>
      <c r="H34">
        <v>972.5</v>
      </c>
      <c r="I34">
        <v>2014</v>
      </c>
      <c r="J34" t="s">
        <v>29</v>
      </c>
      <c r="K34" t="s">
        <v>30</v>
      </c>
      <c r="L34" s="8">
        <f t="shared" si="0"/>
        <v>0.5696969696969697</v>
      </c>
    </row>
    <row r="35" spans="1:12">
      <c r="A35" t="s">
        <v>99</v>
      </c>
      <c r="B35">
        <v>1988</v>
      </c>
      <c r="C35" t="s">
        <v>100</v>
      </c>
      <c r="D35">
        <v>156.15</v>
      </c>
      <c r="E35">
        <v>390</v>
      </c>
      <c r="F35">
        <v>222.5</v>
      </c>
      <c r="G35">
        <v>337.5</v>
      </c>
      <c r="H35">
        <v>950</v>
      </c>
      <c r="I35">
        <v>2015</v>
      </c>
      <c r="J35" t="s">
        <v>29</v>
      </c>
      <c r="K35" t="s">
        <v>30</v>
      </c>
      <c r="L35" s="8">
        <f t="shared" si="0"/>
        <v>0.57051282051282048</v>
      </c>
    </row>
    <row r="36" spans="1:12">
      <c r="A36" t="s">
        <v>27</v>
      </c>
      <c r="B36">
        <v>1970</v>
      </c>
      <c r="C36" t="s">
        <v>28</v>
      </c>
      <c r="D36">
        <v>65.900000000000006</v>
      </c>
      <c r="E36">
        <v>240</v>
      </c>
      <c r="F36">
        <v>137.5</v>
      </c>
      <c r="G36">
        <v>265</v>
      </c>
      <c r="H36">
        <v>642.5</v>
      </c>
      <c r="I36">
        <v>2014</v>
      </c>
      <c r="J36" t="s">
        <v>29</v>
      </c>
      <c r="K36" t="s">
        <v>30</v>
      </c>
      <c r="L36" s="8">
        <f t="shared" si="0"/>
        <v>0.57291666666666663</v>
      </c>
    </row>
    <row r="37" spans="1:12">
      <c r="A37" t="s">
        <v>154</v>
      </c>
      <c r="B37">
        <v>1987</v>
      </c>
      <c r="C37" t="s">
        <v>62</v>
      </c>
      <c r="D37">
        <v>158.75</v>
      </c>
      <c r="E37">
        <v>375</v>
      </c>
      <c r="F37">
        <v>215</v>
      </c>
      <c r="G37">
        <v>317.5</v>
      </c>
      <c r="H37">
        <v>907.5</v>
      </c>
      <c r="I37">
        <v>2012</v>
      </c>
      <c r="J37" t="s">
        <v>29</v>
      </c>
      <c r="K37" t="s">
        <v>30</v>
      </c>
      <c r="L37" s="8">
        <f t="shared" si="0"/>
        <v>0.57333333333333336</v>
      </c>
    </row>
    <row r="38" spans="1:12">
      <c r="A38" t="s">
        <v>641</v>
      </c>
      <c r="B38">
        <v>1979</v>
      </c>
      <c r="C38" t="s">
        <v>51</v>
      </c>
      <c r="D38">
        <v>82.3</v>
      </c>
      <c r="E38">
        <v>235</v>
      </c>
      <c r="F38">
        <v>135</v>
      </c>
      <c r="G38">
        <v>230</v>
      </c>
      <c r="H38">
        <v>600</v>
      </c>
      <c r="I38">
        <v>2013</v>
      </c>
      <c r="J38" t="s">
        <v>29</v>
      </c>
      <c r="K38" t="s">
        <v>30</v>
      </c>
      <c r="L38" s="8">
        <f t="shared" si="0"/>
        <v>0.57446808510638303</v>
      </c>
    </row>
    <row r="39" spans="1:12">
      <c r="A39" t="s">
        <v>101</v>
      </c>
      <c r="B39">
        <v>1987</v>
      </c>
      <c r="C39" t="s">
        <v>77</v>
      </c>
      <c r="D39">
        <v>92.45</v>
      </c>
      <c r="E39">
        <v>260</v>
      </c>
      <c r="F39">
        <v>150</v>
      </c>
      <c r="G39">
        <v>250</v>
      </c>
      <c r="H39">
        <v>660</v>
      </c>
      <c r="I39">
        <v>2012</v>
      </c>
      <c r="J39" t="s">
        <v>29</v>
      </c>
      <c r="K39" t="s">
        <v>30</v>
      </c>
      <c r="L39" s="8">
        <f t="shared" si="0"/>
        <v>0.57692307692307687</v>
      </c>
    </row>
    <row r="40" spans="1:12">
      <c r="A40" t="s">
        <v>590</v>
      </c>
      <c r="B40">
        <v>1988</v>
      </c>
      <c r="C40" t="s">
        <v>28</v>
      </c>
      <c r="D40">
        <v>65.150000000000006</v>
      </c>
      <c r="E40">
        <v>225</v>
      </c>
      <c r="F40">
        <v>130</v>
      </c>
      <c r="G40">
        <v>242.5</v>
      </c>
      <c r="H40">
        <v>597.5</v>
      </c>
      <c r="I40">
        <v>2013</v>
      </c>
      <c r="J40" t="s">
        <v>29</v>
      </c>
      <c r="K40" t="s">
        <v>30</v>
      </c>
      <c r="L40" s="8">
        <f t="shared" si="0"/>
        <v>0.57777777777777772</v>
      </c>
    </row>
    <row r="41" spans="1:12">
      <c r="A41" t="s">
        <v>631</v>
      </c>
      <c r="B41">
        <v>1989</v>
      </c>
      <c r="C41" t="s">
        <v>62</v>
      </c>
      <c r="D41">
        <v>118.75</v>
      </c>
      <c r="E41">
        <v>327.5</v>
      </c>
      <c r="F41">
        <v>190</v>
      </c>
      <c r="G41">
        <v>335</v>
      </c>
      <c r="H41">
        <v>852.5</v>
      </c>
      <c r="I41">
        <v>2015</v>
      </c>
      <c r="J41" t="s">
        <v>29</v>
      </c>
      <c r="K41" t="s">
        <v>30</v>
      </c>
      <c r="L41" s="8">
        <f t="shared" si="0"/>
        <v>0.58015267175572516</v>
      </c>
    </row>
    <row r="42" spans="1:12">
      <c r="A42" t="s">
        <v>147</v>
      </c>
      <c r="B42">
        <v>1971</v>
      </c>
      <c r="C42" t="s">
        <v>28</v>
      </c>
      <c r="D42">
        <v>113.75</v>
      </c>
      <c r="E42">
        <v>340</v>
      </c>
      <c r="F42">
        <v>197.5</v>
      </c>
      <c r="G42">
        <v>327.5</v>
      </c>
      <c r="H42">
        <v>865</v>
      </c>
      <c r="I42">
        <v>2012</v>
      </c>
      <c r="J42" t="s">
        <v>29</v>
      </c>
      <c r="K42" t="s">
        <v>30</v>
      </c>
      <c r="L42" s="8">
        <f t="shared" si="0"/>
        <v>0.58088235294117652</v>
      </c>
    </row>
    <row r="43" spans="1:12">
      <c r="A43" t="s">
        <v>65</v>
      </c>
      <c r="B43">
        <v>1976</v>
      </c>
      <c r="C43" t="s">
        <v>66</v>
      </c>
      <c r="D43">
        <v>117.15</v>
      </c>
      <c r="E43">
        <v>275</v>
      </c>
      <c r="F43">
        <v>160</v>
      </c>
      <c r="G43">
        <v>320</v>
      </c>
      <c r="H43">
        <v>755</v>
      </c>
      <c r="I43">
        <v>2012</v>
      </c>
      <c r="J43" t="s">
        <v>29</v>
      </c>
      <c r="K43" t="s">
        <v>30</v>
      </c>
      <c r="L43" s="8">
        <f t="shared" si="0"/>
        <v>0.58181818181818179</v>
      </c>
    </row>
    <row r="44" spans="1:12">
      <c r="A44" t="s">
        <v>151</v>
      </c>
      <c r="B44">
        <v>1973</v>
      </c>
      <c r="C44" t="s">
        <v>54</v>
      </c>
      <c r="D44">
        <v>118.2</v>
      </c>
      <c r="E44">
        <v>275</v>
      </c>
      <c r="F44">
        <v>160</v>
      </c>
      <c r="G44">
        <v>265</v>
      </c>
      <c r="H44">
        <v>700</v>
      </c>
      <c r="I44">
        <v>2012</v>
      </c>
      <c r="J44" t="s">
        <v>29</v>
      </c>
      <c r="K44" t="s">
        <v>30</v>
      </c>
      <c r="L44" s="8">
        <f t="shared" si="0"/>
        <v>0.58181818181818179</v>
      </c>
    </row>
    <row r="45" spans="1:12">
      <c r="A45" t="s">
        <v>55</v>
      </c>
      <c r="B45">
        <v>1986</v>
      </c>
      <c r="C45" t="s">
        <v>56</v>
      </c>
      <c r="D45">
        <v>82.63</v>
      </c>
      <c r="E45">
        <v>252.5</v>
      </c>
      <c r="F45">
        <v>147.5</v>
      </c>
      <c r="G45">
        <v>297.5</v>
      </c>
      <c r="H45">
        <v>697.5</v>
      </c>
      <c r="I45">
        <v>2015</v>
      </c>
      <c r="J45" t="s">
        <v>29</v>
      </c>
      <c r="K45" t="s">
        <v>30</v>
      </c>
      <c r="L45" s="8">
        <f t="shared" si="0"/>
        <v>0.58415841584158412</v>
      </c>
    </row>
    <row r="46" spans="1:12">
      <c r="A46" t="s">
        <v>158</v>
      </c>
      <c r="B46">
        <v>1985</v>
      </c>
      <c r="C46" t="s">
        <v>62</v>
      </c>
      <c r="D46">
        <v>117.95</v>
      </c>
      <c r="E46">
        <v>345</v>
      </c>
      <c r="F46">
        <v>202.5</v>
      </c>
      <c r="G46">
        <v>345</v>
      </c>
      <c r="H46">
        <v>892.5</v>
      </c>
      <c r="I46">
        <v>2013</v>
      </c>
      <c r="J46" t="s">
        <v>29</v>
      </c>
      <c r="K46" t="s">
        <v>30</v>
      </c>
      <c r="L46" s="8">
        <f t="shared" si="0"/>
        <v>0.58695652173913049</v>
      </c>
    </row>
    <row r="47" spans="1:12">
      <c r="A47" t="s">
        <v>705</v>
      </c>
      <c r="B47">
        <v>1988</v>
      </c>
      <c r="C47" t="s">
        <v>163</v>
      </c>
      <c r="D47">
        <v>90.95</v>
      </c>
      <c r="E47">
        <v>272.5</v>
      </c>
      <c r="F47">
        <v>160</v>
      </c>
      <c r="G47">
        <v>280</v>
      </c>
      <c r="H47">
        <v>712.5</v>
      </c>
      <c r="I47">
        <v>2014</v>
      </c>
      <c r="J47" t="s">
        <v>29</v>
      </c>
      <c r="K47" t="s">
        <v>30</v>
      </c>
      <c r="L47" s="8">
        <f t="shared" si="0"/>
        <v>0.58715596330275233</v>
      </c>
    </row>
    <row r="48" spans="1:12">
      <c r="A48" t="s">
        <v>507</v>
      </c>
      <c r="B48">
        <v>1979</v>
      </c>
      <c r="C48" t="s">
        <v>113</v>
      </c>
      <c r="D48">
        <v>73.099999999999994</v>
      </c>
      <c r="E48">
        <v>242.5</v>
      </c>
      <c r="F48">
        <v>142.5</v>
      </c>
      <c r="G48">
        <v>290</v>
      </c>
      <c r="H48">
        <v>675</v>
      </c>
      <c r="I48">
        <v>2014</v>
      </c>
      <c r="J48" t="s">
        <v>29</v>
      </c>
      <c r="K48" t="s">
        <v>30</v>
      </c>
      <c r="L48" s="8">
        <f t="shared" si="0"/>
        <v>0.58762886597938147</v>
      </c>
    </row>
    <row r="49" spans="1:12">
      <c r="A49" t="s">
        <v>99</v>
      </c>
      <c r="B49">
        <v>1988</v>
      </c>
      <c r="C49" t="s">
        <v>100</v>
      </c>
      <c r="D49">
        <v>152.9</v>
      </c>
      <c r="E49">
        <v>370</v>
      </c>
      <c r="F49">
        <v>217.5</v>
      </c>
      <c r="G49">
        <v>327.5</v>
      </c>
      <c r="H49">
        <v>915</v>
      </c>
      <c r="I49">
        <v>2014</v>
      </c>
      <c r="J49" t="s">
        <v>29</v>
      </c>
      <c r="K49" t="s">
        <v>30</v>
      </c>
      <c r="L49" s="8">
        <f t="shared" si="0"/>
        <v>0.58783783783783783</v>
      </c>
    </row>
    <row r="50" spans="1:12">
      <c r="A50" t="s">
        <v>629</v>
      </c>
      <c r="B50">
        <v>1987</v>
      </c>
      <c r="C50" t="s">
        <v>119</v>
      </c>
      <c r="D50">
        <v>118.85</v>
      </c>
      <c r="E50">
        <v>322.5</v>
      </c>
      <c r="F50">
        <v>190</v>
      </c>
      <c r="G50">
        <v>340</v>
      </c>
      <c r="H50">
        <v>852.5</v>
      </c>
      <c r="I50">
        <v>2013</v>
      </c>
      <c r="J50" t="s">
        <v>29</v>
      </c>
      <c r="K50" t="s">
        <v>30</v>
      </c>
      <c r="L50" s="8">
        <f t="shared" si="0"/>
        <v>0.58914728682170547</v>
      </c>
    </row>
    <row r="51" spans="1:12">
      <c r="A51" t="s">
        <v>625</v>
      </c>
      <c r="B51">
        <v>1990</v>
      </c>
      <c r="C51" t="s">
        <v>119</v>
      </c>
      <c r="D51">
        <v>73.56</v>
      </c>
      <c r="E51">
        <v>237.5</v>
      </c>
      <c r="F51">
        <v>140</v>
      </c>
      <c r="G51">
        <v>280</v>
      </c>
      <c r="H51">
        <v>657.5</v>
      </c>
      <c r="I51">
        <v>2015</v>
      </c>
      <c r="J51" t="s">
        <v>29</v>
      </c>
      <c r="K51" t="s">
        <v>30</v>
      </c>
      <c r="L51" s="8">
        <f t="shared" si="0"/>
        <v>0.58947368421052626</v>
      </c>
    </row>
    <row r="52" spans="1:12">
      <c r="A52" t="s">
        <v>712</v>
      </c>
      <c r="B52">
        <v>1980</v>
      </c>
      <c r="C52" t="s">
        <v>480</v>
      </c>
      <c r="D52">
        <v>92.6</v>
      </c>
      <c r="E52">
        <v>220</v>
      </c>
      <c r="F52">
        <v>130</v>
      </c>
      <c r="G52">
        <v>250</v>
      </c>
      <c r="H52">
        <v>600</v>
      </c>
      <c r="I52">
        <v>2013</v>
      </c>
      <c r="J52" t="s">
        <v>29</v>
      </c>
      <c r="K52" t="s">
        <v>30</v>
      </c>
      <c r="L52" s="8">
        <f t="shared" si="0"/>
        <v>0.59090909090909094</v>
      </c>
    </row>
    <row r="53" spans="1:12">
      <c r="A53" t="s">
        <v>98</v>
      </c>
      <c r="B53">
        <v>1982</v>
      </c>
      <c r="C53" t="s">
        <v>28</v>
      </c>
      <c r="D53">
        <v>137.15</v>
      </c>
      <c r="E53">
        <v>342.5</v>
      </c>
      <c r="F53">
        <v>202.5</v>
      </c>
      <c r="G53">
        <v>337.5</v>
      </c>
      <c r="H53">
        <v>882.5</v>
      </c>
      <c r="I53">
        <v>2014</v>
      </c>
      <c r="J53" t="s">
        <v>29</v>
      </c>
      <c r="K53" t="s">
        <v>30</v>
      </c>
      <c r="L53" s="8">
        <f t="shared" si="0"/>
        <v>0.59124087591240881</v>
      </c>
    </row>
    <row r="54" spans="1:12">
      <c r="A54" t="s">
        <v>806</v>
      </c>
      <c r="B54">
        <v>1980</v>
      </c>
      <c r="C54" t="s">
        <v>406</v>
      </c>
      <c r="D54">
        <v>168.15</v>
      </c>
      <c r="E54">
        <v>410</v>
      </c>
      <c r="F54">
        <v>242.5</v>
      </c>
      <c r="G54">
        <v>317.5</v>
      </c>
      <c r="H54">
        <v>970</v>
      </c>
      <c r="I54">
        <v>2015</v>
      </c>
      <c r="J54" t="s">
        <v>29</v>
      </c>
      <c r="K54" t="s">
        <v>30</v>
      </c>
      <c r="L54" s="8">
        <f t="shared" si="0"/>
        <v>0.59146341463414631</v>
      </c>
    </row>
    <row r="55" spans="1:12">
      <c r="A55" t="s">
        <v>498</v>
      </c>
      <c r="B55">
        <v>1987</v>
      </c>
      <c r="C55" t="s">
        <v>62</v>
      </c>
      <c r="D55">
        <v>82.55</v>
      </c>
      <c r="E55">
        <v>257.5</v>
      </c>
      <c r="F55">
        <v>152.5</v>
      </c>
      <c r="G55">
        <v>290</v>
      </c>
      <c r="H55">
        <v>700</v>
      </c>
      <c r="I55">
        <v>2014</v>
      </c>
      <c r="J55" t="s">
        <v>29</v>
      </c>
      <c r="K55" t="s">
        <v>30</v>
      </c>
      <c r="L55" s="8">
        <f t="shared" si="0"/>
        <v>0.59223300970873782</v>
      </c>
    </row>
    <row r="56" spans="1:12">
      <c r="A56" t="s">
        <v>829</v>
      </c>
      <c r="B56">
        <v>1985</v>
      </c>
      <c r="C56" t="s">
        <v>56</v>
      </c>
      <c r="D56">
        <v>82.4</v>
      </c>
      <c r="E56">
        <v>257.5</v>
      </c>
      <c r="F56">
        <v>152.5</v>
      </c>
      <c r="G56">
        <v>270</v>
      </c>
      <c r="H56">
        <v>680</v>
      </c>
      <c r="I56">
        <v>2014</v>
      </c>
      <c r="J56" t="s">
        <v>29</v>
      </c>
      <c r="K56" t="s">
        <v>30</v>
      </c>
      <c r="L56" s="8">
        <f t="shared" si="0"/>
        <v>0.59223300970873782</v>
      </c>
    </row>
    <row r="57" spans="1:12">
      <c r="A57" t="s">
        <v>128</v>
      </c>
      <c r="B57">
        <v>1979</v>
      </c>
      <c r="C57" t="s">
        <v>289</v>
      </c>
      <c r="D57">
        <v>103.05</v>
      </c>
      <c r="E57">
        <v>270</v>
      </c>
      <c r="F57">
        <v>160</v>
      </c>
      <c r="G57">
        <v>312.5</v>
      </c>
      <c r="H57">
        <v>742.5</v>
      </c>
      <c r="I57">
        <v>2013</v>
      </c>
      <c r="J57" t="s">
        <v>29</v>
      </c>
      <c r="K57" t="s">
        <v>30</v>
      </c>
      <c r="L57" s="8">
        <f t="shared" si="0"/>
        <v>0.59259259259259256</v>
      </c>
    </row>
    <row r="58" spans="1:12">
      <c r="A58" t="s">
        <v>149</v>
      </c>
      <c r="B58">
        <v>1987</v>
      </c>
      <c r="C58" t="s">
        <v>35</v>
      </c>
      <c r="D58">
        <v>162.25</v>
      </c>
      <c r="E58">
        <v>332.5</v>
      </c>
      <c r="F58">
        <v>197.5</v>
      </c>
      <c r="G58">
        <v>330</v>
      </c>
      <c r="H58">
        <v>860</v>
      </c>
      <c r="I58">
        <v>2012</v>
      </c>
      <c r="J58" t="s">
        <v>29</v>
      </c>
      <c r="K58" t="s">
        <v>30</v>
      </c>
      <c r="L58" s="8">
        <f t="shared" si="0"/>
        <v>0.59398496240601506</v>
      </c>
    </row>
    <row r="59" spans="1:12">
      <c r="A59" t="s">
        <v>717</v>
      </c>
      <c r="B59">
        <v>1988</v>
      </c>
      <c r="C59" t="s">
        <v>318</v>
      </c>
      <c r="D59">
        <v>145.06</v>
      </c>
      <c r="E59">
        <v>302.5</v>
      </c>
      <c r="F59">
        <v>180</v>
      </c>
      <c r="G59">
        <v>325</v>
      </c>
      <c r="H59">
        <v>807.5</v>
      </c>
      <c r="I59">
        <v>2015</v>
      </c>
      <c r="J59" t="s">
        <v>29</v>
      </c>
      <c r="K59" t="s">
        <v>30</v>
      </c>
      <c r="L59" s="8">
        <f t="shared" si="0"/>
        <v>0.5950413223140496</v>
      </c>
    </row>
    <row r="60" spans="1:12">
      <c r="A60" t="s">
        <v>537</v>
      </c>
      <c r="B60">
        <v>1981</v>
      </c>
      <c r="C60" t="s">
        <v>194</v>
      </c>
      <c r="D60">
        <v>91.85</v>
      </c>
      <c r="E60">
        <v>235</v>
      </c>
      <c r="F60">
        <v>140</v>
      </c>
      <c r="G60">
        <v>250</v>
      </c>
      <c r="H60">
        <v>625</v>
      </c>
      <c r="I60">
        <v>2014</v>
      </c>
      <c r="J60" t="s">
        <v>29</v>
      </c>
      <c r="K60" t="s">
        <v>30</v>
      </c>
      <c r="L60" s="8">
        <f t="shared" si="0"/>
        <v>0.5957446808510638</v>
      </c>
    </row>
    <row r="61" spans="1:12">
      <c r="A61" t="s">
        <v>705</v>
      </c>
      <c r="B61">
        <v>1988</v>
      </c>
      <c r="C61" t="s">
        <v>163</v>
      </c>
      <c r="D61">
        <v>91.4</v>
      </c>
      <c r="E61">
        <v>260</v>
      </c>
      <c r="F61">
        <v>155</v>
      </c>
      <c r="G61">
        <v>285</v>
      </c>
      <c r="H61">
        <v>700</v>
      </c>
      <c r="I61">
        <v>2013</v>
      </c>
      <c r="J61" t="s">
        <v>29</v>
      </c>
      <c r="K61" t="s">
        <v>30</v>
      </c>
      <c r="L61" s="8">
        <f t="shared" si="0"/>
        <v>0.59615384615384615</v>
      </c>
    </row>
    <row r="62" spans="1:12">
      <c r="A62" t="s">
        <v>506</v>
      </c>
      <c r="B62">
        <v>1986</v>
      </c>
      <c r="C62" t="s">
        <v>35</v>
      </c>
      <c r="D62">
        <v>146.19999999999999</v>
      </c>
      <c r="E62">
        <v>285</v>
      </c>
      <c r="F62">
        <v>170</v>
      </c>
      <c r="G62">
        <v>360</v>
      </c>
      <c r="H62">
        <v>815</v>
      </c>
      <c r="I62">
        <v>2015</v>
      </c>
      <c r="J62" t="s">
        <v>29</v>
      </c>
      <c r="K62" t="s">
        <v>30</v>
      </c>
      <c r="L62" s="8">
        <f t="shared" si="0"/>
        <v>0.59649122807017541</v>
      </c>
    </row>
    <row r="63" spans="1:12">
      <c r="A63" t="s">
        <v>477</v>
      </c>
      <c r="B63">
        <v>1985</v>
      </c>
      <c r="C63" t="s">
        <v>194</v>
      </c>
      <c r="D63">
        <v>63.3</v>
      </c>
      <c r="E63">
        <v>167.5</v>
      </c>
      <c r="F63">
        <v>100</v>
      </c>
      <c r="G63">
        <v>235</v>
      </c>
      <c r="H63">
        <v>502.5</v>
      </c>
      <c r="I63">
        <v>2014</v>
      </c>
      <c r="J63" t="s">
        <v>29</v>
      </c>
      <c r="K63" t="s">
        <v>30</v>
      </c>
      <c r="L63" s="8">
        <f t="shared" si="0"/>
        <v>0.59701492537313428</v>
      </c>
    </row>
    <row r="64" spans="1:12">
      <c r="A64" t="s">
        <v>829</v>
      </c>
      <c r="B64">
        <v>1985</v>
      </c>
      <c r="C64" t="s">
        <v>56</v>
      </c>
      <c r="D64">
        <v>82.2</v>
      </c>
      <c r="E64">
        <v>242.5</v>
      </c>
      <c r="F64">
        <v>145</v>
      </c>
      <c r="G64">
        <v>285</v>
      </c>
      <c r="H64">
        <v>672.5</v>
      </c>
      <c r="I64">
        <v>2013</v>
      </c>
      <c r="J64" t="s">
        <v>29</v>
      </c>
      <c r="K64" t="s">
        <v>30</v>
      </c>
      <c r="L64" s="8">
        <f t="shared" si="0"/>
        <v>0.59793814432989689</v>
      </c>
    </row>
    <row r="65" spans="1:12">
      <c r="A65" t="s">
        <v>41</v>
      </c>
      <c r="B65">
        <v>1976</v>
      </c>
      <c r="C65" t="s">
        <v>42</v>
      </c>
      <c r="D65">
        <v>119.85</v>
      </c>
      <c r="E65">
        <v>350</v>
      </c>
      <c r="F65">
        <v>210</v>
      </c>
      <c r="G65">
        <v>355.5</v>
      </c>
      <c r="H65">
        <v>915.5</v>
      </c>
      <c r="I65">
        <v>2012</v>
      </c>
      <c r="J65" t="s">
        <v>29</v>
      </c>
      <c r="K65" t="s">
        <v>30</v>
      </c>
      <c r="L65" s="8">
        <f t="shared" si="0"/>
        <v>0.6</v>
      </c>
    </row>
    <row r="66" spans="1:12">
      <c r="A66" t="s">
        <v>75</v>
      </c>
      <c r="B66">
        <v>1989</v>
      </c>
      <c r="C66" t="s">
        <v>74</v>
      </c>
      <c r="D66">
        <v>71.5</v>
      </c>
      <c r="E66">
        <v>200</v>
      </c>
      <c r="F66">
        <v>120</v>
      </c>
      <c r="G66">
        <v>272.5</v>
      </c>
      <c r="H66">
        <v>592.5</v>
      </c>
      <c r="I66">
        <v>2012</v>
      </c>
      <c r="J66" t="s">
        <v>29</v>
      </c>
      <c r="K66" t="s">
        <v>30</v>
      </c>
      <c r="L66" s="8">
        <f t="shared" ref="L66:L129" si="1">IF(AND(F66&lt;&gt;0,E66&lt;&gt;0),F66/E66,"")</f>
        <v>0.6</v>
      </c>
    </row>
    <row r="67" spans="1:12">
      <c r="A67" t="s">
        <v>469</v>
      </c>
      <c r="B67">
        <v>1990</v>
      </c>
      <c r="C67" t="s">
        <v>42</v>
      </c>
      <c r="D67">
        <v>73.84</v>
      </c>
      <c r="E67">
        <v>250</v>
      </c>
      <c r="F67">
        <v>150</v>
      </c>
      <c r="G67">
        <v>270</v>
      </c>
      <c r="H67">
        <v>670</v>
      </c>
      <c r="I67">
        <v>2015</v>
      </c>
      <c r="J67" t="s">
        <v>29</v>
      </c>
      <c r="K67" t="s">
        <v>30</v>
      </c>
      <c r="L67" s="8">
        <f t="shared" si="1"/>
        <v>0.6</v>
      </c>
    </row>
    <row r="68" spans="1:12">
      <c r="A68" t="s">
        <v>522</v>
      </c>
      <c r="B68">
        <v>1988</v>
      </c>
      <c r="C68" t="s">
        <v>296</v>
      </c>
      <c r="D68">
        <v>136</v>
      </c>
      <c r="E68">
        <v>275</v>
      </c>
      <c r="F68">
        <v>165</v>
      </c>
      <c r="G68">
        <v>300</v>
      </c>
      <c r="H68">
        <v>740</v>
      </c>
      <c r="I68">
        <v>2015</v>
      </c>
      <c r="J68" t="s">
        <v>29</v>
      </c>
      <c r="K68" t="s">
        <v>30</v>
      </c>
      <c r="L68" s="8">
        <f t="shared" si="1"/>
        <v>0.6</v>
      </c>
    </row>
    <row r="69" spans="1:12">
      <c r="A69" t="s">
        <v>577</v>
      </c>
      <c r="B69">
        <v>1985</v>
      </c>
      <c r="C69" t="s">
        <v>578</v>
      </c>
      <c r="D69">
        <v>163.95</v>
      </c>
      <c r="E69">
        <v>345</v>
      </c>
      <c r="F69">
        <v>207.5</v>
      </c>
      <c r="G69">
        <v>332.5</v>
      </c>
      <c r="H69">
        <v>885</v>
      </c>
      <c r="I69">
        <v>2013</v>
      </c>
      <c r="J69" t="s">
        <v>29</v>
      </c>
      <c r="K69" t="s">
        <v>30</v>
      </c>
      <c r="L69" s="8">
        <f t="shared" si="1"/>
        <v>0.60144927536231885</v>
      </c>
    </row>
    <row r="70" spans="1:12">
      <c r="A70" t="s">
        <v>687</v>
      </c>
      <c r="B70">
        <v>1990</v>
      </c>
      <c r="C70" t="s">
        <v>576</v>
      </c>
      <c r="D70">
        <v>65.430000000000007</v>
      </c>
      <c r="E70">
        <v>182.5</v>
      </c>
      <c r="F70">
        <v>110</v>
      </c>
      <c r="G70">
        <v>210</v>
      </c>
      <c r="H70">
        <v>502.5</v>
      </c>
      <c r="I70">
        <v>2015</v>
      </c>
      <c r="J70" t="s">
        <v>29</v>
      </c>
      <c r="K70" t="s">
        <v>30</v>
      </c>
      <c r="L70" s="8">
        <f t="shared" si="1"/>
        <v>0.60273972602739723</v>
      </c>
    </row>
    <row r="71" spans="1:12">
      <c r="A71" t="s">
        <v>633</v>
      </c>
      <c r="B71">
        <v>1987</v>
      </c>
      <c r="C71" t="s">
        <v>119</v>
      </c>
      <c r="D71">
        <v>118.96</v>
      </c>
      <c r="E71">
        <v>317.5</v>
      </c>
      <c r="F71">
        <v>192.5</v>
      </c>
      <c r="G71">
        <v>315</v>
      </c>
      <c r="H71">
        <v>825</v>
      </c>
      <c r="I71">
        <v>2015</v>
      </c>
      <c r="J71" t="s">
        <v>29</v>
      </c>
      <c r="K71" t="s">
        <v>30</v>
      </c>
      <c r="L71" s="8">
        <f t="shared" si="1"/>
        <v>0.60629921259842523</v>
      </c>
    </row>
    <row r="72" spans="1:12">
      <c r="A72" t="s">
        <v>41</v>
      </c>
      <c r="B72">
        <v>1976</v>
      </c>
      <c r="C72" t="s">
        <v>42</v>
      </c>
      <c r="D72">
        <v>119.48</v>
      </c>
      <c r="E72">
        <v>350</v>
      </c>
      <c r="F72">
        <v>212.5</v>
      </c>
      <c r="G72">
        <v>365</v>
      </c>
      <c r="H72">
        <v>927.5</v>
      </c>
      <c r="I72">
        <v>2015</v>
      </c>
      <c r="J72" t="s">
        <v>29</v>
      </c>
      <c r="K72" t="s">
        <v>30</v>
      </c>
      <c r="L72" s="8">
        <f t="shared" si="1"/>
        <v>0.6071428571428571</v>
      </c>
    </row>
    <row r="73" spans="1:12">
      <c r="A73" t="s">
        <v>158</v>
      </c>
      <c r="B73">
        <v>1985</v>
      </c>
      <c r="C73" t="s">
        <v>62</v>
      </c>
      <c r="D73">
        <v>119</v>
      </c>
      <c r="E73">
        <v>345</v>
      </c>
      <c r="F73">
        <v>210</v>
      </c>
      <c r="G73">
        <v>360</v>
      </c>
      <c r="H73">
        <v>915</v>
      </c>
      <c r="I73">
        <v>2014</v>
      </c>
      <c r="J73" t="s">
        <v>29</v>
      </c>
      <c r="K73" t="s">
        <v>30</v>
      </c>
      <c r="L73" s="8">
        <f t="shared" si="1"/>
        <v>0.60869565217391308</v>
      </c>
    </row>
    <row r="74" spans="1:12">
      <c r="A74" t="s">
        <v>655</v>
      </c>
      <c r="B74">
        <v>1988</v>
      </c>
      <c r="C74" t="s">
        <v>445</v>
      </c>
      <c r="D74">
        <v>101.25</v>
      </c>
      <c r="E74">
        <v>275</v>
      </c>
      <c r="F74">
        <v>167.5</v>
      </c>
      <c r="G74">
        <v>330</v>
      </c>
      <c r="H74">
        <v>772.5</v>
      </c>
      <c r="I74">
        <v>2015</v>
      </c>
      <c r="J74" t="s">
        <v>29</v>
      </c>
      <c r="K74" t="s">
        <v>30</v>
      </c>
      <c r="L74" s="8">
        <f t="shared" si="1"/>
        <v>0.60909090909090913</v>
      </c>
    </row>
    <row r="75" spans="1:12">
      <c r="A75" t="s">
        <v>135</v>
      </c>
      <c r="B75">
        <v>1991</v>
      </c>
      <c r="C75" t="s">
        <v>66</v>
      </c>
      <c r="D75">
        <v>72.650000000000006</v>
      </c>
      <c r="E75">
        <v>205</v>
      </c>
      <c r="F75">
        <v>125</v>
      </c>
      <c r="G75">
        <v>262.5</v>
      </c>
      <c r="H75">
        <v>592.5</v>
      </c>
      <c r="I75">
        <v>2012</v>
      </c>
      <c r="J75" t="s">
        <v>29</v>
      </c>
      <c r="K75" t="s">
        <v>30</v>
      </c>
      <c r="L75" s="8">
        <f t="shared" si="1"/>
        <v>0.6097560975609756</v>
      </c>
    </row>
    <row r="76" spans="1:12">
      <c r="A76" t="s">
        <v>610</v>
      </c>
      <c r="B76">
        <v>1983</v>
      </c>
      <c r="C76" t="s">
        <v>74</v>
      </c>
      <c r="D76">
        <v>72.5</v>
      </c>
      <c r="E76">
        <v>237.5</v>
      </c>
      <c r="F76">
        <v>145</v>
      </c>
      <c r="G76">
        <v>262.5</v>
      </c>
      <c r="H76">
        <v>645</v>
      </c>
      <c r="I76">
        <v>2013</v>
      </c>
      <c r="J76" t="s">
        <v>29</v>
      </c>
      <c r="K76" t="s">
        <v>30</v>
      </c>
      <c r="L76" s="8">
        <f t="shared" si="1"/>
        <v>0.61052631578947369</v>
      </c>
    </row>
    <row r="77" spans="1:12">
      <c r="A77" t="s">
        <v>658</v>
      </c>
      <c r="B77">
        <v>1981</v>
      </c>
      <c r="C77" t="s">
        <v>56</v>
      </c>
      <c r="D77">
        <v>118.94</v>
      </c>
      <c r="E77">
        <v>270</v>
      </c>
      <c r="F77">
        <v>165</v>
      </c>
      <c r="G77">
        <v>275</v>
      </c>
      <c r="H77">
        <v>710</v>
      </c>
      <c r="I77">
        <v>2015</v>
      </c>
      <c r="J77" t="s">
        <v>29</v>
      </c>
      <c r="K77" t="s">
        <v>30</v>
      </c>
      <c r="L77" s="8">
        <f t="shared" si="1"/>
        <v>0.61111111111111116</v>
      </c>
    </row>
    <row r="78" spans="1:12">
      <c r="A78" t="s">
        <v>144</v>
      </c>
      <c r="B78">
        <v>1975</v>
      </c>
      <c r="C78" t="s">
        <v>125</v>
      </c>
      <c r="D78">
        <v>79.3</v>
      </c>
      <c r="E78">
        <v>232.5</v>
      </c>
      <c r="F78">
        <v>142.5</v>
      </c>
      <c r="G78">
        <v>235</v>
      </c>
      <c r="H78">
        <v>610</v>
      </c>
      <c r="I78">
        <v>2013</v>
      </c>
      <c r="J78" t="s">
        <v>29</v>
      </c>
      <c r="K78" t="s">
        <v>30</v>
      </c>
      <c r="L78" s="8">
        <f t="shared" si="1"/>
        <v>0.61290322580645162</v>
      </c>
    </row>
    <row r="79" spans="1:12">
      <c r="A79" t="s">
        <v>96</v>
      </c>
      <c r="B79">
        <v>1988</v>
      </c>
      <c r="C79" t="s">
        <v>72</v>
      </c>
      <c r="D79">
        <v>91.3</v>
      </c>
      <c r="E79">
        <v>265</v>
      </c>
      <c r="F79">
        <v>162.5</v>
      </c>
      <c r="G79">
        <v>280</v>
      </c>
      <c r="H79">
        <v>707.5</v>
      </c>
      <c r="I79">
        <v>2012</v>
      </c>
      <c r="J79" t="s">
        <v>29</v>
      </c>
      <c r="K79" t="s">
        <v>30</v>
      </c>
      <c r="L79" s="8">
        <f t="shared" si="1"/>
        <v>0.6132075471698113</v>
      </c>
    </row>
    <row r="80" spans="1:12">
      <c r="A80" t="s">
        <v>146</v>
      </c>
      <c r="B80">
        <v>1988</v>
      </c>
      <c r="C80" t="s">
        <v>32</v>
      </c>
      <c r="D80">
        <v>116.65</v>
      </c>
      <c r="E80">
        <v>265</v>
      </c>
      <c r="F80">
        <v>162.5</v>
      </c>
      <c r="G80">
        <v>262.5</v>
      </c>
      <c r="H80">
        <v>690</v>
      </c>
      <c r="I80">
        <v>2012</v>
      </c>
      <c r="J80" t="s">
        <v>29</v>
      </c>
      <c r="K80" t="s">
        <v>30</v>
      </c>
      <c r="L80" s="8">
        <f t="shared" si="1"/>
        <v>0.6132075471698113</v>
      </c>
    </row>
    <row r="81" spans="1:12">
      <c r="A81" t="s">
        <v>144</v>
      </c>
      <c r="B81">
        <v>1974</v>
      </c>
      <c r="C81" t="s">
        <v>125</v>
      </c>
      <c r="D81">
        <v>72.599999999999994</v>
      </c>
      <c r="E81">
        <v>220</v>
      </c>
      <c r="F81">
        <v>135</v>
      </c>
      <c r="G81">
        <v>230</v>
      </c>
      <c r="H81">
        <v>585</v>
      </c>
      <c r="I81">
        <v>2012</v>
      </c>
      <c r="J81" t="s">
        <v>29</v>
      </c>
      <c r="K81" t="s">
        <v>30</v>
      </c>
      <c r="L81" s="8">
        <f t="shared" si="1"/>
        <v>0.61363636363636365</v>
      </c>
    </row>
    <row r="82" spans="1:12">
      <c r="A82" t="s">
        <v>804</v>
      </c>
      <c r="B82">
        <v>1978</v>
      </c>
      <c r="C82" t="s">
        <v>62</v>
      </c>
      <c r="D82">
        <v>103.79</v>
      </c>
      <c r="E82">
        <v>305</v>
      </c>
      <c r="F82">
        <v>187.5</v>
      </c>
      <c r="G82">
        <v>330</v>
      </c>
      <c r="H82">
        <v>822.5</v>
      </c>
      <c r="I82">
        <v>2015</v>
      </c>
      <c r="J82" t="s">
        <v>29</v>
      </c>
      <c r="K82" t="s">
        <v>30</v>
      </c>
      <c r="L82" s="8">
        <f t="shared" si="1"/>
        <v>0.61475409836065575</v>
      </c>
    </row>
    <row r="83" spans="1:12">
      <c r="A83" t="s">
        <v>577</v>
      </c>
      <c r="B83">
        <v>1985</v>
      </c>
      <c r="C83" t="s">
        <v>578</v>
      </c>
      <c r="D83">
        <v>160.85</v>
      </c>
      <c r="E83">
        <v>357.5</v>
      </c>
      <c r="F83">
        <v>220</v>
      </c>
      <c r="G83">
        <v>340</v>
      </c>
      <c r="H83">
        <v>917.5</v>
      </c>
      <c r="I83">
        <v>2014</v>
      </c>
      <c r="J83" t="s">
        <v>29</v>
      </c>
      <c r="K83" t="s">
        <v>30</v>
      </c>
      <c r="L83" s="8">
        <f t="shared" si="1"/>
        <v>0.61538461538461542</v>
      </c>
    </row>
    <row r="84" spans="1:12">
      <c r="A84" t="s">
        <v>158</v>
      </c>
      <c r="B84">
        <v>1985</v>
      </c>
      <c r="C84" t="s">
        <v>62</v>
      </c>
      <c r="D84">
        <v>119.72</v>
      </c>
      <c r="E84">
        <v>325</v>
      </c>
      <c r="F84">
        <v>200</v>
      </c>
      <c r="G84">
        <v>335</v>
      </c>
      <c r="H84">
        <v>860</v>
      </c>
      <c r="I84">
        <v>2015</v>
      </c>
      <c r="J84" t="s">
        <v>29</v>
      </c>
      <c r="K84" t="s">
        <v>30</v>
      </c>
      <c r="L84" s="8">
        <f t="shared" si="1"/>
        <v>0.61538461538461542</v>
      </c>
    </row>
    <row r="85" spans="1:12">
      <c r="A85" t="s">
        <v>767</v>
      </c>
      <c r="B85">
        <v>1982</v>
      </c>
      <c r="C85" t="s">
        <v>77</v>
      </c>
      <c r="D85">
        <v>73.05</v>
      </c>
      <c r="E85">
        <v>215</v>
      </c>
      <c r="F85">
        <v>132.5</v>
      </c>
      <c r="G85">
        <v>210</v>
      </c>
      <c r="H85">
        <v>557.5</v>
      </c>
      <c r="I85">
        <v>2013</v>
      </c>
      <c r="J85" t="s">
        <v>29</v>
      </c>
      <c r="K85" t="s">
        <v>30</v>
      </c>
      <c r="L85" s="8">
        <f t="shared" si="1"/>
        <v>0.61627906976744184</v>
      </c>
    </row>
    <row r="86" spans="1:12">
      <c r="A86" t="s">
        <v>719</v>
      </c>
      <c r="B86">
        <v>1989</v>
      </c>
      <c r="C86" t="s">
        <v>56</v>
      </c>
      <c r="D86">
        <v>153.33000000000001</v>
      </c>
      <c r="E86">
        <v>332.5</v>
      </c>
      <c r="F86">
        <v>205</v>
      </c>
      <c r="G86">
        <v>312.5</v>
      </c>
      <c r="H86">
        <v>850</v>
      </c>
      <c r="I86">
        <v>2015</v>
      </c>
      <c r="J86" t="s">
        <v>29</v>
      </c>
      <c r="K86" t="s">
        <v>30</v>
      </c>
      <c r="L86" s="8">
        <f t="shared" si="1"/>
        <v>0.61654135338345861</v>
      </c>
    </row>
    <row r="87" spans="1:12">
      <c r="A87" t="s">
        <v>94</v>
      </c>
      <c r="B87">
        <v>1982</v>
      </c>
      <c r="C87" t="s">
        <v>45</v>
      </c>
      <c r="D87">
        <v>160</v>
      </c>
      <c r="E87">
        <v>300</v>
      </c>
      <c r="F87">
        <v>185</v>
      </c>
      <c r="G87">
        <v>340</v>
      </c>
      <c r="H87">
        <v>825</v>
      </c>
      <c r="I87">
        <v>2012</v>
      </c>
      <c r="J87" t="s">
        <v>29</v>
      </c>
      <c r="K87" t="s">
        <v>30</v>
      </c>
      <c r="L87" s="8">
        <f t="shared" si="1"/>
        <v>0.6166666666666667</v>
      </c>
    </row>
    <row r="88" spans="1:12">
      <c r="A88" t="s">
        <v>610</v>
      </c>
      <c r="B88">
        <v>1983</v>
      </c>
      <c r="C88" t="s">
        <v>74</v>
      </c>
      <c r="D88">
        <v>72.5</v>
      </c>
      <c r="E88">
        <v>242.5</v>
      </c>
      <c r="F88">
        <v>150</v>
      </c>
      <c r="G88">
        <v>245</v>
      </c>
      <c r="H88">
        <v>637.5</v>
      </c>
      <c r="I88">
        <v>2014</v>
      </c>
      <c r="J88" t="s">
        <v>29</v>
      </c>
      <c r="K88" t="s">
        <v>30</v>
      </c>
      <c r="L88" s="8">
        <f t="shared" si="1"/>
        <v>0.61855670103092786</v>
      </c>
    </row>
    <row r="89" spans="1:12">
      <c r="A89" t="s">
        <v>69</v>
      </c>
      <c r="B89">
        <v>1983</v>
      </c>
      <c r="C89" t="s">
        <v>45</v>
      </c>
      <c r="D89">
        <v>104.4</v>
      </c>
      <c r="E89">
        <v>290</v>
      </c>
      <c r="F89">
        <v>180</v>
      </c>
      <c r="G89">
        <v>325</v>
      </c>
      <c r="H89">
        <v>795</v>
      </c>
      <c r="I89">
        <v>2012</v>
      </c>
      <c r="J89" t="s">
        <v>29</v>
      </c>
      <c r="K89" t="s">
        <v>30</v>
      </c>
      <c r="L89" s="8">
        <f t="shared" si="1"/>
        <v>0.62068965517241381</v>
      </c>
    </row>
    <row r="90" spans="1:12">
      <c r="A90" t="s">
        <v>108</v>
      </c>
      <c r="B90">
        <v>1969</v>
      </c>
      <c r="C90" t="s">
        <v>109</v>
      </c>
      <c r="D90">
        <v>115.7</v>
      </c>
      <c r="E90">
        <v>290</v>
      </c>
      <c r="F90">
        <v>180</v>
      </c>
      <c r="G90">
        <v>300</v>
      </c>
      <c r="H90">
        <v>770</v>
      </c>
      <c r="I90">
        <v>2012</v>
      </c>
      <c r="J90" t="s">
        <v>29</v>
      </c>
      <c r="K90" t="s">
        <v>30</v>
      </c>
      <c r="L90" s="8">
        <f t="shared" si="1"/>
        <v>0.62068965517241381</v>
      </c>
    </row>
    <row r="91" spans="1:12">
      <c r="A91" t="s">
        <v>437</v>
      </c>
      <c r="B91">
        <v>1987</v>
      </c>
      <c r="C91" t="s">
        <v>282</v>
      </c>
      <c r="D91">
        <v>73.150000000000006</v>
      </c>
      <c r="E91">
        <v>225</v>
      </c>
      <c r="F91">
        <v>140</v>
      </c>
      <c r="G91">
        <v>260</v>
      </c>
      <c r="H91">
        <v>625</v>
      </c>
      <c r="I91">
        <v>2014</v>
      </c>
      <c r="J91" t="s">
        <v>29</v>
      </c>
      <c r="K91" t="s">
        <v>30</v>
      </c>
      <c r="L91" s="8">
        <f t="shared" si="1"/>
        <v>0.62222222222222223</v>
      </c>
    </row>
    <row r="92" spans="1:12">
      <c r="A92" t="s">
        <v>841</v>
      </c>
      <c r="B92">
        <v>1967</v>
      </c>
      <c r="C92" t="s">
        <v>51</v>
      </c>
      <c r="D92">
        <v>115.8</v>
      </c>
      <c r="E92">
        <v>285</v>
      </c>
      <c r="F92">
        <v>177.5</v>
      </c>
      <c r="G92">
        <v>305</v>
      </c>
      <c r="H92">
        <v>767.5</v>
      </c>
      <c r="I92">
        <v>2013</v>
      </c>
      <c r="J92" t="s">
        <v>29</v>
      </c>
      <c r="K92" t="s">
        <v>30</v>
      </c>
      <c r="L92" s="8">
        <f t="shared" si="1"/>
        <v>0.6228070175438597</v>
      </c>
    </row>
    <row r="93" spans="1:12">
      <c r="A93" t="s">
        <v>99</v>
      </c>
      <c r="B93">
        <v>1988</v>
      </c>
      <c r="C93" t="s">
        <v>100</v>
      </c>
      <c r="D93">
        <v>142.94999999999999</v>
      </c>
      <c r="E93">
        <v>345</v>
      </c>
      <c r="F93">
        <v>215</v>
      </c>
      <c r="G93">
        <v>332.5</v>
      </c>
      <c r="H93">
        <v>892.5</v>
      </c>
      <c r="I93">
        <v>2013</v>
      </c>
      <c r="J93" t="s">
        <v>29</v>
      </c>
      <c r="K93" t="s">
        <v>30</v>
      </c>
      <c r="L93" s="8">
        <f t="shared" si="1"/>
        <v>0.62318840579710144</v>
      </c>
    </row>
    <row r="94" spans="1:12">
      <c r="A94" t="s">
        <v>64</v>
      </c>
      <c r="B94">
        <v>1980</v>
      </c>
      <c r="C94" t="s">
        <v>56</v>
      </c>
      <c r="D94">
        <v>92.35</v>
      </c>
      <c r="E94">
        <v>232.5</v>
      </c>
      <c r="F94">
        <v>145</v>
      </c>
      <c r="G94">
        <v>275</v>
      </c>
      <c r="H94">
        <v>652.5</v>
      </c>
      <c r="I94">
        <v>2012</v>
      </c>
      <c r="J94" t="s">
        <v>29</v>
      </c>
      <c r="K94" t="s">
        <v>30</v>
      </c>
      <c r="L94" s="8">
        <f t="shared" si="1"/>
        <v>0.62365591397849462</v>
      </c>
    </row>
    <row r="95" spans="1:12">
      <c r="A95" t="s">
        <v>426</v>
      </c>
      <c r="B95">
        <v>1977</v>
      </c>
      <c r="C95" t="s">
        <v>119</v>
      </c>
      <c r="D95">
        <v>65.599999999999994</v>
      </c>
      <c r="E95">
        <v>232.5</v>
      </c>
      <c r="F95">
        <v>145</v>
      </c>
      <c r="G95">
        <v>242.5</v>
      </c>
      <c r="H95">
        <v>620</v>
      </c>
      <c r="I95">
        <v>2013</v>
      </c>
      <c r="J95" t="s">
        <v>29</v>
      </c>
      <c r="K95" t="s">
        <v>30</v>
      </c>
      <c r="L95" s="8">
        <f t="shared" si="1"/>
        <v>0.62365591397849462</v>
      </c>
    </row>
    <row r="96" spans="1:12">
      <c r="A96" t="s">
        <v>509</v>
      </c>
      <c r="B96">
        <v>1987</v>
      </c>
      <c r="C96" t="s">
        <v>35</v>
      </c>
      <c r="D96">
        <v>81.88</v>
      </c>
      <c r="E96">
        <v>232.5</v>
      </c>
      <c r="F96">
        <v>145</v>
      </c>
      <c r="G96">
        <v>285</v>
      </c>
      <c r="H96">
        <v>662.5</v>
      </c>
      <c r="I96">
        <v>2015</v>
      </c>
      <c r="J96" t="s">
        <v>29</v>
      </c>
      <c r="K96" t="s">
        <v>30</v>
      </c>
      <c r="L96" s="8">
        <f t="shared" si="1"/>
        <v>0.62365591397849462</v>
      </c>
    </row>
    <row r="97" spans="1:12">
      <c r="A97" t="s">
        <v>421</v>
      </c>
      <c r="B97">
        <v>1991</v>
      </c>
      <c r="C97" t="s">
        <v>113</v>
      </c>
      <c r="D97">
        <v>64.87</v>
      </c>
      <c r="E97">
        <v>240.5</v>
      </c>
      <c r="F97">
        <v>150</v>
      </c>
      <c r="G97">
        <v>245</v>
      </c>
      <c r="H97">
        <v>635.5</v>
      </c>
      <c r="I97">
        <v>2015</v>
      </c>
      <c r="J97" t="s">
        <v>29</v>
      </c>
      <c r="K97" t="s">
        <v>30</v>
      </c>
      <c r="L97" s="8">
        <f t="shared" si="1"/>
        <v>0.62370062370062374</v>
      </c>
    </row>
    <row r="98" spans="1:12">
      <c r="A98" t="s">
        <v>460</v>
      </c>
      <c r="B98">
        <v>1975</v>
      </c>
      <c r="C98" t="s">
        <v>137</v>
      </c>
      <c r="D98">
        <v>73.040000000000006</v>
      </c>
      <c r="E98">
        <v>240</v>
      </c>
      <c r="F98">
        <v>150</v>
      </c>
      <c r="G98">
        <v>305</v>
      </c>
      <c r="H98">
        <v>695</v>
      </c>
      <c r="I98">
        <v>2015</v>
      </c>
      <c r="J98" t="s">
        <v>29</v>
      </c>
      <c r="K98" t="s">
        <v>30</v>
      </c>
      <c r="L98" s="8">
        <f t="shared" si="1"/>
        <v>0.625</v>
      </c>
    </row>
    <row r="99" spans="1:12">
      <c r="A99" t="s">
        <v>846</v>
      </c>
      <c r="B99">
        <v>1989</v>
      </c>
      <c r="C99" t="s">
        <v>77</v>
      </c>
      <c r="D99">
        <v>80.48</v>
      </c>
      <c r="E99">
        <v>240</v>
      </c>
      <c r="F99">
        <v>150</v>
      </c>
      <c r="G99">
        <v>260</v>
      </c>
      <c r="H99">
        <v>650</v>
      </c>
      <c r="I99">
        <v>2015</v>
      </c>
      <c r="J99" t="s">
        <v>29</v>
      </c>
      <c r="K99" t="s">
        <v>30</v>
      </c>
      <c r="L99" s="8">
        <f t="shared" si="1"/>
        <v>0.625</v>
      </c>
    </row>
    <row r="100" spans="1:12">
      <c r="A100" t="s">
        <v>67</v>
      </c>
      <c r="B100">
        <v>1986</v>
      </c>
      <c r="C100" t="s">
        <v>39</v>
      </c>
      <c r="D100">
        <v>118.2</v>
      </c>
      <c r="E100">
        <v>335</v>
      </c>
      <c r="F100">
        <v>210</v>
      </c>
      <c r="G100">
        <v>290</v>
      </c>
      <c r="H100">
        <v>835</v>
      </c>
      <c r="I100">
        <v>2013</v>
      </c>
      <c r="J100" t="s">
        <v>29</v>
      </c>
      <c r="K100" t="s">
        <v>30</v>
      </c>
      <c r="L100" s="8">
        <f t="shared" si="1"/>
        <v>0.62686567164179108</v>
      </c>
    </row>
    <row r="101" spans="1:12">
      <c r="A101" t="s">
        <v>659</v>
      </c>
      <c r="B101">
        <v>1988</v>
      </c>
      <c r="C101" t="s">
        <v>80</v>
      </c>
      <c r="D101">
        <v>104.09</v>
      </c>
      <c r="E101">
        <v>275</v>
      </c>
      <c r="F101">
        <v>172.5</v>
      </c>
      <c r="G101">
        <v>312.5</v>
      </c>
      <c r="H101">
        <v>760</v>
      </c>
      <c r="I101">
        <v>2015</v>
      </c>
      <c r="J101" t="s">
        <v>29</v>
      </c>
      <c r="K101" t="s">
        <v>30</v>
      </c>
      <c r="L101" s="8">
        <f t="shared" si="1"/>
        <v>0.62727272727272732</v>
      </c>
    </row>
    <row r="102" spans="1:12">
      <c r="A102" t="s">
        <v>696</v>
      </c>
      <c r="B102">
        <v>1990</v>
      </c>
      <c r="C102" t="s">
        <v>39</v>
      </c>
      <c r="D102">
        <v>104.37</v>
      </c>
      <c r="E102">
        <v>275</v>
      </c>
      <c r="F102">
        <v>172.5</v>
      </c>
      <c r="G102">
        <v>277.5</v>
      </c>
      <c r="H102">
        <v>725</v>
      </c>
      <c r="I102">
        <v>2015</v>
      </c>
      <c r="J102" t="s">
        <v>29</v>
      </c>
      <c r="K102" t="s">
        <v>30</v>
      </c>
      <c r="L102" s="8">
        <f t="shared" si="1"/>
        <v>0.62727272727272732</v>
      </c>
    </row>
    <row r="103" spans="1:12">
      <c r="A103" t="s">
        <v>136</v>
      </c>
      <c r="B103">
        <v>1987</v>
      </c>
      <c r="C103" t="s">
        <v>137</v>
      </c>
      <c r="D103">
        <v>82.2</v>
      </c>
      <c r="E103">
        <v>255</v>
      </c>
      <c r="F103">
        <v>160</v>
      </c>
      <c r="G103">
        <v>275</v>
      </c>
      <c r="H103">
        <v>690</v>
      </c>
      <c r="I103">
        <v>2012</v>
      </c>
      <c r="J103" t="s">
        <v>29</v>
      </c>
      <c r="K103" t="s">
        <v>30</v>
      </c>
      <c r="L103" s="8">
        <f t="shared" si="1"/>
        <v>0.62745098039215685</v>
      </c>
    </row>
    <row r="104" spans="1:12">
      <c r="A104" t="s">
        <v>27</v>
      </c>
      <c r="B104">
        <v>1970</v>
      </c>
      <c r="C104" t="s">
        <v>28</v>
      </c>
      <c r="D104">
        <v>65.75</v>
      </c>
      <c r="E104">
        <v>215</v>
      </c>
      <c r="F104">
        <v>135</v>
      </c>
      <c r="G104">
        <v>250</v>
      </c>
      <c r="H104">
        <v>600</v>
      </c>
      <c r="I104">
        <v>2012</v>
      </c>
      <c r="J104" t="s">
        <v>29</v>
      </c>
      <c r="K104" t="s">
        <v>30</v>
      </c>
      <c r="L104" s="8">
        <f t="shared" si="1"/>
        <v>0.62790697674418605</v>
      </c>
    </row>
    <row r="105" spans="1:12">
      <c r="A105" t="s">
        <v>55</v>
      </c>
      <c r="B105">
        <v>1986</v>
      </c>
      <c r="C105" t="s">
        <v>56</v>
      </c>
      <c r="D105">
        <v>82.4</v>
      </c>
      <c r="E105">
        <v>215</v>
      </c>
      <c r="F105">
        <v>135</v>
      </c>
      <c r="G105">
        <v>280</v>
      </c>
      <c r="H105">
        <v>630</v>
      </c>
      <c r="I105">
        <v>2012</v>
      </c>
      <c r="J105" t="s">
        <v>29</v>
      </c>
      <c r="K105" t="s">
        <v>30</v>
      </c>
      <c r="L105" s="8">
        <f t="shared" si="1"/>
        <v>0.62790697674418605</v>
      </c>
    </row>
    <row r="106" spans="1:12">
      <c r="A106" t="s">
        <v>152</v>
      </c>
      <c r="B106">
        <v>1988</v>
      </c>
      <c r="C106" t="s">
        <v>85</v>
      </c>
      <c r="D106">
        <v>144.30000000000001</v>
      </c>
      <c r="E106">
        <v>290</v>
      </c>
      <c r="F106">
        <v>182.5</v>
      </c>
      <c r="G106">
        <v>315</v>
      </c>
      <c r="H106">
        <v>787.5</v>
      </c>
      <c r="I106">
        <v>2012</v>
      </c>
      <c r="J106" t="s">
        <v>29</v>
      </c>
      <c r="K106" t="s">
        <v>30</v>
      </c>
      <c r="L106" s="8">
        <f t="shared" si="1"/>
        <v>0.62931034482758619</v>
      </c>
    </row>
    <row r="107" spans="1:12">
      <c r="A107" t="s">
        <v>422</v>
      </c>
      <c r="B107">
        <v>1986</v>
      </c>
      <c r="C107" t="s">
        <v>282</v>
      </c>
      <c r="D107">
        <v>81.93</v>
      </c>
      <c r="E107">
        <v>290</v>
      </c>
      <c r="F107">
        <v>182.5</v>
      </c>
      <c r="G107">
        <v>315</v>
      </c>
      <c r="H107">
        <v>787.5</v>
      </c>
      <c r="I107">
        <v>2015</v>
      </c>
      <c r="J107" t="s">
        <v>29</v>
      </c>
      <c r="K107" t="s">
        <v>30</v>
      </c>
      <c r="L107" s="8">
        <f t="shared" si="1"/>
        <v>0.62931034482758619</v>
      </c>
    </row>
    <row r="108" spans="1:12">
      <c r="A108" t="s">
        <v>120</v>
      </c>
      <c r="B108">
        <v>1959</v>
      </c>
      <c r="C108" t="s">
        <v>51</v>
      </c>
      <c r="D108">
        <v>103.35</v>
      </c>
      <c r="E108">
        <v>270</v>
      </c>
      <c r="F108">
        <v>170</v>
      </c>
      <c r="G108">
        <v>280</v>
      </c>
      <c r="H108">
        <v>720</v>
      </c>
      <c r="I108">
        <v>2012</v>
      </c>
      <c r="J108" t="s">
        <v>29</v>
      </c>
      <c r="K108" t="s">
        <v>30</v>
      </c>
      <c r="L108" s="8">
        <f t="shared" si="1"/>
        <v>0.62962962962962965</v>
      </c>
    </row>
    <row r="109" spans="1:12">
      <c r="A109" t="s">
        <v>670</v>
      </c>
      <c r="B109">
        <v>1979</v>
      </c>
      <c r="C109" t="s">
        <v>289</v>
      </c>
      <c r="D109">
        <v>103.1</v>
      </c>
      <c r="E109">
        <v>270</v>
      </c>
      <c r="F109">
        <v>170</v>
      </c>
      <c r="G109">
        <v>315</v>
      </c>
      <c r="H109">
        <v>755</v>
      </c>
      <c r="I109">
        <v>2014</v>
      </c>
      <c r="J109" t="s">
        <v>29</v>
      </c>
      <c r="K109" t="s">
        <v>30</v>
      </c>
      <c r="L109" s="8">
        <f t="shared" si="1"/>
        <v>0.62962962962962965</v>
      </c>
    </row>
    <row r="110" spans="1:12">
      <c r="A110" t="s">
        <v>99</v>
      </c>
      <c r="B110">
        <v>1988</v>
      </c>
      <c r="C110" t="s">
        <v>100</v>
      </c>
      <c r="D110">
        <v>142.5</v>
      </c>
      <c r="E110">
        <v>325</v>
      </c>
      <c r="F110">
        <v>205</v>
      </c>
      <c r="G110">
        <v>310</v>
      </c>
      <c r="H110">
        <v>840</v>
      </c>
      <c r="I110">
        <v>2012</v>
      </c>
      <c r="J110" t="s">
        <v>29</v>
      </c>
      <c r="K110" t="s">
        <v>30</v>
      </c>
      <c r="L110" s="8">
        <f t="shared" si="1"/>
        <v>0.63076923076923075</v>
      </c>
    </row>
    <row r="111" spans="1:12">
      <c r="A111" t="s">
        <v>680</v>
      </c>
      <c r="B111">
        <v>1990</v>
      </c>
      <c r="C111" t="s">
        <v>282</v>
      </c>
      <c r="D111">
        <v>65.45</v>
      </c>
      <c r="E111">
        <v>210</v>
      </c>
      <c r="F111">
        <v>132.5</v>
      </c>
      <c r="G111">
        <v>240</v>
      </c>
      <c r="H111">
        <v>582.5</v>
      </c>
      <c r="I111">
        <v>2014</v>
      </c>
      <c r="J111" t="s">
        <v>29</v>
      </c>
      <c r="K111" t="s">
        <v>30</v>
      </c>
      <c r="L111" s="8">
        <f t="shared" si="1"/>
        <v>0.63095238095238093</v>
      </c>
    </row>
    <row r="112" spans="1:12">
      <c r="A112" t="s">
        <v>710</v>
      </c>
      <c r="B112">
        <v>1981</v>
      </c>
      <c r="C112" t="s">
        <v>711</v>
      </c>
      <c r="D112">
        <v>65.2</v>
      </c>
      <c r="E112">
        <v>210</v>
      </c>
      <c r="F112">
        <v>132.5</v>
      </c>
      <c r="G112">
        <v>225</v>
      </c>
      <c r="H112">
        <v>567.5</v>
      </c>
      <c r="I112">
        <v>2015</v>
      </c>
      <c r="J112" t="s">
        <v>29</v>
      </c>
      <c r="K112" t="s">
        <v>30</v>
      </c>
      <c r="L112" s="8">
        <f t="shared" si="1"/>
        <v>0.63095238095238093</v>
      </c>
    </row>
    <row r="113" spans="1:12">
      <c r="A113" t="s">
        <v>48</v>
      </c>
      <c r="B113">
        <v>1983</v>
      </c>
      <c r="C113" t="s">
        <v>49</v>
      </c>
      <c r="D113">
        <v>92.01</v>
      </c>
      <c r="E113">
        <v>285</v>
      </c>
      <c r="F113">
        <v>180</v>
      </c>
      <c r="G113">
        <v>322.5</v>
      </c>
      <c r="H113">
        <v>787.5</v>
      </c>
      <c r="I113">
        <v>2015</v>
      </c>
      <c r="J113" t="s">
        <v>29</v>
      </c>
      <c r="K113" t="s">
        <v>30</v>
      </c>
      <c r="L113" s="8">
        <f t="shared" si="1"/>
        <v>0.63157894736842102</v>
      </c>
    </row>
    <row r="114" spans="1:12">
      <c r="A114" t="s">
        <v>569</v>
      </c>
      <c r="B114">
        <v>1987</v>
      </c>
      <c r="C114" t="s">
        <v>39</v>
      </c>
      <c r="D114">
        <v>73.88</v>
      </c>
      <c r="E114">
        <v>252.5</v>
      </c>
      <c r="F114">
        <v>160</v>
      </c>
      <c r="G114">
        <v>240</v>
      </c>
      <c r="H114">
        <v>652.5</v>
      </c>
      <c r="I114">
        <v>2015</v>
      </c>
      <c r="J114" t="s">
        <v>29</v>
      </c>
      <c r="K114" t="s">
        <v>30</v>
      </c>
      <c r="L114" s="8">
        <f t="shared" si="1"/>
        <v>0.63366336633663367</v>
      </c>
    </row>
    <row r="115" spans="1:12">
      <c r="A115" t="s">
        <v>48</v>
      </c>
      <c r="B115">
        <v>1983</v>
      </c>
      <c r="C115" t="s">
        <v>49</v>
      </c>
      <c r="D115">
        <v>92.2</v>
      </c>
      <c r="E115">
        <v>280</v>
      </c>
      <c r="F115">
        <v>177.5</v>
      </c>
      <c r="G115">
        <v>307.5</v>
      </c>
      <c r="H115">
        <v>765</v>
      </c>
      <c r="I115">
        <v>2014</v>
      </c>
      <c r="J115" t="s">
        <v>29</v>
      </c>
      <c r="K115" t="s">
        <v>30</v>
      </c>
      <c r="L115" s="8">
        <f t="shared" si="1"/>
        <v>0.6339285714285714</v>
      </c>
    </row>
    <row r="116" spans="1:12">
      <c r="A116" t="s">
        <v>443</v>
      </c>
      <c r="B116">
        <v>1981</v>
      </c>
      <c r="C116" t="s">
        <v>119</v>
      </c>
      <c r="D116">
        <v>103.55</v>
      </c>
      <c r="E116">
        <v>280</v>
      </c>
      <c r="F116">
        <v>177.5</v>
      </c>
      <c r="G116">
        <v>305</v>
      </c>
      <c r="H116">
        <v>762.5</v>
      </c>
      <c r="I116">
        <v>2013</v>
      </c>
      <c r="J116" t="s">
        <v>29</v>
      </c>
      <c r="K116" t="s">
        <v>30</v>
      </c>
      <c r="L116" s="8">
        <f t="shared" si="1"/>
        <v>0.6339285714285714</v>
      </c>
    </row>
    <row r="117" spans="1:12">
      <c r="A117" t="s">
        <v>552</v>
      </c>
      <c r="B117">
        <v>1984</v>
      </c>
      <c r="C117" t="s">
        <v>113</v>
      </c>
      <c r="D117">
        <v>72.069999999999993</v>
      </c>
      <c r="E117">
        <v>205</v>
      </c>
      <c r="F117">
        <v>130</v>
      </c>
      <c r="G117">
        <v>240</v>
      </c>
      <c r="H117">
        <v>575</v>
      </c>
      <c r="I117">
        <v>2015</v>
      </c>
      <c r="J117" t="s">
        <v>29</v>
      </c>
      <c r="K117" t="s">
        <v>30</v>
      </c>
      <c r="L117" s="8">
        <f t="shared" si="1"/>
        <v>0.63414634146341464</v>
      </c>
    </row>
    <row r="118" spans="1:12">
      <c r="A118" t="s">
        <v>643</v>
      </c>
      <c r="B118">
        <v>1993</v>
      </c>
      <c r="C118" t="s">
        <v>56</v>
      </c>
      <c r="D118">
        <v>119.78</v>
      </c>
      <c r="E118">
        <v>307.5</v>
      </c>
      <c r="F118">
        <v>195</v>
      </c>
      <c r="G118">
        <v>335</v>
      </c>
      <c r="H118">
        <v>837.5</v>
      </c>
      <c r="I118">
        <v>2015</v>
      </c>
      <c r="J118" t="s">
        <v>29</v>
      </c>
      <c r="K118" t="s">
        <v>30</v>
      </c>
      <c r="L118" s="8">
        <f t="shared" si="1"/>
        <v>0.63414634146341464</v>
      </c>
    </row>
    <row r="119" spans="1:12">
      <c r="A119" t="s">
        <v>455</v>
      </c>
      <c r="B119">
        <v>1980</v>
      </c>
      <c r="C119" t="s">
        <v>119</v>
      </c>
      <c r="D119">
        <v>107.29</v>
      </c>
      <c r="E119">
        <v>315</v>
      </c>
      <c r="F119">
        <v>200</v>
      </c>
      <c r="G119">
        <v>280</v>
      </c>
      <c r="H119">
        <v>795</v>
      </c>
      <c r="I119">
        <v>2015</v>
      </c>
      <c r="J119" t="s">
        <v>29</v>
      </c>
      <c r="K119" t="s">
        <v>30</v>
      </c>
      <c r="L119" s="8">
        <f t="shared" si="1"/>
        <v>0.63492063492063489</v>
      </c>
    </row>
    <row r="120" spans="1:12">
      <c r="A120" t="s">
        <v>149</v>
      </c>
      <c r="B120">
        <v>1987</v>
      </c>
      <c r="C120" t="s">
        <v>35</v>
      </c>
      <c r="D120">
        <v>162.19999999999999</v>
      </c>
      <c r="E120">
        <v>322.5</v>
      </c>
      <c r="F120">
        <v>205</v>
      </c>
      <c r="G120">
        <v>305</v>
      </c>
      <c r="H120">
        <v>832.5</v>
      </c>
      <c r="I120">
        <v>2013</v>
      </c>
      <c r="J120" t="s">
        <v>29</v>
      </c>
      <c r="K120" t="s">
        <v>30</v>
      </c>
      <c r="L120" s="8">
        <f t="shared" si="1"/>
        <v>0.63565891472868219</v>
      </c>
    </row>
    <row r="121" spans="1:12">
      <c r="A121" t="s">
        <v>502</v>
      </c>
      <c r="B121">
        <v>1987</v>
      </c>
      <c r="C121" t="s">
        <v>28</v>
      </c>
      <c r="D121">
        <v>103.85</v>
      </c>
      <c r="E121">
        <v>310</v>
      </c>
      <c r="F121">
        <v>197.5</v>
      </c>
      <c r="G121">
        <v>295</v>
      </c>
      <c r="H121">
        <v>802.5</v>
      </c>
      <c r="I121">
        <v>2015</v>
      </c>
      <c r="J121" t="s">
        <v>29</v>
      </c>
      <c r="K121" t="s">
        <v>30</v>
      </c>
      <c r="L121" s="8">
        <f t="shared" si="1"/>
        <v>0.63709677419354838</v>
      </c>
    </row>
    <row r="122" spans="1:12">
      <c r="A122" t="s">
        <v>136</v>
      </c>
      <c r="B122">
        <v>1987</v>
      </c>
      <c r="C122" t="s">
        <v>137</v>
      </c>
      <c r="D122">
        <v>82.2</v>
      </c>
      <c r="E122">
        <v>255</v>
      </c>
      <c r="F122">
        <v>162.5</v>
      </c>
      <c r="G122">
        <v>275</v>
      </c>
      <c r="H122">
        <v>692.5</v>
      </c>
      <c r="I122">
        <v>2013</v>
      </c>
      <c r="J122" t="s">
        <v>29</v>
      </c>
      <c r="K122" t="s">
        <v>30</v>
      </c>
      <c r="L122" s="8">
        <f t="shared" si="1"/>
        <v>0.63725490196078427</v>
      </c>
    </row>
    <row r="123" spans="1:12">
      <c r="A123" t="s">
        <v>141</v>
      </c>
      <c r="B123">
        <v>1992</v>
      </c>
      <c r="C123" t="s">
        <v>142</v>
      </c>
      <c r="D123">
        <v>104.2</v>
      </c>
      <c r="E123">
        <v>325</v>
      </c>
      <c r="F123">
        <v>207.5</v>
      </c>
      <c r="G123">
        <v>312.5</v>
      </c>
      <c r="H123">
        <v>845</v>
      </c>
      <c r="I123">
        <v>2012</v>
      </c>
      <c r="J123" t="s">
        <v>29</v>
      </c>
      <c r="K123" t="s">
        <v>30</v>
      </c>
      <c r="L123" s="8">
        <f t="shared" si="1"/>
        <v>0.63846153846153841</v>
      </c>
    </row>
    <row r="124" spans="1:12">
      <c r="A124" t="s">
        <v>439</v>
      </c>
      <c r="B124">
        <v>1982</v>
      </c>
      <c r="C124" t="s">
        <v>100</v>
      </c>
      <c r="D124">
        <v>92.07</v>
      </c>
      <c r="E124">
        <v>270</v>
      </c>
      <c r="F124">
        <v>172.5</v>
      </c>
      <c r="G124">
        <v>300</v>
      </c>
      <c r="H124">
        <v>742.5</v>
      </c>
      <c r="I124">
        <v>2015</v>
      </c>
      <c r="J124" t="s">
        <v>29</v>
      </c>
      <c r="K124" t="s">
        <v>30</v>
      </c>
      <c r="L124" s="8">
        <f t="shared" si="1"/>
        <v>0.63888888888888884</v>
      </c>
    </row>
    <row r="125" spans="1:12">
      <c r="A125" t="s">
        <v>134</v>
      </c>
      <c r="B125">
        <v>1988</v>
      </c>
      <c r="C125" t="s">
        <v>51</v>
      </c>
      <c r="D125">
        <v>142.75</v>
      </c>
      <c r="E125">
        <v>305</v>
      </c>
      <c r="F125">
        <v>195</v>
      </c>
      <c r="G125">
        <v>265</v>
      </c>
      <c r="H125">
        <v>765</v>
      </c>
      <c r="I125">
        <v>2013</v>
      </c>
      <c r="J125" t="s">
        <v>29</v>
      </c>
      <c r="K125" t="s">
        <v>30</v>
      </c>
      <c r="L125" s="8">
        <f t="shared" si="1"/>
        <v>0.63934426229508201</v>
      </c>
    </row>
    <row r="126" spans="1:12">
      <c r="A126" t="s">
        <v>764</v>
      </c>
      <c r="B126">
        <v>1988</v>
      </c>
      <c r="C126" t="s">
        <v>51</v>
      </c>
      <c r="D126">
        <v>91.39</v>
      </c>
      <c r="E126">
        <v>250</v>
      </c>
      <c r="F126">
        <v>160</v>
      </c>
      <c r="G126">
        <v>295</v>
      </c>
      <c r="H126">
        <v>705</v>
      </c>
      <c r="I126">
        <v>2015</v>
      </c>
      <c r="J126" t="s">
        <v>29</v>
      </c>
      <c r="K126" t="s">
        <v>30</v>
      </c>
      <c r="L126" s="8">
        <f t="shared" si="1"/>
        <v>0.64</v>
      </c>
    </row>
    <row r="127" spans="1:12">
      <c r="A127" t="s">
        <v>529</v>
      </c>
      <c r="B127">
        <v>1991</v>
      </c>
      <c r="C127" t="s">
        <v>289</v>
      </c>
      <c r="D127">
        <v>90.58</v>
      </c>
      <c r="E127">
        <v>252.5</v>
      </c>
      <c r="F127">
        <v>162.5</v>
      </c>
      <c r="G127">
        <v>272.5</v>
      </c>
      <c r="H127">
        <v>687.5</v>
      </c>
      <c r="I127">
        <v>2015</v>
      </c>
      <c r="J127" t="s">
        <v>29</v>
      </c>
      <c r="K127" t="s">
        <v>30</v>
      </c>
      <c r="L127" s="8">
        <f t="shared" si="1"/>
        <v>0.64356435643564358</v>
      </c>
    </row>
    <row r="128" spans="1:12">
      <c r="A128" t="s">
        <v>714</v>
      </c>
      <c r="B128">
        <v>1992</v>
      </c>
      <c r="C128" t="s">
        <v>142</v>
      </c>
      <c r="D128">
        <v>104.6</v>
      </c>
      <c r="E128">
        <v>330</v>
      </c>
      <c r="F128">
        <v>212.5</v>
      </c>
      <c r="G128">
        <v>310</v>
      </c>
      <c r="H128">
        <v>852.5</v>
      </c>
      <c r="I128">
        <v>2014</v>
      </c>
      <c r="J128" t="s">
        <v>29</v>
      </c>
      <c r="K128" t="s">
        <v>30</v>
      </c>
      <c r="L128" s="8">
        <f t="shared" si="1"/>
        <v>0.64393939393939392</v>
      </c>
    </row>
    <row r="129" spans="1:12">
      <c r="A129" t="s">
        <v>847</v>
      </c>
      <c r="B129">
        <v>1985</v>
      </c>
      <c r="C129" t="s">
        <v>28</v>
      </c>
      <c r="D129">
        <v>82.6</v>
      </c>
      <c r="E129">
        <v>260</v>
      </c>
      <c r="F129">
        <v>167.5</v>
      </c>
      <c r="G129">
        <v>300</v>
      </c>
      <c r="H129">
        <v>727.5</v>
      </c>
      <c r="I129">
        <v>2015</v>
      </c>
      <c r="J129" t="s">
        <v>29</v>
      </c>
      <c r="K129" t="s">
        <v>30</v>
      </c>
      <c r="L129" s="8">
        <f t="shared" si="1"/>
        <v>0.64423076923076927</v>
      </c>
    </row>
    <row r="130" spans="1:12">
      <c r="A130" t="s">
        <v>598</v>
      </c>
      <c r="B130">
        <v>1986</v>
      </c>
      <c r="C130" t="s">
        <v>39</v>
      </c>
      <c r="D130">
        <v>65.66</v>
      </c>
      <c r="E130">
        <v>225</v>
      </c>
      <c r="F130">
        <v>145</v>
      </c>
      <c r="G130">
        <v>240</v>
      </c>
      <c r="H130">
        <v>610</v>
      </c>
      <c r="I130">
        <v>2015</v>
      </c>
      <c r="J130" t="s">
        <v>29</v>
      </c>
      <c r="K130" t="s">
        <v>30</v>
      </c>
      <c r="L130" s="8">
        <f t="shared" ref="L130:L193" si="2">IF(AND(F130&lt;&gt;0,E130&lt;&gt;0),F130/E130,"")</f>
        <v>0.64444444444444449</v>
      </c>
    </row>
    <row r="131" spans="1:12">
      <c r="A131" t="s">
        <v>404</v>
      </c>
      <c r="B131">
        <v>1986</v>
      </c>
      <c r="C131" t="s">
        <v>113</v>
      </c>
      <c r="D131">
        <v>149.81</v>
      </c>
      <c r="E131">
        <v>387.5</v>
      </c>
      <c r="F131">
        <v>250</v>
      </c>
      <c r="G131">
        <v>332.5</v>
      </c>
      <c r="H131">
        <v>970</v>
      </c>
      <c r="I131">
        <v>2015</v>
      </c>
      <c r="J131" t="s">
        <v>29</v>
      </c>
      <c r="K131" t="s">
        <v>30</v>
      </c>
      <c r="L131" s="8">
        <f t="shared" si="2"/>
        <v>0.64516129032258063</v>
      </c>
    </row>
    <row r="132" spans="1:12">
      <c r="A132" t="s">
        <v>525</v>
      </c>
      <c r="B132">
        <v>1986</v>
      </c>
      <c r="C132" t="s">
        <v>77</v>
      </c>
      <c r="D132">
        <v>81.41</v>
      </c>
      <c r="E132">
        <v>232.5</v>
      </c>
      <c r="F132">
        <v>150</v>
      </c>
      <c r="G132">
        <v>255</v>
      </c>
      <c r="H132">
        <v>637.5</v>
      </c>
      <c r="I132">
        <v>2015</v>
      </c>
      <c r="J132" t="s">
        <v>29</v>
      </c>
      <c r="K132" t="s">
        <v>30</v>
      </c>
      <c r="L132" s="8">
        <f t="shared" si="2"/>
        <v>0.64516129032258063</v>
      </c>
    </row>
    <row r="133" spans="1:12">
      <c r="A133" t="s">
        <v>164</v>
      </c>
      <c r="B133">
        <v>1990</v>
      </c>
      <c r="C133" t="s">
        <v>85</v>
      </c>
      <c r="D133">
        <v>92.52</v>
      </c>
      <c r="E133">
        <v>290</v>
      </c>
      <c r="F133">
        <v>187.5</v>
      </c>
      <c r="G133">
        <v>355</v>
      </c>
      <c r="H133">
        <v>832.5</v>
      </c>
      <c r="I133">
        <v>2015</v>
      </c>
      <c r="J133" t="s">
        <v>29</v>
      </c>
      <c r="K133" t="s">
        <v>30</v>
      </c>
      <c r="L133" s="8">
        <f t="shared" si="2"/>
        <v>0.64655172413793105</v>
      </c>
    </row>
    <row r="134" spans="1:12">
      <c r="A134" t="s">
        <v>159</v>
      </c>
      <c r="B134">
        <v>1974</v>
      </c>
      <c r="C134" t="s">
        <v>39</v>
      </c>
      <c r="D134">
        <v>81.2</v>
      </c>
      <c r="E134">
        <v>255</v>
      </c>
      <c r="F134">
        <v>165</v>
      </c>
      <c r="G134">
        <v>287.5</v>
      </c>
      <c r="H134">
        <v>707.5</v>
      </c>
      <c r="I134">
        <v>2013</v>
      </c>
      <c r="J134" t="s">
        <v>29</v>
      </c>
      <c r="K134" t="s">
        <v>30</v>
      </c>
      <c r="L134" s="8">
        <f t="shared" si="2"/>
        <v>0.6470588235294118</v>
      </c>
    </row>
    <row r="135" spans="1:12">
      <c r="A135" t="s">
        <v>122</v>
      </c>
      <c r="B135">
        <v>1977</v>
      </c>
      <c r="C135" t="s">
        <v>77</v>
      </c>
      <c r="D135">
        <v>65.599999999999994</v>
      </c>
      <c r="E135">
        <v>185</v>
      </c>
      <c r="F135">
        <v>120</v>
      </c>
      <c r="G135">
        <v>230</v>
      </c>
      <c r="H135">
        <v>535</v>
      </c>
      <c r="I135">
        <v>2012</v>
      </c>
      <c r="J135" t="s">
        <v>29</v>
      </c>
      <c r="K135" t="s">
        <v>30</v>
      </c>
      <c r="L135" s="8">
        <f t="shared" si="2"/>
        <v>0.64864864864864868</v>
      </c>
    </row>
    <row r="136" spans="1:12">
      <c r="A136" t="s">
        <v>727</v>
      </c>
      <c r="B136">
        <v>1989</v>
      </c>
      <c r="C136" t="s">
        <v>51</v>
      </c>
      <c r="D136">
        <v>82.62</v>
      </c>
      <c r="E136">
        <v>235</v>
      </c>
      <c r="F136">
        <v>152.5</v>
      </c>
      <c r="G136">
        <v>262.5</v>
      </c>
      <c r="H136">
        <v>650</v>
      </c>
      <c r="I136">
        <v>2015</v>
      </c>
      <c r="J136" t="s">
        <v>29</v>
      </c>
      <c r="K136" t="s">
        <v>30</v>
      </c>
      <c r="L136" s="8">
        <f t="shared" si="2"/>
        <v>0.64893617021276595</v>
      </c>
    </row>
    <row r="137" spans="1:12">
      <c r="A137" t="s">
        <v>474</v>
      </c>
      <c r="B137">
        <v>1988</v>
      </c>
      <c r="C137" t="s">
        <v>113</v>
      </c>
      <c r="D137">
        <v>104.07</v>
      </c>
      <c r="E137">
        <v>285</v>
      </c>
      <c r="F137">
        <v>185</v>
      </c>
      <c r="G137">
        <v>290</v>
      </c>
      <c r="H137">
        <v>760</v>
      </c>
      <c r="I137">
        <v>2015</v>
      </c>
      <c r="J137" t="s">
        <v>29</v>
      </c>
      <c r="K137" t="s">
        <v>30</v>
      </c>
      <c r="L137" s="8">
        <f t="shared" si="2"/>
        <v>0.64912280701754388</v>
      </c>
    </row>
    <row r="138" spans="1:12">
      <c r="A138" t="s">
        <v>531</v>
      </c>
      <c r="B138">
        <v>1979</v>
      </c>
      <c r="C138" t="s">
        <v>352</v>
      </c>
      <c r="D138">
        <v>119.93</v>
      </c>
      <c r="E138">
        <v>342.5</v>
      </c>
      <c r="F138">
        <v>222.5</v>
      </c>
      <c r="G138">
        <v>362.5</v>
      </c>
      <c r="H138">
        <v>927.5</v>
      </c>
      <c r="I138">
        <v>2015</v>
      </c>
      <c r="J138" t="s">
        <v>29</v>
      </c>
      <c r="K138" t="s">
        <v>30</v>
      </c>
      <c r="L138" s="8">
        <f t="shared" si="2"/>
        <v>0.64963503649635035</v>
      </c>
    </row>
    <row r="139" spans="1:12">
      <c r="A139" t="s">
        <v>479</v>
      </c>
      <c r="B139">
        <v>1982</v>
      </c>
      <c r="C139" t="s">
        <v>480</v>
      </c>
      <c r="D139">
        <v>73.25</v>
      </c>
      <c r="E139">
        <v>200</v>
      </c>
      <c r="F139">
        <v>130</v>
      </c>
      <c r="G139">
        <v>240</v>
      </c>
      <c r="H139">
        <v>570</v>
      </c>
      <c r="I139">
        <v>2013</v>
      </c>
      <c r="J139" t="s">
        <v>29</v>
      </c>
      <c r="K139" t="s">
        <v>30</v>
      </c>
      <c r="L139" s="8">
        <f t="shared" si="2"/>
        <v>0.65</v>
      </c>
    </row>
    <row r="140" spans="1:12">
      <c r="A140" t="s">
        <v>110</v>
      </c>
      <c r="B140">
        <v>1979</v>
      </c>
      <c r="C140" t="s">
        <v>28</v>
      </c>
      <c r="D140">
        <v>104.05</v>
      </c>
      <c r="E140">
        <v>307.5</v>
      </c>
      <c r="F140">
        <v>200</v>
      </c>
      <c r="G140">
        <v>322.5</v>
      </c>
      <c r="H140">
        <v>830</v>
      </c>
      <c r="I140">
        <v>2012</v>
      </c>
      <c r="J140" t="s">
        <v>29</v>
      </c>
      <c r="K140" t="s">
        <v>30</v>
      </c>
      <c r="L140" s="8">
        <f t="shared" si="2"/>
        <v>0.65040650406504064</v>
      </c>
    </row>
    <row r="141" spans="1:12">
      <c r="A141" t="s">
        <v>140</v>
      </c>
      <c r="B141">
        <v>1970</v>
      </c>
      <c r="C141" t="s">
        <v>56</v>
      </c>
      <c r="D141">
        <v>132</v>
      </c>
      <c r="E141">
        <v>330</v>
      </c>
      <c r="F141">
        <v>215</v>
      </c>
      <c r="G141">
        <v>310</v>
      </c>
      <c r="H141">
        <v>855</v>
      </c>
      <c r="I141">
        <v>2012</v>
      </c>
      <c r="J141" t="s">
        <v>29</v>
      </c>
      <c r="K141" t="s">
        <v>30</v>
      </c>
      <c r="L141" s="8">
        <f t="shared" si="2"/>
        <v>0.65151515151515149</v>
      </c>
    </row>
    <row r="142" spans="1:12">
      <c r="A142" t="s">
        <v>462</v>
      </c>
      <c r="B142">
        <v>1975</v>
      </c>
      <c r="C142" t="s">
        <v>137</v>
      </c>
      <c r="D142">
        <v>72.55</v>
      </c>
      <c r="E142">
        <v>222.5</v>
      </c>
      <c r="F142">
        <v>145</v>
      </c>
      <c r="G142">
        <v>310</v>
      </c>
      <c r="H142">
        <v>677.5</v>
      </c>
      <c r="I142">
        <v>2014</v>
      </c>
      <c r="J142" t="s">
        <v>29</v>
      </c>
      <c r="K142" t="s">
        <v>30</v>
      </c>
      <c r="L142" s="8">
        <f t="shared" si="2"/>
        <v>0.651685393258427</v>
      </c>
    </row>
    <row r="143" spans="1:12">
      <c r="A143" t="s">
        <v>143</v>
      </c>
      <c r="B143">
        <v>1987</v>
      </c>
      <c r="C143" t="s">
        <v>80</v>
      </c>
      <c r="D143">
        <v>92.3</v>
      </c>
      <c r="E143">
        <v>260</v>
      </c>
      <c r="F143">
        <v>170</v>
      </c>
      <c r="G143">
        <v>305</v>
      </c>
      <c r="H143">
        <v>735</v>
      </c>
      <c r="I143">
        <v>2012</v>
      </c>
      <c r="J143" t="s">
        <v>29</v>
      </c>
      <c r="K143" t="s">
        <v>30</v>
      </c>
      <c r="L143" s="8">
        <f t="shared" si="2"/>
        <v>0.65384615384615385</v>
      </c>
    </row>
    <row r="144" spans="1:12">
      <c r="A144" t="s">
        <v>441</v>
      </c>
      <c r="B144">
        <v>1991</v>
      </c>
      <c r="C144" t="s">
        <v>113</v>
      </c>
      <c r="D144">
        <v>130.12</v>
      </c>
      <c r="E144">
        <v>260</v>
      </c>
      <c r="F144">
        <v>170</v>
      </c>
      <c r="G144">
        <v>275</v>
      </c>
      <c r="H144">
        <v>705</v>
      </c>
      <c r="I144">
        <v>2015</v>
      </c>
      <c r="J144" t="s">
        <v>29</v>
      </c>
      <c r="K144" t="s">
        <v>30</v>
      </c>
      <c r="L144" s="8">
        <f t="shared" si="2"/>
        <v>0.65384615384615385</v>
      </c>
    </row>
    <row r="145" spans="1:12">
      <c r="A145" t="s">
        <v>48</v>
      </c>
      <c r="B145">
        <v>1983</v>
      </c>
      <c r="C145" t="s">
        <v>49</v>
      </c>
      <c r="D145">
        <v>92.5</v>
      </c>
      <c r="E145">
        <v>267.5</v>
      </c>
      <c r="F145">
        <v>175</v>
      </c>
      <c r="G145">
        <v>307.5</v>
      </c>
      <c r="H145">
        <v>750</v>
      </c>
      <c r="I145">
        <v>2013</v>
      </c>
      <c r="J145" t="s">
        <v>29</v>
      </c>
      <c r="K145" t="s">
        <v>30</v>
      </c>
      <c r="L145" s="8">
        <f t="shared" si="2"/>
        <v>0.65420560747663548</v>
      </c>
    </row>
    <row r="146" spans="1:12">
      <c r="A146" t="s">
        <v>517</v>
      </c>
      <c r="B146">
        <v>1977</v>
      </c>
      <c r="C146" t="s">
        <v>56</v>
      </c>
      <c r="D146">
        <v>73.650000000000006</v>
      </c>
      <c r="E146">
        <v>202.5</v>
      </c>
      <c r="F146">
        <v>132.5</v>
      </c>
      <c r="G146">
        <v>240</v>
      </c>
      <c r="H146">
        <v>575</v>
      </c>
      <c r="I146">
        <v>2013</v>
      </c>
      <c r="J146" t="s">
        <v>29</v>
      </c>
      <c r="K146" t="s">
        <v>30</v>
      </c>
      <c r="L146" s="8">
        <f t="shared" si="2"/>
        <v>0.65432098765432101</v>
      </c>
    </row>
    <row r="147" spans="1:12">
      <c r="A147" t="s">
        <v>714</v>
      </c>
      <c r="B147">
        <v>1992</v>
      </c>
      <c r="C147" t="s">
        <v>142</v>
      </c>
      <c r="D147">
        <v>103.35</v>
      </c>
      <c r="E147">
        <v>320</v>
      </c>
      <c r="F147">
        <v>210</v>
      </c>
      <c r="G147">
        <v>310</v>
      </c>
      <c r="H147">
        <v>840</v>
      </c>
      <c r="I147">
        <v>2013</v>
      </c>
      <c r="J147" t="s">
        <v>29</v>
      </c>
      <c r="K147" t="s">
        <v>30</v>
      </c>
      <c r="L147" s="8">
        <f t="shared" si="2"/>
        <v>0.65625</v>
      </c>
    </row>
    <row r="148" spans="1:12">
      <c r="A148" t="s">
        <v>735</v>
      </c>
      <c r="B148">
        <v>1990</v>
      </c>
      <c r="C148" t="s">
        <v>142</v>
      </c>
      <c r="D148">
        <v>104.7</v>
      </c>
      <c r="E148">
        <v>285</v>
      </c>
      <c r="F148">
        <v>187.5</v>
      </c>
      <c r="G148">
        <v>330</v>
      </c>
      <c r="H148">
        <v>802.5</v>
      </c>
      <c r="I148">
        <v>2015</v>
      </c>
      <c r="J148" t="s">
        <v>29</v>
      </c>
      <c r="K148" t="s">
        <v>30</v>
      </c>
      <c r="L148" s="8">
        <f t="shared" si="2"/>
        <v>0.65789473684210531</v>
      </c>
    </row>
    <row r="149" spans="1:12">
      <c r="A149" t="s">
        <v>67</v>
      </c>
      <c r="B149">
        <v>1986</v>
      </c>
      <c r="C149" t="s">
        <v>39</v>
      </c>
      <c r="D149">
        <v>115.05</v>
      </c>
      <c r="E149">
        <v>300</v>
      </c>
      <c r="F149">
        <v>197.5</v>
      </c>
      <c r="G149">
        <v>307.5</v>
      </c>
      <c r="H149">
        <v>805</v>
      </c>
      <c r="I149">
        <v>2012</v>
      </c>
      <c r="J149" t="s">
        <v>29</v>
      </c>
      <c r="K149" t="s">
        <v>30</v>
      </c>
      <c r="L149" s="8">
        <f t="shared" si="2"/>
        <v>0.65833333333333333</v>
      </c>
    </row>
    <row r="150" spans="1:12">
      <c r="A150" t="s">
        <v>158</v>
      </c>
      <c r="B150">
        <v>1985</v>
      </c>
      <c r="C150" t="s">
        <v>62</v>
      </c>
      <c r="D150">
        <v>118.7</v>
      </c>
      <c r="E150">
        <v>315</v>
      </c>
      <c r="F150">
        <v>207.5</v>
      </c>
      <c r="G150">
        <v>342.5</v>
      </c>
      <c r="H150">
        <v>865</v>
      </c>
      <c r="I150">
        <v>2012</v>
      </c>
      <c r="J150" t="s">
        <v>29</v>
      </c>
      <c r="K150" t="s">
        <v>30</v>
      </c>
      <c r="L150" s="8">
        <f t="shared" si="2"/>
        <v>0.65873015873015872</v>
      </c>
    </row>
    <row r="151" spans="1:12">
      <c r="A151" t="s">
        <v>143</v>
      </c>
      <c r="B151">
        <v>1987</v>
      </c>
      <c r="C151" t="s">
        <v>80</v>
      </c>
      <c r="D151">
        <v>82.72</v>
      </c>
      <c r="E151">
        <v>250</v>
      </c>
      <c r="F151">
        <v>165</v>
      </c>
      <c r="G151">
        <v>290</v>
      </c>
      <c r="H151">
        <v>705</v>
      </c>
      <c r="I151">
        <v>2015</v>
      </c>
      <c r="J151" t="s">
        <v>29</v>
      </c>
      <c r="K151" t="s">
        <v>30</v>
      </c>
      <c r="L151" s="8">
        <f t="shared" si="2"/>
        <v>0.66</v>
      </c>
    </row>
    <row r="152" spans="1:12">
      <c r="A152" t="s">
        <v>68</v>
      </c>
      <c r="B152">
        <v>1977</v>
      </c>
      <c r="C152" t="s">
        <v>56</v>
      </c>
      <c r="D152">
        <v>92.7</v>
      </c>
      <c r="E152">
        <v>257.5</v>
      </c>
      <c r="F152">
        <v>170</v>
      </c>
      <c r="G152">
        <v>0</v>
      </c>
      <c r="H152">
        <v>0</v>
      </c>
      <c r="I152">
        <v>2013</v>
      </c>
      <c r="J152" t="s">
        <v>29</v>
      </c>
      <c r="K152" t="s">
        <v>30</v>
      </c>
      <c r="L152" s="8">
        <f t="shared" si="2"/>
        <v>0.66019417475728159</v>
      </c>
    </row>
    <row r="153" spans="1:12">
      <c r="A153" t="s">
        <v>127</v>
      </c>
      <c r="B153">
        <v>1978</v>
      </c>
      <c r="C153" t="s">
        <v>49</v>
      </c>
      <c r="D153">
        <v>128.05000000000001</v>
      </c>
      <c r="E153">
        <v>295</v>
      </c>
      <c r="F153">
        <v>195</v>
      </c>
      <c r="G153">
        <v>275</v>
      </c>
      <c r="H153">
        <v>765</v>
      </c>
      <c r="I153">
        <v>2012</v>
      </c>
      <c r="J153" t="s">
        <v>29</v>
      </c>
      <c r="K153" t="s">
        <v>30</v>
      </c>
      <c r="L153" s="8">
        <f t="shared" si="2"/>
        <v>0.66101694915254239</v>
      </c>
    </row>
    <row r="154" spans="1:12">
      <c r="A154" t="s">
        <v>574</v>
      </c>
      <c r="B154">
        <v>1985</v>
      </c>
      <c r="C154" t="s">
        <v>39</v>
      </c>
      <c r="D154">
        <v>133.94999999999999</v>
      </c>
      <c r="E154">
        <v>325</v>
      </c>
      <c r="F154">
        <v>215</v>
      </c>
      <c r="G154">
        <v>355</v>
      </c>
      <c r="H154">
        <v>895</v>
      </c>
      <c r="I154">
        <v>2013</v>
      </c>
      <c r="J154" t="s">
        <v>29</v>
      </c>
      <c r="K154" t="s">
        <v>30</v>
      </c>
      <c r="L154" s="8">
        <f t="shared" si="2"/>
        <v>0.66153846153846152</v>
      </c>
    </row>
    <row r="155" spans="1:12">
      <c r="A155" t="s">
        <v>130</v>
      </c>
      <c r="B155">
        <v>1975</v>
      </c>
      <c r="C155" t="s">
        <v>80</v>
      </c>
      <c r="D155">
        <v>73.760000000000005</v>
      </c>
      <c r="E155">
        <v>230</v>
      </c>
      <c r="F155">
        <v>152.5</v>
      </c>
      <c r="G155">
        <v>292.5</v>
      </c>
      <c r="H155">
        <v>675</v>
      </c>
      <c r="I155">
        <v>2015</v>
      </c>
      <c r="J155" t="s">
        <v>29</v>
      </c>
      <c r="K155" t="s">
        <v>30</v>
      </c>
      <c r="L155" s="8">
        <f t="shared" si="2"/>
        <v>0.66304347826086951</v>
      </c>
    </row>
    <row r="156" spans="1:12">
      <c r="A156" t="s">
        <v>82</v>
      </c>
      <c r="B156">
        <v>1984</v>
      </c>
      <c r="C156" t="s">
        <v>83</v>
      </c>
      <c r="D156">
        <v>103.8</v>
      </c>
      <c r="E156">
        <v>282.5</v>
      </c>
      <c r="F156">
        <v>187.5</v>
      </c>
      <c r="G156">
        <v>340</v>
      </c>
      <c r="H156">
        <v>810</v>
      </c>
      <c r="I156">
        <v>2012</v>
      </c>
      <c r="J156" t="s">
        <v>29</v>
      </c>
      <c r="K156" t="s">
        <v>30</v>
      </c>
      <c r="L156" s="8">
        <f t="shared" si="2"/>
        <v>0.66371681415929207</v>
      </c>
    </row>
    <row r="157" spans="1:12">
      <c r="A157" t="s">
        <v>628</v>
      </c>
      <c r="B157">
        <v>1988</v>
      </c>
      <c r="C157" t="s">
        <v>51</v>
      </c>
      <c r="D157">
        <v>92.1</v>
      </c>
      <c r="E157">
        <v>290</v>
      </c>
      <c r="F157">
        <v>192.5</v>
      </c>
      <c r="G157">
        <v>302.5</v>
      </c>
      <c r="H157">
        <v>785</v>
      </c>
      <c r="I157">
        <v>2014</v>
      </c>
      <c r="J157" t="s">
        <v>29</v>
      </c>
      <c r="K157" t="s">
        <v>30</v>
      </c>
      <c r="L157" s="8">
        <f t="shared" si="2"/>
        <v>0.66379310344827591</v>
      </c>
    </row>
    <row r="158" spans="1:12">
      <c r="A158" t="s">
        <v>140</v>
      </c>
      <c r="B158">
        <v>1970</v>
      </c>
      <c r="C158" t="s">
        <v>56</v>
      </c>
      <c r="D158">
        <v>140.30000000000001</v>
      </c>
      <c r="E158">
        <v>335</v>
      </c>
      <c r="F158">
        <v>222.5</v>
      </c>
      <c r="G158">
        <v>0</v>
      </c>
      <c r="H158">
        <v>0</v>
      </c>
      <c r="I158">
        <v>2013</v>
      </c>
      <c r="J158" t="s">
        <v>29</v>
      </c>
      <c r="K158" t="s">
        <v>30</v>
      </c>
      <c r="L158" s="8">
        <f t="shared" si="2"/>
        <v>0.66417910447761197</v>
      </c>
    </row>
    <row r="159" spans="1:12">
      <c r="A159" t="s">
        <v>806</v>
      </c>
      <c r="B159">
        <v>1980</v>
      </c>
      <c r="C159" t="s">
        <v>406</v>
      </c>
      <c r="D159">
        <v>160.30000000000001</v>
      </c>
      <c r="E159">
        <v>350</v>
      </c>
      <c r="F159">
        <v>232.5</v>
      </c>
      <c r="G159">
        <v>310</v>
      </c>
      <c r="H159">
        <v>892.5</v>
      </c>
      <c r="I159">
        <v>2013</v>
      </c>
      <c r="J159" t="s">
        <v>29</v>
      </c>
      <c r="K159" t="s">
        <v>30</v>
      </c>
      <c r="L159" s="8">
        <f t="shared" si="2"/>
        <v>0.66428571428571426</v>
      </c>
    </row>
    <row r="160" spans="1:12">
      <c r="A160" t="s">
        <v>60</v>
      </c>
      <c r="B160">
        <v>1979</v>
      </c>
      <c r="C160" t="s">
        <v>35</v>
      </c>
      <c r="D160">
        <v>99</v>
      </c>
      <c r="E160">
        <v>270</v>
      </c>
      <c r="F160">
        <v>180</v>
      </c>
      <c r="G160">
        <v>302.5</v>
      </c>
      <c r="H160">
        <v>752.5</v>
      </c>
      <c r="I160">
        <v>2012</v>
      </c>
      <c r="J160" t="s">
        <v>29</v>
      </c>
      <c r="K160" t="s">
        <v>30</v>
      </c>
      <c r="L160" s="8">
        <f t="shared" si="2"/>
        <v>0.66666666666666663</v>
      </c>
    </row>
    <row r="161" spans="1:12">
      <c r="A161" t="s">
        <v>116</v>
      </c>
      <c r="B161">
        <v>1974</v>
      </c>
      <c r="C161" t="s">
        <v>45</v>
      </c>
      <c r="D161">
        <v>129.55000000000001</v>
      </c>
      <c r="E161">
        <v>300</v>
      </c>
      <c r="F161">
        <v>200</v>
      </c>
      <c r="G161">
        <v>325</v>
      </c>
      <c r="H161">
        <v>825</v>
      </c>
      <c r="I161">
        <v>2012</v>
      </c>
      <c r="J161" t="s">
        <v>29</v>
      </c>
      <c r="K161" t="s">
        <v>30</v>
      </c>
      <c r="L161" s="8">
        <f t="shared" si="2"/>
        <v>0.66666666666666663</v>
      </c>
    </row>
    <row r="162" spans="1:12">
      <c r="A162" t="s">
        <v>531</v>
      </c>
      <c r="B162">
        <v>1979</v>
      </c>
      <c r="C162" t="s">
        <v>352</v>
      </c>
      <c r="D162">
        <v>118.85</v>
      </c>
      <c r="E162">
        <v>337.5</v>
      </c>
      <c r="F162">
        <v>225</v>
      </c>
      <c r="G162">
        <v>342.5</v>
      </c>
      <c r="H162">
        <v>905</v>
      </c>
      <c r="I162">
        <v>2013</v>
      </c>
      <c r="J162" t="s">
        <v>29</v>
      </c>
      <c r="K162" t="s">
        <v>30</v>
      </c>
      <c r="L162" s="8">
        <f t="shared" si="2"/>
        <v>0.66666666666666663</v>
      </c>
    </row>
    <row r="163" spans="1:12">
      <c r="A163" t="s">
        <v>535</v>
      </c>
      <c r="B163">
        <v>1981</v>
      </c>
      <c r="C163" t="s">
        <v>74</v>
      </c>
      <c r="D163">
        <v>73.62</v>
      </c>
      <c r="E163">
        <v>225</v>
      </c>
      <c r="F163">
        <v>150</v>
      </c>
      <c r="G163">
        <v>300</v>
      </c>
      <c r="H163">
        <v>675</v>
      </c>
      <c r="I163">
        <v>2015</v>
      </c>
      <c r="J163" t="s">
        <v>29</v>
      </c>
      <c r="K163" t="s">
        <v>30</v>
      </c>
      <c r="L163" s="8">
        <f t="shared" si="2"/>
        <v>0.66666666666666663</v>
      </c>
    </row>
    <row r="164" spans="1:12">
      <c r="A164" t="s">
        <v>639</v>
      </c>
      <c r="B164">
        <v>1975</v>
      </c>
      <c r="C164" t="s">
        <v>77</v>
      </c>
      <c r="D164">
        <v>64.7</v>
      </c>
      <c r="E164">
        <v>180</v>
      </c>
      <c r="F164">
        <v>120</v>
      </c>
      <c r="G164">
        <v>230</v>
      </c>
      <c r="H164">
        <v>530</v>
      </c>
      <c r="I164">
        <v>2013</v>
      </c>
      <c r="J164" t="s">
        <v>29</v>
      </c>
      <c r="K164" t="s">
        <v>30</v>
      </c>
      <c r="L164" s="8">
        <f t="shared" si="2"/>
        <v>0.66666666666666663</v>
      </c>
    </row>
    <row r="165" spans="1:12">
      <c r="A165" t="s">
        <v>123</v>
      </c>
      <c r="B165">
        <v>1983</v>
      </c>
      <c r="C165" t="s">
        <v>80</v>
      </c>
      <c r="D165">
        <v>104.45</v>
      </c>
      <c r="E165">
        <v>300</v>
      </c>
      <c r="F165">
        <v>200</v>
      </c>
      <c r="G165">
        <v>305</v>
      </c>
      <c r="H165">
        <v>805</v>
      </c>
      <c r="I165">
        <v>2013</v>
      </c>
      <c r="J165" t="s">
        <v>29</v>
      </c>
      <c r="K165" t="s">
        <v>30</v>
      </c>
      <c r="L165" s="8">
        <f t="shared" si="2"/>
        <v>0.66666666666666663</v>
      </c>
    </row>
    <row r="166" spans="1:12">
      <c r="A166" t="s">
        <v>130</v>
      </c>
      <c r="B166">
        <v>1975</v>
      </c>
      <c r="C166" t="s">
        <v>80</v>
      </c>
      <c r="D166">
        <v>73.650000000000006</v>
      </c>
      <c r="E166">
        <v>225</v>
      </c>
      <c r="F166">
        <v>150</v>
      </c>
      <c r="G166">
        <v>277.5</v>
      </c>
      <c r="H166">
        <v>652.5</v>
      </c>
      <c r="I166">
        <v>2013</v>
      </c>
      <c r="J166" t="s">
        <v>29</v>
      </c>
      <c r="K166" t="s">
        <v>30</v>
      </c>
      <c r="L166" s="8">
        <f t="shared" si="2"/>
        <v>0.66666666666666663</v>
      </c>
    </row>
    <row r="167" spans="1:12">
      <c r="A167" t="s">
        <v>143</v>
      </c>
      <c r="B167">
        <v>1987</v>
      </c>
      <c r="C167" t="s">
        <v>80</v>
      </c>
      <c r="D167">
        <v>92.6</v>
      </c>
      <c r="E167">
        <v>255</v>
      </c>
      <c r="F167">
        <v>170</v>
      </c>
      <c r="G167">
        <v>297.5</v>
      </c>
      <c r="H167">
        <v>722.5</v>
      </c>
      <c r="I167">
        <v>2013</v>
      </c>
      <c r="J167" t="s">
        <v>29</v>
      </c>
      <c r="K167" t="s">
        <v>30</v>
      </c>
      <c r="L167" s="8">
        <f t="shared" si="2"/>
        <v>0.66666666666666663</v>
      </c>
    </row>
    <row r="168" spans="1:12">
      <c r="A168" t="s">
        <v>785</v>
      </c>
      <c r="B168">
        <v>1989</v>
      </c>
      <c r="C168" t="s">
        <v>56</v>
      </c>
      <c r="D168">
        <v>73.92</v>
      </c>
      <c r="E168">
        <v>210</v>
      </c>
      <c r="F168">
        <v>140</v>
      </c>
      <c r="G168">
        <v>250</v>
      </c>
      <c r="H168">
        <v>600</v>
      </c>
      <c r="I168">
        <v>2015</v>
      </c>
      <c r="J168" t="s">
        <v>29</v>
      </c>
      <c r="K168" t="s">
        <v>30</v>
      </c>
      <c r="L168" s="8">
        <f t="shared" si="2"/>
        <v>0.66666666666666663</v>
      </c>
    </row>
    <row r="169" spans="1:12">
      <c r="A169" t="s">
        <v>802</v>
      </c>
      <c r="B169">
        <v>1989</v>
      </c>
      <c r="C169" t="s">
        <v>51</v>
      </c>
      <c r="D169">
        <v>72.8</v>
      </c>
      <c r="E169">
        <v>195</v>
      </c>
      <c r="F169">
        <v>130</v>
      </c>
      <c r="G169">
        <v>235</v>
      </c>
      <c r="H169">
        <v>560</v>
      </c>
      <c r="I169">
        <v>2014</v>
      </c>
      <c r="J169" t="s">
        <v>29</v>
      </c>
      <c r="K169" t="s">
        <v>30</v>
      </c>
      <c r="L169" s="8">
        <f t="shared" si="2"/>
        <v>0.66666666666666663</v>
      </c>
    </row>
    <row r="170" spans="1:12">
      <c r="A170" t="s">
        <v>827</v>
      </c>
      <c r="B170">
        <v>1989</v>
      </c>
      <c r="C170" t="s">
        <v>113</v>
      </c>
      <c r="D170">
        <v>81.45</v>
      </c>
      <c r="E170">
        <v>247.5</v>
      </c>
      <c r="F170">
        <v>165</v>
      </c>
      <c r="G170">
        <v>290</v>
      </c>
      <c r="H170">
        <v>702.5</v>
      </c>
      <c r="I170">
        <v>2015</v>
      </c>
      <c r="J170" t="s">
        <v>29</v>
      </c>
      <c r="K170" t="s">
        <v>30</v>
      </c>
      <c r="L170" s="8">
        <f t="shared" si="2"/>
        <v>0.66666666666666663</v>
      </c>
    </row>
    <row r="171" spans="1:12">
      <c r="A171" t="s">
        <v>164</v>
      </c>
      <c r="B171">
        <v>1990</v>
      </c>
      <c r="C171" t="s">
        <v>85</v>
      </c>
      <c r="D171">
        <v>92.25</v>
      </c>
      <c r="E171">
        <v>285</v>
      </c>
      <c r="F171">
        <v>190</v>
      </c>
      <c r="G171">
        <v>372.5</v>
      </c>
      <c r="H171">
        <v>847.5</v>
      </c>
      <c r="I171">
        <v>2014</v>
      </c>
      <c r="J171" t="s">
        <v>29</v>
      </c>
      <c r="K171" t="s">
        <v>30</v>
      </c>
      <c r="L171" s="8">
        <f t="shared" si="2"/>
        <v>0.66666666666666663</v>
      </c>
    </row>
    <row r="172" spans="1:12">
      <c r="A172" t="s">
        <v>628</v>
      </c>
      <c r="B172">
        <v>1988</v>
      </c>
      <c r="C172" t="s">
        <v>51</v>
      </c>
      <c r="D172">
        <v>92.95</v>
      </c>
      <c r="E172">
        <v>280</v>
      </c>
      <c r="F172">
        <v>187.5</v>
      </c>
      <c r="G172">
        <v>305</v>
      </c>
      <c r="H172">
        <v>772.5</v>
      </c>
      <c r="I172">
        <v>2013</v>
      </c>
      <c r="J172" t="s">
        <v>29</v>
      </c>
      <c r="K172" t="s">
        <v>30</v>
      </c>
      <c r="L172" s="8">
        <f t="shared" si="2"/>
        <v>0.6696428571428571</v>
      </c>
    </row>
    <row r="173" spans="1:12">
      <c r="A173" t="s">
        <v>422</v>
      </c>
      <c r="B173">
        <v>1986</v>
      </c>
      <c r="C173" t="s">
        <v>282</v>
      </c>
      <c r="D173">
        <v>82.4</v>
      </c>
      <c r="E173">
        <v>272.5</v>
      </c>
      <c r="F173">
        <v>182.5</v>
      </c>
      <c r="G173">
        <v>315</v>
      </c>
      <c r="H173">
        <v>770</v>
      </c>
      <c r="I173">
        <v>2014</v>
      </c>
      <c r="J173" t="s">
        <v>29</v>
      </c>
      <c r="K173" t="s">
        <v>30</v>
      </c>
      <c r="L173" s="8">
        <f t="shared" si="2"/>
        <v>0.66972477064220182</v>
      </c>
    </row>
    <row r="174" spans="1:12">
      <c r="A174" t="s">
        <v>542</v>
      </c>
      <c r="B174">
        <v>1986</v>
      </c>
      <c r="C174" t="s">
        <v>39</v>
      </c>
      <c r="D174">
        <v>72.7</v>
      </c>
      <c r="E174">
        <v>250</v>
      </c>
      <c r="F174">
        <v>167.5</v>
      </c>
      <c r="G174">
        <v>262.5</v>
      </c>
      <c r="H174">
        <v>680</v>
      </c>
      <c r="I174">
        <v>2015</v>
      </c>
      <c r="J174" t="s">
        <v>29</v>
      </c>
      <c r="K174" t="s">
        <v>30</v>
      </c>
      <c r="L174" s="8">
        <f t="shared" si="2"/>
        <v>0.67</v>
      </c>
    </row>
    <row r="175" spans="1:12">
      <c r="A175" t="s">
        <v>70</v>
      </c>
      <c r="B175">
        <v>1979</v>
      </c>
      <c r="C175" t="s">
        <v>51</v>
      </c>
      <c r="D175">
        <v>82.09</v>
      </c>
      <c r="E175">
        <v>220</v>
      </c>
      <c r="F175">
        <v>147.5</v>
      </c>
      <c r="G175">
        <v>280</v>
      </c>
      <c r="H175">
        <v>647.5</v>
      </c>
      <c r="I175">
        <v>2015</v>
      </c>
      <c r="J175" t="s">
        <v>29</v>
      </c>
      <c r="K175" t="s">
        <v>30</v>
      </c>
      <c r="L175" s="8">
        <f t="shared" si="2"/>
        <v>0.67045454545454541</v>
      </c>
    </row>
    <row r="176" spans="1:12">
      <c r="A176" t="s">
        <v>785</v>
      </c>
      <c r="B176">
        <v>1989</v>
      </c>
      <c r="C176" t="s">
        <v>56</v>
      </c>
      <c r="D176">
        <v>73.55</v>
      </c>
      <c r="E176">
        <v>205</v>
      </c>
      <c r="F176">
        <v>137.5</v>
      </c>
      <c r="G176">
        <v>240</v>
      </c>
      <c r="H176">
        <v>582.5</v>
      </c>
      <c r="I176">
        <v>2014</v>
      </c>
      <c r="J176" t="s">
        <v>29</v>
      </c>
      <c r="K176" t="s">
        <v>30</v>
      </c>
      <c r="L176" s="8">
        <f t="shared" si="2"/>
        <v>0.67073170731707321</v>
      </c>
    </row>
    <row r="177" spans="1:12">
      <c r="A177" t="s">
        <v>556</v>
      </c>
      <c r="B177">
        <v>1988</v>
      </c>
      <c r="C177" t="s">
        <v>51</v>
      </c>
      <c r="D177">
        <v>174.25</v>
      </c>
      <c r="E177">
        <v>335</v>
      </c>
      <c r="F177">
        <v>225</v>
      </c>
      <c r="G177">
        <v>332.5</v>
      </c>
      <c r="H177">
        <v>892.5</v>
      </c>
      <c r="I177">
        <v>2015</v>
      </c>
      <c r="J177" t="s">
        <v>29</v>
      </c>
      <c r="K177" t="s">
        <v>30</v>
      </c>
      <c r="L177" s="8">
        <f t="shared" si="2"/>
        <v>0.67164179104477617</v>
      </c>
    </row>
    <row r="178" spans="1:12">
      <c r="A178" t="s">
        <v>46</v>
      </c>
      <c r="B178">
        <v>1972</v>
      </c>
      <c r="C178" t="s">
        <v>47</v>
      </c>
      <c r="D178">
        <v>103.55</v>
      </c>
      <c r="E178">
        <v>312.5</v>
      </c>
      <c r="F178">
        <v>210</v>
      </c>
      <c r="G178">
        <v>325</v>
      </c>
      <c r="H178">
        <v>847.5</v>
      </c>
      <c r="I178">
        <v>2012</v>
      </c>
      <c r="J178" t="s">
        <v>29</v>
      </c>
      <c r="K178" t="s">
        <v>30</v>
      </c>
      <c r="L178" s="8">
        <f t="shared" si="2"/>
        <v>0.67200000000000004</v>
      </c>
    </row>
    <row r="179" spans="1:12">
      <c r="A179" t="s">
        <v>48</v>
      </c>
      <c r="B179">
        <v>1983</v>
      </c>
      <c r="C179" t="s">
        <v>49</v>
      </c>
      <c r="D179">
        <v>91.8</v>
      </c>
      <c r="E179">
        <v>260</v>
      </c>
      <c r="F179">
        <v>175</v>
      </c>
      <c r="G179">
        <v>290</v>
      </c>
      <c r="H179">
        <v>725</v>
      </c>
      <c r="I179">
        <v>2012</v>
      </c>
      <c r="J179" t="s">
        <v>29</v>
      </c>
      <c r="K179" t="s">
        <v>30</v>
      </c>
      <c r="L179" s="8">
        <f t="shared" si="2"/>
        <v>0.67307692307692313</v>
      </c>
    </row>
    <row r="180" spans="1:12">
      <c r="A180" t="s">
        <v>569</v>
      </c>
      <c r="B180">
        <v>1987</v>
      </c>
      <c r="C180" t="s">
        <v>39</v>
      </c>
      <c r="D180">
        <v>73.25</v>
      </c>
      <c r="E180">
        <v>245</v>
      </c>
      <c r="F180">
        <v>165</v>
      </c>
      <c r="G180">
        <v>230</v>
      </c>
      <c r="H180">
        <v>640</v>
      </c>
      <c r="I180">
        <v>2013</v>
      </c>
      <c r="J180" t="s">
        <v>29</v>
      </c>
      <c r="K180" t="s">
        <v>30</v>
      </c>
      <c r="L180" s="8">
        <f t="shared" si="2"/>
        <v>0.67346938775510201</v>
      </c>
    </row>
    <row r="181" spans="1:12">
      <c r="A181" t="s">
        <v>84</v>
      </c>
      <c r="B181">
        <v>1987</v>
      </c>
      <c r="C181" t="s">
        <v>85</v>
      </c>
      <c r="D181">
        <v>73.599999999999994</v>
      </c>
      <c r="E181">
        <v>237.5</v>
      </c>
      <c r="F181">
        <v>160</v>
      </c>
      <c r="G181">
        <v>245</v>
      </c>
      <c r="H181">
        <v>642.5</v>
      </c>
      <c r="I181">
        <v>2013</v>
      </c>
      <c r="J181" t="s">
        <v>29</v>
      </c>
      <c r="K181" t="s">
        <v>30</v>
      </c>
      <c r="L181" s="8">
        <f t="shared" si="2"/>
        <v>0.67368421052631577</v>
      </c>
    </row>
    <row r="182" spans="1:12">
      <c r="A182" t="s">
        <v>620</v>
      </c>
      <c r="B182">
        <v>1986</v>
      </c>
      <c r="C182" t="s">
        <v>113</v>
      </c>
      <c r="D182">
        <v>91.11</v>
      </c>
      <c r="E182">
        <v>230</v>
      </c>
      <c r="F182">
        <v>155</v>
      </c>
      <c r="G182">
        <v>290</v>
      </c>
      <c r="H182">
        <v>675</v>
      </c>
      <c r="I182">
        <v>2015</v>
      </c>
      <c r="J182" t="s">
        <v>29</v>
      </c>
      <c r="K182" t="s">
        <v>30</v>
      </c>
      <c r="L182" s="8">
        <f t="shared" si="2"/>
        <v>0.67391304347826086</v>
      </c>
    </row>
    <row r="183" spans="1:12">
      <c r="A183" t="s">
        <v>52</v>
      </c>
      <c r="B183">
        <v>1983</v>
      </c>
      <c r="C183" t="s">
        <v>35</v>
      </c>
      <c r="D183">
        <v>93</v>
      </c>
      <c r="E183">
        <v>255</v>
      </c>
      <c r="F183">
        <v>172.5</v>
      </c>
      <c r="G183">
        <v>290</v>
      </c>
      <c r="H183">
        <v>717.5</v>
      </c>
      <c r="I183">
        <v>2012</v>
      </c>
      <c r="J183" t="s">
        <v>29</v>
      </c>
      <c r="K183" t="s">
        <v>30</v>
      </c>
      <c r="L183" s="8">
        <f t="shared" si="2"/>
        <v>0.67647058823529416</v>
      </c>
    </row>
    <row r="184" spans="1:12">
      <c r="A184" t="s">
        <v>76</v>
      </c>
      <c r="B184">
        <v>1991</v>
      </c>
      <c r="C184" t="s">
        <v>77</v>
      </c>
      <c r="D184">
        <v>66.45</v>
      </c>
      <c r="E184">
        <v>170</v>
      </c>
      <c r="F184">
        <v>115</v>
      </c>
      <c r="G184">
        <v>215</v>
      </c>
      <c r="H184">
        <v>500</v>
      </c>
      <c r="I184">
        <v>2012</v>
      </c>
      <c r="J184" t="s">
        <v>29</v>
      </c>
      <c r="K184" t="s">
        <v>30</v>
      </c>
      <c r="L184" s="8">
        <f t="shared" si="2"/>
        <v>0.67647058823529416</v>
      </c>
    </row>
    <row r="185" spans="1:12">
      <c r="A185" t="s">
        <v>632</v>
      </c>
      <c r="B185">
        <v>1987</v>
      </c>
      <c r="C185" t="s">
        <v>51</v>
      </c>
      <c r="D185">
        <v>92.8</v>
      </c>
      <c r="E185">
        <v>255</v>
      </c>
      <c r="F185">
        <v>172.5</v>
      </c>
      <c r="G185">
        <v>345</v>
      </c>
      <c r="H185">
        <v>772.5</v>
      </c>
      <c r="I185">
        <v>2014</v>
      </c>
      <c r="J185" t="s">
        <v>29</v>
      </c>
      <c r="K185" t="s">
        <v>30</v>
      </c>
      <c r="L185" s="8">
        <f t="shared" si="2"/>
        <v>0.67647058823529416</v>
      </c>
    </row>
    <row r="186" spans="1:12">
      <c r="A186" t="s">
        <v>533</v>
      </c>
      <c r="B186">
        <v>1976</v>
      </c>
      <c r="C186" t="s">
        <v>83</v>
      </c>
      <c r="D186">
        <v>73.569999999999993</v>
      </c>
      <c r="E186">
        <v>247.5</v>
      </c>
      <c r="F186">
        <v>167.5</v>
      </c>
      <c r="G186">
        <v>297.5</v>
      </c>
      <c r="H186">
        <v>712.5</v>
      </c>
      <c r="I186">
        <v>2015</v>
      </c>
      <c r="J186" t="s">
        <v>29</v>
      </c>
      <c r="K186" t="s">
        <v>30</v>
      </c>
      <c r="L186" s="8">
        <f t="shared" si="2"/>
        <v>0.6767676767676768</v>
      </c>
    </row>
    <row r="187" spans="1:12">
      <c r="A187" t="s">
        <v>133</v>
      </c>
      <c r="B187">
        <v>1983</v>
      </c>
      <c r="C187" t="s">
        <v>35</v>
      </c>
      <c r="D187">
        <v>119.25</v>
      </c>
      <c r="E187">
        <v>302.5</v>
      </c>
      <c r="F187">
        <v>205</v>
      </c>
      <c r="G187">
        <v>292.5</v>
      </c>
      <c r="H187">
        <v>800</v>
      </c>
      <c r="I187">
        <v>2012</v>
      </c>
      <c r="J187" t="s">
        <v>29</v>
      </c>
      <c r="K187" t="s">
        <v>30</v>
      </c>
      <c r="L187" s="8">
        <f t="shared" si="2"/>
        <v>0.6776859504132231</v>
      </c>
    </row>
    <row r="188" spans="1:12">
      <c r="A188" t="s">
        <v>628</v>
      </c>
      <c r="B188">
        <v>1988</v>
      </c>
      <c r="C188" t="s">
        <v>51</v>
      </c>
      <c r="D188">
        <v>103</v>
      </c>
      <c r="E188">
        <v>295</v>
      </c>
      <c r="F188">
        <v>200</v>
      </c>
      <c r="G188">
        <v>307.5</v>
      </c>
      <c r="H188">
        <v>802.5</v>
      </c>
      <c r="I188">
        <v>2015</v>
      </c>
      <c r="J188" t="s">
        <v>29</v>
      </c>
      <c r="K188" t="s">
        <v>30</v>
      </c>
      <c r="L188" s="8">
        <f t="shared" si="2"/>
        <v>0.67796610169491522</v>
      </c>
    </row>
    <row r="189" spans="1:12">
      <c r="A189" t="s">
        <v>488</v>
      </c>
      <c r="B189">
        <v>1983</v>
      </c>
      <c r="C189" t="s">
        <v>137</v>
      </c>
      <c r="D189">
        <v>92.85</v>
      </c>
      <c r="E189">
        <v>287.5</v>
      </c>
      <c r="F189">
        <v>195</v>
      </c>
      <c r="G189">
        <v>302.5</v>
      </c>
      <c r="H189">
        <v>785</v>
      </c>
      <c r="I189">
        <v>2015</v>
      </c>
      <c r="J189" t="s">
        <v>29</v>
      </c>
      <c r="K189" t="s">
        <v>30</v>
      </c>
      <c r="L189" s="8">
        <f t="shared" si="2"/>
        <v>0.67826086956521736</v>
      </c>
    </row>
    <row r="190" spans="1:12">
      <c r="A190" t="s">
        <v>583</v>
      </c>
      <c r="B190">
        <v>1987</v>
      </c>
      <c r="C190" t="s">
        <v>28</v>
      </c>
      <c r="D190">
        <v>58.62</v>
      </c>
      <c r="E190">
        <v>210</v>
      </c>
      <c r="F190">
        <v>142.5</v>
      </c>
      <c r="G190">
        <v>250</v>
      </c>
      <c r="H190">
        <v>602.5</v>
      </c>
      <c r="I190">
        <v>2015</v>
      </c>
      <c r="J190" t="s">
        <v>29</v>
      </c>
      <c r="K190" t="s">
        <v>30</v>
      </c>
      <c r="L190" s="8">
        <f t="shared" si="2"/>
        <v>0.6785714285714286</v>
      </c>
    </row>
    <row r="191" spans="1:12">
      <c r="A191" t="s">
        <v>597</v>
      </c>
      <c r="B191">
        <v>1988</v>
      </c>
      <c r="C191" t="s">
        <v>28</v>
      </c>
      <c r="D191">
        <v>119.75</v>
      </c>
      <c r="E191">
        <v>327.5</v>
      </c>
      <c r="F191">
        <v>222.5</v>
      </c>
      <c r="G191">
        <v>337.5</v>
      </c>
      <c r="H191">
        <v>887.5</v>
      </c>
      <c r="I191">
        <v>2013</v>
      </c>
      <c r="J191" t="s">
        <v>29</v>
      </c>
      <c r="K191" t="s">
        <v>30</v>
      </c>
      <c r="L191" s="8">
        <f t="shared" si="2"/>
        <v>0.67938931297709926</v>
      </c>
    </row>
    <row r="192" spans="1:12">
      <c r="A192" t="s">
        <v>126</v>
      </c>
      <c r="B192">
        <v>1987</v>
      </c>
      <c r="C192" t="s">
        <v>80</v>
      </c>
      <c r="D192">
        <v>91.33</v>
      </c>
      <c r="E192">
        <v>257.5</v>
      </c>
      <c r="F192">
        <v>175</v>
      </c>
      <c r="G192">
        <v>285</v>
      </c>
      <c r="H192">
        <v>717.5</v>
      </c>
      <c r="I192">
        <v>2015</v>
      </c>
      <c r="J192" t="s">
        <v>29</v>
      </c>
      <c r="K192" t="s">
        <v>30</v>
      </c>
      <c r="L192" s="8">
        <f t="shared" si="2"/>
        <v>0.67961165048543692</v>
      </c>
    </row>
    <row r="193" spans="1:12">
      <c r="A193" t="s">
        <v>139</v>
      </c>
      <c r="B193">
        <v>1987</v>
      </c>
      <c r="C193" t="s">
        <v>137</v>
      </c>
      <c r="D193">
        <v>89.05</v>
      </c>
      <c r="E193">
        <v>250</v>
      </c>
      <c r="F193">
        <v>170</v>
      </c>
      <c r="G193">
        <v>302.5</v>
      </c>
      <c r="H193">
        <v>722.5</v>
      </c>
      <c r="I193">
        <v>2012</v>
      </c>
      <c r="J193" t="s">
        <v>29</v>
      </c>
      <c r="K193" t="s">
        <v>30</v>
      </c>
      <c r="L193" s="8">
        <f t="shared" si="2"/>
        <v>0.68</v>
      </c>
    </row>
    <row r="194" spans="1:12">
      <c r="A194" t="s">
        <v>698</v>
      </c>
      <c r="B194">
        <v>1979</v>
      </c>
      <c r="C194" t="s">
        <v>80</v>
      </c>
      <c r="D194">
        <v>82.35</v>
      </c>
      <c r="E194">
        <v>242.5</v>
      </c>
      <c r="F194">
        <v>165</v>
      </c>
      <c r="G194">
        <v>290</v>
      </c>
      <c r="H194">
        <v>697.5</v>
      </c>
      <c r="I194">
        <v>2014</v>
      </c>
      <c r="J194" t="s">
        <v>29</v>
      </c>
      <c r="K194" t="s">
        <v>30</v>
      </c>
      <c r="L194" s="8">
        <f t="shared" ref="L194:L257" si="3">IF(AND(F194&lt;&gt;0,E194&lt;&gt;0),F194/E194,"")</f>
        <v>0.68041237113402064</v>
      </c>
    </row>
    <row r="195" spans="1:12">
      <c r="A195" t="s">
        <v>533</v>
      </c>
      <c r="B195">
        <v>1976</v>
      </c>
      <c r="C195" t="s">
        <v>83</v>
      </c>
      <c r="D195">
        <v>73.650000000000006</v>
      </c>
      <c r="E195">
        <v>235</v>
      </c>
      <c r="F195">
        <v>160</v>
      </c>
      <c r="G195">
        <v>291</v>
      </c>
      <c r="H195">
        <v>686</v>
      </c>
      <c r="I195">
        <v>2013</v>
      </c>
      <c r="J195" t="s">
        <v>29</v>
      </c>
      <c r="K195" t="s">
        <v>30</v>
      </c>
      <c r="L195" s="8">
        <f t="shared" si="3"/>
        <v>0.68085106382978722</v>
      </c>
    </row>
    <row r="196" spans="1:12">
      <c r="A196" t="s">
        <v>123</v>
      </c>
      <c r="B196">
        <v>1983</v>
      </c>
      <c r="C196" t="s">
        <v>80</v>
      </c>
      <c r="D196">
        <v>104.65</v>
      </c>
      <c r="E196">
        <v>290</v>
      </c>
      <c r="F196">
        <v>197.5</v>
      </c>
      <c r="G196">
        <v>300</v>
      </c>
      <c r="H196">
        <v>787.5</v>
      </c>
      <c r="I196">
        <v>2012</v>
      </c>
      <c r="J196" t="s">
        <v>29</v>
      </c>
      <c r="K196" t="s">
        <v>30</v>
      </c>
      <c r="L196" s="8">
        <f t="shared" si="3"/>
        <v>0.68103448275862066</v>
      </c>
    </row>
    <row r="197" spans="1:12">
      <c r="A197" t="s">
        <v>384</v>
      </c>
      <c r="B197">
        <v>1984</v>
      </c>
      <c r="C197" t="s">
        <v>137</v>
      </c>
      <c r="D197">
        <v>104.5</v>
      </c>
      <c r="E197">
        <v>282.5</v>
      </c>
      <c r="F197">
        <v>192.5</v>
      </c>
      <c r="G197">
        <v>305</v>
      </c>
      <c r="H197">
        <v>780</v>
      </c>
      <c r="I197">
        <v>2013</v>
      </c>
      <c r="J197" t="s">
        <v>29</v>
      </c>
      <c r="K197" t="s">
        <v>30</v>
      </c>
      <c r="L197" s="8">
        <f t="shared" si="3"/>
        <v>0.68141592920353977</v>
      </c>
    </row>
    <row r="198" spans="1:12">
      <c r="A198" t="s">
        <v>488</v>
      </c>
      <c r="B198">
        <v>1983</v>
      </c>
      <c r="C198" t="s">
        <v>137</v>
      </c>
      <c r="D198">
        <v>92.65</v>
      </c>
      <c r="E198">
        <v>282.5</v>
      </c>
      <c r="F198">
        <v>192.5</v>
      </c>
      <c r="G198">
        <v>292.5</v>
      </c>
      <c r="H198">
        <v>767.5</v>
      </c>
      <c r="I198">
        <v>2014</v>
      </c>
      <c r="J198" t="s">
        <v>29</v>
      </c>
      <c r="K198" t="s">
        <v>30</v>
      </c>
      <c r="L198" s="8">
        <f t="shared" si="3"/>
        <v>0.68141592920353977</v>
      </c>
    </row>
    <row r="199" spans="1:12">
      <c r="A199" t="s">
        <v>84</v>
      </c>
      <c r="B199">
        <v>1987</v>
      </c>
      <c r="C199" t="s">
        <v>85</v>
      </c>
      <c r="D199">
        <v>73.55</v>
      </c>
      <c r="E199">
        <v>220</v>
      </c>
      <c r="F199">
        <v>150</v>
      </c>
      <c r="G199">
        <v>240</v>
      </c>
      <c r="H199">
        <v>610</v>
      </c>
      <c r="I199">
        <v>2012</v>
      </c>
      <c r="J199" t="s">
        <v>29</v>
      </c>
      <c r="K199" t="s">
        <v>30</v>
      </c>
      <c r="L199" s="8">
        <f t="shared" si="3"/>
        <v>0.68181818181818177</v>
      </c>
    </row>
    <row r="200" spans="1:12">
      <c r="A200" t="s">
        <v>130</v>
      </c>
      <c r="B200">
        <v>1975</v>
      </c>
      <c r="C200" t="s">
        <v>80</v>
      </c>
      <c r="D200">
        <v>73.2</v>
      </c>
      <c r="E200">
        <v>220</v>
      </c>
      <c r="F200">
        <v>150</v>
      </c>
      <c r="G200">
        <v>280</v>
      </c>
      <c r="H200">
        <v>650</v>
      </c>
      <c r="I200">
        <v>2012</v>
      </c>
      <c r="J200" t="s">
        <v>29</v>
      </c>
      <c r="K200" t="s">
        <v>30</v>
      </c>
      <c r="L200" s="8">
        <f t="shared" si="3"/>
        <v>0.68181818181818177</v>
      </c>
    </row>
    <row r="201" spans="1:12">
      <c r="A201" t="s">
        <v>765</v>
      </c>
      <c r="B201">
        <v>1985</v>
      </c>
      <c r="C201" t="s">
        <v>194</v>
      </c>
      <c r="D201">
        <v>72.2</v>
      </c>
      <c r="E201">
        <v>220</v>
      </c>
      <c r="F201">
        <v>150</v>
      </c>
      <c r="G201">
        <v>305</v>
      </c>
      <c r="H201">
        <v>675</v>
      </c>
      <c r="I201">
        <v>2014</v>
      </c>
      <c r="J201" t="s">
        <v>29</v>
      </c>
      <c r="K201" t="s">
        <v>30</v>
      </c>
      <c r="L201" s="8">
        <f t="shared" si="3"/>
        <v>0.68181818181818177</v>
      </c>
    </row>
    <row r="202" spans="1:12">
      <c r="A202" t="s">
        <v>431</v>
      </c>
      <c r="B202">
        <v>1984</v>
      </c>
      <c r="C202" t="s">
        <v>51</v>
      </c>
      <c r="D202">
        <v>118.65</v>
      </c>
      <c r="E202">
        <v>322.5</v>
      </c>
      <c r="F202">
        <v>220</v>
      </c>
      <c r="G202">
        <v>322.5</v>
      </c>
      <c r="H202">
        <v>865</v>
      </c>
      <c r="I202">
        <v>2014</v>
      </c>
      <c r="J202" t="s">
        <v>29</v>
      </c>
      <c r="K202" t="s">
        <v>30</v>
      </c>
      <c r="L202" s="8">
        <f t="shared" si="3"/>
        <v>0.68217054263565891</v>
      </c>
    </row>
    <row r="203" spans="1:12">
      <c r="A203" t="s">
        <v>597</v>
      </c>
      <c r="B203">
        <v>1988</v>
      </c>
      <c r="C203" t="s">
        <v>28</v>
      </c>
      <c r="D203">
        <v>118.55</v>
      </c>
      <c r="E203">
        <v>322.5</v>
      </c>
      <c r="F203">
        <v>220</v>
      </c>
      <c r="G203">
        <v>345</v>
      </c>
      <c r="H203">
        <v>887.5</v>
      </c>
      <c r="I203">
        <v>2014</v>
      </c>
      <c r="J203" t="s">
        <v>29</v>
      </c>
      <c r="K203" t="s">
        <v>30</v>
      </c>
      <c r="L203" s="8">
        <f t="shared" si="3"/>
        <v>0.68217054263565891</v>
      </c>
    </row>
    <row r="204" spans="1:12">
      <c r="A204" t="s">
        <v>105</v>
      </c>
      <c r="B204">
        <v>1982</v>
      </c>
      <c r="C204" t="s">
        <v>28</v>
      </c>
      <c r="D204">
        <v>82.3</v>
      </c>
      <c r="E204">
        <v>267.5</v>
      </c>
      <c r="F204">
        <v>182.5</v>
      </c>
      <c r="G204">
        <v>305</v>
      </c>
      <c r="H204">
        <v>755</v>
      </c>
      <c r="I204">
        <v>2014</v>
      </c>
      <c r="J204" t="s">
        <v>29</v>
      </c>
      <c r="K204" t="s">
        <v>30</v>
      </c>
      <c r="L204" s="8">
        <f t="shared" si="3"/>
        <v>0.68224299065420557</v>
      </c>
    </row>
    <row r="205" spans="1:12">
      <c r="A205" t="s">
        <v>385</v>
      </c>
      <c r="B205">
        <v>1990</v>
      </c>
      <c r="C205" t="s">
        <v>28</v>
      </c>
      <c r="D205">
        <v>103.56</v>
      </c>
      <c r="E205">
        <v>315</v>
      </c>
      <c r="F205">
        <v>215</v>
      </c>
      <c r="G205">
        <v>337.5</v>
      </c>
      <c r="H205">
        <v>867.5</v>
      </c>
      <c r="I205">
        <v>2014</v>
      </c>
      <c r="J205" t="s">
        <v>29</v>
      </c>
      <c r="K205" t="s">
        <v>30</v>
      </c>
      <c r="L205" s="8">
        <f t="shared" si="3"/>
        <v>0.68253968253968256</v>
      </c>
    </row>
    <row r="206" spans="1:12">
      <c r="A206" t="s">
        <v>159</v>
      </c>
      <c r="B206">
        <v>1974</v>
      </c>
      <c r="C206" t="s">
        <v>39</v>
      </c>
      <c r="D206">
        <v>80</v>
      </c>
      <c r="E206">
        <v>252.5</v>
      </c>
      <c r="F206">
        <v>172.5</v>
      </c>
      <c r="G206">
        <v>295</v>
      </c>
      <c r="H206">
        <v>720</v>
      </c>
      <c r="I206">
        <v>2012</v>
      </c>
      <c r="J206" t="s">
        <v>29</v>
      </c>
      <c r="K206" t="s">
        <v>30</v>
      </c>
      <c r="L206" s="8">
        <f t="shared" si="3"/>
        <v>0.68316831683168322</v>
      </c>
    </row>
    <row r="207" spans="1:12">
      <c r="A207" t="s">
        <v>384</v>
      </c>
      <c r="B207">
        <v>1984</v>
      </c>
      <c r="C207" t="s">
        <v>137</v>
      </c>
      <c r="D207">
        <v>104.45</v>
      </c>
      <c r="E207">
        <v>300</v>
      </c>
      <c r="F207">
        <v>205</v>
      </c>
      <c r="G207">
        <v>332.5</v>
      </c>
      <c r="H207">
        <v>837.5</v>
      </c>
      <c r="I207">
        <v>2014</v>
      </c>
      <c r="J207" t="s">
        <v>29</v>
      </c>
      <c r="K207" t="s">
        <v>30</v>
      </c>
      <c r="L207" s="8">
        <f t="shared" si="3"/>
        <v>0.68333333333333335</v>
      </c>
    </row>
    <row r="208" spans="1:12">
      <c r="A208" t="s">
        <v>408</v>
      </c>
      <c r="B208">
        <v>1975</v>
      </c>
      <c r="C208" t="s">
        <v>119</v>
      </c>
      <c r="D208">
        <v>93</v>
      </c>
      <c r="E208">
        <v>300</v>
      </c>
      <c r="F208">
        <v>205</v>
      </c>
      <c r="G208">
        <v>342.5</v>
      </c>
      <c r="H208">
        <v>847.5</v>
      </c>
      <c r="I208">
        <v>2014</v>
      </c>
      <c r="J208" t="s">
        <v>29</v>
      </c>
      <c r="K208" t="s">
        <v>30</v>
      </c>
      <c r="L208" s="8">
        <f t="shared" si="3"/>
        <v>0.68333333333333335</v>
      </c>
    </row>
    <row r="209" spans="1:12">
      <c r="A209" t="s">
        <v>160</v>
      </c>
      <c r="B209">
        <v>1983</v>
      </c>
      <c r="C209" t="s">
        <v>125</v>
      </c>
      <c r="D209">
        <v>92.76</v>
      </c>
      <c r="E209">
        <v>277.5</v>
      </c>
      <c r="F209">
        <v>190</v>
      </c>
      <c r="G209">
        <v>287.5</v>
      </c>
      <c r="H209">
        <v>755</v>
      </c>
      <c r="I209">
        <v>2015</v>
      </c>
      <c r="J209" t="s">
        <v>29</v>
      </c>
      <c r="K209" t="s">
        <v>30</v>
      </c>
      <c r="L209" s="8">
        <f t="shared" si="3"/>
        <v>0.68468468468468469</v>
      </c>
    </row>
    <row r="210" spans="1:12">
      <c r="A210" t="s">
        <v>104</v>
      </c>
      <c r="B210">
        <v>1986</v>
      </c>
      <c r="C210" t="s">
        <v>39</v>
      </c>
      <c r="D210">
        <v>104.65</v>
      </c>
      <c r="E210">
        <v>310</v>
      </c>
      <c r="F210">
        <v>212.5</v>
      </c>
      <c r="G210">
        <v>332.5</v>
      </c>
      <c r="H210">
        <v>855</v>
      </c>
      <c r="I210">
        <v>2013</v>
      </c>
      <c r="J210" t="s">
        <v>29</v>
      </c>
      <c r="K210" t="s">
        <v>30</v>
      </c>
      <c r="L210" s="8">
        <f t="shared" si="3"/>
        <v>0.68548387096774188</v>
      </c>
    </row>
    <row r="211" spans="1:12">
      <c r="A211" t="s">
        <v>608</v>
      </c>
      <c r="B211">
        <v>1979</v>
      </c>
      <c r="C211" t="s">
        <v>28</v>
      </c>
      <c r="D211">
        <v>103.35</v>
      </c>
      <c r="E211">
        <v>310</v>
      </c>
      <c r="F211">
        <v>212.5</v>
      </c>
      <c r="G211">
        <v>315</v>
      </c>
      <c r="H211">
        <v>837.5</v>
      </c>
      <c r="I211">
        <v>2013</v>
      </c>
      <c r="J211" t="s">
        <v>29</v>
      </c>
      <c r="K211" t="s">
        <v>30</v>
      </c>
      <c r="L211" s="8">
        <f t="shared" si="3"/>
        <v>0.68548387096774188</v>
      </c>
    </row>
    <row r="212" spans="1:12">
      <c r="A212" t="s">
        <v>828</v>
      </c>
      <c r="B212">
        <v>1990</v>
      </c>
      <c r="C212" t="s">
        <v>51</v>
      </c>
      <c r="D212">
        <v>91.76</v>
      </c>
      <c r="E212">
        <v>215</v>
      </c>
      <c r="F212">
        <v>147.5</v>
      </c>
      <c r="G212">
        <v>280</v>
      </c>
      <c r="H212">
        <v>642.5</v>
      </c>
      <c r="I212">
        <v>2015</v>
      </c>
      <c r="J212" t="s">
        <v>29</v>
      </c>
      <c r="K212" t="s">
        <v>30</v>
      </c>
      <c r="L212" s="8">
        <f t="shared" si="3"/>
        <v>0.68604651162790697</v>
      </c>
    </row>
    <row r="213" spans="1:12">
      <c r="A213" t="s">
        <v>167</v>
      </c>
      <c r="B213">
        <v>1978</v>
      </c>
      <c r="C213" t="s">
        <v>85</v>
      </c>
      <c r="D213">
        <v>58.55</v>
      </c>
      <c r="E213">
        <v>215</v>
      </c>
      <c r="F213">
        <v>147.5</v>
      </c>
      <c r="G213">
        <v>207.5</v>
      </c>
      <c r="H213">
        <v>570</v>
      </c>
      <c r="I213">
        <v>2013</v>
      </c>
      <c r="J213" t="s">
        <v>29</v>
      </c>
      <c r="K213" t="s">
        <v>30</v>
      </c>
      <c r="L213" s="8">
        <f t="shared" si="3"/>
        <v>0.68604651162790697</v>
      </c>
    </row>
    <row r="214" spans="1:12">
      <c r="A214" t="s">
        <v>167</v>
      </c>
      <c r="B214">
        <v>1978</v>
      </c>
      <c r="C214" t="s">
        <v>85</v>
      </c>
      <c r="D214">
        <v>58.3</v>
      </c>
      <c r="E214">
        <v>215</v>
      </c>
      <c r="F214">
        <v>147.5</v>
      </c>
      <c r="G214">
        <v>205</v>
      </c>
      <c r="H214">
        <v>567.5</v>
      </c>
      <c r="I214">
        <v>2015</v>
      </c>
      <c r="J214" t="s">
        <v>29</v>
      </c>
      <c r="K214" t="s">
        <v>30</v>
      </c>
      <c r="L214" s="8">
        <f t="shared" si="3"/>
        <v>0.68604651162790697</v>
      </c>
    </row>
    <row r="215" spans="1:12">
      <c r="A215" t="s">
        <v>713</v>
      </c>
      <c r="B215">
        <v>1988</v>
      </c>
      <c r="C215" t="s">
        <v>142</v>
      </c>
      <c r="D215">
        <v>182.5</v>
      </c>
      <c r="E215">
        <v>327.5</v>
      </c>
      <c r="F215">
        <v>225</v>
      </c>
      <c r="G215">
        <v>342.5</v>
      </c>
      <c r="H215">
        <v>895</v>
      </c>
      <c r="I215">
        <v>2015</v>
      </c>
      <c r="J215" t="s">
        <v>29</v>
      </c>
      <c r="K215" t="s">
        <v>30</v>
      </c>
      <c r="L215" s="8">
        <f t="shared" si="3"/>
        <v>0.68702290076335881</v>
      </c>
    </row>
    <row r="216" spans="1:12">
      <c r="A216" t="s">
        <v>436</v>
      </c>
      <c r="B216">
        <v>1987</v>
      </c>
      <c r="C216" t="s">
        <v>194</v>
      </c>
      <c r="D216">
        <v>81.45</v>
      </c>
      <c r="E216">
        <v>240</v>
      </c>
      <c r="F216">
        <v>165</v>
      </c>
      <c r="G216">
        <v>250</v>
      </c>
      <c r="H216">
        <v>655</v>
      </c>
      <c r="I216">
        <v>2014</v>
      </c>
      <c r="J216" t="s">
        <v>29</v>
      </c>
      <c r="K216" t="s">
        <v>30</v>
      </c>
      <c r="L216" s="8">
        <f t="shared" si="3"/>
        <v>0.6875</v>
      </c>
    </row>
    <row r="217" spans="1:12">
      <c r="A217" t="s">
        <v>140</v>
      </c>
      <c r="B217">
        <v>1970</v>
      </c>
      <c r="C217" t="s">
        <v>56</v>
      </c>
      <c r="D217">
        <v>119.15</v>
      </c>
      <c r="E217">
        <v>312.5</v>
      </c>
      <c r="F217">
        <v>215</v>
      </c>
      <c r="G217">
        <v>320</v>
      </c>
      <c r="H217">
        <v>847.5</v>
      </c>
      <c r="I217">
        <v>2014</v>
      </c>
      <c r="J217" t="s">
        <v>29</v>
      </c>
      <c r="K217" t="s">
        <v>30</v>
      </c>
      <c r="L217" s="8">
        <f t="shared" si="3"/>
        <v>0.68799999999999994</v>
      </c>
    </row>
    <row r="218" spans="1:12">
      <c r="A218" t="s">
        <v>797</v>
      </c>
      <c r="B218">
        <v>1989</v>
      </c>
      <c r="C218" t="s">
        <v>80</v>
      </c>
      <c r="D218">
        <v>145.44999999999999</v>
      </c>
      <c r="E218">
        <v>312.5</v>
      </c>
      <c r="F218">
        <v>215</v>
      </c>
      <c r="G218">
        <v>300</v>
      </c>
      <c r="H218">
        <v>827.5</v>
      </c>
      <c r="I218">
        <v>2015</v>
      </c>
      <c r="J218" t="s">
        <v>29</v>
      </c>
      <c r="K218" t="s">
        <v>30</v>
      </c>
      <c r="L218" s="8">
        <f t="shared" si="3"/>
        <v>0.68799999999999994</v>
      </c>
    </row>
    <row r="219" spans="1:12">
      <c r="A219" t="s">
        <v>105</v>
      </c>
      <c r="B219">
        <v>1982</v>
      </c>
      <c r="C219" t="s">
        <v>28</v>
      </c>
      <c r="D219">
        <v>81.849999999999994</v>
      </c>
      <c r="E219">
        <v>265</v>
      </c>
      <c r="F219">
        <v>182.5</v>
      </c>
      <c r="G219">
        <v>312.5</v>
      </c>
      <c r="H219">
        <v>760</v>
      </c>
      <c r="I219">
        <v>2013</v>
      </c>
      <c r="J219" t="s">
        <v>29</v>
      </c>
      <c r="K219" t="s">
        <v>30</v>
      </c>
      <c r="L219" s="8">
        <f t="shared" si="3"/>
        <v>0.68867924528301883</v>
      </c>
    </row>
    <row r="220" spans="1:12">
      <c r="A220" t="s">
        <v>366</v>
      </c>
      <c r="B220">
        <v>1968</v>
      </c>
      <c r="C220" t="s">
        <v>137</v>
      </c>
      <c r="D220">
        <v>73.900000000000006</v>
      </c>
      <c r="E220">
        <v>225</v>
      </c>
      <c r="F220">
        <v>155</v>
      </c>
      <c r="G220">
        <v>277.5</v>
      </c>
      <c r="H220">
        <v>657.5</v>
      </c>
      <c r="I220">
        <v>2014</v>
      </c>
      <c r="J220" t="s">
        <v>29</v>
      </c>
      <c r="K220" t="s">
        <v>30</v>
      </c>
      <c r="L220" s="8">
        <f t="shared" si="3"/>
        <v>0.68888888888888888</v>
      </c>
    </row>
    <row r="221" spans="1:12">
      <c r="A221" t="s">
        <v>122</v>
      </c>
      <c r="B221">
        <v>1977</v>
      </c>
      <c r="C221" t="s">
        <v>77</v>
      </c>
      <c r="D221">
        <v>65.25</v>
      </c>
      <c r="E221">
        <v>185</v>
      </c>
      <c r="F221">
        <v>127.5</v>
      </c>
      <c r="G221">
        <v>237.5</v>
      </c>
      <c r="H221">
        <v>550</v>
      </c>
      <c r="I221">
        <v>2013</v>
      </c>
      <c r="J221" t="s">
        <v>29</v>
      </c>
      <c r="K221" t="s">
        <v>30</v>
      </c>
      <c r="L221" s="8">
        <f t="shared" si="3"/>
        <v>0.68918918918918914</v>
      </c>
    </row>
    <row r="222" spans="1:12">
      <c r="A222" t="s">
        <v>508</v>
      </c>
      <c r="B222">
        <v>1988</v>
      </c>
      <c r="C222" t="s">
        <v>35</v>
      </c>
      <c r="D222">
        <v>116.94</v>
      </c>
      <c r="E222">
        <v>290</v>
      </c>
      <c r="F222">
        <v>200</v>
      </c>
      <c r="G222">
        <v>320</v>
      </c>
      <c r="H222">
        <v>810</v>
      </c>
      <c r="I222">
        <v>2015</v>
      </c>
      <c r="J222" t="s">
        <v>29</v>
      </c>
      <c r="K222" t="s">
        <v>30</v>
      </c>
      <c r="L222" s="8">
        <f t="shared" si="3"/>
        <v>0.68965517241379315</v>
      </c>
    </row>
    <row r="223" spans="1:12">
      <c r="A223" t="s">
        <v>93</v>
      </c>
      <c r="B223">
        <v>1971</v>
      </c>
      <c r="C223" t="s">
        <v>51</v>
      </c>
      <c r="D223">
        <v>116.2</v>
      </c>
      <c r="E223">
        <v>282.5</v>
      </c>
      <c r="F223">
        <v>195</v>
      </c>
      <c r="G223">
        <v>290</v>
      </c>
      <c r="H223">
        <v>767.5</v>
      </c>
      <c r="I223">
        <v>2012</v>
      </c>
      <c r="J223" t="s">
        <v>29</v>
      </c>
      <c r="K223" t="s">
        <v>30</v>
      </c>
      <c r="L223" s="8">
        <f t="shared" si="3"/>
        <v>0.69026548672566368</v>
      </c>
    </row>
    <row r="224" spans="1:12">
      <c r="A224" t="s">
        <v>157</v>
      </c>
      <c r="B224">
        <v>1978</v>
      </c>
      <c r="C224" t="s">
        <v>62</v>
      </c>
      <c r="D224">
        <v>82.9</v>
      </c>
      <c r="E224">
        <v>235</v>
      </c>
      <c r="F224">
        <v>162.5</v>
      </c>
      <c r="G224">
        <v>310</v>
      </c>
      <c r="H224">
        <v>707.5</v>
      </c>
      <c r="I224">
        <v>2012</v>
      </c>
      <c r="J224" t="s">
        <v>29</v>
      </c>
      <c r="K224" t="s">
        <v>30</v>
      </c>
      <c r="L224" s="8">
        <f t="shared" si="3"/>
        <v>0.69148936170212771</v>
      </c>
    </row>
    <row r="225" spans="1:12">
      <c r="A225" t="s">
        <v>71</v>
      </c>
      <c r="B225">
        <v>1978</v>
      </c>
      <c r="C225" t="s">
        <v>72</v>
      </c>
      <c r="D225">
        <v>91.6</v>
      </c>
      <c r="E225">
        <v>260</v>
      </c>
      <c r="F225">
        <v>180</v>
      </c>
      <c r="G225">
        <v>305</v>
      </c>
      <c r="H225">
        <v>745</v>
      </c>
      <c r="I225">
        <v>2012</v>
      </c>
      <c r="J225" t="s">
        <v>29</v>
      </c>
      <c r="K225" t="s">
        <v>30</v>
      </c>
      <c r="L225" s="8">
        <f t="shared" si="3"/>
        <v>0.69230769230769229</v>
      </c>
    </row>
    <row r="226" spans="1:12">
      <c r="A226" t="s">
        <v>612</v>
      </c>
      <c r="B226">
        <v>1979</v>
      </c>
      <c r="C226" t="s">
        <v>137</v>
      </c>
      <c r="D226">
        <v>58.48</v>
      </c>
      <c r="E226">
        <v>195</v>
      </c>
      <c r="F226">
        <v>135</v>
      </c>
      <c r="G226">
        <v>235</v>
      </c>
      <c r="H226">
        <v>565</v>
      </c>
      <c r="I226">
        <v>2015</v>
      </c>
      <c r="J226" t="s">
        <v>29</v>
      </c>
      <c r="K226" t="s">
        <v>30</v>
      </c>
      <c r="L226" s="8">
        <f t="shared" si="3"/>
        <v>0.69230769230769229</v>
      </c>
    </row>
    <row r="227" spans="1:12">
      <c r="A227" t="s">
        <v>676</v>
      </c>
      <c r="B227">
        <v>1990</v>
      </c>
      <c r="C227" t="s">
        <v>194</v>
      </c>
      <c r="D227">
        <v>126</v>
      </c>
      <c r="E227">
        <v>260</v>
      </c>
      <c r="F227">
        <v>180</v>
      </c>
      <c r="G227">
        <v>325</v>
      </c>
      <c r="H227">
        <v>765</v>
      </c>
      <c r="I227">
        <v>2015</v>
      </c>
      <c r="J227" t="s">
        <v>29</v>
      </c>
      <c r="K227" t="s">
        <v>30</v>
      </c>
      <c r="L227" s="8">
        <f t="shared" si="3"/>
        <v>0.69230769230769229</v>
      </c>
    </row>
    <row r="228" spans="1:12">
      <c r="A228" t="s">
        <v>105</v>
      </c>
      <c r="B228">
        <v>1982</v>
      </c>
      <c r="C228" t="s">
        <v>28</v>
      </c>
      <c r="D228">
        <v>81.150000000000006</v>
      </c>
      <c r="E228">
        <v>252.5</v>
      </c>
      <c r="F228">
        <v>175</v>
      </c>
      <c r="G228">
        <v>287.5</v>
      </c>
      <c r="H228">
        <v>715</v>
      </c>
      <c r="I228">
        <v>2012</v>
      </c>
      <c r="J228" t="s">
        <v>29</v>
      </c>
      <c r="K228" t="s">
        <v>30</v>
      </c>
      <c r="L228" s="8">
        <f t="shared" si="3"/>
        <v>0.69306930693069302</v>
      </c>
    </row>
    <row r="229" spans="1:12">
      <c r="A229" t="s">
        <v>718</v>
      </c>
      <c r="B229">
        <v>1988</v>
      </c>
      <c r="C229" t="s">
        <v>51</v>
      </c>
      <c r="D229">
        <v>103.7</v>
      </c>
      <c r="E229">
        <v>245</v>
      </c>
      <c r="F229">
        <v>170</v>
      </c>
      <c r="G229">
        <v>300</v>
      </c>
      <c r="H229">
        <v>715</v>
      </c>
      <c r="I229">
        <v>2013</v>
      </c>
      <c r="J229" t="s">
        <v>29</v>
      </c>
      <c r="K229" t="s">
        <v>30</v>
      </c>
      <c r="L229" s="8">
        <f t="shared" si="3"/>
        <v>0.69387755102040816</v>
      </c>
    </row>
    <row r="230" spans="1:12">
      <c r="A230" t="s">
        <v>97</v>
      </c>
      <c r="B230">
        <v>1985</v>
      </c>
      <c r="C230" t="s">
        <v>85</v>
      </c>
      <c r="D230">
        <v>104.65</v>
      </c>
      <c r="E230">
        <v>270</v>
      </c>
      <c r="F230">
        <v>187.5</v>
      </c>
      <c r="G230">
        <v>290</v>
      </c>
      <c r="H230">
        <v>747.5</v>
      </c>
      <c r="I230">
        <v>2012</v>
      </c>
      <c r="J230" t="s">
        <v>29</v>
      </c>
      <c r="K230" t="s">
        <v>30</v>
      </c>
      <c r="L230" s="8">
        <f t="shared" si="3"/>
        <v>0.69444444444444442</v>
      </c>
    </row>
    <row r="231" spans="1:12">
      <c r="A231" t="s">
        <v>572</v>
      </c>
      <c r="B231">
        <v>1968</v>
      </c>
      <c r="C231" t="s">
        <v>359</v>
      </c>
      <c r="D231">
        <v>84.5</v>
      </c>
      <c r="E231">
        <v>180</v>
      </c>
      <c r="F231">
        <v>125</v>
      </c>
      <c r="G231">
        <v>275</v>
      </c>
      <c r="H231">
        <v>580</v>
      </c>
      <c r="I231">
        <v>2013</v>
      </c>
      <c r="J231" t="s">
        <v>29</v>
      </c>
      <c r="K231" t="s">
        <v>30</v>
      </c>
      <c r="L231" s="8">
        <f t="shared" si="3"/>
        <v>0.69444444444444442</v>
      </c>
    </row>
    <row r="232" spans="1:12">
      <c r="A232" t="s">
        <v>589</v>
      </c>
      <c r="B232">
        <v>1989</v>
      </c>
      <c r="C232" t="s">
        <v>359</v>
      </c>
      <c r="D232">
        <v>82.7</v>
      </c>
      <c r="E232">
        <v>205</v>
      </c>
      <c r="F232">
        <v>142.5</v>
      </c>
      <c r="G232">
        <v>250</v>
      </c>
      <c r="H232">
        <v>597.5</v>
      </c>
      <c r="I232">
        <v>2013</v>
      </c>
      <c r="J232" t="s">
        <v>29</v>
      </c>
      <c r="K232" t="s">
        <v>30</v>
      </c>
      <c r="L232" s="8">
        <f t="shared" si="3"/>
        <v>0.69512195121951215</v>
      </c>
    </row>
    <row r="233" spans="1:12">
      <c r="A233" t="s">
        <v>396</v>
      </c>
      <c r="B233">
        <v>1990</v>
      </c>
      <c r="C233" t="s">
        <v>194</v>
      </c>
      <c r="D233">
        <v>130</v>
      </c>
      <c r="E233">
        <v>287.5</v>
      </c>
      <c r="F233">
        <v>200</v>
      </c>
      <c r="G233">
        <v>265</v>
      </c>
      <c r="H233">
        <v>752.5</v>
      </c>
      <c r="I233">
        <v>2014</v>
      </c>
      <c r="J233" t="s">
        <v>29</v>
      </c>
      <c r="K233" t="s">
        <v>30</v>
      </c>
      <c r="L233" s="8">
        <f t="shared" si="3"/>
        <v>0.69565217391304346</v>
      </c>
    </row>
    <row r="234" spans="1:12">
      <c r="A234" t="s">
        <v>734</v>
      </c>
      <c r="B234">
        <v>1990</v>
      </c>
      <c r="C234" t="s">
        <v>142</v>
      </c>
      <c r="D234">
        <v>81.349999999999994</v>
      </c>
      <c r="E234">
        <v>230</v>
      </c>
      <c r="F234">
        <v>160</v>
      </c>
      <c r="G234">
        <v>280</v>
      </c>
      <c r="H234">
        <v>670</v>
      </c>
      <c r="I234">
        <v>2015</v>
      </c>
      <c r="J234" t="s">
        <v>29</v>
      </c>
      <c r="K234" t="s">
        <v>30</v>
      </c>
      <c r="L234" s="8">
        <f t="shared" si="3"/>
        <v>0.69565217391304346</v>
      </c>
    </row>
    <row r="235" spans="1:12">
      <c r="A235" t="s">
        <v>608</v>
      </c>
      <c r="B235">
        <v>1979</v>
      </c>
      <c r="C235" t="s">
        <v>28</v>
      </c>
      <c r="D235">
        <v>103.1</v>
      </c>
      <c r="E235">
        <v>317.5</v>
      </c>
      <c r="F235">
        <v>221</v>
      </c>
      <c r="G235">
        <v>315</v>
      </c>
      <c r="H235">
        <v>853.5</v>
      </c>
      <c r="I235">
        <v>2014</v>
      </c>
      <c r="J235" t="s">
        <v>29</v>
      </c>
      <c r="K235" t="s">
        <v>30</v>
      </c>
      <c r="L235" s="8">
        <f t="shared" si="3"/>
        <v>0.69606299212598421</v>
      </c>
    </row>
    <row r="236" spans="1:12">
      <c r="A236" t="s">
        <v>161</v>
      </c>
      <c r="B236">
        <v>1988</v>
      </c>
      <c r="C236" t="s">
        <v>45</v>
      </c>
      <c r="D236">
        <v>104.55</v>
      </c>
      <c r="E236">
        <v>272.5</v>
      </c>
      <c r="F236">
        <v>190</v>
      </c>
      <c r="G236">
        <v>270</v>
      </c>
      <c r="H236">
        <v>732.5</v>
      </c>
      <c r="I236">
        <v>2012</v>
      </c>
      <c r="J236" t="s">
        <v>29</v>
      </c>
      <c r="K236" t="s">
        <v>30</v>
      </c>
      <c r="L236" s="8">
        <f t="shared" si="3"/>
        <v>0.69724770642201839</v>
      </c>
    </row>
    <row r="237" spans="1:12">
      <c r="A237" t="s">
        <v>689</v>
      </c>
      <c r="B237">
        <v>1983</v>
      </c>
      <c r="C237" t="s">
        <v>85</v>
      </c>
      <c r="D237">
        <v>118.6</v>
      </c>
      <c r="E237">
        <v>272.5</v>
      </c>
      <c r="F237">
        <v>190</v>
      </c>
      <c r="G237">
        <v>290</v>
      </c>
      <c r="H237">
        <v>752.5</v>
      </c>
      <c r="I237">
        <v>2014</v>
      </c>
      <c r="J237" t="s">
        <v>29</v>
      </c>
      <c r="K237" t="s">
        <v>30</v>
      </c>
      <c r="L237" s="8">
        <f t="shared" si="3"/>
        <v>0.69724770642201839</v>
      </c>
    </row>
    <row r="238" spans="1:12">
      <c r="A238" t="s">
        <v>661</v>
      </c>
      <c r="B238">
        <v>1986</v>
      </c>
      <c r="C238" t="s">
        <v>62</v>
      </c>
      <c r="D238">
        <v>58.29</v>
      </c>
      <c r="E238">
        <v>182.5</v>
      </c>
      <c r="F238">
        <v>127.5</v>
      </c>
      <c r="G238">
        <v>202.5</v>
      </c>
      <c r="H238">
        <v>512.5</v>
      </c>
      <c r="I238">
        <v>2015</v>
      </c>
      <c r="J238" t="s">
        <v>29</v>
      </c>
      <c r="K238" t="s">
        <v>30</v>
      </c>
      <c r="L238" s="8">
        <f t="shared" si="3"/>
        <v>0.69863013698630139</v>
      </c>
    </row>
    <row r="239" spans="1:12">
      <c r="A239" t="s">
        <v>616</v>
      </c>
      <c r="B239">
        <v>1986</v>
      </c>
      <c r="C239" t="s">
        <v>125</v>
      </c>
      <c r="D239">
        <v>104.75</v>
      </c>
      <c r="E239">
        <v>232.5</v>
      </c>
      <c r="F239">
        <v>162.5</v>
      </c>
      <c r="G239">
        <v>290</v>
      </c>
      <c r="H239">
        <v>685</v>
      </c>
      <c r="I239">
        <v>2013</v>
      </c>
      <c r="J239" t="s">
        <v>29</v>
      </c>
      <c r="K239" t="s">
        <v>30</v>
      </c>
      <c r="L239" s="8">
        <f t="shared" si="3"/>
        <v>0.69892473118279574</v>
      </c>
    </row>
    <row r="240" spans="1:12">
      <c r="A240" t="s">
        <v>138</v>
      </c>
      <c r="B240">
        <v>1974</v>
      </c>
      <c r="C240" t="s">
        <v>125</v>
      </c>
      <c r="D240">
        <v>139.35</v>
      </c>
      <c r="E240">
        <v>307.5</v>
      </c>
      <c r="F240">
        <v>215</v>
      </c>
      <c r="G240">
        <v>290</v>
      </c>
      <c r="H240">
        <v>812.5</v>
      </c>
      <c r="I240">
        <v>2012</v>
      </c>
      <c r="J240" t="s">
        <v>29</v>
      </c>
      <c r="K240" t="s">
        <v>30</v>
      </c>
      <c r="L240" s="8">
        <f t="shared" si="3"/>
        <v>0.69918699186991873</v>
      </c>
    </row>
    <row r="241" spans="1:12">
      <c r="A241" t="s">
        <v>405</v>
      </c>
      <c r="B241">
        <v>1989</v>
      </c>
      <c r="C241" t="s">
        <v>406</v>
      </c>
      <c r="D241">
        <v>117.2</v>
      </c>
      <c r="E241">
        <v>300</v>
      </c>
      <c r="F241">
        <v>210</v>
      </c>
      <c r="G241">
        <v>250</v>
      </c>
      <c r="H241">
        <v>760</v>
      </c>
      <c r="I241">
        <v>2013</v>
      </c>
      <c r="J241" t="s">
        <v>29</v>
      </c>
      <c r="K241" t="s">
        <v>30</v>
      </c>
      <c r="L241" s="8">
        <f t="shared" si="3"/>
        <v>0.7</v>
      </c>
    </row>
    <row r="242" spans="1:12">
      <c r="A242" t="s">
        <v>442</v>
      </c>
      <c r="B242">
        <v>1990</v>
      </c>
      <c r="C242" t="s">
        <v>163</v>
      </c>
      <c r="D242">
        <v>65.87</v>
      </c>
      <c r="E242">
        <v>175</v>
      </c>
      <c r="F242">
        <v>122.5</v>
      </c>
      <c r="G242">
        <v>220</v>
      </c>
      <c r="H242">
        <v>517.5</v>
      </c>
      <c r="I242">
        <v>2015</v>
      </c>
      <c r="J242" t="s">
        <v>29</v>
      </c>
      <c r="K242" t="s">
        <v>30</v>
      </c>
      <c r="L242" s="8">
        <f t="shared" si="3"/>
        <v>0.7</v>
      </c>
    </row>
    <row r="243" spans="1:12">
      <c r="A243" t="s">
        <v>607</v>
      </c>
      <c r="B243">
        <v>1983</v>
      </c>
      <c r="C243" t="s">
        <v>282</v>
      </c>
      <c r="D243">
        <v>58.45</v>
      </c>
      <c r="E243">
        <v>200</v>
      </c>
      <c r="F243">
        <v>140</v>
      </c>
      <c r="G243">
        <v>220</v>
      </c>
      <c r="H243">
        <v>560</v>
      </c>
      <c r="I243">
        <v>2014</v>
      </c>
      <c r="J243" t="s">
        <v>29</v>
      </c>
      <c r="K243" t="s">
        <v>30</v>
      </c>
      <c r="L243" s="8">
        <f t="shared" si="3"/>
        <v>0.7</v>
      </c>
    </row>
    <row r="244" spans="1:12">
      <c r="A244" t="s">
        <v>640</v>
      </c>
      <c r="B244">
        <v>1983</v>
      </c>
      <c r="C244" t="s">
        <v>85</v>
      </c>
      <c r="D244">
        <v>82.4</v>
      </c>
      <c r="E244">
        <v>217.5</v>
      </c>
      <c r="F244">
        <v>152.5</v>
      </c>
      <c r="G244">
        <v>315.5</v>
      </c>
      <c r="H244">
        <v>685.5</v>
      </c>
      <c r="I244">
        <v>2014</v>
      </c>
      <c r="J244" t="s">
        <v>29</v>
      </c>
      <c r="K244" t="s">
        <v>30</v>
      </c>
      <c r="L244" s="8">
        <f t="shared" si="3"/>
        <v>0.70114942528735635</v>
      </c>
    </row>
    <row r="245" spans="1:12">
      <c r="A245" t="s">
        <v>134</v>
      </c>
      <c r="B245">
        <v>1988</v>
      </c>
      <c r="C245" t="s">
        <v>51</v>
      </c>
      <c r="D245">
        <v>138.05000000000001</v>
      </c>
      <c r="E245">
        <v>285</v>
      </c>
      <c r="F245">
        <v>200</v>
      </c>
      <c r="G245">
        <v>275</v>
      </c>
      <c r="H245">
        <v>760</v>
      </c>
      <c r="I245">
        <v>2012</v>
      </c>
      <c r="J245" t="s">
        <v>29</v>
      </c>
      <c r="K245" t="s">
        <v>30</v>
      </c>
      <c r="L245" s="8">
        <f t="shared" si="3"/>
        <v>0.70175438596491224</v>
      </c>
    </row>
    <row r="246" spans="1:12">
      <c r="A246" t="s">
        <v>500</v>
      </c>
      <c r="B246">
        <v>1987</v>
      </c>
      <c r="C246" t="s">
        <v>125</v>
      </c>
      <c r="D246">
        <v>131.85</v>
      </c>
      <c r="E246">
        <v>285</v>
      </c>
      <c r="F246">
        <v>200</v>
      </c>
      <c r="G246">
        <v>317.5</v>
      </c>
      <c r="H246">
        <v>802.5</v>
      </c>
      <c r="I246">
        <v>2015</v>
      </c>
      <c r="J246" t="s">
        <v>29</v>
      </c>
      <c r="K246" t="s">
        <v>30</v>
      </c>
      <c r="L246" s="8">
        <f t="shared" si="3"/>
        <v>0.70175438596491224</v>
      </c>
    </row>
    <row r="247" spans="1:12">
      <c r="A247" t="s">
        <v>533</v>
      </c>
      <c r="B247">
        <v>1976</v>
      </c>
      <c r="C247" t="s">
        <v>83</v>
      </c>
      <c r="D247">
        <v>73.55</v>
      </c>
      <c r="E247">
        <v>235</v>
      </c>
      <c r="F247">
        <v>165</v>
      </c>
      <c r="G247">
        <v>287.5</v>
      </c>
      <c r="H247">
        <v>687.5</v>
      </c>
      <c r="I247">
        <v>2014</v>
      </c>
      <c r="J247" t="s">
        <v>29</v>
      </c>
      <c r="K247" t="s">
        <v>30</v>
      </c>
      <c r="L247" s="8">
        <f t="shared" si="3"/>
        <v>0.7021276595744681</v>
      </c>
    </row>
    <row r="248" spans="1:12">
      <c r="A248" t="s">
        <v>615</v>
      </c>
      <c r="B248">
        <v>1986</v>
      </c>
      <c r="C248" t="s">
        <v>125</v>
      </c>
      <c r="D248">
        <v>104.25</v>
      </c>
      <c r="E248">
        <v>235</v>
      </c>
      <c r="F248">
        <v>165</v>
      </c>
      <c r="G248">
        <v>295</v>
      </c>
      <c r="H248">
        <v>695</v>
      </c>
      <c r="I248">
        <v>2014</v>
      </c>
      <c r="J248" t="s">
        <v>29</v>
      </c>
      <c r="K248" t="s">
        <v>30</v>
      </c>
      <c r="L248" s="8">
        <f t="shared" si="3"/>
        <v>0.7021276595744681</v>
      </c>
    </row>
    <row r="249" spans="1:12">
      <c r="A249" t="s">
        <v>431</v>
      </c>
      <c r="B249">
        <v>1984</v>
      </c>
      <c r="C249" t="s">
        <v>51</v>
      </c>
      <c r="D249">
        <v>118.51</v>
      </c>
      <c r="E249">
        <v>327.5</v>
      </c>
      <c r="F249">
        <v>230</v>
      </c>
      <c r="G249">
        <v>342.5</v>
      </c>
      <c r="H249">
        <v>900</v>
      </c>
      <c r="I249">
        <v>2015</v>
      </c>
      <c r="J249" t="s">
        <v>29</v>
      </c>
      <c r="K249" t="s">
        <v>30</v>
      </c>
      <c r="L249" s="8">
        <f t="shared" si="3"/>
        <v>0.70229007633587781</v>
      </c>
    </row>
    <row r="250" spans="1:12">
      <c r="A250" t="s">
        <v>700</v>
      </c>
      <c r="B250">
        <v>1981</v>
      </c>
      <c r="C250" t="s">
        <v>194</v>
      </c>
      <c r="D250">
        <v>64.2</v>
      </c>
      <c r="E250">
        <v>185</v>
      </c>
      <c r="F250">
        <v>130</v>
      </c>
      <c r="G250">
        <v>220</v>
      </c>
      <c r="H250">
        <v>535</v>
      </c>
      <c r="I250">
        <v>2014</v>
      </c>
      <c r="J250" t="s">
        <v>29</v>
      </c>
      <c r="K250" t="s">
        <v>30</v>
      </c>
      <c r="L250" s="8">
        <f t="shared" si="3"/>
        <v>0.70270270270270274</v>
      </c>
    </row>
    <row r="251" spans="1:12">
      <c r="A251" t="s">
        <v>471</v>
      </c>
      <c r="B251">
        <v>1989</v>
      </c>
      <c r="C251" t="s">
        <v>39</v>
      </c>
      <c r="D251">
        <v>73.25</v>
      </c>
      <c r="E251">
        <v>220</v>
      </c>
      <c r="F251">
        <v>155</v>
      </c>
      <c r="G251">
        <v>260</v>
      </c>
      <c r="H251">
        <v>635</v>
      </c>
      <c r="I251">
        <v>2013</v>
      </c>
      <c r="J251" t="s">
        <v>29</v>
      </c>
      <c r="K251" t="s">
        <v>30</v>
      </c>
      <c r="L251" s="8">
        <f t="shared" si="3"/>
        <v>0.70454545454545459</v>
      </c>
    </row>
    <row r="252" spans="1:12">
      <c r="A252" t="s">
        <v>722</v>
      </c>
      <c r="B252">
        <v>1989</v>
      </c>
      <c r="C252" t="s">
        <v>390</v>
      </c>
      <c r="D252">
        <v>141.30000000000001</v>
      </c>
      <c r="E252">
        <v>305</v>
      </c>
      <c r="F252">
        <v>215</v>
      </c>
      <c r="G252">
        <v>312.5</v>
      </c>
      <c r="H252">
        <v>832.5</v>
      </c>
      <c r="I252">
        <v>2015</v>
      </c>
      <c r="J252" t="s">
        <v>29</v>
      </c>
      <c r="K252" t="s">
        <v>30</v>
      </c>
      <c r="L252" s="8">
        <f t="shared" si="3"/>
        <v>0.70491803278688525</v>
      </c>
    </row>
    <row r="253" spans="1:12">
      <c r="A253" t="s">
        <v>807</v>
      </c>
      <c r="B253">
        <v>1986</v>
      </c>
      <c r="C253" t="s">
        <v>80</v>
      </c>
      <c r="D253">
        <v>104.15</v>
      </c>
      <c r="E253">
        <v>255</v>
      </c>
      <c r="F253">
        <v>180</v>
      </c>
      <c r="G253">
        <v>290</v>
      </c>
      <c r="H253">
        <v>725</v>
      </c>
      <c r="I253">
        <v>2014</v>
      </c>
      <c r="J253" t="s">
        <v>29</v>
      </c>
      <c r="K253" t="s">
        <v>30</v>
      </c>
      <c r="L253" s="8">
        <f t="shared" si="3"/>
        <v>0.70588235294117652</v>
      </c>
    </row>
    <row r="254" spans="1:12">
      <c r="A254" t="s">
        <v>709</v>
      </c>
      <c r="B254">
        <v>1983</v>
      </c>
      <c r="C254" t="s">
        <v>109</v>
      </c>
      <c r="D254">
        <v>117</v>
      </c>
      <c r="E254">
        <v>247.5</v>
      </c>
      <c r="F254">
        <v>175</v>
      </c>
      <c r="G254">
        <v>300</v>
      </c>
      <c r="H254">
        <v>722.5</v>
      </c>
      <c r="I254">
        <v>2014</v>
      </c>
      <c r="J254" t="s">
        <v>29</v>
      </c>
      <c r="K254" t="s">
        <v>30</v>
      </c>
      <c r="L254" s="8">
        <f t="shared" si="3"/>
        <v>0.70707070707070707</v>
      </c>
    </row>
    <row r="255" spans="1:12">
      <c r="A255" t="s">
        <v>739</v>
      </c>
      <c r="B255">
        <v>1987</v>
      </c>
      <c r="C255" t="s">
        <v>142</v>
      </c>
      <c r="D255">
        <v>92.39</v>
      </c>
      <c r="E255">
        <v>247.5</v>
      </c>
      <c r="F255">
        <v>175</v>
      </c>
      <c r="G255">
        <v>275</v>
      </c>
      <c r="H255">
        <v>697.5</v>
      </c>
      <c r="I255">
        <v>2015</v>
      </c>
      <c r="J255" t="s">
        <v>29</v>
      </c>
      <c r="K255" t="s">
        <v>30</v>
      </c>
      <c r="L255" s="8">
        <f t="shared" si="3"/>
        <v>0.70707070707070707</v>
      </c>
    </row>
    <row r="256" spans="1:12">
      <c r="A256" t="s">
        <v>86</v>
      </c>
      <c r="B256">
        <v>1981</v>
      </c>
      <c r="C256" t="s">
        <v>51</v>
      </c>
      <c r="D256">
        <v>117.3</v>
      </c>
      <c r="E256">
        <v>265</v>
      </c>
      <c r="F256">
        <v>187.5</v>
      </c>
      <c r="G256">
        <v>305</v>
      </c>
      <c r="H256">
        <v>757.5</v>
      </c>
      <c r="I256">
        <v>2012</v>
      </c>
      <c r="J256" t="s">
        <v>29</v>
      </c>
      <c r="K256" t="s">
        <v>30</v>
      </c>
      <c r="L256" s="8">
        <f t="shared" si="3"/>
        <v>0.70754716981132071</v>
      </c>
    </row>
    <row r="257" spans="1:12">
      <c r="A257" t="s">
        <v>167</v>
      </c>
      <c r="B257">
        <v>1978</v>
      </c>
      <c r="C257" t="s">
        <v>85</v>
      </c>
      <c r="D257">
        <v>58.3</v>
      </c>
      <c r="E257">
        <v>215</v>
      </c>
      <c r="F257">
        <v>152.5</v>
      </c>
      <c r="G257">
        <v>205</v>
      </c>
      <c r="H257">
        <v>572.5</v>
      </c>
      <c r="I257">
        <v>2014</v>
      </c>
      <c r="J257" t="s">
        <v>29</v>
      </c>
      <c r="K257" t="s">
        <v>30</v>
      </c>
      <c r="L257" s="8">
        <f t="shared" si="3"/>
        <v>0.70930232558139539</v>
      </c>
    </row>
    <row r="258" spans="1:12">
      <c r="A258" t="s">
        <v>431</v>
      </c>
      <c r="B258">
        <v>1984</v>
      </c>
      <c r="C258" t="s">
        <v>51</v>
      </c>
      <c r="D258">
        <v>119.2</v>
      </c>
      <c r="E258">
        <v>310</v>
      </c>
      <c r="F258">
        <v>220</v>
      </c>
      <c r="G258">
        <v>340</v>
      </c>
      <c r="H258">
        <v>870</v>
      </c>
      <c r="I258">
        <v>2013</v>
      </c>
      <c r="J258" t="s">
        <v>29</v>
      </c>
      <c r="K258" t="s">
        <v>30</v>
      </c>
      <c r="L258" s="8">
        <f t="shared" ref="L258:L321" si="4">IF(AND(F258&lt;&gt;0,E258&lt;&gt;0),F258/E258,"")</f>
        <v>0.70967741935483875</v>
      </c>
    </row>
    <row r="259" spans="1:12">
      <c r="A259" t="s">
        <v>160</v>
      </c>
      <c r="B259">
        <v>1983</v>
      </c>
      <c r="C259" t="s">
        <v>125</v>
      </c>
      <c r="D259">
        <v>82.3</v>
      </c>
      <c r="E259">
        <v>250</v>
      </c>
      <c r="F259">
        <v>177.5</v>
      </c>
      <c r="G259">
        <v>250</v>
      </c>
      <c r="H259">
        <v>677.5</v>
      </c>
      <c r="I259">
        <v>2012</v>
      </c>
      <c r="J259" t="s">
        <v>29</v>
      </c>
      <c r="K259" t="s">
        <v>30</v>
      </c>
      <c r="L259" s="8">
        <f t="shared" si="4"/>
        <v>0.71</v>
      </c>
    </row>
    <row r="260" spans="1:12">
      <c r="A260" t="s">
        <v>760</v>
      </c>
      <c r="B260">
        <v>1982</v>
      </c>
      <c r="C260" t="s">
        <v>35</v>
      </c>
      <c r="D260">
        <v>82.95</v>
      </c>
      <c r="E260">
        <v>225</v>
      </c>
      <c r="F260">
        <v>160</v>
      </c>
      <c r="G260">
        <v>287.5</v>
      </c>
      <c r="H260">
        <v>672.5</v>
      </c>
      <c r="I260">
        <v>2015</v>
      </c>
      <c r="J260" t="s">
        <v>29</v>
      </c>
      <c r="K260" t="s">
        <v>30</v>
      </c>
      <c r="L260" s="8">
        <f t="shared" si="4"/>
        <v>0.71111111111111114</v>
      </c>
    </row>
    <row r="261" spans="1:12">
      <c r="A261" t="s">
        <v>520</v>
      </c>
      <c r="B261">
        <v>1985</v>
      </c>
      <c r="C261" t="s">
        <v>62</v>
      </c>
      <c r="D261">
        <v>116.6</v>
      </c>
      <c r="E261">
        <v>260</v>
      </c>
      <c r="F261">
        <v>185</v>
      </c>
      <c r="G261">
        <v>352.5</v>
      </c>
      <c r="H261">
        <v>797.5</v>
      </c>
      <c r="I261">
        <v>2013</v>
      </c>
      <c r="J261" t="s">
        <v>29</v>
      </c>
      <c r="K261" t="s">
        <v>30</v>
      </c>
      <c r="L261" s="8">
        <f t="shared" si="4"/>
        <v>0.71153846153846156</v>
      </c>
    </row>
    <row r="262" spans="1:12">
      <c r="A262" t="s">
        <v>36</v>
      </c>
      <c r="B262">
        <v>1967</v>
      </c>
      <c r="C262" t="s">
        <v>35</v>
      </c>
      <c r="D262">
        <v>73.8</v>
      </c>
      <c r="E262">
        <v>227.5</v>
      </c>
      <c r="F262">
        <v>162.5</v>
      </c>
      <c r="G262">
        <v>255</v>
      </c>
      <c r="H262">
        <v>645</v>
      </c>
      <c r="I262">
        <v>2012</v>
      </c>
      <c r="J262" t="s">
        <v>29</v>
      </c>
      <c r="K262" t="s">
        <v>30</v>
      </c>
      <c r="L262" s="8">
        <f t="shared" si="4"/>
        <v>0.7142857142857143</v>
      </c>
    </row>
    <row r="263" spans="1:12">
      <c r="A263" t="s">
        <v>610</v>
      </c>
      <c r="B263">
        <v>1983</v>
      </c>
      <c r="C263" t="s">
        <v>74</v>
      </c>
      <c r="D263">
        <v>72.180000000000007</v>
      </c>
      <c r="E263">
        <v>210</v>
      </c>
      <c r="F263">
        <v>150</v>
      </c>
      <c r="G263">
        <v>230</v>
      </c>
      <c r="H263">
        <v>590</v>
      </c>
      <c r="I263">
        <v>2015</v>
      </c>
      <c r="J263" t="s">
        <v>29</v>
      </c>
      <c r="K263" t="s">
        <v>30</v>
      </c>
      <c r="L263" s="8">
        <f t="shared" si="4"/>
        <v>0.7142857142857143</v>
      </c>
    </row>
    <row r="264" spans="1:12">
      <c r="A264" t="s">
        <v>623</v>
      </c>
      <c r="B264">
        <v>1971</v>
      </c>
      <c r="C264" t="s">
        <v>113</v>
      </c>
      <c r="D264">
        <v>101.75</v>
      </c>
      <c r="E264">
        <v>227.5</v>
      </c>
      <c r="F264">
        <v>162.5</v>
      </c>
      <c r="G264">
        <v>255</v>
      </c>
      <c r="H264">
        <v>645</v>
      </c>
      <c r="I264">
        <v>2013</v>
      </c>
      <c r="J264" t="s">
        <v>29</v>
      </c>
      <c r="K264" t="s">
        <v>30</v>
      </c>
      <c r="L264" s="8">
        <f t="shared" si="4"/>
        <v>0.7142857142857143</v>
      </c>
    </row>
    <row r="265" spans="1:12">
      <c r="A265" t="s">
        <v>384</v>
      </c>
      <c r="B265">
        <v>1984</v>
      </c>
      <c r="C265" t="s">
        <v>137</v>
      </c>
      <c r="D265">
        <v>104.49</v>
      </c>
      <c r="E265">
        <v>290</v>
      </c>
      <c r="F265">
        <v>207.5</v>
      </c>
      <c r="G265">
        <v>330</v>
      </c>
      <c r="H265">
        <v>827.5</v>
      </c>
      <c r="I265">
        <v>2015</v>
      </c>
      <c r="J265" t="s">
        <v>29</v>
      </c>
      <c r="K265" t="s">
        <v>30</v>
      </c>
      <c r="L265" s="8">
        <f t="shared" si="4"/>
        <v>0.71551724137931039</v>
      </c>
    </row>
    <row r="266" spans="1:12">
      <c r="A266" t="s">
        <v>849</v>
      </c>
      <c r="B266">
        <v>1991</v>
      </c>
      <c r="C266" t="s">
        <v>49</v>
      </c>
      <c r="D266">
        <v>102.71</v>
      </c>
      <c r="E266">
        <v>255</v>
      </c>
      <c r="F266">
        <v>182.5</v>
      </c>
      <c r="G266">
        <v>302.5</v>
      </c>
      <c r="H266">
        <v>740</v>
      </c>
      <c r="I266">
        <v>2015</v>
      </c>
      <c r="J266" t="s">
        <v>29</v>
      </c>
      <c r="K266" t="s">
        <v>30</v>
      </c>
      <c r="L266" s="8">
        <f t="shared" si="4"/>
        <v>0.71568627450980393</v>
      </c>
    </row>
    <row r="267" spans="1:12">
      <c r="A267" t="s">
        <v>167</v>
      </c>
      <c r="B267">
        <v>1978</v>
      </c>
      <c r="C267" t="s">
        <v>85</v>
      </c>
      <c r="D267">
        <v>57.8</v>
      </c>
      <c r="E267">
        <v>202.5</v>
      </c>
      <c r="F267">
        <v>145</v>
      </c>
      <c r="G267">
        <v>200</v>
      </c>
      <c r="H267">
        <v>547.5</v>
      </c>
      <c r="I267">
        <v>2012</v>
      </c>
      <c r="J267" t="s">
        <v>29</v>
      </c>
      <c r="K267" t="s">
        <v>30</v>
      </c>
      <c r="L267" s="8">
        <f t="shared" si="4"/>
        <v>0.71604938271604934</v>
      </c>
    </row>
    <row r="268" spans="1:12">
      <c r="A268" t="s">
        <v>164</v>
      </c>
      <c r="B268">
        <v>1990</v>
      </c>
      <c r="C268" t="s">
        <v>85</v>
      </c>
      <c r="D268">
        <v>92.95</v>
      </c>
      <c r="E268">
        <v>265</v>
      </c>
      <c r="F268">
        <v>190</v>
      </c>
      <c r="G268">
        <v>355</v>
      </c>
      <c r="H268">
        <v>810</v>
      </c>
      <c r="I268">
        <v>2013</v>
      </c>
      <c r="J268" t="s">
        <v>29</v>
      </c>
      <c r="K268" t="s">
        <v>30</v>
      </c>
      <c r="L268" s="8">
        <f t="shared" si="4"/>
        <v>0.71698113207547165</v>
      </c>
    </row>
    <row r="269" spans="1:12">
      <c r="A269" t="s">
        <v>599</v>
      </c>
      <c r="B269">
        <v>1990</v>
      </c>
      <c r="C269" t="s">
        <v>142</v>
      </c>
      <c r="D269">
        <v>79.95</v>
      </c>
      <c r="E269">
        <v>230</v>
      </c>
      <c r="F269">
        <v>165</v>
      </c>
      <c r="G269">
        <v>260</v>
      </c>
      <c r="H269">
        <v>655</v>
      </c>
      <c r="I269">
        <v>2015</v>
      </c>
      <c r="J269" t="s">
        <v>29</v>
      </c>
      <c r="K269" t="s">
        <v>30</v>
      </c>
      <c r="L269" s="8">
        <f t="shared" si="4"/>
        <v>0.71739130434782605</v>
      </c>
    </row>
    <row r="270" spans="1:12">
      <c r="A270" t="s">
        <v>786</v>
      </c>
      <c r="B270">
        <v>1988</v>
      </c>
      <c r="C270" t="s">
        <v>80</v>
      </c>
      <c r="D270">
        <v>104.4</v>
      </c>
      <c r="E270">
        <v>257.5</v>
      </c>
      <c r="F270">
        <v>185</v>
      </c>
      <c r="G270">
        <v>302.5</v>
      </c>
      <c r="H270">
        <v>745</v>
      </c>
      <c r="I270">
        <v>2014</v>
      </c>
      <c r="J270" t="s">
        <v>29</v>
      </c>
      <c r="K270" t="s">
        <v>30</v>
      </c>
      <c r="L270" s="8">
        <f t="shared" si="4"/>
        <v>0.71844660194174759</v>
      </c>
    </row>
    <row r="271" spans="1:12">
      <c r="A271" t="s">
        <v>81</v>
      </c>
      <c r="B271">
        <v>1981</v>
      </c>
      <c r="C271" t="s">
        <v>77</v>
      </c>
      <c r="D271">
        <v>66</v>
      </c>
      <c r="E271">
        <v>222.5</v>
      </c>
      <c r="F271">
        <v>160</v>
      </c>
      <c r="G271">
        <v>235</v>
      </c>
      <c r="H271">
        <v>617.5</v>
      </c>
      <c r="I271">
        <v>2012</v>
      </c>
      <c r="J271" t="s">
        <v>29</v>
      </c>
      <c r="K271" t="s">
        <v>30</v>
      </c>
      <c r="L271" s="8">
        <f t="shared" si="4"/>
        <v>0.7191011235955056</v>
      </c>
    </row>
    <row r="272" spans="1:12">
      <c r="A272" t="s">
        <v>68</v>
      </c>
      <c r="B272">
        <v>1977</v>
      </c>
      <c r="C272" t="s">
        <v>56</v>
      </c>
      <c r="D272">
        <v>91.95</v>
      </c>
      <c r="E272">
        <v>250</v>
      </c>
      <c r="F272">
        <v>180</v>
      </c>
      <c r="G272">
        <v>270</v>
      </c>
      <c r="H272">
        <v>700</v>
      </c>
      <c r="I272">
        <v>2012</v>
      </c>
      <c r="J272" t="s">
        <v>29</v>
      </c>
      <c r="K272" t="s">
        <v>30</v>
      </c>
      <c r="L272" s="8">
        <f t="shared" si="4"/>
        <v>0.72</v>
      </c>
    </row>
    <row r="273" spans="1:12">
      <c r="A273" t="s">
        <v>127</v>
      </c>
      <c r="B273">
        <v>1978</v>
      </c>
      <c r="C273" t="s">
        <v>49</v>
      </c>
      <c r="D273">
        <v>136.33000000000001</v>
      </c>
      <c r="E273">
        <v>295</v>
      </c>
      <c r="F273">
        <v>212.5</v>
      </c>
      <c r="G273">
        <v>290</v>
      </c>
      <c r="H273">
        <v>797.5</v>
      </c>
      <c r="I273">
        <v>2015</v>
      </c>
      <c r="J273" t="s">
        <v>29</v>
      </c>
      <c r="K273" t="s">
        <v>30</v>
      </c>
      <c r="L273" s="8">
        <f t="shared" si="4"/>
        <v>0.72033898305084743</v>
      </c>
    </row>
    <row r="274" spans="1:12">
      <c r="A274" t="s">
        <v>155</v>
      </c>
      <c r="B274">
        <v>1985</v>
      </c>
      <c r="C274" t="s">
        <v>77</v>
      </c>
      <c r="D274">
        <v>103.69</v>
      </c>
      <c r="E274">
        <v>295</v>
      </c>
      <c r="F274">
        <v>212.5</v>
      </c>
      <c r="G274">
        <v>292.5</v>
      </c>
      <c r="H274">
        <v>800</v>
      </c>
      <c r="I274">
        <v>2015</v>
      </c>
      <c r="J274" t="s">
        <v>29</v>
      </c>
      <c r="K274" t="s">
        <v>30</v>
      </c>
      <c r="L274" s="8">
        <f t="shared" si="4"/>
        <v>0.72033898305084743</v>
      </c>
    </row>
    <row r="275" spans="1:12">
      <c r="A275" t="s">
        <v>709</v>
      </c>
      <c r="B275">
        <v>1983</v>
      </c>
      <c r="C275" t="s">
        <v>109</v>
      </c>
      <c r="D275">
        <v>117.85</v>
      </c>
      <c r="E275">
        <v>242.5</v>
      </c>
      <c r="F275">
        <v>175</v>
      </c>
      <c r="G275">
        <v>300</v>
      </c>
      <c r="H275">
        <v>717.5</v>
      </c>
      <c r="I275">
        <v>2013</v>
      </c>
      <c r="J275" t="s">
        <v>29</v>
      </c>
      <c r="K275" t="s">
        <v>30</v>
      </c>
      <c r="L275" s="8">
        <f t="shared" si="4"/>
        <v>0.72164948453608246</v>
      </c>
    </row>
    <row r="276" spans="1:12">
      <c r="A276" t="s">
        <v>88</v>
      </c>
      <c r="B276">
        <v>1967</v>
      </c>
      <c r="C276" t="s">
        <v>35</v>
      </c>
      <c r="D276">
        <v>65.8</v>
      </c>
      <c r="E276">
        <v>180</v>
      </c>
      <c r="F276">
        <v>130</v>
      </c>
      <c r="G276">
        <v>232.5</v>
      </c>
      <c r="H276">
        <v>542.5</v>
      </c>
      <c r="I276">
        <v>2012</v>
      </c>
      <c r="J276" t="s">
        <v>29</v>
      </c>
      <c r="K276" t="s">
        <v>30</v>
      </c>
      <c r="L276" s="8">
        <f t="shared" si="4"/>
        <v>0.72222222222222221</v>
      </c>
    </row>
    <row r="277" spans="1:12">
      <c r="A277" t="s">
        <v>604</v>
      </c>
      <c r="B277">
        <v>1988</v>
      </c>
      <c r="C277" t="s">
        <v>113</v>
      </c>
      <c r="D277">
        <v>118.66</v>
      </c>
      <c r="E277">
        <v>270</v>
      </c>
      <c r="F277">
        <v>195</v>
      </c>
      <c r="G277">
        <v>322.5</v>
      </c>
      <c r="H277">
        <v>787.5</v>
      </c>
      <c r="I277">
        <v>2015</v>
      </c>
      <c r="J277" t="s">
        <v>29</v>
      </c>
      <c r="K277" t="s">
        <v>30</v>
      </c>
      <c r="L277" s="8">
        <f t="shared" si="4"/>
        <v>0.72222222222222221</v>
      </c>
    </row>
    <row r="278" spans="1:12">
      <c r="A278" t="s">
        <v>164</v>
      </c>
      <c r="B278">
        <v>1990</v>
      </c>
      <c r="C278" t="s">
        <v>85</v>
      </c>
      <c r="D278">
        <v>89.3</v>
      </c>
      <c r="E278">
        <v>252.5</v>
      </c>
      <c r="F278">
        <v>182.5</v>
      </c>
      <c r="G278">
        <v>330</v>
      </c>
      <c r="H278">
        <v>765</v>
      </c>
      <c r="I278">
        <v>2012</v>
      </c>
      <c r="J278" t="s">
        <v>29</v>
      </c>
      <c r="K278" t="s">
        <v>30</v>
      </c>
      <c r="L278" s="8">
        <f t="shared" si="4"/>
        <v>0.72277227722772275</v>
      </c>
    </row>
    <row r="279" spans="1:12">
      <c r="A279" t="s">
        <v>585</v>
      </c>
      <c r="B279">
        <v>1981</v>
      </c>
      <c r="C279" t="s">
        <v>77</v>
      </c>
      <c r="D279">
        <v>82.3</v>
      </c>
      <c r="E279">
        <v>207.5</v>
      </c>
      <c r="F279">
        <v>150</v>
      </c>
      <c r="G279">
        <v>245</v>
      </c>
      <c r="H279">
        <v>602.5</v>
      </c>
      <c r="I279">
        <v>2014</v>
      </c>
      <c r="J279" t="s">
        <v>29</v>
      </c>
      <c r="K279" t="s">
        <v>30</v>
      </c>
      <c r="L279" s="8">
        <f t="shared" si="4"/>
        <v>0.72289156626506024</v>
      </c>
    </row>
    <row r="280" spans="1:12">
      <c r="A280" t="s">
        <v>504</v>
      </c>
      <c r="B280">
        <v>1989</v>
      </c>
      <c r="C280" t="s">
        <v>85</v>
      </c>
      <c r="D280">
        <v>104.05</v>
      </c>
      <c r="E280">
        <v>280</v>
      </c>
      <c r="F280">
        <v>202.5</v>
      </c>
      <c r="G280">
        <v>300</v>
      </c>
      <c r="H280">
        <v>782.5</v>
      </c>
      <c r="I280">
        <v>2015</v>
      </c>
      <c r="J280" t="s">
        <v>29</v>
      </c>
      <c r="K280" t="s">
        <v>30</v>
      </c>
      <c r="L280" s="8">
        <f t="shared" si="4"/>
        <v>0.7232142857142857</v>
      </c>
    </row>
    <row r="281" spans="1:12">
      <c r="A281" t="s">
        <v>91</v>
      </c>
      <c r="B281">
        <v>1970</v>
      </c>
      <c r="C281" t="s">
        <v>77</v>
      </c>
      <c r="D281">
        <v>99.75</v>
      </c>
      <c r="E281">
        <v>235</v>
      </c>
      <c r="F281">
        <v>170</v>
      </c>
      <c r="G281">
        <v>235</v>
      </c>
      <c r="H281">
        <v>640</v>
      </c>
      <c r="I281">
        <v>2012</v>
      </c>
      <c r="J281" t="s">
        <v>29</v>
      </c>
      <c r="K281" t="s">
        <v>30</v>
      </c>
      <c r="L281" s="8">
        <f t="shared" si="4"/>
        <v>0.72340425531914898</v>
      </c>
    </row>
    <row r="282" spans="1:12">
      <c r="A282" t="s">
        <v>57</v>
      </c>
      <c r="B282">
        <v>1982</v>
      </c>
      <c r="C282" t="s">
        <v>28</v>
      </c>
      <c r="D282">
        <v>57.6</v>
      </c>
      <c r="E282">
        <v>221</v>
      </c>
      <c r="F282">
        <v>160</v>
      </c>
      <c r="G282">
        <v>270</v>
      </c>
      <c r="H282">
        <v>651</v>
      </c>
      <c r="I282">
        <v>2012</v>
      </c>
      <c r="J282" t="s">
        <v>29</v>
      </c>
      <c r="K282" t="s">
        <v>30</v>
      </c>
      <c r="L282" s="8">
        <f t="shared" si="4"/>
        <v>0.72398190045248867</v>
      </c>
    </row>
    <row r="283" spans="1:12">
      <c r="A283" t="s">
        <v>89</v>
      </c>
      <c r="B283">
        <v>1966</v>
      </c>
      <c r="C283" t="s">
        <v>56</v>
      </c>
      <c r="D283">
        <v>103.75</v>
      </c>
      <c r="E283">
        <v>255</v>
      </c>
      <c r="F283">
        <v>185</v>
      </c>
      <c r="G283">
        <v>270</v>
      </c>
      <c r="H283">
        <v>710</v>
      </c>
      <c r="I283">
        <v>2012</v>
      </c>
      <c r="J283" t="s">
        <v>29</v>
      </c>
      <c r="K283" t="s">
        <v>30</v>
      </c>
      <c r="L283" s="8">
        <f t="shared" si="4"/>
        <v>0.72549019607843135</v>
      </c>
    </row>
    <row r="284" spans="1:12">
      <c r="A284" t="s">
        <v>126</v>
      </c>
      <c r="B284">
        <v>1987</v>
      </c>
      <c r="C284" t="s">
        <v>80</v>
      </c>
      <c r="D284">
        <v>103.35</v>
      </c>
      <c r="E284">
        <v>255</v>
      </c>
      <c r="F284">
        <v>185</v>
      </c>
      <c r="G284">
        <v>310</v>
      </c>
      <c r="H284">
        <v>750</v>
      </c>
      <c r="I284">
        <v>2012</v>
      </c>
      <c r="J284" t="s">
        <v>29</v>
      </c>
      <c r="K284" t="s">
        <v>30</v>
      </c>
      <c r="L284" s="8">
        <f t="shared" si="4"/>
        <v>0.72549019607843135</v>
      </c>
    </row>
    <row r="285" spans="1:12">
      <c r="A285" t="s">
        <v>803</v>
      </c>
      <c r="B285">
        <v>1989</v>
      </c>
      <c r="C285" t="s">
        <v>119</v>
      </c>
      <c r="D285">
        <v>82.05</v>
      </c>
      <c r="E285">
        <v>255</v>
      </c>
      <c r="F285">
        <v>185</v>
      </c>
      <c r="G285">
        <v>270</v>
      </c>
      <c r="H285">
        <v>710</v>
      </c>
      <c r="I285">
        <v>2013</v>
      </c>
      <c r="J285" t="s">
        <v>29</v>
      </c>
      <c r="K285" t="s">
        <v>30</v>
      </c>
      <c r="L285" s="8">
        <f t="shared" si="4"/>
        <v>0.72549019607843135</v>
      </c>
    </row>
    <row r="286" spans="1:12">
      <c r="A286" t="s">
        <v>73</v>
      </c>
      <c r="B286">
        <v>1982</v>
      </c>
      <c r="C286" t="s">
        <v>74</v>
      </c>
      <c r="D286">
        <v>64</v>
      </c>
      <c r="E286">
        <v>220</v>
      </c>
      <c r="F286">
        <v>160</v>
      </c>
      <c r="G286">
        <v>260</v>
      </c>
      <c r="H286">
        <v>640</v>
      </c>
      <c r="I286">
        <v>2012</v>
      </c>
      <c r="J286" t="s">
        <v>29</v>
      </c>
      <c r="K286" t="s">
        <v>30</v>
      </c>
      <c r="L286" s="8">
        <f t="shared" si="4"/>
        <v>0.72727272727272729</v>
      </c>
    </row>
    <row r="287" spans="1:12">
      <c r="A287" t="s">
        <v>792</v>
      </c>
      <c r="B287">
        <v>1987</v>
      </c>
      <c r="C287" t="s">
        <v>228</v>
      </c>
      <c r="D287">
        <v>82.35</v>
      </c>
      <c r="E287">
        <v>230</v>
      </c>
      <c r="F287">
        <v>167.5</v>
      </c>
      <c r="G287">
        <v>242.5</v>
      </c>
      <c r="H287">
        <v>640</v>
      </c>
      <c r="I287">
        <v>2013</v>
      </c>
      <c r="J287" t="s">
        <v>29</v>
      </c>
      <c r="K287" t="s">
        <v>30</v>
      </c>
      <c r="L287" s="8">
        <f t="shared" si="4"/>
        <v>0.72826086956521741</v>
      </c>
    </row>
    <row r="288" spans="1:12">
      <c r="A288" t="s">
        <v>489</v>
      </c>
      <c r="B288">
        <v>1966</v>
      </c>
      <c r="C288" t="s">
        <v>62</v>
      </c>
      <c r="D288">
        <v>147.05000000000001</v>
      </c>
      <c r="E288">
        <v>315</v>
      </c>
      <c r="F288">
        <v>230</v>
      </c>
      <c r="G288">
        <v>375</v>
      </c>
      <c r="H288">
        <v>920</v>
      </c>
      <c r="I288">
        <v>2013</v>
      </c>
      <c r="J288" t="s">
        <v>29</v>
      </c>
      <c r="K288" t="s">
        <v>30</v>
      </c>
      <c r="L288" s="8">
        <f t="shared" si="4"/>
        <v>0.73015873015873012</v>
      </c>
    </row>
    <row r="289" spans="1:12">
      <c r="A289" t="s">
        <v>73</v>
      </c>
      <c r="B289">
        <v>1982</v>
      </c>
      <c r="C289" t="s">
        <v>74</v>
      </c>
      <c r="D289">
        <v>63.27</v>
      </c>
      <c r="E289">
        <v>222.5</v>
      </c>
      <c r="F289">
        <v>162.5</v>
      </c>
      <c r="G289">
        <v>265</v>
      </c>
      <c r="H289">
        <v>650</v>
      </c>
      <c r="I289">
        <v>2015</v>
      </c>
      <c r="J289" t="s">
        <v>29</v>
      </c>
      <c r="K289" t="s">
        <v>30</v>
      </c>
      <c r="L289" s="8">
        <f t="shared" si="4"/>
        <v>0.7303370786516854</v>
      </c>
    </row>
    <row r="290" spans="1:12">
      <c r="A290" t="s">
        <v>800</v>
      </c>
      <c r="B290">
        <v>1986</v>
      </c>
      <c r="C290" t="s">
        <v>62</v>
      </c>
      <c r="D290">
        <v>103.3</v>
      </c>
      <c r="E290">
        <v>270</v>
      </c>
      <c r="F290">
        <v>197.5</v>
      </c>
      <c r="G290">
        <v>285</v>
      </c>
      <c r="H290">
        <v>752.5</v>
      </c>
      <c r="I290">
        <v>2013</v>
      </c>
      <c r="J290" t="s">
        <v>29</v>
      </c>
      <c r="K290" t="s">
        <v>30</v>
      </c>
      <c r="L290" s="8">
        <f t="shared" si="4"/>
        <v>0.73148148148148151</v>
      </c>
    </row>
    <row r="291" spans="1:12">
      <c r="A291" t="s">
        <v>57</v>
      </c>
      <c r="B291">
        <v>1982</v>
      </c>
      <c r="C291" t="s">
        <v>28</v>
      </c>
      <c r="D291">
        <v>58.2</v>
      </c>
      <c r="E291">
        <v>225.5</v>
      </c>
      <c r="F291">
        <v>165</v>
      </c>
      <c r="G291">
        <v>270.5</v>
      </c>
      <c r="H291">
        <v>661</v>
      </c>
      <c r="I291">
        <v>2014</v>
      </c>
      <c r="J291" t="s">
        <v>29</v>
      </c>
      <c r="K291" t="s">
        <v>30</v>
      </c>
      <c r="L291" s="8">
        <f t="shared" si="4"/>
        <v>0.73170731707317072</v>
      </c>
    </row>
    <row r="292" spans="1:12">
      <c r="A292" t="s">
        <v>748</v>
      </c>
      <c r="B292">
        <v>1978</v>
      </c>
      <c r="C292" t="s">
        <v>80</v>
      </c>
      <c r="D292">
        <v>65.56</v>
      </c>
      <c r="E292">
        <v>215</v>
      </c>
      <c r="F292">
        <v>157.5</v>
      </c>
      <c r="G292">
        <v>278</v>
      </c>
      <c r="H292">
        <v>650.5</v>
      </c>
      <c r="I292">
        <v>2015</v>
      </c>
      <c r="J292" t="s">
        <v>29</v>
      </c>
      <c r="K292" t="s">
        <v>30</v>
      </c>
      <c r="L292" s="8">
        <f t="shared" si="4"/>
        <v>0.73255813953488369</v>
      </c>
    </row>
    <row r="293" spans="1:12">
      <c r="A293" t="s">
        <v>388</v>
      </c>
      <c r="B293">
        <v>1989</v>
      </c>
      <c r="C293" t="s">
        <v>62</v>
      </c>
      <c r="D293">
        <v>72.849999999999994</v>
      </c>
      <c r="E293">
        <v>217.5</v>
      </c>
      <c r="F293">
        <v>160</v>
      </c>
      <c r="G293">
        <v>245</v>
      </c>
      <c r="H293">
        <v>622.5</v>
      </c>
      <c r="I293">
        <v>2014</v>
      </c>
      <c r="J293" t="s">
        <v>29</v>
      </c>
      <c r="K293" t="s">
        <v>30</v>
      </c>
      <c r="L293" s="8">
        <f t="shared" si="4"/>
        <v>0.73563218390804597</v>
      </c>
    </row>
    <row r="294" spans="1:12">
      <c r="A294" t="s">
        <v>155</v>
      </c>
      <c r="B294">
        <v>1985</v>
      </c>
      <c r="C294" t="s">
        <v>77</v>
      </c>
      <c r="D294">
        <v>103.1</v>
      </c>
      <c r="E294">
        <v>285</v>
      </c>
      <c r="F294">
        <v>210</v>
      </c>
      <c r="G294">
        <v>285</v>
      </c>
      <c r="H294">
        <v>780</v>
      </c>
      <c r="I294">
        <v>2013</v>
      </c>
      <c r="J294" t="s">
        <v>29</v>
      </c>
      <c r="K294" t="s">
        <v>30</v>
      </c>
      <c r="L294" s="8">
        <f t="shared" si="4"/>
        <v>0.73684210526315785</v>
      </c>
    </row>
    <row r="295" spans="1:12">
      <c r="A295" t="s">
        <v>792</v>
      </c>
      <c r="B295">
        <v>1987</v>
      </c>
      <c r="C295" t="s">
        <v>228</v>
      </c>
      <c r="D295">
        <v>92.39</v>
      </c>
      <c r="E295">
        <v>257.5</v>
      </c>
      <c r="F295">
        <v>190</v>
      </c>
      <c r="G295">
        <v>0</v>
      </c>
      <c r="H295">
        <v>0</v>
      </c>
      <c r="I295">
        <v>2015</v>
      </c>
      <c r="J295" t="s">
        <v>29</v>
      </c>
      <c r="K295" t="s">
        <v>30</v>
      </c>
      <c r="L295" s="8">
        <f t="shared" si="4"/>
        <v>0.73786407766990292</v>
      </c>
    </row>
    <row r="296" spans="1:12">
      <c r="A296" t="s">
        <v>748</v>
      </c>
      <c r="B296">
        <v>1978</v>
      </c>
      <c r="C296" t="s">
        <v>80</v>
      </c>
      <c r="D296">
        <v>65.5</v>
      </c>
      <c r="E296">
        <v>210</v>
      </c>
      <c r="F296">
        <v>155</v>
      </c>
      <c r="G296">
        <v>265</v>
      </c>
      <c r="H296">
        <v>630</v>
      </c>
      <c r="I296">
        <v>2014</v>
      </c>
      <c r="J296" t="s">
        <v>29</v>
      </c>
      <c r="K296" t="s">
        <v>30</v>
      </c>
      <c r="L296" s="8">
        <f t="shared" si="4"/>
        <v>0.73809523809523814</v>
      </c>
    </row>
    <row r="297" spans="1:12">
      <c r="A297" t="s">
        <v>145</v>
      </c>
      <c r="B297">
        <v>1972</v>
      </c>
      <c r="C297" t="s">
        <v>80</v>
      </c>
      <c r="D297">
        <v>137.5</v>
      </c>
      <c r="E297">
        <v>307.5</v>
      </c>
      <c r="F297">
        <v>227.5</v>
      </c>
      <c r="G297">
        <v>310</v>
      </c>
      <c r="H297">
        <v>845</v>
      </c>
      <c r="I297">
        <v>2012</v>
      </c>
      <c r="J297" t="s">
        <v>29</v>
      </c>
      <c r="K297" t="s">
        <v>30</v>
      </c>
      <c r="L297" s="8">
        <f t="shared" si="4"/>
        <v>0.73983739837398377</v>
      </c>
    </row>
    <row r="298" spans="1:12">
      <c r="A298" t="s">
        <v>755</v>
      </c>
      <c r="B298">
        <v>1988</v>
      </c>
      <c r="C298" t="s">
        <v>72</v>
      </c>
      <c r="D298">
        <v>91.38</v>
      </c>
      <c r="E298">
        <v>290</v>
      </c>
      <c r="F298">
        <v>215</v>
      </c>
      <c r="G298">
        <v>270</v>
      </c>
      <c r="H298">
        <v>775</v>
      </c>
      <c r="I298">
        <v>2015</v>
      </c>
      <c r="J298" t="s">
        <v>29</v>
      </c>
      <c r="K298" t="s">
        <v>30</v>
      </c>
      <c r="L298" s="8">
        <f t="shared" si="4"/>
        <v>0.74137931034482762</v>
      </c>
    </row>
    <row r="299" spans="1:12">
      <c r="A299" t="s">
        <v>33</v>
      </c>
      <c r="B299">
        <v>1981</v>
      </c>
      <c r="C299" t="s">
        <v>28</v>
      </c>
      <c r="D299">
        <v>73.400000000000006</v>
      </c>
      <c r="E299">
        <v>225</v>
      </c>
      <c r="F299">
        <v>167.5</v>
      </c>
      <c r="G299">
        <v>277.5</v>
      </c>
      <c r="H299">
        <v>670</v>
      </c>
      <c r="I299">
        <v>2012</v>
      </c>
      <c r="J299" t="s">
        <v>29</v>
      </c>
      <c r="K299" t="s">
        <v>30</v>
      </c>
      <c r="L299" s="8">
        <f t="shared" si="4"/>
        <v>0.74444444444444446</v>
      </c>
    </row>
    <row r="300" spans="1:12">
      <c r="A300" t="s">
        <v>822</v>
      </c>
      <c r="B300">
        <v>1983</v>
      </c>
      <c r="C300" t="s">
        <v>142</v>
      </c>
      <c r="D300">
        <v>90.33</v>
      </c>
      <c r="E300">
        <v>225</v>
      </c>
      <c r="F300">
        <v>167.5</v>
      </c>
      <c r="G300">
        <v>285</v>
      </c>
      <c r="H300">
        <v>677.5</v>
      </c>
      <c r="I300">
        <v>2015</v>
      </c>
      <c r="J300" t="s">
        <v>29</v>
      </c>
      <c r="K300" t="s">
        <v>30</v>
      </c>
      <c r="L300" s="8">
        <f t="shared" si="4"/>
        <v>0.74444444444444446</v>
      </c>
    </row>
    <row r="301" spans="1:12">
      <c r="A301" t="s">
        <v>36</v>
      </c>
      <c r="B301">
        <v>1967</v>
      </c>
      <c r="C301" t="s">
        <v>35</v>
      </c>
      <c r="D301">
        <v>73.5</v>
      </c>
      <c r="E301">
        <v>235</v>
      </c>
      <c r="F301">
        <v>175</v>
      </c>
      <c r="G301">
        <v>265</v>
      </c>
      <c r="H301">
        <v>675</v>
      </c>
      <c r="I301">
        <v>2014</v>
      </c>
      <c r="J301" t="s">
        <v>29</v>
      </c>
      <c r="K301" t="s">
        <v>30</v>
      </c>
      <c r="L301" s="8">
        <f t="shared" si="4"/>
        <v>0.74468085106382975</v>
      </c>
    </row>
    <row r="302" spans="1:12">
      <c r="A302" t="s">
        <v>155</v>
      </c>
      <c r="B302">
        <v>1985</v>
      </c>
      <c r="C302" t="s">
        <v>77</v>
      </c>
      <c r="D302">
        <v>99.85</v>
      </c>
      <c r="E302">
        <v>275</v>
      </c>
      <c r="F302">
        <v>205</v>
      </c>
      <c r="G302">
        <v>260</v>
      </c>
      <c r="H302">
        <v>740</v>
      </c>
      <c r="I302">
        <v>2012</v>
      </c>
      <c r="J302" t="s">
        <v>29</v>
      </c>
      <c r="K302" t="s">
        <v>30</v>
      </c>
      <c r="L302" s="8">
        <f t="shared" si="4"/>
        <v>0.74545454545454548</v>
      </c>
    </row>
    <row r="303" spans="1:12">
      <c r="A303" t="s">
        <v>493</v>
      </c>
      <c r="B303">
        <v>1989</v>
      </c>
      <c r="C303" t="s">
        <v>282</v>
      </c>
      <c r="D303">
        <v>57.95</v>
      </c>
      <c r="E303">
        <v>167.5</v>
      </c>
      <c r="F303">
        <v>125</v>
      </c>
      <c r="G303">
        <v>205</v>
      </c>
      <c r="H303">
        <v>497.5</v>
      </c>
      <c r="I303">
        <v>2014</v>
      </c>
      <c r="J303" t="s">
        <v>29</v>
      </c>
      <c r="K303" t="s">
        <v>30</v>
      </c>
      <c r="L303" s="8">
        <f t="shared" si="4"/>
        <v>0.74626865671641796</v>
      </c>
    </row>
    <row r="304" spans="1:12">
      <c r="A304" t="s">
        <v>153</v>
      </c>
      <c r="B304">
        <v>1984</v>
      </c>
      <c r="C304" t="s">
        <v>74</v>
      </c>
      <c r="D304">
        <v>65.7</v>
      </c>
      <c r="E304">
        <v>187.5</v>
      </c>
      <c r="F304">
        <v>140</v>
      </c>
      <c r="G304">
        <v>235</v>
      </c>
      <c r="H304">
        <v>562.5</v>
      </c>
      <c r="I304">
        <v>2012</v>
      </c>
      <c r="J304" t="s">
        <v>29</v>
      </c>
      <c r="K304" t="s">
        <v>30</v>
      </c>
      <c r="L304" s="8">
        <f t="shared" si="4"/>
        <v>0.7466666666666667</v>
      </c>
    </row>
    <row r="305" spans="1:12">
      <c r="A305" t="s">
        <v>770</v>
      </c>
      <c r="B305">
        <v>1986</v>
      </c>
      <c r="C305" t="s">
        <v>51</v>
      </c>
      <c r="D305">
        <v>64.55</v>
      </c>
      <c r="E305">
        <v>187.5</v>
      </c>
      <c r="F305">
        <v>140</v>
      </c>
      <c r="G305">
        <v>230</v>
      </c>
      <c r="H305">
        <v>557.5</v>
      </c>
      <c r="I305">
        <v>2014</v>
      </c>
      <c r="J305" t="s">
        <v>29</v>
      </c>
      <c r="K305" t="s">
        <v>30</v>
      </c>
      <c r="L305" s="8">
        <f t="shared" si="4"/>
        <v>0.7466666666666667</v>
      </c>
    </row>
    <row r="306" spans="1:12">
      <c r="A306" t="s">
        <v>132</v>
      </c>
      <c r="B306">
        <v>1986</v>
      </c>
      <c r="C306" t="s">
        <v>62</v>
      </c>
      <c r="D306">
        <v>91.65</v>
      </c>
      <c r="E306">
        <v>230</v>
      </c>
      <c r="F306">
        <v>172.5</v>
      </c>
      <c r="G306">
        <v>292.5</v>
      </c>
      <c r="H306">
        <v>695</v>
      </c>
      <c r="I306">
        <v>2012</v>
      </c>
      <c r="J306" t="s">
        <v>29</v>
      </c>
      <c r="K306" t="s">
        <v>30</v>
      </c>
      <c r="L306" s="8">
        <f t="shared" si="4"/>
        <v>0.75</v>
      </c>
    </row>
    <row r="307" spans="1:12">
      <c r="A307" t="s">
        <v>165</v>
      </c>
      <c r="B307">
        <v>1978</v>
      </c>
      <c r="C307" t="s">
        <v>51</v>
      </c>
      <c r="D307">
        <v>63.3</v>
      </c>
      <c r="E307">
        <v>150</v>
      </c>
      <c r="F307">
        <v>112.5</v>
      </c>
      <c r="G307">
        <v>182.5</v>
      </c>
      <c r="H307">
        <v>445</v>
      </c>
      <c r="I307">
        <v>2012</v>
      </c>
      <c r="J307" t="s">
        <v>29</v>
      </c>
      <c r="K307" t="s">
        <v>30</v>
      </c>
      <c r="L307" s="8">
        <f t="shared" si="4"/>
        <v>0.75</v>
      </c>
    </row>
    <row r="308" spans="1:12">
      <c r="A308" t="s">
        <v>36</v>
      </c>
      <c r="B308">
        <v>1967</v>
      </c>
      <c r="C308" t="s">
        <v>35</v>
      </c>
      <c r="D308">
        <v>74</v>
      </c>
      <c r="E308">
        <v>230</v>
      </c>
      <c r="F308">
        <v>172.5</v>
      </c>
      <c r="G308">
        <v>267.5</v>
      </c>
      <c r="H308">
        <v>670</v>
      </c>
      <c r="I308">
        <v>2013</v>
      </c>
      <c r="J308" t="s">
        <v>29</v>
      </c>
      <c r="K308" t="s">
        <v>30</v>
      </c>
      <c r="L308" s="8">
        <f t="shared" si="4"/>
        <v>0.75</v>
      </c>
    </row>
    <row r="309" spans="1:12">
      <c r="A309" t="s">
        <v>487</v>
      </c>
      <c r="B309">
        <v>1991</v>
      </c>
      <c r="C309" t="s">
        <v>163</v>
      </c>
      <c r="D309">
        <v>82.4</v>
      </c>
      <c r="E309">
        <v>270</v>
      </c>
      <c r="F309">
        <v>202.5</v>
      </c>
      <c r="G309">
        <v>302.5</v>
      </c>
      <c r="H309">
        <v>775</v>
      </c>
      <c r="I309">
        <v>2015</v>
      </c>
      <c r="J309" t="s">
        <v>29</v>
      </c>
      <c r="K309" t="s">
        <v>30</v>
      </c>
      <c r="L309" s="8">
        <f t="shared" si="4"/>
        <v>0.75</v>
      </c>
    </row>
    <row r="310" spans="1:12">
      <c r="A310" t="s">
        <v>545</v>
      </c>
      <c r="B310">
        <v>1987</v>
      </c>
      <c r="C310" t="s">
        <v>359</v>
      </c>
      <c r="D310">
        <v>73.3</v>
      </c>
      <c r="E310">
        <v>210</v>
      </c>
      <c r="F310">
        <v>157.5</v>
      </c>
      <c r="G310">
        <v>252.5</v>
      </c>
      <c r="H310">
        <v>620</v>
      </c>
      <c r="I310">
        <v>2014</v>
      </c>
      <c r="J310" t="s">
        <v>29</v>
      </c>
      <c r="K310" t="s">
        <v>30</v>
      </c>
      <c r="L310" s="8">
        <f t="shared" si="4"/>
        <v>0.75</v>
      </c>
    </row>
    <row r="311" spans="1:12">
      <c r="A311" t="s">
        <v>148</v>
      </c>
      <c r="B311">
        <v>1978</v>
      </c>
      <c r="C311" t="s">
        <v>80</v>
      </c>
      <c r="D311">
        <v>73.62</v>
      </c>
      <c r="E311">
        <v>210</v>
      </c>
      <c r="F311">
        <v>157.5</v>
      </c>
      <c r="G311">
        <v>280</v>
      </c>
      <c r="H311">
        <v>647.5</v>
      </c>
      <c r="I311">
        <v>2015</v>
      </c>
      <c r="J311" t="s">
        <v>29</v>
      </c>
      <c r="K311" t="s">
        <v>30</v>
      </c>
      <c r="L311" s="8">
        <f t="shared" si="4"/>
        <v>0.75</v>
      </c>
    </row>
    <row r="312" spans="1:12">
      <c r="A312" t="s">
        <v>561</v>
      </c>
      <c r="B312">
        <v>1988</v>
      </c>
      <c r="C312" t="s">
        <v>100</v>
      </c>
      <c r="D312">
        <v>118.26</v>
      </c>
      <c r="E312">
        <v>302.5</v>
      </c>
      <c r="F312">
        <v>227.5</v>
      </c>
      <c r="G312">
        <v>285</v>
      </c>
      <c r="H312">
        <v>815</v>
      </c>
      <c r="I312">
        <v>2015</v>
      </c>
      <c r="J312" t="s">
        <v>29</v>
      </c>
      <c r="K312" t="s">
        <v>30</v>
      </c>
      <c r="L312" s="8">
        <f t="shared" si="4"/>
        <v>0.75206611570247939</v>
      </c>
    </row>
    <row r="313" spans="1:12">
      <c r="A313" t="s">
        <v>57</v>
      </c>
      <c r="B313">
        <v>1982</v>
      </c>
      <c r="C313" t="s">
        <v>28</v>
      </c>
      <c r="D313">
        <v>58.15</v>
      </c>
      <c r="E313">
        <v>226</v>
      </c>
      <c r="F313">
        <v>170</v>
      </c>
      <c r="G313">
        <v>260</v>
      </c>
      <c r="H313">
        <v>656</v>
      </c>
      <c r="I313">
        <v>2015</v>
      </c>
      <c r="J313" t="s">
        <v>29</v>
      </c>
      <c r="K313" t="s">
        <v>30</v>
      </c>
      <c r="L313" s="8">
        <f t="shared" si="4"/>
        <v>0.75221238938053092</v>
      </c>
    </row>
    <row r="314" spans="1:12">
      <c r="A314" t="s">
        <v>798</v>
      </c>
      <c r="B314">
        <v>1980</v>
      </c>
      <c r="C314" t="s">
        <v>51</v>
      </c>
      <c r="D314">
        <v>100.15</v>
      </c>
      <c r="E314">
        <v>242.5</v>
      </c>
      <c r="F314">
        <v>182.5</v>
      </c>
      <c r="G314">
        <v>307.5</v>
      </c>
      <c r="H314">
        <v>732.5</v>
      </c>
      <c r="I314">
        <v>2015</v>
      </c>
      <c r="J314" t="s">
        <v>29</v>
      </c>
      <c r="K314" t="s">
        <v>30</v>
      </c>
      <c r="L314" s="8">
        <f t="shared" si="4"/>
        <v>0.75257731958762886</v>
      </c>
    </row>
    <row r="315" spans="1:12">
      <c r="A315" t="s">
        <v>453</v>
      </c>
      <c r="B315">
        <v>1979</v>
      </c>
      <c r="C315" t="s">
        <v>289</v>
      </c>
      <c r="D315">
        <v>92.36</v>
      </c>
      <c r="E315">
        <v>182.5</v>
      </c>
      <c r="F315">
        <v>137.5</v>
      </c>
      <c r="G315">
        <v>230</v>
      </c>
      <c r="H315">
        <v>550</v>
      </c>
      <c r="I315">
        <v>2015</v>
      </c>
      <c r="J315" t="s">
        <v>29</v>
      </c>
      <c r="K315" t="s">
        <v>30</v>
      </c>
      <c r="L315" s="8">
        <f t="shared" si="4"/>
        <v>0.75342465753424659</v>
      </c>
    </row>
    <row r="316" spans="1:12">
      <c r="A316" t="s">
        <v>757</v>
      </c>
      <c r="B316">
        <v>1977</v>
      </c>
      <c r="C316" t="s">
        <v>39</v>
      </c>
      <c r="D316">
        <v>147.1</v>
      </c>
      <c r="E316">
        <v>285</v>
      </c>
      <c r="F316">
        <v>215</v>
      </c>
      <c r="G316">
        <v>335</v>
      </c>
      <c r="H316">
        <v>835</v>
      </c>
      <c r="I316">
        <v>2013</v>
      </c>
      <c r="J316" t="s">
        <v>29</v>
      </c>
      <c r="K316" t="s">
        <v>30</v>
      </c>
      <c r="L316" s="8">
        <f t="shared" si="4"/>
        <v>0.75438596491228072</v>
      </c>
    </row>
    <row r="317" spans="1:12">
      <c r="A317" t="s">
        <v>351</v>
      </c>
      <c r="B317">
        <v>1987</v>
      </c>
      <c r="C317" t="s">
        <v>352</v>
      </c>
      <c r="D317">
        <v>92.48</v>
      </c>
      <c r="E317">
        <v>275</v>
      </c>
      <c r="F317">
        <v>207.5</v>
      </c>
      <c r="G317">
        <v>300</v>
      </c>
      <c r="H317">
        <v>782.5</v>
      </c>
      <c r="I317">
        <v>2015</v>
      </c>
      <c r="J317" t="s">
        <v>29</v>
      </c>
      <c r="K317" t="s">
        <v>30</v>
      </c>
      <c r="L317" s="8">
        <f t="shared" si="4"/>
        <v>0.75454545454545452</v>
      </c>
    </row>
    <row r="318" spans="1:12">
      <c r="A318" t="s">
        <v>754</v>
      </c>
      <c r="B318">
        <v>1984</v>
      </c>
      <c r="C318" t="s">
        <v>109</v>
      </c>
      <c r="D318">
        <v>118.28</v>
      </c>
      <c r="E318">
        <v>275</v>
      </c>
      <c r="F318">
        <v>207.5</v>
      </c>
      <c r="G318">
        <v>270</v>
      </c>
      <c r="H318">
        <v>752.5</v>
      </c>
      <c r="I318">
        <v>2015</v>
      </c>
      <c r="J318" t="s">
        <v>29</v>
      </c>
      <c r="K318" t="s">
        <v>30</v>
      </c>
      <c r="L318" s="8">
        <f t="shared" si="4"/>
        <v>0.75454545454545452</v>
      </c>
    </row>
    <row r="319" spans="1:12">
      <c r="A319" t="s">
        <v>44</v>
      </c>
      <c r="B319">
        <v>1972</v>
      </c>
      <c r="C319" t="s">
        <v>45</v>
      </c>
      <c r="D319">
        <v>110.35</v>
      </c>
      <c r="E319">
        <v>245</v>
      </c>
      <c r="F319">
        <v>185</v>
      </c>
      <c r="G319">
        <v>300</v>
      </c>
      <c r="H319">
        <v>730</v>
      </c>
      <c r="I319">
        <v>2012</v>
      </c>
      <c r="J319" t="s">
        <v>29</v>
      </c>
      <c r="K319" t="s">
        <v>30</v>
      </c>
      <c r="L319" s="8">
        <f t="shared" si="4"/>
        <v>0.75510204081632648</v>
      </c>
    </row>
    <row r="320" spans="1:12">
      <c r="A320" t="s">
        <v>457</v>
      </c>
      <c r="B320">
        <v>1980</v>
      </c>
      <c r="C320" t="s">
        <v>77</v>
      </c>
      <c r="D320">
        <v>58.7</v>
      </c>
      <c r="E320">
        <v>185</v>
      </c>
      <c r="F320">
        <v>140</v>
      </c>
      <c r="G320">
        <v>215</v>
      </c>
      <c r="H320">
        <v>540</v>
      </c>
      <c r="I320">
        <v>2014</v>
      </c>
      <c r="J320" t="s">
        <v>29</v>
      </c>
      <c r="K320" t="s">
        <v>30</v>
      </c>
      <c r="L320" s="8">
        <f t="shared" si="4"/>
        <v>0.7567567567567568</v>
      </c>
    </row>
    <row r="321" spans="1:12">
      <c r="A321" t="s">
        <v>457</v>
      </c>
      <c r="B321">
        <v>1980</v>
      </c>
      <c r="C321" t="s">
        <v>77</v>
      </c>
      <c r="D321">
        <v>58.47</v>
      </c>
      <c r="E321">
        <v>185</v>
      </c>
      <c r="F321">
        <v>140</v>
      </c>
      <c r="G321">
        <v>220</v>
      </c>
      <c r="H321">
        <v>545</v>
      </c>
      <c r="I321">
        <v>2015</v>
      </c>
      <c r="J321" t="s">
        <v>29</v>
      </c>
      <c r="K321" t="s">
        <v>30</v>
      </c>
      <c r="L321" s="8">
        <f t="shared" si="4"/>
        <v>0.7567567567567568</v>
      </c>
    </row>
    <row r="322" spans="1:12">
      <c r="A322" t="s">
        <v>121</v>
      </c>
      <c r="B322">
        <v>1967</v>
      </c>
      <c r="C322" t="s">
        <v>77</v>
      </c>
      <c r="D322">
        <v>58.6</v>
      </c>
      <c r="E322">
        <v>165</v>
      </c>
      <c r="F322">
        <v>125</v>
      </c>
      <c r="G322">
        <v>200</v>
      </c>
      <c r="H322">
        <v>490</v>
      </c>
      <c r="I322">
        <v>2012</v>
      </c>
      <c r="J322" t="s">
        <v>29</v>
      </c>
      <c r="K322" t="s">
        <v>30</v>
      </c>
      <c r="L322" s="8">
        <f t="shared" ref="L322:L385" si="5">IF(AND(F322&lt;&gt;0,E322&lt;&gt;0),F322/E322,"")</f>
        <v>0.75757575757575757</v>
      </c>
    </row>
    <row r="323" spans="1:12">
      <c r="A323" t="s">
        <v>395</v>
      </c>
      <c r="B323">
        <v>1990</v>
      </c>
      <c r="C323" t="s">
        <v>45</v>
      </c>
      <c r="D323">
        <v>92.75</v>
      </c>
      <c r="E323">
        <v>250</v>
      </c>
      <c r="F323">
        <v>190</v>
      </c>
      <c r="G323">
        <v>307.5</v>
      </c>
      <c r="H323">
        <v>747.5</v>
      </c>
      <c r="I323">
        <v>2014</v>
      </c>
      <c r="J323" t="s">
        <v>29</v>
      </c>
      <c r="K323" t="s">
        <v>30</v>
      </c>
      <c r="L323" s="8">
        <f t="shared" si="5"/>
        <v>0.76</v>
      </c>
    </row>
    <row r="324" spans="1:12">
      <c r="A324" t="s">
        <v>79</v>
      </c>
      <c r="B324">
        <v>1982</v>
      </c>
      <c r="C324" t="s">
        <v>80</v>
      </c>
      <c r="D324">
        <v>92.4</v>
      </c>
      <c r="E324">
        <v>240</v>
      </c>
      <c r="F324">
        <v>182.5</v>
      </c>
      <c r="G324">
        <v>270</v>
      </c>
      <c r="H324">
        <v>692.5</v>
      </c>
      <c r="I324">
        <v>2012</v>
      </c>
      <c r="J324" t="s">
        <v>29</v>
      </c>
      <c r="K324" t="s">
        <v>30</v>
      </c>
      <c r="L324" s="8">
        <f t="shared" si="5"/>
        <v>0.76041666666666663</v>
      </c>
    </row>
    <row r="325" spans="1:12">
      <c r="A325" t="s">
        <v>95</v>
      </c>
      <c r="B325">
        <v>1983</v>
      </c>
      <c r="C325" t="s">
        <v>54</v>
      </c>
      <c r="D325">
        <v>92</v>
      </c>
      <c r="E325">
        <v>220</v>
      </c>
      <c r="F325">
        <v>167.5</v>
      </c>
      <c r="G325">
        <v>220</v>
      </c>
      <c r="H325">
        <v>607.5</v>
      </c>
      <c r="I325">
        <v>2012</v>
      </c>
      <c r="J325" t="s">
        <v>29</v>
      </c>
      <c r="K325" t="s">
        <v>30</v>
      </c>
      <c r="L325" s="8">
        <f t="shared" si="5"/>
        <v>0.76136363636363635</v>
      </c>
    </row>
    <row r="326" spans="1:12">
      <c r="A326" t="s">
        <v>150</v>
      </c>
      <c r="B326">
        <v>1985</v>
      </c>
      <c r="C326" t="s">
        <v>54</v>
      </c>
      <c r="D326">
        <v>119.9</v>
      </c>
      <c r="E326">
        <v>262.5</v>
      </c>
      <c r="F326">
        <v>200</v>
      </c>
      <c r="G326">
        <v>285</v>
      </c>
      <c r="H326">
        <v>747.5</v>
      </c>
      <c r="I326">
        <v>2013</v>
      </c>
      <c r="J326" t="s">
        <v>29</v>
      </c>
      <c r="K326" t="s">
        <v>30</v>
      </c>
      <c r="L326" s="8">
        <f t="shared" si="5"/>
        <v>0.76190476190476186</v>
      </c>
    </row>
    <row r="327" spans="1:12">
      <c r="A327" t="s">
        <v>104</v>
      </c>
      <c r="B327">
        <v>1986</v>
      </c>
      <c r="C327" t="s">
        <v>39</v>
      </c>
      <c r="D327">
        <v>92.95</v>
      </c>
      <c r="E327">
        <v>252.5</v>
      </c>
      <c r="F327">
        <v>192.5</v>
      </c>
      <c r="G327">
        <v>297.5</v>
      </c>
      <c r="H327">
        <v>742.5</v>
      </c>
      <c r="I327">
        <v>2012</v>
      </c>
      <c r="J327" t="s">
        <v>29</v>
      </c>
      <c r="K327" t="s">
        <v>30</v>
      </c>
      <c r="L327" s="8">
        <f t="shared" si="5"/>
        <v>0.76237623762376239</v>
      </c>
    </row>
    <row r="328" spans="1:12">
      <c r="A328" t="s">
        <v>150</v>
      </c>
      <c r="B328">
        <v>1985</v>
      </c>
      <c r="C328" t="s">
        <v>54</v>
      </c>
      <c r="D328">
        <v>119</v>
      </c>
      <c r="E328">
        <v>255</v>
      </c>
      <c r="F328">
        <v>195</v>
      </c>
      <c r="G328">
        <v>275</v>
      </c>
      <c r="H328">
        <v>725</v>
      </c>
      <c r="I328">
        <v>2012</v>
      </c>
      <c r="J328" t="s">
        <v>29</v>
      </c>
      <c r="K328" t="s">
        <v>30</v>
      </c>
      <c r="L328" s="8">
        <f t="shared" si="5"/>
        <v>0.76470588235294112</v>
      </c>
    </row>
    <row r="329" spans="1:12">
      <c r="A329" t="s">
        <v>726</v>
      </c>
      <c r="B329">
        <v>1984</v>
      </c>
      <c r="C329" t="s">
        <v>45</v>
      </c>
      <c r="D329">
        <v>163.5</v>
      </c>
      <c r="E329">
        <v>330</v>
      </c>
      <c r="F329">
        <v>252.5</v>
      </c>
      <c r="G329">
        <v>325</v>
      </c>
      <c r="H329">
        <v>907.5</v>
      </c>
      <c r="I329">
        <v>2015</v>
      </c>
      <c r="J329" t="s">
        <v>29</v>
      </c>
      <c r="K329" t="s">
        <v>30</v>
      </c>
      <c r="L329" s="8">
        <f t="shared" si="5"/>
        <v>0.76515151515151514</v>
      </c>
    </row>
    <row r="330" spans="1:12">
      <c r="A330" t="s">
        <v>61</v>
      </c>
      <c r="B330">
        <v>1986</v>
      </c>
      <c r="C330" t="s">
        <v>62</v>
      </c>
      <c r="D330">
        <v>72</v>
      </c>
      <c r="E330">
        <v>202.5</v>
      </c>
      <c r="F330">
        <v>155</v>
      </c>
      <c r="G330">
        <v>225</v>
      </c>
      <c r="H330">
        <v>582.5</v>
      </c>
      <c r="I330">
        <v>2012</v>
      </c>
      <c r="J330" t="s">
        <v>29</v>
      </c>
      <c r="K330" t="s">
        <v>30</v>
      </c>
      <c r="L330" s="8">
        <f t="shared" si="5"/>
        <v>0.76543209876543206</v>
      </c>
    </row>
    <row r="331" spans="1:12">
      <c r="A331" t="s">
        <v>126</v>
      </c>
      <c r="B331">
        <v>1987</v>
      </c>
      <c r="C331" t="s">
        <v>80</v>
      </c>
      <c r="D331">
        <v>92.45</v>
      </c>
      <c r="E331">
        <v>235</v>
      </c>
      <c r="F331">
        <v>180</v>
      </c>
      <c r="G331">
        <v>295</v>
      </c>
      <c r="H331">
        <v>710</v>
      </c>
      <c r="I331">
        <v>2013</v>
      </c>
      <c r="J331" t="s">
        <v>29</v>
      </c>
      <c r="K331" t="s">
        <v>30</v>
      </c>
      <c r="L331" s="8">
        <f t="shared" si="5"/>
        <v>0.76595744680851063</v>
      </c>
    </row>
    <row r="332" spans="1:12">
      <c r="A332" t="s">
        <v>663</v>
      </c>
      <c r="B332">
        <v>1979</v>
      </c>
      <c r="C332" t="s">
        <v>56</v>
      </c>
      <c r="D332">
        <v>119.65</v>
      </c>
      <c r="E332">
        <v>235</v>
      </c>
      <c r="F332">
        <v>180</v>
      </c>
      <c r="G332">
        <v>272.5</v>
      </c>
      <c r="H332">
        <v>687.5</v>
      </c>
      <c r="I332">
        <v>2013</v>
      </c>
      <c r="J332" t="s">
        <v>29</v>
      </c>
      <c r="K332" t="s">
        <v>30</v>
      </c>
      <c r="L332" s="8">
        <f t="shared" si="5"/>
        <v>0.76595744680851063</v>
      </c>
    </row>
    <row r="333" spans="1:12">
      <c r="A333" t="s">
        <v>530</v>
      </c>
      <c r="B333">
        <v>1982</v>
      </c>
      <c r="C333" t="s">
        <v>56</v>
      </c>
      <c r="D333">
        <v>101.95</v>
      </c>
      <c r="E333">
        <v>267.5</v>
      </c>
      <c r="F333">
        <v>205</v>
      </c>
      <c r="G333">
        <v>290</v>
      </c>
      <c r="H333">
        <v>762.5</v>
      </c>
      <c r="I333">
        <v>2013</v>
      </c>
      <c r="J333" t="s">
        <v>29</v>
      </c>
      <c r="K333" t="s">
        <v>30</v>
      </c>
      <c r="L333" s="8">
        <f t="shared" si="5"/>
        <v>0.76635514018691586</v>
      </c>
    </row>
    <row r="334" spans="1:12">
      <c r="A334" t="s">
        <v>618</v>
      </c>
      <c r="B334">
        <v>1989</v>
      </c>
      <c r="C334" t="s">
        <v>56</v>
      </c>
      <c r="D334">
        <v>73.8</v>
      </c>
      <c r="E334">
        <v>215</v>
      </c>
      <c r="F334">
        <v>165</v>
      </c>
      <c r="G334">
        <v>240</v>
      </c>
      <c r="H334">
        <v>620</v>
      </c>
      <c r="I334">
        <v>2014</v>
      </c>
      <c r="J334" t="s">
        <v>29</v>
      </c>
      <c r="K334" t="s">
        <v>30</v>
      </c>
      <c r="L334" s="8">
        <f t="shared" si="5"/>
        <v>0.76744186046511631</v>
      </c>
    </row>
    <row r="335" spans="1:12">
      <c r="A335" t="s">
        <v>535</v>
      </c>
      <c r="B335">
        <v>1981</v>
      </c>
      <c r="C335" t="s">
        <v>74</v>
      </c>
      <c r="D335">
        <v>73.55</v>
      </c>
      <c r="E335">
        <v>220</v>
      </c>
      <c r="F335">
        <v>170</v>
      </c>
      <c r="G335">
        <v>280</v>
      </c>
      <c r="H335">
        <v>670</v>
      </c>
      <c r="I335">
        <v>2013</v>
      </c>
      <c r="J335" t="s">
        <v>29</v>
      </c>
      <c r="K335" t="s">
        <v>30</v>
      </c>
      <c r="L335" s="8">
        <f t="shared" si="5"/>
        <v>0.77272727272727271</v>
      </c>
    </row>
    <row r="336" spans="1:12">
      <c r="A336" t="s">
        <v>553</v>
      </c>
      <c r="B336">
        <v>1982</v>
      </c>
      <c r="C336" t="s">
        <v>54</v>
      </c>
      <c r="D336">
        <v>91.15</v>
      </c>
      <c r="E336">
        <v>220</v>
      </c>
      <c r="F336">
        <v>170</v>
      </c>
      <c r="G336">
        <v>275</v>
      </c>
      <c r="H336">
        <v>665</v>
      </c>
      <c r="I336">
        <v>2013</v>
      </c>
      <c r="J336" t="s">
        <v>29</v>
      </c>
      <c r="K336" t="s">
        <v>30</v>
      </c>
      <c r="L336" s="8">
        <f t="shared" si="5"/>
        <v>0.77272727272727271</v>
      </c>
    </row>
    <row r="337" spans="1:12">
      <c r="A337" t="s">
        <v>458</v>
      </c>
      <c r="B337">
        <v>1985</v>
      </c>
      <c r="C337" t="s">
        <v>194</v>
      </c>
      <c r="D337">
        <v>117.35</v>
      </c>
      <c r="E337">
        <v>265</v>
      </c>
      <c r="F337">
        <v>205</v>
      </c>
      <c r="G337">
        <v>292.5</v>
      </c>
      <c r="H337">
        <v>762.5</v>
      </c>
      <c r="I337">
        <v>2014</v>
      </c>
      <c r="J337" t="s">
        <v>29</v>
      </c>
      <c r="K337" t="s">
        <v>30</v>
      </c>
      <c r="L337" s="8">
        <f t="shared" si="5"/>
        <v>0.77358490566037741</v>
      </c>
    </row>
    <row r="338" spans="1:12">
      <c r="A338" t="s">
        <v>50</v>
      </c>
      <c r="B338">
        <v>1975</v>
      </c>
      <c r="C338" t="s">
        <v>51</v>
      </c>
      <c r="D338">
        <v>73.150000000000006</v>
      </c>
      <c r="E338">
        <v>210</v>
      </c>
      <c r="F338">
        <v>162.5</v>
      </c>
      <c r="G338">
        <v>285</v>
      </c>
      <c r="H338">
        <v>657.5</v>
      </c>
      <c r="I338">
        <v>2014</v>
      </c>
      <c r="J338" t="s">
        <v>29</v>
      </c>
      <c r="K338" t="s">
        <v>30</v>
      </c>
      <c r="L338" s="8">
        <f t="shared" si="5"/>
        <v>0.77380952380952384</v>
      </c>
    </row>
    <row r="339" spans="1:12">
      <c r="A339" t="s">
        <v>70</v>
      </c>
      <c r="B339">
        <v>1979</v>
      </c>
      <c r="C339" t="s">
        <v>51</v>
      </c>
      <c r="D339">
        <v>81.2</v>
      </c>
      <c r="E339">
        <v>177.5</v>
      </c>
      <c r="F339">
        <v>137.5</v>
      </c>
      <c r="G339">
        <v>250</v>
      </c>
      <c r="H339">
        <v>565</v>
      </c>
      <c r="I339">
        <v>2012</v>
      </c>
      <c r="J339" t="s">
        <v>29</v>
      </c>
      <c r="K339" t="s">
        <v>30</v>
      </c>
      <c r="L339" s="8">
        <f t="shared" si="5"/>
        <v>0.77464788732394363</v>
      </c>
    </row>
    <row r="340" spans="1:12">
      <c r="A340" t="s">
        <v>370</v>
      </c>
      <c r="B340">
        <v>1974</v>
      </c>
      <c r="C340" t="s">
        <v>54</v>
      </c>
      <c r="D340">
        <v>104.95</v>
      </c>
      <c r="E340">
        <v>245</v>
      </c>
      <c r="F340">
        <v>190</v>
      </c>
      <c r="G340">
        <v>287.5</v>
      </c>
      <c r="H340">
        <v>722.5</v>
      </c>
      <c r="I340">
        <v>2013</v>
      </c>
      <c r="J340" t="s">
        <v>29</v>
      </c>
      <c r="K340" t="s">
        <v>30</v>
      </c>
      <c r="L340" s="8">
        <f t="shared" si="5"/>
        <v>0.77551020408163263</v>
      </c>
    </row>
    <row r="341" spans="1:12">
      <c r="A341" t="s">
        <v>726</v>
      </c>
      <c r="B341">
        <v>1984</v>
      </c>
      <c r="C341" t="s">
        <v>45</v>
      </c>
      <c r="D341">
        <v>163.19999999999999</v>
      </c>
      <c r="E341">
        <v>315</v>
      </c>
      <c r="F341">
        <v>245</v>
      </c>
      <c r="G341">
        <v>310</v>
      </c>
      <c r="H341">
        <v>870</v>
      </c>
      <c r="I341">
        <v>2014</v>
      </c>
      <c r="J341" t="s">
        <v>29</v>
      </c>
      <c r="K341" t="s">
        <v>30</v>
      </c>
      <c r="L341" s="8">
        <f t="shared" si="5"/>
        <v>0.77777777777777779</v>
      </c>
    </row>
    <row r="342" spans="1:12">
      <c r="A342" t="s">
        <v>453</v>
      </c>
      <c r="B342">
        <v>1979</v>
      </c>
      <c r="C342" t="s">
        <v>289</v>
      </c>
      <c r="D342">
        <v>90.45</v>
      </c>
      <c r="E342">
        <v>170</v>
      </c>
      <c r="F342">
        <v>132.5</v>
      </c>
      <c r="G342">
        <v>225</v>
      </c>
      <c r="H342">
        <v>527.5</v>
      </c>
      <c r="I342">
        <v>2014</v>
      </c>
      <c r="J342" t="s">
        <v>29</v>
      </c>
      <c r="K342" t="s">
        <v>30</v>
      </c>
      <c r="L342" s="8">
        <f t="shared" si="5"/>
        <v>0.77941176470588236</v>
      </c>
    </row>
    <row r="343" spans="1:12">
      <c r="A343" t="s">
        <v>524</v>
      </c>
      <c r="B343">
        <v>1973</v>
      </c>
      <c r="C343" t="s">
        <v>318</v>
      </c>
      <c r="D343">
        <v>114.2</v>
      </c>
      <c r="E343">
        <v>250</v>
      </c>
      <c r="F343">
        <v>195</v>
      </c>
      <c r="G343">
        <v>250</v>
      </c>
      <c r="H343">
        <v>695</v>
      </c>
      <c r="I343">
        <v>2013</v>
      </c>
      <c r="J343" t="s">
        <v>29</v>
      </c>
      <c r="K343" t="s">
        <v>30</v>
      </c>
      <c r="L343" s="8">
        <f t="shared" si="5"/>
        <v>0.78</v>
      </c>
    </row>
    <row r="344" spans="1:12">
      <c r="A344" t="s">
        <v>112</v>
      </c>
      <c r="B344">
        <v>1990</v>
      </c>
      <c r="C344" t="s">
        <v>113</v>
      </c>
      <c r="D344">
        <v>80.400000000000006</v>
      </c>
      <c r="E344">
        <v>227.5</v>
      </c>
      <c r="F344">
        <v>177.5</v>
      </c>
      <c r="G344">
        <v>245</v>
      </c>
      <c r="H344">
        <v>650</v>
      </c>
      <c r="I344">
        <v>2012</v>
      </c>
      <c r="J344" t="s">
        <v>29</v>
      </c>
      <c r="K344" t="s">
        <v>30</v>
      </c>
      <c r="L344" s="8">
        <f t="shared" si="5"/>
        <v>0.78021978021978022</v>
      </c>
    </row>
    <row r="345" spans="1:12">
      <c r="A345" t="s">
        <v>89</v>
      </c>
      <c r="B345">
        <v>1966</v>
      </c>
      <c r="C345" t="s">
        <v>56</v>
      </c>
      <c r="D345">
        <v>82.4</v>
      </c>
      <c r="E345">
        <v>205</v>
      </c>
      <c r="F345">
        <v>160</v>
      </c>
      <c r="G345">
        <v>260</v>
      </c>
      <c r="H345">
        <v>625</v>
      </c>
      <c r="I345">
        <v>2014</v>
      </c>
      <c r="J345" t="s">
        <v>29</v>
      </c>
      <c r="K345" t="s">
        <v>30</v>
      </c>
      <c r="L345" s="8">
        <f t="shared" si="5"/>
        <v>0.78048780487804881</v>
      </c>
    </row>
    <row r="346" spans="1:12">
      <c r="A346" t="s">
        <v>446</v>
      </c>
      <c r="B346">
        <v>1977</v>
      </c>
      <c r="C346" t="s">
        <v>72</v>
      </c>
      <c r="D346">
        <v>117.87</v>
      </c>
      <c r="E346">
        <v>285</v>
      </c>
      <c r="F346">
        <v>222.5</v>
      </c>
      <c r="G346">
        <v>280</v>
      </c>
      <c r="H346">
        <v>787.5</v>
      </c>
      <c r="I346">
        <v>2015</v>
      </c>
      <c r="J346" t="s">
        <v>29</v>
      </c>
      <c r="K346" t="s">
        <v>30</v>
      </c>
      <c r="L346" s="8">
        <f t="shared" si="5"/>
        <v>0.7807017543859649</v>
      </c>
    </row>
    <row r="347" spans="1:12">
      <c r="A347" t="s">
        <v>798</v>
      </c>
      <c r="B347">
        <v>1980</v>
      </c>
      <c r="C347" t="s">
        <v>51</v>
      </c>
      <c r="D347">
        <v>99.75</v>
      </c>
      <c r="E347">
        <v>240</v>
      </c>
      <c r="F347">
        <v>187.5</v>
      </c>
      <c r="G347">
        <v>300</v>
      </c>
      <c r="H347">
        <v>727.5</v>
      </c>
      <c r="I347">
        <v>2014</v>
      </c>
      <c r="J347" t="s">
        <v>29</v>
      </c>
      <c r="K347" t="s">
        <v>30</v>
      </c>
      <c r="L347" s="8">
        <f t="shared" si="5"/>
        <v>0.78125</v>
      </c>
    </row>
    <row r="348" spans="1:12">
      <c r="A348" t="s">
        <v>818</v>
      </c>
      <c r="B348">
        <v>1986</v>
      </c>
      <c r="C348" t="s">
        <v>39</v>
      </c>
      <c r="D348">
        <v>65.239999999999995</v>
      </c>
      <c r="E348">
        <v>195</v>
      </c>
      <c r="F348">
        <v>152.5</v>
      </c>
      <c r="G348">
        <v>200</v>
      </c>
      <c r="H348">
        <v>547.5</v>
      </c>
      <c r="I348">
        <v>2015</v>
      </c>
      <c r="J348" t="s">
        <v>29</v>
      </c>
      <c r="K348" t="s">
        <v>30</v>
      </c>
      <c r="L348" s="8">
        <f t="shared" si="5"/>
        <v>0.78205128205128205</v>
      </c>
    </row>
    <row r="349" spans="1:12">
      <c r="A349" t="s">
        <v>400</v>
      </c>
      <c r="B349">
        <v>1986</v>
      </c>
      <c r="C349" t="s">
        <v>113</v>
      </c>
      <c r="D349">
        <v>103.2</v>
      </c>
      <c r="E349">
        <v>252.5</v>
      </c>
      <c r="F349">
        <v>197.5</v>
      </c>
      <c r="G349">
        <v>250</v>
      </c>
      <c r="H349">
        <v>700</v>
      </c>
      <c r="I349">
        <v>2013</v>
      </c>
      <c r="J349" t="s">
        <v>29</v>
      </c>
      <c r="K349" t="s">
        <v>30</v>
      </c>
      <c r="L349" s="8">
        <f t="shared" si="5"/>
        <v>0.78217821782178221</v>
      </c>
    </row>
    <row r="350" spans="1:12">
      <c r="A350" t="s">
        <v>561</v>
      </c>
      <c r="B350">
        <v>1988</v>
      </c>
      <c r="C350" t="s">
        <v>100</v>
      </c>
      <c r="D350">
        <v>104.45</v>
      </c>
      <c r="E350">
        <v>265</v>
      </c>
      <c r="F350">
        <v>207.5</v>
      </c>
      <c r="G350">
        <v>282.5</v>
      </c>
      <c r="H350">
        <v>755</v>
      </c>
      <c r="I350">
        <v>2013</v>
      </c>
      <c r="J350" t="s">
        <v>29</v>
      </c>
      <c r="K350" t="s">
        <v>30</v>
      </c>
      <c r="L350" s="8">
        <f t="shared" si="5"/>
        <v>0.78301886792452835</v>
      </c>
    </row>
    <row r="351" spans="1:12">
      <c r="A351" t="s">
        <v>403</v>
      </c>
      <c r="B351">
        <v>1983</v>
      </c>
      <c r="C351" t="s">
        <v>51</v>
      </c>
      <c r="D351">
        <v>73.25</v>
      </c>
      <c r="E351">
        <v>185</v>
      </c>
      <c r="F351">
        <v>145</v>
      </c>
      <c r="G351">
        <v>200</v>
      </c>
      <c r="H351">
        <v>530</v>
      </c>
      <c r="I351">
        <v>2013</v>
      </c>
      <c r="J351" t="s">
        <v>29</v>
      </c>
      <c r="K351" t="s">
        <v>30</v>
      </c>
      <c r="L351" s="8">
        <f t="shared" si="5"/>
        <v>0.78378378378378377</v>
      </c>
    </row>
    <row r="352" spans="1:12">
      <c r="A352" t="s">
        <v>61</v>
      </c>
      <c r="B352">
        <v>1986</v>
      </c>
      <c r="C352" t="s">
        <v>62</v>
      </c>
      <c r="D352">
        <v>65.05</v>
      </c>
      <c r="E352">
        <v>197.5</v>
      </c>
      <c r="F352">
        <v>155</v>
      </c>
      <c r="G352">
        <v>240</v>
      </c>
      <c r="H352">
        <v>592.5</v>
      </c>
      <c r="I352">
        <v>2014</v>
      </c>
      <c r="J352" t="s">
        <v>29</v>
      </c>
      <c r="K352" t="s">
        <v>30</v>
      </c>
      <c r="L352" s="8">
        <f t="shared" si="5"/>
        <v>0.78481012658227844</v>
      </c>
    </row>
    <row r="353" spans="1:12">
      <c r="A353" t="s">
        <v>148</v>
      </c>
      <c r="B353">
        <v>1978</v>
      </c>
      <c r="C353" t="s">
        <v>80</v>
      </c>
      <c r="D353">
        <v>81.95</v>
      </c>
      <c r="E353">
        <v>210</v>
      </c>
      <c r="F353">
        <v>165</v>
      </c>
      <c r="G353">
        <v>280</v>
      </c>
      <c r="H353">
        <v>655</v>
      </c>
      <c r="I353">
        <v>2012</v>
      </c>
      <c r="J353" t="s">
        <v>29</v>
      </c>
      <c r="K353" t="s">
        <v>30</v>
      </c>
      <c r="L353" s="8">
        <f t="shared" si="5"/>
        <v>0.7857142857142857</v>
      </c>
    </row>
    <row r="354" spans="1:12">
      <c r="A354" t="s">
        <v>73</v>
      </c>
      <c r="B354">
        <v>1982</v>
      </c>
      <c r="C354" t="s">
        <v>74</v>
      </c>
      <c r="D354">
        <v>63.4</v>
      </c>
      <c r="E354">
        <v>210</v>
      </c>
      <c r="F354">
        <v>165</v>
      </c>
      <c r="G354">
        <v>265</v>
      </c>
      <c r="H354">
        <v>640</v>
      </c>
      <c r="I354">
        <v>2014</v>
      </c>
      <c r="J354" t="s">
        <v>29</v>
      </c>
      <c r="K354" t="s">
        <v>30</v>
      </c>
      <c r="L354" s="8">
        <f t="shared" si="5"/>
        <v>0.7857142857142857</v>
      </c>
    </row>
    <row r="355" spans="1:12">
      <c r="A355" t="s">
        <v>121</v>
      </c>
      <c r="B355">
        <v>1967</v>
      </c>
      <c r="C355" t="s">
        <v>77</v>
      </c>
      <c r="D355">
        <v>58.5</v>
      </c>
      <c r="E355">
        <v>165</v>
      </c>
      <c r="F355">
        <v>130</v>
      </c>
      <c r="G355">
        <v>200</v>
      </c>
      <c r="H355">
        <v>495</v>
      </c>
      <c r="I355">
        <v>2013</v>
      </c>
      <c r="J355" t="s">
        <v>29</v>
      </c>
      <c r="K355" t="s">
        <v>30</v>
      </c>
      <c r="L355" s="8">
        <f t="shared" si="5"/>
        <v>0.78787878787878785</v>
      </c>
    </row>
    <row r="356" spans="1:12">
      <c r="A356" t="s">
        <v>642</v>
      </c>
      <c r="B356">
        <v>1978</v>
      </c>
      <c r="C356" t="s">
        <v>62</v>
      </c>
      <c r="D356">
        <v>92.25</v>
      </c>
      <c r="E356">
        <v>267.5</v>
      </c>
      <c r="F356">
        <v>212.5</v>
      </c>
      <c r="G356">
        <v>292.5</v>
      </c>
      <c r="H356">
        <v>772.5</v>
      </c>
      <c r="I356">
        <v>2014</v>
      </c>
      <c r="J356" t="s">
        <v>29</v>
      </c>
      <c r="K356" t="s">
        <v>30</v>
      </c>
      <c r="L356" s="8">
        <f t="shared" si="5"/>
        <v>0.79439252336448596</v>
      </c>
    </row>
    <row r="357" spans="1:12">
      <c r="A357" t="s">
        <v>61</v>
      </c>
      <c r="B357">
        <v>1986</v>
      </c>
      <c r="C357" t="s">
        <v>62</v>
      </c>
      <c r="D357">
        <v>65.45</v>
      </c>
      <c r="E357">
        <v>195</v>
      </c>
      <c r="F357">
        <v>155</v>
      </c>
      <c r="G357">
        <v>232.5</v>
      </c>
      <c r="H357">
        <v>582.5</v>
      </c>
      <c r="I357">
        <v>2013</v>
      </c>
      <c r="J357" t="s">
        <v>29</v>
      </c>
      <c r="K357" t="s">
        <v>30</v>
      </c>
      <c r="L357" s="8">
        <f t="shared" si="5"/>
        <v>0.79487179487179482</v>
      </c>
    </row>
    <row r="358" spans="1:12">
      <c r="A358" t="s">
        <v>772</v>
      </c>
      <c r="B358">
        <v>1983</v>
      </c>
      <c r="C358" t="s">
        <v>28</v>
      </c>
      <c r="D358">
        <v>65.75</v>
      </c>
      <c r="E358">
        <v>210</v>
      </c>
      <c r="F358">
        <v>167.5</v>
      </c>
      <c r="G358">
        <v>230</v>
      </c>
      <c r="H358">
        <v>607.5</v>
      </c>
      <c r="I358">
        <v>2014</v>
      </c>
      <c r="J358" t="s">
        <v>29</v>
      </c>
      <c r="K358" t="s">
        <v>30</v>
      </c>
      <c r="L358" s="8">
        <f t="shared" si="5"/>
        <v>0.79761904761904767</v>
      </c>
    </row>
    <row r="359" spans="1:12">
      <c r="A359" t="s">
        <v>34</v>
      </c>
      <c r="B359">
        <v>1970</v>
      </c>
      <c r="C359" t="s">
        <v>35</v>
      </c>
      <c r="D359">
        <v>82.6</v>
      </c>
      <c r="E359">
        <v>222.5</v>
      </c>
      <c r="F359">
        <v>177.5</v>
      </c>
      <c r="G359">
        <v>232.5</v>
      </c>
      <c r="H359">
        <v>632.5</v>
      </c>
      <c r="I359">
        <v>2012</v>
      </c>
      <c r="J359" t="s">
        <v>29</v>
      </c>
      <c r="K359" t="s">
        <v>30</v>
      </c>
      <c r="L359" s="8">
        <f t="shared" si="5"/>
        <v>0.797752808988764</v>
      </c>
    </row>
    <row r="360" spans="1:12">
      <c r="A360" t="s">
        <v>112</v>
      </c>
      <c r="B360">
        <v>1990</v>
      </c>
      <c r="C360" t="s">
        <v>113</v>
      </c>
      <c r="D360">
        <v>81.400000000000006</v>
      </c>
      <c r="E360">
        <v>242.5</v>
      </c>
      <c r="F360">
        <v>193.5</v>
      </c>
      <c r="G360">
        <v>260</v>
      </c>
      <c r="H360">
        <v>696</v>
      </c>
      <c r="I360">
        <v>2014</v>
      </c>
      <c r="J360" t="s">
        <v>29</v>
      </c>
      <c r="K360" t="s">
        <v>30</v>
      </c>
      <c r="L360" s="8">
        <f t="shared" si="5"/>
        <v>0.79793814432989696</v>
      </c>
    </row>
    <row r="361" spans="1:12">
      <c r="A361" t="s">
        <v>642</v>
      </c>
      <c r="B361">
        <v>1978</v>
      </c>
      <c r="C361" t="s">
        <v>62</v>
      </c>
      <c r="D361">
        <v>92.48</v>
      </c>
      <c r="E361">
        <v>265</v>
      </c>
      <c r="F361">
        <v>212.5</v>
      </c>
      <c r="G361">
        <v>307.5</v>
      </c>
      <c r="H361">
        <v>785</v>
      </c>
      <c r="I361">
        <v>2015</v>
      </c>
      <c r="J361" t="s">
        <v>29</v>
      </c>
      <c r="K361" t="s">
        <v>30</v>
      </c>
      <c r="L361" s="8">
        <f t="shared" si="5"/>
        <v>0.80188679245283023</v>
      </c>
    </row>
    <row r="362" spans="1:12">
      <c r="A362" t="s">
        <v>792</v>
      </c>
      <c r="B362">
        <v>1987</v>
      </c>
      <c r="C362" t="s">
        <v>228</v>
      </c>
      <c r="D362">
        <v>91.25</v>
      </c>
      <c r="E362">
        <v>242.5</v>
      </c>
      <c r="F362">
        <v>195</v>
      </c>
      <c r="G362">
        <v>285</v>
      </c>
      <c r="H362">
        <v>722.5</v>
      </c>
      <c r="I362">
        <v>2014</v>
      </c>
      <c r="J362" t="s">
        <v>29</v>
      </c>
      <c r="K362" t="s">
        <v>30</v>
      </c>
      <c r="L362" s="8">
        <f t="shared" si="5"/>
        <v>0.80412371134020622</v>
      </c>
    </row>
    <row r="363" spans="1:12">
      <c r="A363" t="s">
        <v>53</v>
      </c>
      <c r="B363">
        <v>1982</v>
      </c>
      <c r="C363" t="s">
        <v>54</v>
      </c>
      <c r="D363">
        <v>92.25</v>
      </c>
      <c r="E363">
        <v>217.5</v>
      </c>
      <c r="F363">
        <v>175</v>
      </c>
      <c r="G363">
        <v>285</v>
      </c>
      <c r="H363">
        <v>677.5</v>
      </c>
      <c r="I363">
        <v>2012</v>
      </c>
      <c r="J363" t="s">
        <v>29</v>
      </c>
      <c r="K363" t="s">
        <v>30</v>
      </c>
      <c r="L363" s="8">
        <f t="shared" si="5"/>
        <v>0.8045977011494253</v>
      </c>
    </row>
    <row r="364" spans="1:12">
      <c r="A364" t="s">
        <v>50</v>
      </c>
      <c r="B364">
        <v>1975</v>
      </c>
      <c r="C364" t="s">
        <v>51</v>
      </c>
      <c r="D364">
        <v>73.400000000000006</v>
      </c>
      <c r="E364">
        <v>192.5</v>
      </c>
      <c r="F364">
        <v>155</v>
      </c>
      <c r="G364">
        <v>265</v>
      </c>
      <c r="H364">
        <v>612.5</v>
      </c>
      <c r="I364">
        <v>2012</v>
      </c>
      <c r="J364" t="s">
        <v>29</v>
      </c>
      <c r="K364" t="s">
        <v>30</v>
      </c>
      <c r="L364" s="8">
        <f t="shared" si="5"/>
        <v>0.80519480519480524</v>
      </c>
    </row>
    <row r="365" spans="1:12">
      <c r="A365" t="s">
        <v>748</v>
      </c>
      <c r="B365">
        <v>1978</v>
      </c>
      <c r="C365" t="s">
        <v>80</v>
      </c>
      <c r="D365">
        <v>65.8</v>
      </c>
      <c r="E365">
        <v>192.5</v>
      </c>
      <c r="F365">
        <v>155</v>
      </c>
      <c r="G365">
        <v>252.5</v>
      </c>
      <c r="H365">
        <v>600</v>
      </c>
      <c r="I365">
        <v>2013</v>
      </c>
      <c r="J365" t="s">
        <v>29</v>
      </c>
      <c r="K365" t="s">
        <v>30</v>
      </c>
      <c r="L365" s="8">
        <f t="shared" si="5"/>
        <v>0.80519480519480524</v>
      </c>
    </row>
    <row r="366" spans="1:12">
      <c r="A366" t="s">
        <v>92</v>
      </c>
      <c r="B366">
        <v>1985</v>
      </c>
      <c r="C366" t="s">
        <v>51</v>
      </c>
      <c r="D366">
        <v>92.75</v>
      </c>
      <c r="E366">
        <v>222.5</v>
      </c>
      <c r="F366">
        <v>180</v>
      </c>
      <c r="G366">
        <v>260</v>
      </c>
      <c r="H366">
        <v>662.5</v>
      </c>
      <c r="I366">
        <v>2012</v>
      </c>
      <c r="J366" t="s">
        <v>29</v>
      </c>
      <c r="K366" t="s">
        <v>30</v>
      </c>
      <c r="L366" s="8">
        <f t="shared" si="5"/>
        <v>0.8089887640449438</v>
      </c>
    </row>
    <row r="367" spans="1:12">
      <c r="A367" t="s">
        <v>446</v>
      </c>
      <c r="B367">
        <v>1977</v>
      </c>
      <c r="C367" t="s">
        <v>72</v>
      </c>
      <c r="D367">
        <v>119.1</v>
      </c>
      <c r="E367">
        <v>275</v>
      </c>
      <c r="F367">
        <v>222.5</v>
      </c>
      <c r="G367">
        <v>285</v>
      </c>
      <c r="H367">
        <v>782.5</v>
      </c>
      <c r="I367">
        <v>2014</v>
      </c>
      <c r="J367" t="s">
        <v>29</v>
      </c>
      <c r="K367" t="s">
        <v>30</v>
      </c>
      <c r="L367" s="8">
        <f t="shared" si="5"/>
        <v>0.80909090909090908</v>
      </c>
    </row>
    <row r="368" spans="1:12">
      <c r="A368" t="s">
        <v>397</v>
      </c>
      <c r="B368">
        <v>1989</v>
      </c>
      <c r="C368" t="s">
        <v>194</v>
      </c>
      <c r="D368">
        <v>64.319999999999993</v>
      </c>
      <c r="E368">
        <v>172.5</v>
      </c>
      <c r="F368">
        <v>140</v>
      </c>
      <c r="G368">
        <v>202.5</v>
      </c>
      <c r="H368">
        <v>515</v>
      </c>
      <c r="I368">
        <v>2015</v>
      </c>
      <c r="J368" t="s">
        <v>29</v>
      </c>
      <c r="K368" t="s">
        <v>30</v>
      </c>
      <c r="L368" s="8">
        <f t="shared" si="5"/>
        <v>0.81159420289855078</v>
      </c>
    </row>
    <row r="369" spans="1:12">
      <c r="A369" t="s">
        <v>90</v>
      </c>
      <c r="B369">
        <v>1980</v>
      </c>
      <c r="C369" t="s">
        <v>28</v>
      </c>
      <c r="D369">
        <v>92.25</v>
      </c>
      <c r="E369">
        <v>252.5</v>
      </c>
      <c r="F369">
        <v>205</v>
      </c>
      <c r="G369">
        <v>300</v>
      </c>
      <c r="H369">
        <v>757.5</v>
      </c>
      <c r="I369">
        <v>2012</v>
      </c>
      <c r="J369" t="s">
        <v>29</v>
      </c>
      <c r="K369" t="s">
        <v>30</v>
      </c>
      <c r="L369" s="8">
        <f t="shared" si="5"/>
        <v>0.81188118811881194</v>
      </c>
    </row>
    <row r="370" spans="1:12">
      <c r="A370" t="s">
        <v>644</v>
      </c>
      <c r="B370">
        <v>1978</v>
      </c>
      <c r="C370" t="s">
        <v>62</v>
      </c>
      <c r="D370">
        <v>91.65</v>
      </c>
      <c r="E370">
        <v>252.5</v>
      </c>
      <c r="F370">
        <v>205</v>
      </c>
      <c r="G370">
        <v>290</v>
      </c>
      <c r="H370">
        <v>747.5</v>
      </c>
      <c r="I370">
        <v>2013</v>
      </c>
      <c r="J370" t="s">
        <v>29</v>
      </c>
      <c r="K370" t="s">
        <v>30</v>
      </c>
      <c r="L370" s="8">
        <f t="shared" si="5"/>
        <v>0.81188118811881194</v>
      </c>
    </row>
    <row r="371" spans="1:12">
      <c r="A371" t="s">
        <v>118</v>
      </c>
      <c r="B371">
        <v>1980</v>
      </c>
      <c r="C371" t="s">
        <v>119</v>
      </c>
      <c r="D371">
        <v>72.2</v>
      </c>
      <c r="E371">
        <v>200</v>
      </c>
      <c r="F371">
        <v>162.5</v>
      </c>
      <c r="G371">
        <v>247.5</v>
      </c>
      <c r="H371">
        <v>610</v>
      </c>
      <c r="I371">
        <v>2012</v>
      </c>
      <c r="J371" t="s">
        <v>29</v>
      </c>
      <c r="K371" t="s">
        <v>30</v>
      </c>
      <c r="L371" s="8">
        <f t="shared" si="5"/>
        <v>0.8125</v>
      </c>
    </row>
    <row r="372" spans="1:12">
      <c r="A372" t="s">
        <v>754</v>
      </c>
      <c r="B372">
        <v>1984</v>
      </c>
      <c r="C372" t="s">
        <v>109</v>
      </c>
      <c r="D372">
        <v>104.25</v>
      </c>
      <c r="E372">
        <v>245</v>
      </c>
      <c r="F372">
        <v>200</v>
      </c>
      <c r="G372">
        <v>265</v>
      </c>
      <c r="H372">
        <v>710</v>
      </c>
      <c r="I372">
        <v>2014</v>
      </c>
      <c r="J372" t="s">
        <v>29</v>
      </c>
      <c r="K372" t="s">
        <v>30</v>
      </c>
      <c r="L372" s="8">
        <f t="shared" si="5"/>
        <v>0.81632653061224492</v>
      </c>
    </row>
    <row r="373" spans="1:12">
      <c r="A373" t="s">
        <v>772</v>
      </c>
      <c r="B373">
        <v>1983</v>
      </c>
      <c r="C373" t="s">
        <v>28</v>
      </c>
      <c r="D373">
        <v>65.86</v>
      </c>
      <c r="E373">
        <v>210</v>
      </c>
      <c r="F373">
        <v>172.5</v>
      </c>
      <c r="G373">
        <v>240</v>
      </c>
      <c r="H373">
        <v>622.5</v>
      </c>
      <c r="I373">
        <v>2015</v>
      </c>
      <c r="J373" t="s">
        <v>29</v>
      </c>
      <c r="K373" t="s">
        <v>30</v>
      </c>
      <c r="L373" s="8">
        <f t="shared" si="5"/>
        <v>0.8214285714285714</v>
      </c>
    </row>
    <row r="374" spans="1:12">
      <c r="A374" t="s">
        <v>754</v>
      </c>
      <c r="B374">
        <v>1984</v>
      </c>
      <c r="C374" t="s">
        <v>109</v>
      </c>
      <c r="D374">
        <v>102.55</v>
      </c>
      <c r="E374">
        <v>225</v>
      </c>
      <c r="F374">
        <v>185</v>
      </c>
      <c r="G374">
        <v>260</v>
      </c>
      <c r="H374">
        <v>670</v>
      </c>
      <c r="I374">
        <v>2013</v>
      </c>
      <c r="J374" t="s">
        <v>29</v>
      </c>
      <c r="K374" t="s">
        <v>30</v>
      </c>
      <c r="L374" s="8">
        <f t="shared" si="5"/>
        <v>0.82222222222222219</v>
      </c>
    </row>
    <row r="375" spans="1:12">
      <c r="A375" t="s">
        <v>562</v>
      </c>
      <c r="B375">
        <v>1982</v>
      </c>
      <c r="C375" t="s">
        <v>563</v>
      </c>
      <c r="D375">
        <v>131.5</v>
      </c>
      <c r="E375">
        <v>270</v>
      </c>
      <c r="F375">
        <v>222.5</v>
      </c>
      <c r="G375">
        <v>265</v>
      </c>
      <c r="H375">
        <v>757.5</v>
      </c>
      <c r="I375">
        <v>2013</v>
      </c>
      <c r="J375" t="s">
        <v>29</v>
      </c>
      <c r="K375" t="s">
        <v>30</v>
      </c>
      <c r="L375" s="8">
        <f t="shared" si="5"/>
        <v>0.82407407407407407</v>
      </c>
    </row>
    <row r="376" spans="1:12">
      <c r="A376" t="s">
        <v>111</v>
      </c>
      <c r="B376">
        <v>1984</v>
      </c>
      <c r="C376" t="s">
        <v>32</v>
      </c>
      <c r="D376">
        <v>129.35</v>
      </c>
      <c r="E376">
        <v>260</v>
      </c>
      <c r="F376">
        <v>215</v>
      </c>
      <c r="G376">
        <v>275</v>
      </c>
      <c r="H376">
        <v>750</v>
      </c>
      <c r="I376">
        <v>2012</v>
      </c>
      <c r="J376" t="s">
        <v>29</v>
      </c>
      <c r="K376" t="s">
        <v>30</v>
      </c>
      <c r="L376" s="8">
        <f t="shared" si="5"/>
        <v>0.82692307692307687</v>
      </c>
    </row>
    <row r="377" spans="1:12">
      <c r="A377" t="s">
        <v>446</v>
      </c>
      <c r="B377">
        <v>1977</v>
      </c>
      <c r="C377" t="s">
        <v>72</v>
      </c>
      <c r="D377">
        <v>119.6</v>
      </c>
      <c r="E377">
        <v>265</v>
      </c>
      <c r="F377">
        <v>220</v>
      </c>
      <c r="G377">
        <v>272.5</v>
      </c>
      <c r="H377">
        <v>757.5</v>
      </c>
      <c r="I377">
        <v>2013</v>
      </c>
      <c r="J377" t="s">
        <v>29</v>
      </c>
      <c r="K377" t="s">
        <v>30</v>
      </c>
      <c r="L377" s="8">
        <f t="shared" si="5"/>
        <v>0.83018867924528306</v>
      </c>
    </row>
    <row r="378" spans="1:12">
      <c r="A378" t="s">
        <v>373</v>
      </c>
      <c r="B378">
        <v>1985</v>
      </c>
      <c r="C378" t="s">
        <v>62</v>
      </c>
      <c r="D378">
        <v>139.6</v>
      </c>
      <c r="E378">
        <v>312.5</v>
      </c>
      <c r="F378">
        <v>260.5</v>
      </c>
      <c r="G378">
        <v>297.5</v>
      </c>
      <c r="H378">
        <v>870.5</v>
      </c>
      <c r="I378">
        <v>2014</v>
      </c>
      <c r="J378" t="s">
        <v>29</v>
      </c>
      <c r="K378" t="s">
        <v>30</v>
      </c>
      <c r="L378" s="8">
        <f t="shared" si="5"/>
        <v>0.83360000000000001</v>
      </c>
    </row>
    <row r="379" spans="1:12">
      <c r="A379" t="s">
        <v>78</v>
      </c>
      <c r="B379">
        <v>1989</v>
      </c>
      <c r="C379" t="s">
        <v>45</v>
      </c>
      <c r="D379">
        <v>90.8</v>
      </c>
      <c r="E379">
        <v>220</v>
      </c>
      <c r="F379">
        <v>185</v>
      </c>
      <c r="G379">
        <v>260</v>
      </c>
      <c r="H379">
        <v>665</v>
      </c>
      <c r="I379">
        <v>2012</v>
      </c>
      <c r="J379" t="s">
        <v>29</v>
      </c>
      <c r="K379" t="s">
        <v>30</v>
      </c>
      <c r="L379" s="8">
        <f t="shared" si="5"/>
        <v>0.84090909090909094</v>
      </c>
    </row>
    <row r="380" spans="1:12">
      <c r="A380" t="s">
        <v>772</v>
      </c>
      <c r="B380">
        <v>1983</v>
      </c>
      <c r="C380" t="s">
        <v>28</v>
      </c>
      <c r="D380">
        <v>65.150000000000006</v>
      </c>
      <c r="E380">
        <v>205</v>
      </c>
      <c r="F380">
        <v>172.5</v>
      </c>
      <c r="G380">
        <v>255</v>
      </c>
      <c r="H380">
        <v>632.5</v>
      </c>
      <c r="I380">
        <v>2013</v>
      </c>
      <c r="J380" t="s">
        <v>29</v>
      </c>
      <c r="K380" t="s">
        <v>30</v>
      </c>
      <c r="L380" s="8">
        <f t="shared" si="5"/>
        <v>0.84146341463414631</v>
      </c>
    </row>
    <row r="381" spans="1:12">
      <c r="A381" t="s">
        <v>87</v>
      </c>
      <c r="B381">
        <v>1987</v>
      </c>
      <c r="C381" t="s">
        <v>85</v>
      </c>
      <c r="D381">
        <v>65.95</v>
      </c>
      <c r="E381">
        <v>160</v>
      </c>
      <c r="F381">
        <v>135</v>
      </c>
      <c r="G381">
        <v>200</v>
      </c>
      <c r="H381">
        <v>495</v>
      </c>
      <c r="I381">
        <v>2012</v>
      </c>
      <c r="J381" t="s">
        <v>29</v>
      </c>
      <c r="K381" t="s">
        <v>30</v>
      </c>
      <c r="L381" s="8">
        <f t="shared" si="5"/>
        <v>0.84375</v>
      </c>
    </row>
    <row r="382" spans="1:12">
      <c r="A382" t="s">
        <v>526</v>
      </c>
      <c r="B382">
        <v>1979</v>
      </c>
      <c r="C382" t="s">
        <v>80</v>
      </c>
      <c r="D382">
        <v>116.35</v>
      </c>
      <c r="E382">
        <v>275</v>
      </c>
      <c r="F382">
        <v>235</v>
      </c>
      <c r="G382">
        <v>277.5</v>
      </c>
      <c r="H382">
        <v>787.5</v>
      </c>
      <c r="I382">
        <v>2014</v>
      </c>
      <c r="J382" t="s">
        <v>29</v>
      </c>
      <c r="K382" t="s">
        <v>30</v>
      </c>
      <c r="L382" s="8">
        <f t="shared" si="5"/>
        <v>0.8545454545454545</v>
      </c>
    </row>
    <row r="383" spans="1:12">
      <c r="A383" t="s">
        <v>651</v>
      </c>
      <c r="B383">
        <v>1985</v>
      </c>
      <c r="C383" t="s">
        <v>194</v>
      </c>
      <c r="D383">
        <v>82</v>
      </c>
      <c r="E383">
        <v>190</v>
      </c>
      <c r="F383">
        <v>165</v>
      </c>
      <c r="G383">
        <v>255</v>
      </c>
      <c r="H383">
        <v>610</v>
      </c>
      <c r="I383">
        <v>2014</v>
      </c>
      <c r="J383" t="s">
        <v>29</v>
      </c>
      <c r="K383" t="s">
        <v>30</v>
      </c>
      <c r="L383" s="8">
        <f t="shared" si="5"/>
        <v>0.86842105263157898</v>
      </c>
    </row>
    <row r="384" spans="1:12">
      <c r="A384" t="s">
        <v>526</v>
      </c>
      <c r="B384">
        <v>1979</v>
      </c>
      <c r="C384" t="s">
        <v>80</v>
      </c>
      <c r="D384">
        <v>116.4</v>
      </c>
      <c r="E384">
        <v>272.5</v>
      </c>
      <c r="F384">
        <v>237.5</v>
      </c>
      <c r="G384">
        <v>270</v>
      </c>
      <c r="H384">
        <v>780</v>
      </c>
      <c r="I384">
        <v>2013</v>
      </c>
      <c r="J384" t="s">
        <v>29</v>
      </c>
      <c r="K384" t="s">
        <v>30</v>
      </c>
      <c r="L384" s="8">
        <f t="shared" si="5"/>
        <v>0.87155963302752293</v>
      </c>
    </row>
    <row r="385" spans="1:12">
      <c r="A385" t="s">
        <v>399</v>
      </c>
      <c r="B385">
        <v>1987</v>
      </c>
      <c r="C385" t="s">
        <v>42</v>
      </c>
      <c r="D385">
        <v>143.72</v>
      </c>
      <c r="E385">
        <v>310</v>
      </c>
      <c r="F385">
        <v>270.5</v>
      </c>
      <c r="G385">
        <v>295</v>
      </c>
      <c r="H385">
        <v>875.5</v>
      </c>
      <c r="I385">
        <v>2015</v>
      </c>
      <c r="J385" t="s">
        <v>29</v>
      </c>
      <c r="K385" t="s">
        <v>30</v>
      </c>
      <c r="L385" s="8">
        <f t="shared" si="5"/>
        <v>0.8725806451612903</v>
      </c>
    </row>
    <row r="386" spans="1:12">
      <c r="A386" t="s">
        <v>662</v>
      </c>
      <c r="B386">
        <v>1981</v>
      </c>
      <c r="C386" t="s">
        <v>77</v>
      </c>
      <c r="D386">
        <v>73.77</v>
      </c>
      <c r="E386">
        <v>182.5</v>
      </c>
      <c r="F386">
        <v>160</v>
      </c>
      <c r="G386">
        <v>220</v>
      </c>
      <c r="H386">
        <v>562.5</v>
      </c>
      <c r="I386">
        <v>2015</v>
      </c>
      <c r="J386" t="s">
        <v>29</v>
      </c>
      <c r="K386" t="s">
        <v>30</v>
      </c>
      <c r="L386" s="8">
        <f t="shared" ref="L386:L400" si="6">IF(AND(F386&lt;&gt;0,E386&lt;&gt;0),F386/E386,"")</f>
        <v>0.87671232876712324</v>
      </c>
    </row>
    <row r="387" spans="1:12">
      <c r="A387" t="s">
        <v>89</v>
      </c>
      <c r="B387">
        <v>1966</v>
      </c>
      <c r="C387" t="s">
        <v>56</v>
      </c>
      <c r="D387">
        <v>82.55</v>
      </c>
      <c r="E387">
        <v>195</v>
      </c>
      <c r="F387">
        <v>172.5</v>
      </c>
      <c r="G387">
        <v>250</v>
      </c>
      <c r="H387">
        <v>617.5</v>
      </c>
      <c r="I387">
        <v>2013</v>
      </c>
      <c r="J387" t="s">
        <v>29</v>
      </c>
      <c r="K387" t="s">
        <v>30</v>
      </c>
      <c r="L387" s="8">
        <f t="shared" si="6"/>
        <v>0.88461538461538458</v>
      </c>
    </row>
    <row r="388" spans="1:12">
      <c r="A388" t="s">
        <v>582</v>
      </c>
      <c r="B388">
        <v>1985</v>
      </c>
      <c r="C388" t="s">
        <v>365</v>
      </c>
      <c r="D388">
        <v>73.63</v>
      </c>
      <c r="E388">
        <v>175</v>
      </c>
      <c r="F388">
        <v>155</v>
      </c>
      <c r="G388">
        <v>185</v>
      </c>
      <c r="H388">
        <v>515</v>
      </c>
      <c r="I388">
        <v>2015</v>
      </c>
      <c r="J388" t="s">
        <v>29</v>
      </c>
      <c r="K388" t="s">
        <v>30</v>
      </c>
      <c r="L388" s="8">
        <f t="shared" si="6"/>
        <v>0.88571428571428568</v>
      </c>
    </row>
    <row r="389" spans="1:12">
      <c r="A389" t="s">
        <v>117</v>
      </c>
      <c r="B389">
        <v>1982</v>
      </c>
      <c r="C389" t="s">
        <v>113</v>
      </c>
      <c r="D389">
        <v>92.1</v>
      </c>
      <c r="E389">
        <v>210</v>
      </c>
      <c r="F389">
        <v>187.5</v>
      </c>
      <c r="G389">
        <v>252.5</v>
      </c>
      <c r="H389">
        <v>650</v>
      </c>
      <c r="I389">
        <v>2012</v>
      </c>
      <c r="J389" t="s">
        <v>29</v>
      </c>
      <c r="K389" t="s">
        <v>30</v>
      </c>
      <c r="L389" s="8">
        <f t="shared" si="6"/>
        <v>0.8928571428571429</v>
      </c>
    </row>
    <row r="390" spans="1:12">
      <c r="A390" t="s">
        <v>703</v>
      </c>
      <c r="B390">
        <v>1991</v>
      </c>
      <c r="C390" t="s">
        <v>137</v>
      </c>
      <c r="D390">
        <v>73.27</v>
      </c>
      <c r="E390">
        <v>232.5</v>
      </c>
      <c r="F390">
        <v>210.5</v>
      </c>
      <c r="G390">
        <v>250</v>
      </c>
      <c r="H390">
        <v>693</v>
      </c>
      <c r="I390">
        <v>2015</v>
      </c>
      <c r="J390" t="s">
        <v>29</v>
      </c>
      <c r="K390" t="s">
        <v>30</v>
      </c>
      <c r="L390" s="8">
        <f t="shared" si="6"/>
        <v>0.90537634408602152</v>
      </c>
    </row>
    <row r="391" spans="1:12">
      <c r="A391" t="s">
        <v>106</v>
      </c>
      <c r="B391">
        <v>1978</v>
      </c>
      <c r="C391" t="s">
        <v>32</v>
      </c>
      <c r="D391">
        <v>80.7</v>
      </c>
      <c r="E391">
        <v>170</v>
      </c>
      <c r="F391">
        <v>160</v>
      </c>
      <c r="G391">
        <v>225</v>
      </c>
      <c r="H391">
        <v>555</v>
      </c>
      <c r="I391">
        <v>2012</v>
      </c>
      <c r="J391" t="s">
        <v>29</v>
      </c>
      <c r="K391" t="s">
        <v>30</v>
      </c>
      <c r="L391" s="8">
        <f t="shared" si="6"/>
        <v>0.94117647058823528</v>
      </c>
    </row>
    <row r="392" spans="1:12">
      <c r="A392" t="s">
        <v>747</v>
      </c>
      <c r="B392">
        <v>1982</v>
      </c>
      <c r="C392" t="s">
        <v>480</v>
      </c>
      <c r="D392">
        <v>96.35</v>
      </c>
      <c r="E392">
        <v>220</v>
      </c>
      <c r="F392">
        <v>207.5</v>
      </c>
      <c r="G392">
        <v>180</v>
      </c>
      <c r="H392">
        <v>607.5</v>
      </c>
      <c r="I392">
        <v>2013</v>
      </c>
      <c r="J392" t="s">
        <v>29</v>
      </c>
      <c r="K392" t="s">
        <v>30</v>
      </c>
      <c r="L392" s="8">
        <f t="shared" si="6"/>
        <v>0.94318181818181823</v>
      </c>
    </row>
    <row r="393" spans="1:12">
      <c r="A393" t="s">
        <v>364</v>
      </c>
      <c r="B393">
        <v>1984</v>
      </c>
      <c r="C393" t="s">
        <v>365</v>
      </c>
      <c r="D393">
        <v>81.260000000000005</v>
      </c>
      <c r="E393">
        <v>190</v>
      </c>
      <c r="F393">
        <v>180</v>
      </c>
      <c r="G393">
        <v>220</v>
      </c>
      <c r="H393">
        <v>590</v>
      </c>
      <c r="I393">
        <v>2015</v>
      </c>
      <c r="J393" t="s">
        <v>29</v>
      </c>
      <c r="K393" t="s">
        <v>30</v>
      </c>
      <c r="L393" s="8">
        <f t="shared" si="6"/>
        <v>0.94736842105263153</v>
      </c>
    </row>
    <row r="394" spans="1:12">
      <c r="A394" t="s">
        <v>166</v>
      </c>
      <c r="B394">
        <v>1986</v>
      </c>
      <c r="C394" t="s">
        <v>85</v>
      </c>
      <c r="D394">
        <v>81.5</v>
      </c>
      <c r="E394">
        <v>195</v>
      </c>
      <c r="F394">
        <v>192.5</v>
      </c>
      <c r="G394">
        <v>230</v>
      </c>
      <c r="H394">
        <v>617.5</v>
      </c>
      <c r="I394">
        <v>2012</v>
      </c>
      <c r="J394" t="s">
        <v>29</v>
      </c>
      <c r="K394" t="s">
        <v>30</v>
      </c>
      <c r="L394" s="8">
        <f t="shared" si="6"/>
        <v>0.98717948717948723</v>
      </c>
    </row>
    <row r="395" spans="1:12">
      <c r="A395" t="s">
        <v>59</v>
      </c>
      <c r="B395">
        <v>1982</v>
      </c>
      <c r="C395" t="s">
        <v>32</v>
      </c>
      <c r="D395">
        <v>101.55</v>
      </c>
      <c r="E395">
        <v>187.5</v>
      </c>
      <c r="F395">
        <v>187.5</v>
      </c>
      <c r="G395">
        <v>240</v>
      </c>
      <c r="H395">
        <v>615</v>
      </c>
      <c r="I395">
        <v>2012</v>
      </c>
      <c r="J395" t="s">
        <v>29</v>
      </c>
      <c r="K395" t="s">
        <v>30</v>
      </c>
      <c r="L395" s="8">
        <f t="shared" si="6"/>
        <v>1</v>
      </c>
    </row>
    <row r="396" spans="1:12">
      <c r="A396" t="s">
        <v>399</v>
      </c>
      <c r="B396">
        <v>1987</v>
      </c>
      <c r="C396" t="s">
        <v>42</v>
      </c>
      <c r="D396">
        <v>136.19999999999999</v>
      </c>
      <c r="E396">
        <v>240</v>
      </c>
      <c r="F396">
        <v>240</v>
      </c>
      <c r="G396">
        <v>230</v>
      </c>
      <c r="H396">
        <v>710</v>
      </c>
      <c r="I396">
        <v>2014</v>
      </c>
      <c r="J396" t="s">
        <v>29</v>
      </c>
      <c r="K396" t="s">
        <v>30</v>
      </c>
      <c r="L396" s="8">
        <f t="shared" si="6"/>
        <v>1</v>
      </c>
    </row>
    <row r="397" spans="1:12">
      <c r="A397" t="s">
        <v>356</v>
      </c>
      <c r="B397">
        <v>1978</v>
      </c>
      <c r="C397" t="s">
        <v>357</v>
      </c>
      <c r="D397">
        <v>84.95</v>
      </c>
      <c r="E397">
        <v>160</v>
      </c>
      <c r="F397">
        <v>180</v>
      </c>
      <c r="G397">
        <v>180</v>
      </c>
      <c r="H397">
        <v>520</v>
      </c>
      <c r="I397">
        <v>2013</v>
      </c>
      <c r="J397" t="s">
        <v>29</v>
      </c>
      <c r="K397" t="s">
        <v>30</v>
      </c>
      <c r="L397" s="8">
        <f t="shared" si="6"/>
        <v>1.125</v>
      </c>
    </row>
    <row r="398" spans="1:12">
      <c r="A398" t="s">
        <v>774</v>
      </c>
      <c r="B398">
        <v>1983</v>
      </c>
      <c r="C398" t="s">
        <v>80</v>
      </c>
      <c r="D398">
        <v>153.30000000000001</v>
      </c>
      <c r="E398">
        <v>235</v>
      </c>
      <c r="F398">
        <v>270</v>
      </c>
      <c r="G398">
        <v>175</v>
      </c>
      <c r="H398">
        <v>680</v>
      </c>
      <c r="I398">
        <v>2015</v>
      </c>
      <c r="J398" t="s">
        <v>29</v>
      </c>
      <c r="K398" t="s">
        <v>30</v>
      </c>
      <c r="L398" s="8">
        <f t="shared" si="6"/>
        <v>1.1489361702127661</v>
      </c>
    </row>
    <row r="399" spans="1:12">
      <c r="A399" t="s">
        <v>356</v>
      </c>
      <c r="B399">
        <v>1978</v>
      </c>
      <c r="C399" t="s">
        <v>357</v>
      </c>
      <c r="D399">
        <v>81.45</v>
      </c>
      <c r="E399">
        <v>140</v>
      </c>
      <c r="F399">
        <v>175</v>
      </c>
      <c r="G399">
        <v>160</v>
      </c>
      <c r="H399">
        <v>475</v>
      </c>
      <c r="I399">
        <v>2014</v>
      </c>
      <c r="J399" t="s">
        <v>29</v>
      </c>
      <c r="K399" t="s">
        <v>30</v>
      </c>
      <c r="L399" s="8">
        <f t="shared" si="6"/>
        <v>1.25</v>
      </c>
    </row>
    <row r="400" spans="1:12">
      <c r="A400" t="s">
        <v>669</v>
      </c>
      <c r="B400">
        <v>1978</v>
      </c>
      <c r="C400" t="s">
        <v>39</v>
      </c>
      <c r="D400">
        <v>115.7</v>
      </c>
      <c r="E400">
        <v>180</v>
      </c>
      <c r="F400">
        <v>245</v>
      </c>
      <c r="G400">
        <v>240</v>
      </c>
      <c r="H400">
        <v>665</v>
      </c>
      <c r="I400">
        <v>2013</v>
      </c>
      <c r="J400" t="s">
        <v>29</v>
      </c>
      <c r="K400" t="s">
        <v>30</v>
      </c>
      <c r="L400" s="8">
        <f t="shared" si="6"/>
        <v>1.3611111111111112</v>
      </c>
    </row>
    <row r="402" spans="1:12">
      <c r="A402" t="s">
        <v>1041</v>
      </c>
      <c r="B402">
        <v>1988</v>
      </c>
      <c r="C402" t="s">
        <v>194</v>
      </c>
      <c r="D402">
        <v>47.7</v>
      </c>
      <c r="E402">
        <v>105</v>
      </c>
      <c r="F402">
        <v>40</v>
      </c>
      <c r="G402">
        <v>125</v>
      </c>
      <c r="H402">
        <v>270</v>
      </c>
      <c r="I402">
        <v>2014</v>
      </c>
      <c r="J402" t="s">
        <v>852</v>
      </c>
      <c r="K402" t="s">
        <v>30</v>
      </c>
      <c r="L402" s="8">
        <f t="shared" ref="L402:L465" si="7">IF(AND(F402&lt;&gt;0,E402&lt;&gt;0),F402/E402,"")</f>
        <v>0.38095238095238093</v>
      </c>
    </row>
    <row r="403" spans="1:12">
      <c r="A403" t="s">
        <v>264</v>
      </c>
      <c r="B403">
        <v>1984</v>
      </c>
      <c r="C403" t="s">
        <v>51</v>
      </c>
      <c r="D403">
        <v>105.92</v>
      </c>
      <c r="E403">
        <v>192.5</v>
      </c>
      <c r="F403">
        <v>75</v>
      </c>
      <c r="G403">
        <v>192.5</v>
      </c>
      <c r="H403">
        <v>460</v>
      </c>
      <c r="I403">
        <v>2015</v>
      </c>
      <c r="J403" t="s">
        <v>852</v>
      </c>
      <c r="K403" t="s">
        <v>30</v>
      </c>
      <c r="L403" s="8">
        <f t="shared" si="7"/>
        <v>0.38961038961038963</v>
      </c>
    </row>
    <row r="404" spans="1:12">
      <c r="A404" t="s">
        <v>1052</v>
      </c>
      <c r="B404">
        <v>1977</v>
      </c>
      <c r="C404" t="s">
        <v>194</v>
      </c>
      <c r="D404">
        <v>56.1</v>
      </c>
      <c r="E404">
        <v>105</v>
      </c>
      <c r="F404">
        <v>42.5</v>
      </c>
      <c r="G404">
        <v>147.5</v>
      </c>
      <c r="H404">
        <v>295</v>
      </c>
      <c r="I404">
        <v>2014</v>
      </c>
      <c r="J404" t="s">
        <v>852</v>
      </c>
      <c r="K404" t="s">
        <v>30</v>
      </c>
      <c r="L404" s="8">
        <f t="shared" si="7"/>
        <v>0.40476190476190477</v>
      </c>
    </row>
    <row r="405" spans="1:12">
      <c r="A405" t="s">
        <v>247</v>
      </c>
      <c r="B405">
        <v>1982</v>
      </c>
      <c r="C405" t="s">
        <v>56</v>
      </c>
      <c r="D405">
        <v>123.56</v>
      </c>
      <c r="E405">
        <v>212.5</v>
      </c>
      <c r="F405">
        <v>87.5</v>
      </c>
      <c r="G405">
        <v>205</v>
      </c>
      <c r="H405">
        <v>505</v>
      </c>
      <c r="I405">
        <v>2015</v>
      </c>
      <c r="J405" t="s">
        <v>852</v>
      </c>
      <c r="K405" t="s">
        <v>30</v>
      </c>
      <c r="L405" s="8">
        <f t="shared" si="7"/>
        <v>0.41176470588235292</v>
      </c>
    </row>
    <row r="406" spans="1:12">
      <c r="A406" t="s">
        <v>914</v>
      </c>
      <c r="B406">
        <v>1967</v>
      </c>
      <c r="C406" t="s">
        <v>125</v>
      </c>
      <c r="D406">
        <v>42.15</v>
      </c>
      <c r="E406">
        <v>90</v>
      </c>
      <c r="F406">
        <v>40</v>
      </c>
      <c r="G406">
        <v>135</v>
      </c>
      <c r="H406">
        <v>265</v>
      </c>
      <c r="I406">
        <v>2012</v>
      </c>
      <c r="J406" t="s">
        <v>852</v>
      </c>
      <c r="K406" t="s">
        <v>30</v>
      </c>
      <c r="L406" s="8">
        <f t="shared" si="7"/>
        <v>0.44444444444444442</v>
      </c>
    </row>
    <row r="407" spans="1:12">
      <c r="A407" t="s">
        <v>321</v>
      </c>
      <c r="B407">
        <v>1992</v>
      </c>
      <c r="C407" t="s">
        <v>74</v>
      </c>
      <c r="D407">
        <v>112.5</v>
      </c>
      <c r="E407">
        <v>230.5</v>
      </c>
      <c r="F407">
        <v>102.5</v>
      </c>
      <c r="G407">
        <v>180</v>
      </c>
      <c r="H407">
        <v>513</v>
      </c>
      <c r="I407">
        <v>2014</v>
      </c>
      <c r="J407" t="s">
        <v>852</v>
      </c>
      <c r="K407" t="s">
        <v>30</v>
      </c>
      <c r="L407" s="8">
        <f t="shared" si="7"/>
        <v>0.44468546637744033</v>
      </c>
    </row>
    <row r="408" spans="1:12">
      <c r="A408" t="s">
        <v>321</v>
      </c>
      <c r="B408">
        <v>1992</v>
      </c>
      <c r="C408" t="s">
        <v>74</v>
      </c>
      <c r="D408">
        <v>107.55</v>
      </c>
      <c r="E408">
        <v>230</v>
      </c>
      <c r="F408">
        <v>102.5</v>
      </c>
      <c r="G408">
        <v>175</v>
      </c>
      <c r="H408">
        <v>507.5</v>
      </c>
      <c r="I408">
        <v>2013</v>
      </c>
      <c r="J408" t="s">
        <v>852</v>
      </c>
      <c r="K408" t="s">
        <v>30</v>
      </c>
      <c r="L408" s="8">
        <f t="shared" si="7"/>
        <v>0.44565217391304346</v>
      </c>
    </row>
    <row r="409" spans="1:12">
      <c r="A409" t="s">
        <v>294</v>
      </c>
      <c r="B409">
        <v>1986</v>
      </c>
      <c r="C409" t="s">
        <v>113</v>
      </c>
      <c r="D409">
        <v>46.05</v>
      </c>
      <c r="E409">
        <v>115</v>
      </c>
      <c r="F409">
        <v>52.5</v>
      </c>
      <c r="G409">
        <v>152.5</v>
      </c>
      <c r="H409">
        <v>320</v>
      </c>
      <c r="I409">
        <v>2014</v>
      </c>
      <c r="J409" t="s">
        <v>852</v>
      </c>
      <c r="K409" t="s">
        <v>30</v>
      </c>
      <c r="L409" s="8">
        <f t="shared" si="7"/>
        <v>0.45652173913043476</v>
      </c>
    </row>
    <row r="410" spans="1:12">
      <c r="A410" t="s">
        <v>302</v>
      </c>
      <c r="B410">
        <v>1977</v>
      </c>
      <c r="C410" t="s">
        <v>51</v>
      </c>
      <c r="D410">
        <v>68.44</v>
      </c>
      <c r="E410">
        <v>152.5</v>
      </c>
      <c r="F410">
        <v>70</v>
      </c>
      <c r="G410">
        <v>160</v>
      </c>
      <c r="H410">
        <v>382.5</v>
      </c>
      <c r="I410">
        <v>2015</v>
      </c>
      <c r="J410" t="s">
        <v>852</v>
      </c>
      <c r="K410" t="s">
        <v>30</v>
      </c>
      <c r="L410" s="8">
        <f t="shared" si="7"/>
        <v>0.45901639344262296</v>
      </c>
    </row>
    <row r="411" spans="1:12">
      <c r="A411" t="s">
        <v>218</v>
      </c>
      <c r="B411">
        <v>1976</v>
      </c>
      <c r="C411" t="s">
        <v>28</v>
      </c>
      <c r="D411">
        <v>55.95</v>
      </c>
      <c r="E411">
        <v>167.5</v>
      </c>
      <c r="F411">
        <v>77.5</v>
      </c>
      <c r="G411">
        <v>185</v>
      </c>
      <c r="H411">
        <v>430</v>
      </c>
      <c r="I411">
        <v>2014</v>
      </c>
      <c r="J411" t="s">
        <v>852</v>
      </c>
      <c r="K411" t="s">
        <v>30</v>
      </c>
      <c r="L411" s="8">
        <f t="shared" si="7"/>
        <v>0.46268656716417911</v>
      </c>
    </row>
    <row r="412" spans="1:12">
      <c r="A412" t="s">
        <v>179</v>
      </c>
      <c r="B412">
        <v>1987</v>
      </c>
      <c r="C412" t="s">
        <v>49</v>
      </c>
      <c r="D412">
        <v>79.27</v>
      </c>
      <c r="E412">
        <v>145</v>
      </c>
      <c r="F412">
        <v>67.5</v>
      </c>
      <c r="G412">
        <v>175</v>
      </c>
      <c r="H412">
        <v>387.5</v>
      </c>
      <c r="I412">
        <v>2015</v>
      </c>
      <c r="J412" t="s">
        <v>852</v>
      </c>
      <c r="K412" t="s">
        <v>30</v>
      </c>
      <c r="L412" s="8">
        <f t="shared" si="7"/>
        <v>0.46551724137931033</v>
      </c>
    </row>
    <row r="413" spans="1:12">
      <c r="A413" t="s">
        <v>232</v>
      </c>
      <c r="B413">
        <v>1968</v>
      </c>
      <c r="C413" t="s">
        <v>62</v>
      </c>
      <c r="D413">
        <v>51.15</v>
      </c>
      <c r="E413">
        <v>150</v>
      </c>
      <c r="F413">
        <v>70</v>
      </c>
      <c r="G413">
        <v>152.5</v>
      </c>
      <c r="H413">
        <v>372.5</v>
      </c>
      <c r="I413">
        <v>2014</v>
      </c>
      <c r="J413" t="s">
        <v>852</v>
      </c>
      <c r="K413" t="s">
        <v>30</v>
      </c>
      <c r="L413" s="8">
        <f t="shared" si="7"/>
        <v>0.46666666666666667</v>
      </c>
    </row>
    <row r="414" spans="1:12">
      <c r="A414" t="s">
        <v>302</v>
      </c>
      <c r="B414">
        <v>1977</v>
      </c>
      <c r="C414" t="s">
        <v>51</v>
      </c>
      <c r="D414">
        <v>68.25</v>
      </c>
      <c r="E414">
        <v>150</v>
      </c>
      <c r="F414">
        <v>70</v>
      </c>
      <c r="G414">
        <v>172.5</v>
      </c>
      <c r="H414">
        <v>392.5</v>
      </c>
      <c r="I414">
        <v>2014</v>
      </c>
      <c r="J414" t="s">
        <v>852</v>
      </c>
      <c r="K414" t="s">
        <v>30</v>
      </c>
      <c r="L414" s="8">
        <f t="shared" si="7"/>
        <v>0.46666666666666667</v>
      </c>
    </row>
    <row r="415" spans="1:12">
      <c r="A415" t="s">
        <v>204</v>
      </c>
      <c r="B415">
        <v>1980</v>
      </c>
      <c r="C415" t="s">
        <v>56</v>
      </c>
      <c r="D415">
        <v>61.98</v>
      </c>
      <c r="E415">
        <v>160</v>
      </c>
      <c r="F415">
        <v>75</v>
      </c>
      <c r="G415">
        <v>187.5</v>
      </c>
      <c r="H415">
        <v>422.5</v>
      </c>
      <c r="I415">
        <v>2015</v>
      </c>
      <c r="J415" t="s">
        <v>852</v>
      </c>
      <c r="K415" t="s">
        <v>30</v>
      </c>
      <c r="L415" s="8">
        <f t="shared" si="7"/>
        <v>0.46875</v>
      </c>
    </row>
    <row r="416" spans="1:12">
      <c r="A416" t="s">
        <v>204</v>
      </c>
      <c r="B416">
        <v>1980</v>
      </c>
      <c r="C416" t="s">
        <v>56</v>
      </c>
      <c r="D416">
        <v>62.35</v>
      </c>
      <c r="E416">
        <v>152.5</v>
      </c>
      <c r="F416">
        <v>72.5</v>
      </c>
      <c r="G416">
        <v>162.5</v>
      </c>
      <c r="H416">
        <v>387.5</v>
      </c>
      <c r="I416">
        <v>2014</v>
      </c>
      <c r="J416" t="s">
        <v>852</v>
      </c>
      <c r="K416" t="s">
        <v>30</v>
      </c>
      <c r="L416" s="8">
        <f t="shared" si="7"/>
        <v>0.47540983606557374</v>
      </c>
    </row>
    <row r="417" spans="1:12">
      <c r="A417" t="s">
        <v>323</v>
      </c>
      <c r="B417">
        <v>1986</v>
      </c>
      <c r="C417" t="s">
        <v>35</v>
      </c>
      <c r="D417">
        <v>82.56</v>
      </c>
      <c r="E417">
        <v>177.5</v>
      </c>
      <c r="F417">
        <v>85</v>
      </c>
      <c r="G417">
        <v>190</v>
      </c>
      <c r="H417">
        <v>452.5</v>
      </c>
      <c r="I417">
        <v>2015</v>
      </c>
      <c r="J417" t="s">
        <v>852</v>
      </c>
      <c r="K417" t="s">
        <v>30</v>
      </c>
      <c r="L417" s="8">
        <f t="shared" si="7"/>
        <v>0.47887323943661969</v>
      </c>
    </row>
    <row r="418" spans="1:12">
      <c r="A418" t="s">
        <v>1030</v>
      </c>
      <c r="B418">
        <v>1977</v>
      </c>
      <c r="C418" t="s">
        <v>77</v>
      </c>
      <c r="D418">
        <v>66.2</v>
      </c>
      <c r="E418">
        <v>125</v>
      </c>
      <c r="F418">
        <v>60</v>
      </c>
      <c r="G418">
        <v>135</v>
      </c>
      <c r="H418">
        <v>320</v>
      </c>
      <c r="I418">
        <v>2014</v>
      </c>
      <c r="J418" t="s">
        <v>852</v>
      </c>
      <c r="K418" t="s">
        <v>30</v>
      </c>
      <c r="L418" s="8">
        <f t="shared" si="7"/>
        <v>0.48</v>
      </c>
    </row>
    <row r="419" spans="1:12">
      <c r="A419" t="s">
        <v>347</v>
      </c>
      <c r="B419">
        <v>1991</v>
      </c>
      <c r="C419" t="s">
        <v>83</v>
      </c>
      <c r="D419">
        <v>79.28</v>
      </c>
      <c r="E419">
        <v>192.5</v>
      </c>
      <c r="F419">
        <v>92.5</v>
      </c>
      <c r="G419">
        <v>207.5</v>
      </c>
      <c r="H419">
        <v>492.5</v>
      </c>
      <c r="I419">
        <v>2015</v>
      </c>
      <c r="J419" t="s">
        <v>852</v>
      </c>
      <c r="K419" t="s">
        <v>30</v>
      </c>
      <c r="L419" s="8">
        <f t="shared" si="7"/>
        <v>0.48051948051948051</v>
      </c>
    </row>
    <row r="420" spans="1:12">
      <c r="A420" t="s">
        <v>294</v>
      </c>
      <c r="B420">
        <v>1986</v>
      </c>
      <c r="C420" t="s">
        <v>113</v>
      </c>
      <c r="D420">
        <v>46.57</v>
      </c>
      <c r="E420">
        <v>135</v>
      </c>
      <c r="F420">
        <v>65</v>
      </c>
      <c r="G420">
        <v>147.5</v>
      </c>
      <c r="H420">
        <v>347.5</v>
      </c>
      <c r="I420">
        <v>2015</v>
      </c>
      <c r="J420" t="s">
        <v>852</v>
      </c>
      <c r="K420" t="s">
        <v>30</v>
      </c>
      <c r="L420" s="8">
        <f t="shared" si="7"/>
        <v>0.48148148148148145</v>
      </c>
    </row>
    <row r="421" spans="1:12">
      <c r="A421" t="s">
        <v>321</v>
      </c>
      <c r="B421">
        <v>1992</v>
      </c>
      <c r="C421" t="s">
        <v>74</v>
      </c>
      <c r="D421">
        <v>113.68</v>
      </c>
      <c r="E421">
        <v>232.5</v>
      </c>
      <c r="F421">
        <v>112.5</v>
      </c>
      <c r="G421">
        <v>195</v>
      </c>
      <c r="H421">
        <v>540</v>
      </c>
      <c r="I421">
        <v>2015</v>
      </c>
      <c r="J421" t="s">
        <v>852</v>
      </c>
      <c r="K421" t="s">
        <v>30</v>
      </c>
      <c r="L421" s="8">
        <f t="shared" si="7"/>
        <v>0.4838709677419355</v>
      </c>
    </row>
    <row r="422" spans="1:12">
      <c r="A422" t="s">
        <v>264</v>
      </c>
      <c r="B422">
        <v>1984</v>
      </c>
      <c r="C422" t="s">
        <v>51</v>
      </c>
      <c r="D422">
        <v>108.75</v>
      </c>
      <c r="E422">
        <v>170</v>
      </c>
      <c r="F422">
        <v>82.5</v>
      </c>
      <c r="G422">
        <v>180</v>
      </c>
      <c r="H422">
        <v>432.5</v>
      </c>
      <c r="I422">
        <v>2014</v>
      </c>
      <c r="J422" t="s">
        <v>852</v>
      </c>
      <c r="K422" t="s">
        <v>30</v>
      </c>
      <c r="L422" s="8">
        <f t="shared" si="7"/>
        <v>0.48529411764705882</v>
      </c>
    </row>
    <row r="423" spans="1:12">
      <c r="A423" t="s">
        <v>173</v>
      </c>
      <c r="B423">
        <v>1987</v>
      </c>
      <c r="C423" t="s">
        <v>32</v>
      </c>
      <c r="D423">
        <v>90.3</v>
      </c>
      <c r="E423">
        <v>195</v>
      </c>
      <c r="F423">
        <v>95</v>
      </c>
      <c r="G423">
        <v>207.5</v>
      </c>
      <c r="H423">
        <v>497.5</v>
      </c>
      <c r="I423">
        <v>2015</v>
      </c>
      <c r="J423" t="s">
        <v>852</v>
      </c>
      <c r="K423" t="s">
        <v>30</v>
      </c>
      <c r="L423" s="8">
        <f t="shared" si="7"/>
        <v>0.48717948717948717</v>
      </c>
    </row>
    <row r="424" spans="1:12">
      <c r="A424" t="s">
        <v>276</v>
      </c>
      <c r="B424">
        <v>1987</v>
      </c>
      <c r="C424" t="s">
        <v>194</v>
      </c>
      <c r="D424">
        <v>51.35</v>
      </c>
      <c r="E424">
        <v>112.5</v>
      </c>
      <c r="F424">
        <v>55</v>
      </c>
      <c r="G424">
        <v>120</v>
      </c>
      <c r="H424">
        <v>287.5</v>
      </c>
      <c r="I424">
        <v>2015</v>
      </c>
      <c r="J424" t="s">
        <v>852</v>
      </c>
      <c r="K424" t="s">
        <v>30</v>
      </c>
      <c r="L424" s="8">
        <f t="shared" si="7"/>
        <v>0.48888888888888887</v>
      </c>
    </row>
    <row r="425" spans="1:12">
      <c r="A425" t="s">
        <v>961</v>
      </c>
      <c r="B425">
        <v>1961</v>
      </c>
      <c r="C425" t="s">
        <v>56</v>
      </c>
      <c r="D425">
        <v>46.6</v>
      </c>
      <c r="E425">
        <v>112.5</v>
      </c>
      <c r="F425">
        <v>55</v>
      </c>
      <c r="G425">
        <v>140</v>
      </c>
      <c r="H425">
        <v>307.5</v>
      </c>
      <c r="I425">
        <v>2012</v>
      </c>
      <c r="J425" t="s">
        <v>852</v>
      </c>
      <c r="K425" t="s">
        <v>30</v>
      </c>
      <c r="L425" s="8">
        <f t="shared" si="7"/>
        <v>0.48888888888888887</v>
      </c>
    </row>
    <row r="426" spans="1:12">
      <c r="A426" t="s">
        <v>880</v>
      </c>
      <c r="B426">
        <v>1988</v>
      </c>
      <c r="C426" t="s">
        <v>62</v>
      </c>
      <c r="D426">
        <v>121.8</v>
      </c>
      <c r="E426">
        <v>230</v>
      </c>
      <c r="F426">
        <v>112.5</v>
      </c>
      <c r="G426">
        <v>217.5</v>
      </c>
      <c r="H426">
        <v>560</v>
      </c>
      <c r="I426">
        <v>2014</v>
      </c>
      <c r="J426" t="s">
        <v>852</v>
      </c>
      <c r="K426" t="s">
        <v>30</v>
      </c>
      <c r="L426" s="8">
        <f t="shared" si="7"/>
        <v>0.4891304347826087</v>
      </c>
    </row>
    <row r="427" spans="1:12">
      <c r="A427" t="s">
        <v>238</v>
      </c>
      <c r="B427">
        <v>1990</v>
      </c>
      <c r="C427" t="s">
        <v>239</v>
      </c>
      <c r="D427">
        <v>62.49</v>
      </c>
      <c r="E427">
        <v>157.5</v>
      </c>
      <c r="F427">
        <v>77.5</v>
      </c>
      <c r="G427">
        <v>185</v>
      </c>
      <c r="H427">
        <v>420</v>
      </c>
      <c r="I427">
        <v>2015</v>
      </c>
      <c r="J427" t="s">
        <v>852</v>
      </c>
      <c r="K427" t="s">
        <v>30</v>
      </c>
      <c r="L427" s="8">
        <f t="shared" si="7"/>
        <v>0.49206349206349204</v>
      </c>
    </row>
    <row r="428" spans="1:12">
      <c r="A428" t="s">
        <v>341</v>
      </c>
      <c r="B428">
        <v>1988</v>
      </c>
      <c r="C428" t="s">
        <v>80</v>
      </c>
      <c r="D428">
        <v>62.48</v>
      </c>
      <c r="E428">
        <v>162.5</v>
      </c>
      <c r="F428">
        <v>80</v>
      </c>
      <c r="G428">
        <v>180</v>
      </c>
      <c r="H428">
        <v>422.5</v>
      </c>
      <c r="I428">
        <v>2015</v>
      </c>
      <c r="J428" t="s">
        <v>852</v>
      </c>
      <c r="K428" t="s">
        <v>30</v>
      </c>
      <c r="L428" s="8">
        <f t="shared" si="7"/>
        <v>0.49230769230769234</v>
      </c>
    </row>
    <row r="429" spans="1:12">
      <c r="A429" t="s">
        <v>218</v>
      </c>
      <c r="B429">
        <v>1976</v>
      </c>
      <c r="C429" t="s">
        <v>28</v>
      </c>
      <c r="D429">
        <v>56.54</v>
      </c>
      <c r="E429">
        <v>172.5</v>
      </c>
      <c r="F429">
        <v>85</v>
      </c>
      <c r="G429">
        <v>190</v>
      </c>
      <c r="H429">
        <v>447.5</v>
      </c>
      <c r="I429">
        <v>2015</v>
      </c>
      <c r="J429" t="s">
        <v>852</v>
      </c>
      <c r="K429" t="s">
        <v>30</v>
      </c>
      <c r="L429" s="8">
        <f t="shared" si="7"/>
        <v>0.49275362318840582</v>
      </c>
    </row>
    <row r="430" spans="1:12">
      <c r="A430" t="s">
        <v>207</v>
      </c>
      <c r="B430">
        <v>1979</v>
      </c>
      <c r="C430" t="s">
        <v>163</v>
      </c>
      <c r="D430">
        <v>101.84</v>
      </c>
      <c r="E430">
        <v>165</v>
      </c>
      <c r="F430">
        <v>82.5</v>
      </c>
      <c r="G430">
        <v>175</v>
      </c>
      <c r="H430">
        <v>422.5</v>
      </c>
      <c r="I430">
        <v>2015</v>
      </c>
      <c r="J430" t="s">
        <v>852</v>
      </c>
      <c r="K430" t="s">
        <v>30</v>
      </c>
      <c r="L430" s="8">
        <f t="shared" si="7"/>
        <v>0.5</v>
      </c>
    </row>
    <row r="431" spans="1:12">
      <c r="A431" t="s">
        <v>894</v>
      </c>
      <c r="B431">
        <v>1985</v>
      </c>
      <c r="C431" t="s">
        <v>194</v>
      </c>
      <c r="D431">
        <v>67</v>
      </c>
      <c r="E431">
        <v>110</v>
      </c>
      <c r="F431">
        <v>55</v>
      </c>
      <c r="G431">
        <v>145</v>
      </c>
      <c r="H431">
        <v>310</v>
      </c>
      <c r="I431">
        <v>2014</v>
      </c>
      <c r="J431" t="s">
        <v>852</v>
      </c>
      <c r="K431" t="s">
        <v>30</v>
      </c>
      <c r="L431" s="8">
        <f t="shared" si="7"/>
        <v>0.5</v>
      </c>
    </row>
    <row r="432" spans="1:12">
      <c r="A432" t="s">
        <v>914</v>
      </c>
      <c r="B432">
        <v>1967</v>
      </c>
      <c r="C432" t="s">
        <v>125</v>
      </c>
      <c r="D432">
        <v>42.95</v>
      </c>
      <c r="E432">
        <v>90</v>
      </c>
      <c r="F432">
        <v>45</v>
      </c>
      <c r="G432">
        <v>132.5</v>
      </c>
      <c r="H432">
        <v>267.5</v>
      </c>
      <c r="I432">
        <v>2013</v>
      </c>
      <c r="J432" t="s">
        <v>852</v>
      </c>
      <c r="K432" t="s">
        <v>30</v>
      </c>
      <c r="L432" s="8">
        <f t="shared" si="7"/>
        <v>0.5</v>
      </c>
    </row>
    <row r="433" spans="1:12">
      <c r="A433" t="s">
        <v>961</v>
      </c>
      <c r="B433">
        <v>1961</v>
      </c>
      <c r="C433" t="s">
        <v>56</v>
      </c>
      <c r="D433">
        <v>46.7</v>
      </c>
      <c r="E433">
        <v>110</v>
      </c>
      <c r="F433">
        <v>55</v>
      </c>
      <c r="G433">
        <v>132.5</v>
      </c>
      <c r="H433">
        <v>297.5</v>
      </c>
      <c r="I433">
        <v>2013</v>
      </c>
      <c r="J433" t="s">
        <v>852</v>
      </c>
      <c r="K433" t="s">
        <v>30</v>
      </c>
      <c r="L433" s="8">
        <f t="shared" si="7"/>
        <v>0.5</v>
      </c>
    </row>
    <row r="434" spans="1:12">
      <c r="A434" t="s">
        <v>278</v>
      </c>
      <c r="B434">
        <v>1973</v>
      </c>
      <c r="C434" t="s">
        <v>80</v>
      </c>
      <c r="D434">
        <v>103.75</v>
      </c>
      <c r="E434">
        <v>190</v>
      </c>
      <c r="F434">
        <v>95</v>
      </c>
      <c r="G434">
        <v>177.5</v>
      </c>
      <c r="H434">
        <v>462.5</v>
      </c>
      <c r="I434">
        <v>2013</v>
      </c>
      <c r="J434" t="s">
        <v>852</v>
      </c>
      <c r="K434" t="s">
        <v>30</v>
      </c>
      <c r="L434" s="8">
        <f t="shared" si="7"/>
        <v>0.5</v>
      </c>
    </row>
    <row r="435" spans="1:12">
      <c r="A435" t="s">
        <v>1022</v>
      </c>
      <c r="B435">
        <v>1970</v>
      </c>
      <c r="C435" t="s">
        <v>163</v>
      </c>
      <c r="D435">
        <v>56.9</v>
      </c>
      <c r="E435">
        <v>130</v>
      </c>
      <c r="F435">
        <v>65</v>
      </c>
      <c r="G435">
        <v>137.5</v>
      </c>
      <c r="H435">
        <v>332.5</v>
      </c>
      <c r="I435">
        <v>2014</v>
      </c>
      <c r="J435" t="s">
        <v>852</v>
      </c>
      <c r="K435" t="s">
        <v>30</v>
      </c>
      <c r="L435" s="8">
        <f t="shared" si="7"/>
        <v>0.5</v>
      </c>
    </row>
    <row r="436" spans="1:12">
      <c r="A436" t="s">
        <v>324</v>
      </c>
      <c r="B436">
        <v>1976</v>
      </c>
      <c r="C436" t="s">
        <v>49</v>
      </c>
      <c r="D436">
        <v>61.85</v>
      </c>
      <c r="E436">
        <v>160</v>
      </c>
      <c r="F436">
        <v>80</v>
      </c>
      <c r="G436">
        <v>182.5</v>
      </c>
      <c r="H436">
        <v>422.5</v>
      </c>
      <c r="I436">
        <v>2014</v>
      </c>
      <c r="J436" t="s">
        <v>852</v>
      </c>
      <c r="K436" t="s">
        <v>30</v>
      </c>
      <c r="L436" s="8">
        <f t="shared" si="7"/>
        <v>0.5</v>
      </c>
    </row>
    <row r="437" spans="1:12">
      <c r="A437" t="s">
        <v>196</v>
      </c>
      <c r="B437">
        <v>1984</v>
      </c>
      <c r="C437" t="s">
        <v>74</v>
      </c>
      <c r="D437">
        <v>83.5</v>
      </c>
      <c r="E437">
        <v>197.5</v>
      </c>
      <c r="F437">
        <v>100</v>
      </c>
      <c r="G437">
        <v>0</v>
      </c>
      <c r="H437">
        <v>0</v>
      </c>
      <c r="I437">
        <v>2012</v>
      </c>
      <c r="J437" t="s">
        <v>852</v>
      </c>
      <c r="K437" t="s">
        <v>30</v>
      </c>
      <c r="L437" s="8">
        <f t="shared" si="7"/>
        <v>0.50632911392405067</v>
      </c>
    </row>
    <row r="438" spans="1:12">
      <c r="A438" t="s">
        <v>324</v>
      </c>
      <c r="B438">
        <v>1976</v>
      </c>
      <c r="C438" t="s">
        <v>49</v>
      </c>
      <c r="D438">
        <v>62.77</v>
      </c>
      <c r="E438">
        <v>167.5</v>
      </c>
      <c r="F438">
        <v>85</v>
      </c>
      <c r="G438">
        <v>180</v>
      </c>
      <c r="H438">
        <v>432.5</v>
      </c>
      <c r="I438">
        <v>2015</v>
      </c>
      <c r="J438" t="s">
        <v>852</v>
      </c>
      <c r="K438" t="s">
        <v>30</v>
      </c>
      <c r="L438" s="8">
        <f t="shared" si="7"/>
        <v>0.5074626865671642</v>
      </c>
    </row>
    <row r="439" spans="1:12">
      <c r="A439" t="s">
        <v>967</v>
      </c>
      <c r="B439">
        <v>1982</v>
      </c>
      <c r="C439" t="s">
        <v>125</v>
      </c>
      <c r="D439">
        <v>68.150000000000006</v>
      </c>
      <c r="E439">
        <v>142.5</v>
      </c>
      <c r="F439">
        <v>72.5</v>
      </c>
      <c r="G439">
        <v>157.5</v>
      </c>
      <c r="H439">
        <v>372.5</v>
      </c>
      <c r="I439">
        <v>2013</v>
      </c>
      <c r="J439" t="s">
        <v>852</v>
      </c>
      <c r="K439" t="s">
        <v>30</v>
      </c>
      <c r="L439" s="8">
        <f t="shared" si="7"/>
        <v>0.50877192982456143</v>
      </c>
    </row>
    <row r="440" spans="1:12">
      <c r="A440" t="s">
        <v>196</v>
      </c>
      <c r="B440">
        <v>1984</v>
      </c>
      <c r="C440" t="s">
        <v>74</v>
      </c>
      <c r="D440">
        <v>91.59</v>
      </c>
      <c r="E440">
        <v>215</v>
      </c>
      <c r="F440">
        <v>110</v>
      </c>
      <c r="G440">
        <v>190</v>
      </c>
      <c r="H440">
        <v>515</v>
      </c>
      <c r="I440">
        <v>2015</v>
      </c>
      <c r="J440" t="s">
        <v>852</v>
      </c>
      <c r="K440" t="s">
        <v>30</v>
      </c>
      <c r="L440" s="8">
        <f t="shared" si="7"/>
        <v>0.51162790697674421</v>
      </c>
    </row>
    <row r="441" spans="1:12">
      <c r="A441" t="s">
        <v>299</v>
      </c>
      <c r="B441">
        <v>1967</v>
      </c>
      <c r="C441" t="s">
        <v>300</v>
      </c>
      <c r="D441">
        <v>93.43</v>
      </c>
      <c r="E441">
        <v>200</v>
      </c>
      <c r="F441">
        <v>102.5</v>
      </c>
      <c r="G441">
        <v>175</v>
      </c>
      <c r="H441">
        <v>477.5</v>
      </c>
      <c r="I441">
        <v>2015</v>
      </c>
      <c r="J441" t="s">
        <v>852</v>
      </c>
      <c r="K441" t="s">
        <v>30</v>
      </c>
      <c r="L441" s="8">
        <f t="shared" si="7"/>
        <v>0.51249999999999996</v>
      </c>
    </row>
    <row r="442" spans="1:12">
      <c r="A442" t="s">
        <v>339</v>
      </c>
      <c r="B442">
        <v>1989</v>
      </c>
      <c r="C442" t="s">
        <v>35</v>
      </c>
      <c r="D442">
        <v>71.3</v>
      </c>
      <c r="E442">
        <v>180</v>
      </c>
      <c r="F442">
        <v>92.5</v>
      </c>
      <c r="G442">
        <v>192.5</v>
      </c>
      <c r="H442">
        <v>465</v>
      </c>
      <c r="I442">
        <v>2015</v>
      </c>
      <c r="J442" t="s">
        <v>852</v>
      </c>
      <c r="K442" t="s">
        <v>30</v>
      </c>
      <c r="L442" s="8">
        <f t="shared" si="7"/>
        <v>0.51388888888888884</v>
      </c>
    </row>
    <row r="443" spans="1:12">
      <c r="A443" t="s">
        <v>232</v>
      </c>
      <c r="B443">
        <v>1968</v>
      </c>
      <c r="C443" t="s">
        <v>62</v>
      </c>
      <c r="D443">
        <v>51.09</v>
      </c>
      <c r="E443">
        <v>145</v>
      </c>
      <c r="F443">
        <v>75</v>
      </c>
      <c r="G443">
        <v>145</v>
      </c>
      <c r="H443">
        <v>365</v>
      </c>
      <c r="I443">
        <v>2015</v>
      </c>
      <c r="J443" t="s">
        <v>852</v>
      </c>
      <c r="K443" t="s">
        <v>30</v>
      </c>
      <c r="L443" s="8">
        <f t="shared" si="7"/>
        <v>0.51724137931034486</v>
      </c>
    </row>
    <row r="444" spans="1:12">
      <c r="A444" t="s">
        <v>284</v>
      </c>
      <c r="B444">
        <v>1991</v>
      </c>
      <c r="C444" t="s">
        <v>83</v>
      </c>
      <c r="D444">
        <v>46.42</v>
      </c>
      <c r="E444">
        <v>140</v>
      </c>
      <c r="F444">
        <v>72.5</v>
      </c>
      <c r="G444">
        <v>150</v>
      </c>
      <c r="H444">
        <v>362.5</v>
      </c>
      <c r="I444">
        <v>2015</v>
      </c>
      <c r="J444" t="s">
        <v>852</v>
      </c>
      <c r="K444" t="s">
        <v>30</v>
      </c>
      <c r="L444" s="8">
        <f t="shared" si="7"/>
        <v>0.5178571428571429</v>
      </c>
    </row>
    <row r="445" spans="1:12">
      <c r="A445" t="s">
        <v>226</v>
      </c>
      <c r="B445">
        <v>1986</v>
      </c>
      <c r="C445" t="s">
        <v>35</v>
      </c>
      <c r="D445">
        <v>50.65</v>
      </c>
      <c r="E445">
        <v>140</v>
      </c>
      <c r="F445">
        <v>72.5</v>
      </c>
      <c r="G445">
        <v>167.5</v>
      </c>
      <c r="H445">
        <v>380</v>
      </c>
      <c r="I445">
        <v>2014</v>
      </c>
      <c r="J445" t="s">
        <v>852</v>
      </c>
      <c r="K445" t="s">
        <v>30</v>
      </c>
      <c r="L445" s="8">
        <f t="shared" si="7"/>
        <v>0.5178571428571429</v>
      </c>
    </row>
    <row r="446" spans="1:12">
      <c r="A446" t="s">
        <v>218</v>
      </c>
      <c r="B446">
        <v>1976</v>
      </c>
      <c r="C446" t="s">
        <v>28</v>
      </c>
      <c r="D446">
        <v>59.8</v>
      </c>
      <c r="E446">
        <v>177.5</v>
      </c>
      <c r="F446">
        <v>92.5</v>
      </c>
      <c r="G446">
        <v>180</v>
      </c>
      <c r="H446">
        <v>450</v>
      </c>
      <c r="I446">
        <v>2013</v>
      </c>
      <c r="J446" t="s">
        <v>852</v>
      </c>
      <c r="K446" t="s">
        <v>30</v>
      </c>
      <c r="L446" s="8">
        <f t="shared" si="7"/>
        <v>0.52112676056338025</v>
      </c>
    </row>
    <row r="447" spans="1:12">
      <c r="A447" t="s">
        <v>868</v>
      </c>
      <c r="B447">
        <v>1988</v>
      </c>
      <c r="C447" t="s">
        <v>35</v>
      </c>
      <c r="D447">
        <v>82.85</v>
      </c>
      <c r="E447">
        <v>162.5</v>
      </c>
      <c r="F447">
        <v>85</v>
      </c>
      <c r="G447">
        <v>175</v>
      </c>
      <c r="H447">
        <v>422.5</v>
      </c>
      <c r="I447">
        <v>2012</v>
      </c>
      <c r="J447" t="s">
        <v>852</v>
      </c>
      <c r="K447" t="s">
        <v>30</v>
      </c>
      <c r="L447" s="8">
        <f t="shared" si="7"/>
        <v>0.52307692307692311</v>
      </c>
    </row>
    <row r="448" spans="1:12">
      <c r="A448" t="s">
        <v>198</v>
      </c>
      <c r="B448">
        <v>1982</v>
      </c>
      <c r="C448" t="s">
        <v>74</v>
      </c>
      <c r="D448">
        <v>46.56</v>
      </c>
      <c r="E448">
        <v>152.5</v>
      </c>
      <c r="F448">
        <v>80</v>
      </c>
      <c r="G448">
        <v>175</v>
      </c>
      <c r="H448">
        <v>407.5</v>
      </c>
      <c r="I448">
        <v>2015</v>
      </c>
      <c r="J448" t="s">
        <v>852</v>
      </c>
      <c r="K448" t="s">
        <v>30</v>
      </c>
      <c r="L448" s="8">
        <f t="shared" si="7"/>
        <v>0.52459016393442626</v>
      </c>
    </row>
    <row r="449" spans="1:12">
      <c r="A449" t="s">
        <v>873</v>
      </c>
      <c r="B449">
        <v>1991</v>
      </c>
      <c r="C449" t="s">
        <v>85</v>
      </c>
      <c r="D449">
        <v>85.8</v>
      </c>
      <c r="E449">
        <v>152.5</v>
      </c>
      <c r="F449">
        <v>80</v>
      </c>
      <c r="G449">
        <v>180</v>
      </c>
      <c r="H449">
        <v>412.5</v>
      </c>
      <c r="I449">
        <v>2012</v>
      </c>
      <c r="J449" t="s">
        <v>852</v>
      </c>
      <c r="K449" t="s">
        <v>30</v>
      </c>
      <c r="L449" s="8">
        <f t="shared" si="7"/>
        <v>0.52459016393442626</v>
      </c>
    </row>
    <row r="450" spans="1:12">
      <c r="A450" t="s">
        <v>1035</v>
      </c>
      <c r="B450">
        <v>1982</v>
      </c>
      <c r="C450" t="s">
        <v>125</v>
      </c>
      <c r="D450">
        <v>67.650000000000006</v>
      </c>
      <c r="E450">
        <v>152.5</v>
      </c>
      <c r="F450">
        <v>80</v>
      </c>
      <c r="G450">
        <v>160</v>
      </c>
      <c r="H450">
        <v>392.5</v>
      </c>
      <c r="I450">
        <v>2014</v>
      </c>
      <c r="J450" t="s">
        <v>852</v>
      </c>
      <c r="K450" t="s">
        <v>30</v>
      </c>
      <c r="L450" s="8">
        <f t="shared" si="7"/>
        <v>0.52459016393442626</v>
      </c>
    </row>
    <row r="451" spans="1:12">
      <c r="A451" t="s">
        <v>270</v>
      </c>
      <c r="B451">
        <v>1980</v>
      </c>
      <c r="C451" t="s">
        <v>49</v>
      </c>
      <c r="D451">
        <v>70.17</v>
      </c>
      <c r="E451">
        <v>142.5</v>
      </c>
      <c r="F451">
        <v>75</v>
      </c>
      <c r="G451">
        <v>150</v>
      </c>
      <c r="H451">
        <v>367.5</v>
      </c>
      <c r="I451">
        <v>2015</v>
      </c>
      <c r="J451" t="s">
        <v>852</v>
      </c>
      <c r="K451" t="s">
        <v>30</v>
      </c>
      <c r="L451" s="8">
        <f t="shared" si="7"/>
        <v>0.52631578947368418</v>
      </c>
    </row>
    <row r="452" spans="1:12">
      <c r="A452" t="s">
        <v>278</v>
      </c>
      <c r="B452">
        <v>1973</v>
      </c>
      <c r="C452" t="s">
        <v>80</v>
      </c>
      <c r="D452">
        <v>101.74</v>
      </c>
      <c r="E452">
        <v>185</v>
      </c>
      <c r="F452">
        <v>97.5</v>
      </c>
      <c r="G452">
        <v>180</v>
      </c>
      <c r="H452">
        <v>462.5</v>
      </c>
      <c r="I452">
        <v>2015</v>
      </c>
      <c r="J452" t="s">
        <v>852</v>
      </c>
      <c r="K452" t="s">
        <v>30</v>
      </c>
      <c r="L452" s="8">
        <f t="shared" si="7"/>
        <v>0.52702702702702697</v>
      </c>
    </row>
    <row r="453" spans="1:12">
      <c r="A453" t="s">
        <v>191</v>
      </c>
      <c r="B453">
        <v>1983</v>
      </c>
      <c r="C453" t="s">
        <v>51</v>
      </c>
      <c r="D453">
        <v>69.849999999999994</v>
      </c>
      <c r="E453">
        <v>137.5</v>
      </c>
      <c r="F453">
        <v>72.5</v>
      </c>
      <c r="G453">
        <v>185</v>
      </c>
      <c r="H453">
        <v>395</v>
      </c>
      <c r="I453">
        <v>2015</v>
      </c>
      <c r="J453" t="s">
        <v>852</v>
      </c>
      <c r="K453" t="s">
        <v>30</v>
      </c>
      <c r="L453" s="8">
        <f t="shared" si="7"/>
        <v>0.52727272727272723</v>
      </c>
    </row>
    <row r="454" spans="1:12">
      <c r="A454" t="s">
        <v>939</v>
      </c>
      <c r="B454">
        <v>1982</v>
      </c>
      <c r="C454" t="s">
        <v>85</v>
      </c>
      <c r="D454">
        <v>82.5</v>
      </c>
      <c r="E454">
        <v>127.5</v>
      </c>
      <c r="F454">
        <v>67.5</v>
      </c>
      <c r="G454">
        <v>147.5</v>
      </c>
      <c r="H454">
        <v>342.5</v>
      </c>
      <c r="I454">
        <v>2013</v>
      </c>
      <c r="J454" t="s">
        <v>852</v>
      </c>
      <c r="K454" t="s">
        <v>30</v>
      </c>
      <c r="L454" s="8">
        <f t="shared" si="7"/>
        <v>0.52941176470588236</v>
      </c>
    </row>
    <row r="455" spans="1:12">
      <c r="A455" t="s">
        <v>955</v>
      </c>
      <c r="B455">
        <v>1986</v>
      </c>
      <c r="C455" t="s">
        <v>35</v>
      </c>
      <c r="D455">
        <v>50.45</v>
      </c>
      <c r="E455">
        <v>122.5</v>
      </c>
      <c r="F455">
        <v>65</v>
      </c>
      <c r="G455">
        <v>157.5</v>
      </c>
      <c r="H455">
        <v>345</v>
      </c>
      <c r="I455">
        <v>2012</v>
      </c>
      <c r="J455" t="s">
        <v>852</v>
      </c>
      <c r="K455" t="s">
        <v>30</v>
      </c>
      <c r="L455" s="8">
        <f t="shared" si="7"/>
        <v>0.53061224489795922</v>
      </c>
    </row>
    <row r="456" spans="1:12">
      <c r="A456" t="s">
        <v>966</v>
      </c>
      <c r="B456">
        <v>1987</v>
      </c>
      <c r="C456" t="s">
        <v>194</v>
      </c>
      <c r="D456">
        <v>68.849999999999994</v>
      </c>
      <c r="E456">
        <v>122.5</v>
      </c>
      <c r="F456">
        <v>65</v>
      </c>
      <c r="G456">
        <v>160</v>
      </c>
      <c r="H456">
        <v>347.5</v>
      </c>
      <c r="I456">
        <v>2014</v>
      </c>
      <c r="J456" t="s">
        <v>852</v>
      </c>
      <c r="K456" t="s">
        <v>30</v>
      </c>
      <c r="L456" s="8">
        <f t="shared" si="7"/>
        <v>0.53061224489795922</v>
      </c>
    </row>
    <row r="457" spans="1:12">
      <c r="A457" t="s">
        <v>295</v>
      </c>
      <c r="B457">
        <v>1971</v>
      </c>
      <c r="C457" t="s">
        <v>296</v>
      </c>
      <c r="D457">
        <v>70.69</v>
      </c>
      <c r="E457">
        <v>182.5</v>
      </c>
      <c r="F457">
        <v>97.5</v>
      </c>
      <c r="G457">
        <v>187.5</v>
      </c>
      <c r="H457">
        <v>467.5</v>
      </c>
      <c r="I457">
        <v>2015</v>
      </c>
      <c r="J457" t="s">
        <v>852</v>
      </c>
      <c r="K457" t="s">
        <v>30</v>
      </c>
      <c r="L457" s="8">
        <f t="shared" si="7"/>
        <v>0.53424657534246578</v>
      </c>
    </row>
    <row r="458" spans="1:12">
      <c r="A458" t="s">
        <v>198</v>
      </c>
      <c r="B458">
        <v>1982</v>
      </c>
      <c r="C458" t="s">
        <v>74</v>
      </c>
      <c r="D458">
        <v>46.7</v>
      </c>
      <c r="E458">
        <v>145</v>
      </c>
      <c r="F458">
        <v>77.5</v>
      </c>
      <c r="G458">
        <v>172.5</v>
      </c>
      <c r="H458">
        <v>395</v>
      </c>
      <c r="I458">
        <v>2012</v>
      </c>
      <c r="J458" t="s">
        <v>852</v>
      </c>
      <c r="K458" t="s">
        <v>30</v>
      </c>
      <c r="L458" s="8">
        <f t="shared" si="7"/>
        <v>0.53448275862068961</v>
      </c>
    </row>
    <row r="459" spans="1:12">
      <c r="A459" t="s">
        <v>1037</v>
      </c>
      <c r="B459">
        <v>1981</v>
      </c>
      <c r="C459" t="s">
        <v>56</v>
      </c>
      <c r="D459">
        <v>101.35</v>
      </c>
      <c r="E459">
        <v>145</v>
      </c>
      <c r="F459">
        <v>77.5</v>
      </c>
      <c r="G459">
        <v>170</v>
      </c>
      <c r="H459">
        <v>392.5</v>
      </c>
      <c r="I459">
        <v>2012</v>
      </c>
      <c r="J459" t="s">
        <v>852</v>
      </c>
      <c r="K459" t="s">
        <v>30</v>
      </c>
      <c r="L459" s="8">
        <f t="shared" si="7"/>
        <v>0.53448275862068961</v>
      </c>
    </row>
    <row r="460" spans="1:12">
      <c r="A460" t="s">
        <v>250</v>
      </c>
      <c r="B460">
        <v>1991</v>
      </c>
      <c r="C460" t="s">
        <v>80</v>
      </c>
      <c r="D460">
        <v>71.48</v>
      </c>
      <c r="E460">
        <v>140</v>
      </c>
      <c r="F460">
        <v>75</v>
      </c>
      <c r="G460">
        <v>177.5</v>
      </c>
      <c r="H460">
        <v>392.5</v>
      </c>
      <c r="I460">
        <v>2015</v>
      </c>
      <c r="J460" t="s">
        <v>852</v>
      </c>
      <c r="K460" t="s">
        <v>30</v>
      </c>
      <c r="L460" s="8">
        <f t="shared" si="7"/>
        <v>0.5357142857142857</v>
      </c>
    </row>
    <row r="461" spans="1:12">
      <c r="A461" t="s">
        <v>232</v>
      </c>
      <c r="B461">
        <v>1968</v>
      </c>
      <c r="C461" t="s">
        <v>62</v>
      </c>
      <c r="D461">
        <v>51.65</v>
      </c>
      <c r="E461">
        <v>140</v>
      </c>
      <c r="F461">
        <v>75</v>
      </c>
      <c r="G461">
        <v>140</v>
      </c>
      <c r="H461">
        <v>355</v>
      </c>
      <c r="I461">
        <v>2013</v>
      </c>
      <c r="J461" t="s">
        <v>852</v>
      </c>
      <c r="K461" t="s">
        <v>30</v>
      </c>
      <c r="L461" s="8">
        <f t="shared" si="7"/>
        <v>0.5357142857142857</v>
      </c>
    </row>
    <row r="462" spans="1:12">
      <c r="A462" t="s">
        <v>180</v>
      </c>
      <c r="B462">
        <v>1980</v>
      </c>
      <c r="C462" t="s">
        <v>113</v>
      </c>
      <c r="D462">
        <v>61.42</v>
      </c>
      <c r="E462">
        <v>130</v>
      </c>
      <c r="F462">
        <v>70</v>
      </c>
      <c r="G462">
        <v>180</v>
      </c>
      <c r="H462">
        <v>380</v>
      </c>
      <c r="I462">
        <v>2015</v>
      </c>
      <c r="J462" t="s">
        <v>852</v>
      </c>
      <c r="K462" t="s">
        <v>30</v>
      </c>
      <c r="L462" s="8">
        <f t="shared" si="7"/>
        <v>0.53846153846153844</v>
      </c>
    </row>
    <row r="463" spans="1:12">
      <c r="A463" t="s">
        <v>240</v>
      </c>
      <c r="B463">
        <v>1988</v>
      </c>
      <c r="C463" t="s">
        <v>113</v>
      </c>
      <c r="D463">
        <v>56.21</v>
      </c>
      <c r="E463">
        <v>162.5</v>
      </c>
      <c r="F463">
        <v>87.5</v>
      </c>
      <c r="G463">
        <v>155</v>
      </c>
      <c r="H463">
        <v>405</v>
      </c>
      <c r="I463">
        <v>2015</v>
      </c>
      <c r="J463" t="s">
        <v>852</v>
      </c>
      <c r="K463" t="s">
        <v>30</v>
      </c>
      <c r="L463" s="8">
        <f t="shared" si="7"/>
        <v>0.53846153846153844</v>
      </c>
    </row>
    <row r="464" spans="1:12">
      <c r="A464" t="s">
        <v>868</v>
      </c>
      <c r="B464">
        <v>1988</v>
      </c>
      <c r="C464" t="s">
        <v>35</v>
      </c>
      <c r="D464">
        <v>83.6</v>
      </c>
      <c r="E464">
        <v>157.5</v>
      </c>
      <c r="F464">
        <v>85</v>
      </c>
      <c r="G464">
        <v>172.5</v>
      </c>
      <c r="H464">
        <v>415</v>
      </c>
      <c r="I464">
        <v>2013</v>
      </c>
      <c r="J464" t="s">
        <v>852</v>
      </c>
      <c r="K464" t="s">
        <v>30</v>
      </c>
      <c r="L464" s="8">
        <f t="shared" si="7"/>
        <v>0.53968253968253965</v>
      </c>
    </row>
    <row r="465" spans="1:12">
      <c r="A465" t="s">
        <v>200</v>
      </c>
      <c r="B465">
        <v>1982</v>
      </c>
      <c r="C465" t="s">
        <v>62</v>
      </c>
      <c r="D465">
        <v>56</v>
      </c>
      <c r="E465">
        <v>125</v>
      </c>
      <c r="F465">
        <v>67.5</v>
      </c>
      <c r="G465">
        <v>165</v>
      </c>
      <c r="H465">
        <v>357.5</v>
      </c>
      <c r="I465">
        <v>2015</v>
      </c>
      <c r="J465" t="s">
        <v>852</v>
      </c>
      <c r="K465" t="s">
        <v>30</v>
      </c>
      <c r="L465" s="8">
        <f t="shared" si="7"/>
        <v>0.54</v>
      </c>
    </row>
    <row r="466" spans="1:12">
      <c r="A466" t="s">
        <v>193</v>
      </c>
      <c r="B466">
        <v>1978</v>
      </c>
      <c r="C466" t="s">
        <v>194</v>
      </c>
      <c r="D466">
        <v>45.68</v>
      </c>
      <c r="E466">
        <v>92.5</v>
      </c>
      <c r="F466">
        <v>50</v>
      </c>
      <c r="G466">
        <v>120</v>
      </c>
      <c r="H466">
        <v>262.5</v>
      </c>
      <c r="I466">
        <v>2015</v>
      </c>
      <c r="J466" t="s">
        <v>852</v>
      </c>
      <c r="K466" t="s">
        <v>30</v>
      </c>
      <c r="L466" s="8">
        <f t="shared" ref="L466:L529" si="8">IF(AND(F466&lt;&gt;0,E466&lt;&gt;0),F466/E466,"")</f>
        <v>0.54054054054054057</v>
      </c>
    </row>
    <row r="467" spans="1:12">
      <c r="A467" t="s">
        <v>230</v>
      </c>
      <c r="B467">
        <v>1986</v>
      </c>
      <c r="C467" t="s">
        <v>56</v>
      </c>
      <c r="D467">
        <v>56.41</v>
      </c>
      <c r="E467">
        <v>120</v>
      </c>
      <c r="F467">
        <v>65</v>
      </c>
      <c r="G467">
        <v>160</v>
      </c>
      <c r="H467">
        <v>345</v>
      </c>
      <c r="I467">
        <v>2015</v>
      </c>
      <c r="J467" t="s">
        <v>852</v>
      </c>
      <c r="K467" t="s">
        <v>30</v>
      </c>
      <c r="L467" s="8">
        <f t="shared" si="8"/>
        <v>0.54166666666666663</v>
      </c>
    </row>
    <row r="468" spans="1:12">
      <c r="A468" t="s">
        <v>983</v>
      </c>
      <c r="B468">
        <v>1987</v>
      </c>
      <c r="C468" t="s">
        <v>62</v>
      </c>
      <c r="D468">
        <v>52.9</v>
      </c>
      <c r="E468">
        <v>120</v>
      </c>
      <c r="F468">
        <v>65</v>
      </c>
      <c r="G468">
        <v>150</v>
      </c>
      <c r="H468">
        <v>335</v>
      </c>
      <c r="I468">
        <v>2012</v>
      </c>
      <c r="J468" t="s">
        <v>852</v>
      </c>
      <c r="K468" t="s">
        <v>30</v>
      </c>
      <c r="L468" s="8">
        <f t="shared" si="8"/>
        <v>0.54166666666666663</v>
      </c>
    </row>
    <row r="469" spans="1:12">
      <c r="A469" t="s">
        <v>921</v>
      </c>
      <c r="B469">
        <v>1984</v>
      </c>
      <c r="C469" t="s">
        <v>56</v>
      </c>
      <c r="D469">
        <v>80.349999999999994</v>
      </c>
      <c r="E469">
        <v>147.5</v>
      </c>
      <c r="F469">
        <v>80</v>
      </c>
      <c r="G469">
        <v>167.5</v>
      </c>
      <c r="H469">
        <v>395</v>
      </c>
      <c r="I469">
        <v>2013</v>
      </c>
      <c r="J469" t="s">
        <v>852</v>
      </c>
      <c r="K469" t="s">
        <v>30</v>
      </c>
      <c r="L469" s="8">
        <f t="shared" si="8"/>
        <v>0.5423728813559322</v>
      </c>
    </row>
    <row r="470" spans="1:12">
      <c r="A470" t="s">
        <v>904</v>
      </c>
      <c r="B470">
        <v>1983</v>
      </c>
      <c r="C470" t="s">
        <v>28</v>
      </c>
      <c r="D470">
        <v>82.65</v>
      </c>
      <c r="E470">
        <v>202.5</v>
      </c>
      <c r="F470">
        <v>110</v>
      </c>
      <c r="G470">
        <v>215</v>
      </c>
      <c r="H470">
        <v>527.5</v>
      </c>
      <c r="I470">
        <v>2013</v>
      </c>
      <c r="J470" t="s">
        <v>852</v>
      </c>
      <c r="K470" t="s">
        <v>30</v>
      </c>
      <c r="L470" s="8">
        <f t="shared" si="8"/>
        <v>0.54320987654320985</v>
      </c>
    </row>
    <row r="471" spans="1:12">
      <c r="A471" t="s">
        <v>185</v>
      </c>
      <c r="B471">
        <v>1983</v>
      </c>
      <c r="C471" t="s">
        <v>142</v>
      </c>
      <c r="D471">
        <v>56.59</v>
      </c>
      <c r="E471">
        <v>115</v>
      </c>
      <c r="F471">
        <v>62.5</v>
      </c>
      <c r="G471">
        <v>145</v>
      </c>
      <c r="H471">
        <v>322.5</v>
      </c>
      <c r="I471">
        <v>2015</v>
      </c>
      <c r="J471" t="s">
        <v>852</v>
      </c>
      <c r="K471" t="s">
        <v>30</v>
      </c>
      <c r="L471" s="8">
        <f t="shared" si="8"/>
        <v>0.54347826086956519</v>
      </c>
    </row>
    <row r="472" spans="1:12">
      <c r="A472" t="s">
        <v>237</v>
      </c>
      <c r="B472">
        <v>1981</v>
      </c>
      <c r="C472" t="s">
        <v>56</v>
      </c>
      <c r="D472">
        <v>51.21</v>
      </c>
      <c r="E472">
        <v>115</v>
      </c>
      <c r="F472">
        <v>62.5</v>
      </c>
      <c r="G472">
        <v>132.5</v>
      </c>
      <c r="H472">
        <v>310</v>
      </c>
      <c r="I472">
        <v>2015</v>
      </c>
      <c r="J472" t="s">
        <v>852</v>
      </c>
      <c r="K472" t="s">
        <v>30</v>
      </c>
      <c r="L472" s="8">
        <f t="shared" si="8"/>
        <v>0.54347826086956519</v>
      </c>
    </row>
    <row r="473" spans="1:12">
      <c r="A473" t="s">
        <v>938</v>
      </c>
      <c r="B473">
        <v>1984</v>
      </c>
      <c r="C473" t="s">
        <v>35</v>
      </c>
      <c r="D473">
        <v>71.400000000000006</v>
      </c>
      <c r="E473">
        <v>142.5</v>
      </c>
      <c r="F473">
        <v>77.5</v>
      </c>
      <c r="G473">
        <v>155</v>
      </c>
      <c r="H473">
        <v>375</v>
      </c>
      <c r="I473">
        <v>2012</v>
      </c>
      <c r="J473" t="s">
        <v>852</v>
      </c>
      <c r="K473" t="s">
        <v>30</v>
      </c>
      <c r="L473" s="8">
        <f t="shared" si="8"/>
        <v>0.54385964912280704</v>
      </c>
    </row>
    <row r="474" spans="1:12">
      <c r="A474" t="s">
        <v>212</v>
      </c>
      <c r="B474">
        <v>1983</v>
      </c>
      <c r="C474" t="s">
        <v>113</v>
      </c>
      <c r="D474">
        <v>75.41</v>
      </c>
      <c r="E474">
        <v>170</v>
      </c>
      <c r="F474">
        <v>92.5</v>
      </c>
      <c r="G474">
        <v>192.5</v>
      </c>
      <c r="H474">
        <v>455</v>
      </c>
      <c r="I474">
        <v>2015</v>
      </c>
      <c r="J474" t="s">
        <v>852</v>
      </c>
      <c r="K474" t="s">
        <v>30</v>
      </c>
      <c r="L474" s="8">
        <f t="shared" si="8"/>
        <v>0.54411764705882348</v>
      </c>
    </row>
    <row r="475" spans="1:12">
      <c r="A475" t="s">
        <v>346</v>
      </c>
      <c r="B475">
        <v>1976</v>
      </c>
      <c r="C475" t="s">
        <v>80</v>
      </c>
      <c r="D475">
        <v>56.75</v>
      </c>
      <c r="E475">
        <v>110</v>
      </c>
      <c r="F475">
        <v>60</v>
      </c>
      <c r="G475">
        <v>90</v>
      </c>
      <c r="H475">
        <v>260</v>
      </c>
      <c r="I475">
        <v>2015</v>
      </c>
      <c r="J475" t="s">
        <v>852</v>
      </c>
      <c r="K475" t="s">
        <v>30</v>
      </c>
      <c r="L475" s="8">
        <f t="shared" si="8"/>
        <v>0.54545454545454541</v>
      </c>
    </row>
    <row r="476" spans="1:12">
      <c r="A476" t="s">
        <v>1046</v>
      </c>
      <c r="B476">
        <v>1990</v>
      </c>
      <c r="C476" t="s">
        <v>282</v>
      </c>
      <c r="D476">
        <v>106.1</v>
      </c>
      <c r="E476">
        <v>160</v>
      </c>
      <c r="F476">
        <v>87.5</v>
      </c>
      <c r="G476">
        <v>185</v>
      </c>
      <c r="H476">
        <v>432.5</v>
      </c>
      <c r="I476">
        <v>2014</v>
      </c>
      <c r="J476" t="s">
        <v>852</v>
      </c>
      <c r="K476" t="s">
        <v>30</v>
      </c>
      <c r="L476" s="8">
        <f t="shared" si="8"/>
        <v>0.546875</v>
      </c>
    </row>
    <row r="477" spans="1:12">
      <c r="A477" t="s">
        <v>1049</v>
      </c>
      <c r="B477">
        <v>1986</v>
      </c>
      <c r="C477" t="s">
        <v>51</v>
      </c>
      <c r="D477">
        <v>62.5</v>
      </c>
      <c r="E477">
        <v>132.5</v>
      </c>
      <c r="F477">
        <v>72.5</v>
      </c>
      <c r="G477">
        <v>165</v>
      </c>
      <c r="H477">
        <v>370</v>
      </c>
      <c r="I477">
        <v>2013</v>
      </c>
      <c r="J477" t="s">
        <v>852</v>
      </c>
      <c r="K477" t="s">
        <v>30</v>
      </c>
      <c r="L477" s="8">
        <f t="shared" si="8"/>
        <v>0.54716981132075471</v>
      </c>
    </row>
    <row r="478" spans="1:12">
      <c r="A478" t="s">
        <v>212</v>
      </c>
      <c r="B478">
        <v>1983</v>
      </c>
      <c r="C478" t="s">
        <v>113</v>
      </c>
      <c r="D478">
        <v>71.400000000000006</v>
      </c>
      <c r="E478">
        <v>155</v>
      </c>
      <c r="F478">
        <v>85</v>
      </c>
      <c r="G478">
        <v>172.5</v>
      </c>
      <c r="H478">
        <v>412.5</v>
      </c>
      <c r="I478">
        <v>2014</v>
      </c>
      <c r="J478" t="s">
        <v>852</v>
      </c>
      <c r="K478" t="s">
        <v>30</v>
      </c>
      <c r="L478" s="8">
        <f t="shared" si="8"/>
        <v>0.54838709677419351</v>
      </c>
    </row>
    <row r="479" spans="1:12">
      <c r="A479" t="s">
        <v>311</v>
      </c>
      <c r="B479">
        <v>1983</v>
      </c>
      <c r="C479" t="s">
        <v>51</v>
      </c>
      <c r="D479">
        <v>84</v>
      </c>
      <c r="E479">
        <v>155</v>
      </c>
      <c r="F479">
        <v>85</v>
      </c>
      <c r="G479">
        <v>170</v>
      </c>
      <c r="H479">
        <v>410</v>
      </c>
      <c r="I479">
        <v>2014</v>
      </c>
      <c r="J479" t="s">
        <v>852</v>
      </c>
      <c r="K479" t="s">
        <v>30</v>
      </c>
      <c r="L479" s="8">
        <f t="shared" si="8"/>
        <v>0.54838709677419351</v>
      </c>
    </row>
    <row r="480" spans="1:12">
      <c r="A480" t="s">
        <v>315</v>
      </c>
      <c r="B480">
        <v>1990</v>
      </c>
      <c r="C480" t="s">
        <v>54</v>
      </c>
      <c r="D480">
        <v>62.04</v>
      </c>
      <c r="E480">
        <v>127.5</v>
      </c>
      <c r="F480">
        <v>70</v>
      </c>
      <c r="G480">
        <v>160</v>
      </c>
      <c r="H480">
        <v>357.5</v>
      </c>
      <c r="I480">
        <v>2015</v>
      </c>
      <c r="J480" t="s">
        <v>852</v>
      </c>
      <c r="K480" t="s">
        <v>30</v>
      </c>
      <c r="L480" s="8">
        <f t="shared" si="8"/>
        <v>0.5490196078431373</v>
      </c>
    </row>
    <row r="481" spans="1:12">
      <c r="A481" t="s">
        <v>255</v>
      </c>
      <c r="B481">
        <v>1990</v>
      </c>
      <c r="C481" t="s">
        <v>100</v>
      </c>
      <c r="D481">
        <v>56.84</v>
      </c>
      <c r="E481">
        <v>100</v>
      </c>
      <c r="F481">
        <v>55</v>
      </c>
      <c r="G481">
        <v>110</v>
      </c>
      <c r="H481">
        <v>265</v>
      </c>
      <c r="I481">
        <v>2015</v>
      </c>
      <c r="J481" t="s">
        <v>852</v>
      </c>
      <c r="K481" t="s">
        <v>30</v>
      </c>
      <c r="L481" s="8">
        <f t="shared" si="8"/>
        <v>0.55000000000000004</v>
      </c>
    </row>
    <row r="482" spans="1:12">
      <c r="A482" t="s">
        <v>916</v>
      </c>
      <c r="B482">
        <v>1960</v>
      </c>
      <c r="C482" t="s">
        <v>51</v>
      </c>
      <c r="D482">
        <v>107.8</v>
      </c>
      <c r="E482">
        <v>100</v>
      </c>
      <c r="F482">
        <v>55</v>
      </c>
      <c r="G482">
        <v>160</v>
      </c>
      <c r="H482">
        <v>315</v>
      </c>
      <c r="I482">
        <v>2012</v>
      </c>
      <c r="J482" t="s">
        <v>852</v>
      </c>
      <c r="K482" t="s">
        <v>30</v>
      </c>
      <c r="L482" s="8">
        <f t="shared" si="8"/>
        <v>0.55000000000000004</v>
      </c>
    </row>
    <row r="483" spans="1:12">
      <c r="A483" t="s">
        <v>921</v>
      </c>
      <c r="B483">
        <v>1984</v>
      </c>
      <c r="C483" t="s">
        <v>56</v>
      </c>
      <c r="D483">
        <v>85</v>
      </c>
      <c r="E483">
        <v>145</v>
      </c>
      <c r="F483">
        <v>80</v>
      </c>
      <c r="G483">
        <v>165</v>
      </c>
      <c r="H483">
        <v>390</v>
      </c>
      <c r="I483">
        <v>2014</v>
      </c>
      <c r="J483" t="s">
        <v>852</v>
      </c>
      <c r="K483" t="s">
        <v>30</v>
      </c>
      <c r="L483" s="8">
        <f t="shared" si="8"/>
        <v>0.55172413793103448</v>
      </c>
    </row>
    <row r="484" spans="1:12">
      <c r="A484" t="s">
        <v>232</v>
      </c>
      <c r="B484">
        <v>1968</v>
      </c>
      <c r="C484" t="s">
        <v>62</v>
      </c>
      <c r="D484">
        <v>51.55</v>
      </c>
      <c r="E484">
        <v>145</v>
      </c>
      <c r="F484">
        <v>80</v>
      </c>
      <c r="G484">
        <v>147.5</v>
      </c>
      <c r="H484">
        <v>372.5</v>
      </c>
      <c r="I484">
        <v>2012</v>
      </c>
      <c r="J484" t="s">
        <v>852</v>
      </c>
      <c r="K484" t="s">
        <v>30</v>
      </c>
      <c r="L484" s="8">
        <f t="shared" si="8"/>
        <v>0.55172413793103448</v>
      </c>
    </row>
    <row r="485" spans="1:12">
      <c r="A485" t="s">
        <v>904</v>
      </c>
      <c r="B485">
        <v>1983</v>
      </c>
      <c r="C485" t="s">
        <v>28</v>
      </c>
      <c r="D485">
        <v>83.1</v>
      </c>
      <c r="E485">
        <v>190</v>
      </c>
      <c r="F485">
        <v>105</v>
      </c>
      <c r="G485">
        <v>210</v>
      </c>
      <c r="H485">
        <v>505</v>
      </c>
      <c r="I485">
        <v>2012</v>
      </c>
      <c r="J485" t="s">
        <v>852</v>
      </c>
      <c r="K485" t="s">
        <v>30</v>
      </c>
      <c r="L485" s="8">
        <f t="shared" si="8"/>
        <v>0.55263157894736847</v>
      </c>
    </row>
    <row r="486" spans="1:12">
      <c r="A486" t="s">
        <v>177</v>
      </c>
      <c r="B486">
        <v>1991</v>
      </c>
      <c r="C486" t="s">
        <v>51</v>
      </c>
      <c r="D486">
        <v>80.8</v>
      </c>
      <c r="E486">
        <v>135</v>
      </c>
      <c r="F486">
        <v>75</v>
      </c>
      <c r="G486">
        <v>182.5</v>
      </c>
      <c r="H486">
        <v>392.5</v>
      </c>
      <c r="I486">
        <v>2015</v>
      </c>
      <c r="J486" t="s">
        <v>852</v>
      </c>
      <c r="K486" t="s">
        <v>30</v>
      </c>
      <c r="L486" s="8">
        <f t="shared" si="8"/>
        <v>0.55555555555555558</v>
      </c>
    </row>
    <row r="487" spans="1:12">
      <c r="A487" t="s">
        <v>855</v>
      </c>
      <c r="B487">
        <v>1967</v>
      </c>
      <c r="C487" t="s">
        <v>119</v>
      </c>
      <c r="D487">
        <v>56</v>
      </c>
      <c r="E487">
        <v>152.5</v>
      </c>
      <c r="F487">
        <v>85</v>
      </c>
      <c r="G487">
        <v>167.5</v>
      </c>
      <c r="H487">
        <v>405</v>
      </c>
      <c r="I487">
        <v>2014</v>
      </c>
      <c r="J487" t="s">
        <v>852</v>
      </c>
      <c r="K487" t="s">
        <v>30</v>
      </c>
      <c r="L487" s="8">
        <f t="shared" si="8"/>
        <v>0.55737704918032782</v>
      </c>
    </row>
    <row r="488" spans="1:12">
      <c r="A488" t="s">
        <v>281</v>
      </c>
      <c r="B488">
        <v>1980</v>
      </c>
      <c r="C488" t="s">
        <v>282</v>
      </c>
      <c r="D488">
        <v>51.9</v>
      </c>
      <c r="E488">
        <v>147.5</v>
      </c>
      <c r="F488">
        <v>82.5</v>
      </c>
      <c r="G488">
        <v>150</v>
      </c>
      <c r="H488">
        <v>380</v>
      </c>
      <c r="I488">
        <v>2014</v>
      </c>
      <c r="J488" t="s">
        <v>852</v>
      </c>
      <c r="K488" t="s">
        <v>30</v>
      </c>
      <c r="L488" s="8">
        <f t="shared" si="8"/>
        <v>0.55932203389830504</v>
      </c>
    </row>
    <row r="489" spans="1:12">
      <c r="A489" t="s">
        <v>226</v>
      </c>
      <c r="B489">
        <v>1986</v>
      </c>
      <c r="C489" t="s">
        <v>35</v>
      </c>
      <c r="D489">
        <v>50.13</v>
      </c>
      <c r="E489">
        <v>125</v>
      </c>
      <c r="F489">
        <v>70</v>
      </c>
      <c r="G489">
        <v>160</v>
      </c>
      <c r="H489">
        <v>355</v>
      </c>
      <c r="I489">
        <v>2015</v>
      </c>
      <c r="J489" t="s">
        <v>852</v>
      </c>
      <c r="K489" t="s">
        <v>30</v>
      </c>
      <c r="L489" s="8">
        <f t="shared" si="8"/>
        <v>0.56000000000000005</v>
      </c>
    </row>
    <row r="490" spans="1:12">
      <c r="A490" t="s">
        <v>332</v>
      </c>
      <c r="B490">
        <v>1976</v>
      </c>
      <c r="C490" t="s">
        <v>80</v>
      </c>
      <c r="D490">
        <v>56.76</v>
      </c>
      <c r="E490">
        <v>125</v>
      </c>
      <c r="F490">
        <v>70</v>
      </c>
      <c r="G490">
        <v>140</v>
      </c>
      <c r="H490">
        <v>335</v>
      </c>
      <c r="I490">
        <v>2015</v>
      </c>
      <c r="J490" t="s">
        <v>852</v>
      </c>
      <c r="K490" t="s">
        <v>30</v>
      </c>
      <c r="L490" s="8">
        <f t="shared" si="8"/>
        <v>0.56000000000000005</v>
      </c>
    </row>
    <row r="491" spans="1:12">
      <c r="A491" t="s">
        <v>244</v>
      </c>
      <c r="B491">
        <v>1986</v>
      </c>
      <c r="C491" t="s">
        <v>77</v>
      </c>
      <c r="D491">
        <v>67.5</v>
      </c>
      <c r="E491">
        <v>120</v>
      </c>
      <c r="F491">
        <v>67.5</v>
      </c>
      <c r="G491">
        <v>120</v>
      </c>
      <c r="H491">
        <v>307.5</v>
      </c>
      <c r="I491">
        <v>2015</v>
      </c>
      <c r="J491" t="s">
        <v>852</v>
      </c>
      <c r="K491" t="s">
        <v>30</v>
      </c>
      <c r="L491" s="8">
        <f t="shared" si="8"/>
        <v>0.5625</v>
      </c>
    </row>
    <row r="492" spans="1:12">
      <c r="A492" t="s">
        <v>312</v>
      </c>
      <c r="B492">
        <v>1989</v>
      </c>
      <c r="C492" t="s">
        <v>85</v>
      </c>
      <c r="D492">
        <v>62.44</v>
      </c>
      <c r="E492">
        <v>120</v>
      </c>
      <c r="F492">
        <v>67.5</v>
      </c>
      <c r="G492">
        <v>150</v>
      </c>
      <c r="H492">
        <v>337.5</v>
      </c>
      <c r="I492">
        <v>2015</v>
      </c>
      <c r="J492" t="s">
        <v>852</v>
      </c>
      <c r="K492" t="s">
        <v>30</v>
      </c>
      <c r="L492" s="8">
        <f t="shared" si="8"/>
        <v>0.5625</v>
      </c>
    </row>
    <row r="493" spans="1:12">
      <c r="A493" t="s">
        <v>985</v>
      </c>
      <c r="B493">
        <v>1984</v>
      </c>
      <c r="C493" t="s">
        <v>62</v>
      </c>
      <c r="D493">
        <v>61.25</v>
      </c>
      <c r="E493">
        <v>137.5</v>
      </c>
      <c r="F493">
        <v>77.5</v>
      </c>
      <c r="G493">
        <v>182.5</v>
      </c>
      <c r="H493">
        <v>397.5</v>
      </c>
      <c r="I493">
        <v>2014</v>
      </c>
      <c r="J493" t="s">
        <v>852</v>
      </c>
      <c r="K493" t="s">
        <v>30</v>
      </c>
      <c r="L493" s="8">
        <f t="shared" si="8"/>
        <v>0.5636363636363636</v>
      </c>
    </row>
    <row r="494" spans="1:12">
      <c r="A494" t="s">
        <v>1050</v>
      </c>
      <c r="B494">
        <v>1991</v>
      </c>
      <c r="C494" t="s">
        <v>125</v>
      </c>
      <c r="D494">
        <v>51.4</v>
      </c>
      <c r="E494">
        <v>115</v>
      </c>
      <c r="F494">
        <v>65</v>
      </c>
      <c r="G494">
        <v>135</v>
      </c>
      <c r="H494">
        <v>315</v>
      </c>
      <c r="I494">
        <v>2012</v>
      </c>
      <c r="J494" t="s">
        <v>852</v>
      </c>
      <c r="K494" t="s">
        <v>30</v>
      </c>
      <c r="L494" s="8">
        <f t="shared" si="8"/>
        <v>0.56521739130434778</v>
      </c>
    </row>
    <row r="495" spans="1:12">
      <c r="A495" t="s">
        <v>899</v>
      </c>
      <c r="B495">
        <v>1975</v>
      </c>
      <c r="C495" t="s">
        <v>56</v>
      </c>
      <c r="D495">
        <v>51.4</v>
      </c>
      <c r="E495">
        <v>132.5</v>
      </c>
      <c r="F495">
        <v>75</v>
      </c>
      <c r="G495">
        <v>135</v>
      </c>
      <c r="H495">
        <v>342.5</v>
      </c>
      <c r="I495">
        <v>2014</v>
      </c>
      <c r="J495" t="s">
        <v>852</v>
      </c>
      <c r="K495" t="s">
        <v>30</v>
      </c>
      <c r="L495" s="8">
        <f t="shared" si="8"/>
        <v>0.56603773584905659</v>
      </c>
    </row>
    <row r="496" spans="1:12">
      <c r="A496" t="s">
        <v>863</v>
      </c>
      <c r="B496">
        <v>1993</v>
      </c>
      <c r="C496" t="s">
        <v>113</v>
      </c>
      <c r="D496">
        <v>61.1</v>
      </c>
      <c r="E496">
        <v>92.5</v>
      </c>
      <c r="F496">
        <v>52.5</v>
      </c>
      <c r="G496">
        <v>115</v>
      </c>
      <c r="H496">
        <v>260</v>
      </c>
      <c r="I496">
        <v>2012</v>
      </c>
      <c r="J496" t="s">
        <v>852</v>
      </c>
      <c r="K496" t="s">
        <v>30</v>
      </c>
      <c r="L496" s="8">
        <f t="shared" si="8"/>
        <v>0.56756756756756754</v>
      </c>
    </row>
    <row r="497" spans="1:12">
      <c r="A497" t="s">
        <v>182</v>
      </c>
      <c r="B497">
        <v>1984</v>
      </c>
      <c r="C497" t="s">
        <v>72</v>
      </c>
      <c r="D497">
        <v>103.29</v>
      </c>
      <c r="E497">
        <v>127.5</v>
      </c>
      <c r="F497">
        <v>72.5</v>
      </c>
      <c r="G497">
        <v>135</v>
      </c>
      <c r="H497">
        <v>335</v>
      </c>
      <c r="I497">
        <v>2015</v>
      </c>
      <c r="J497" t="s">
        <v>852</v>
      </c>
      <c r="K497" t="s">
        <v>30</v>
      </c>
      <c r="L497" s="8">
        <f t="shared" si="8"/>
        <v>0.56862745098039214</v>
      </c>
    </row>
    <row r="498" spans="1:12">
      <c r="A498" t="s">
        <v>288</v>
      </c>
      <c r="B498">
        <v>1968</v>
      </c>
      <c r="C498" t="s">
        <v>289</v>
      </c>
      <c r="D498">
        <v>51.59</v>
      </c>
      <c r="E498">
        <v>140</v>
      </c>
      <c r="F498">
        <v>80</v>
      </c>
      <c r="G498">
        <v>165</v>
      </c>
      <c r="H498">
        <v>385</v>
      </c>
      <c r="I498">
        <v>2015</v>
      </c>
      <c r="J498" t="s">
        <v>852</v>
      </c>
      <c r="K498" t="s">
        <v>30</v>
      </c>
      <c r="L498" s="8">
        <f t="shared" si="8"/>
        <v>0.5714285714285714</v>
      </c>
    </row>
    <row r="499" spans="1:12">
      <c r="A499" t="s">
        <v>1054</v>
      </c>
      <c r="B499">
        <v>1986</v>
      </c>
      <c r="C499" t="s">
        <v>28</v>
      </c>
      <c r="D499">
        <v>105.75</v>
      </c>
      <c r="E499">
        <v>192.5</v>
      </c>
      <c r="F499">
        <v>110</v>
      </c>
      <c r="G499">
        <v>220</v>
      </c>
      <c r="H499">
        <v>522.5</v>
      </c>
      <c r="I499">
        <v>2012</v>
      </c>
      <c r="J499" t="s">
        <v>852</v>
      </c>
      <c r="K499" t="s">
        <v>30</v>
      </c>
      <c r="L499" s="8">
        <f t="shared" si="8"/>
        <v>0.5714285714285714</v>
      </c>
    </row>
    <row r="500" spans="1:12">
      <c r="A500" t="s">
        <v>209</v>
      </c>
      <c r="B500">
        <v>1983</v>
      </c>
      <c r="C500" t="s">
        <v>163</v>
      </c>
      <c r="D500">
        <v>62.84</v>
      </c>
      <c r="E500">
        <v>125</v>
      </c>
      <c r="F500">
        <v>72.5</v>
      </c>
      <c r="G500">
        <v>152.5</v>
      </c>
      <c r="H500">
        <v>350</v>
      </c>
      <c r="I500">
        <v>2015</v>
      </c>
      <c r="J500" t="s">
        <v>852</v>
      </c>
      <c r="K500" t="s">
        <v>30</v>
      </c>
      <c r="L500" s="8">
        <f t="shared" si="8"/>
        <v>0.57999999999999996</v>
      </c>
    </row>
    <row r="501" spans="1:12">
      <c r="A501" t="s">
        <v>341</v>
      </c>
      <c r="B501">
        <v>1988</v>
      </c>
      <c r="C501" t="s">
        <v>80</v>
      </c>
      <c r="D501">
        <v>62.95</v>
      </c>
      <c r="E501">
        <v>155</v>
      </c>
      <c r="F501">
        <v>90</v>
      </c>
      <c r="G501">
        <v>170</v>
      </c>
      <c r="H501">
        <v>415</v>
      </c>
      <c r="I501">
        <v>2013</v>
      </c>
      <c r="J501" t="s">
        <v>852</v>
      </c>
      <c r="K501" t="s">
        <v>30</v>
      </c>
      <c r="L501" s="8">
        <f t="shared" si="8"/>
        <v>0.58064516129032262</v>
      </c>
    </row>
    <row r="502" spans="1:12">
      <c r="A502" t="s">
        <v>234</v>
      </c>
      <c r="B502">
        <v>1951</v>
      </c>
      <c r="C502" t="s">
        <v>77</v>
      </c>
      <c r="D502">
        <v>61.69</v>
      </c>
      <c r="E502">
        <v>120</v>
      </c>
      <c r="F502">
        <v>70</v>
      </c>
      <c r="G502">
        <v>135</v>
      </c>
      <c r="H502">
        <v>325</v>
      </c>
      <c r="I502">
        <v>2015</v>
      </c>
      <c r="J502" t="s">
        <v>852</v>
      </c>
      <c r="K502" t="s">
        <v>30</v>
      </c>
      <c r="L502" s="8">
        <f t="shared" si="8"/>
        <v>0.58333333333333337</v>
      </c>
    </row>
    <row r="503" spans="1:12">
      <c r="A503" t="s">
        <v>963</v>
      </c>
      <c r="B503">
        <v>1961</v>
      </c>
      <c r="C503" t="s">
        <v>163</v>
      </c>
      <c r="D503">
        <v>124.15</v>
      </c>
      <c r="E503">
        <v>175</v>
      </c>
      <c r="F503">
        <v>102.5</v>
      </c>
      <c r="G503">
        <v>230</v>
      </c>
      <c r="H503">
        <v>507.5</v>
      </c>
      <c r="I503">
        <v>2014</v>
      </c>
      <c r="J503" t="s">
        <v>852</v>
      </c>
      <c r="K503" t="s">
        <v>30</v>
      </c>
      <c r="L503" s="8">
        <f t="shared" si="8"/>
        <v>0.58571428571428574</v>
      </c>
    </row>
    <row r="504" spans="1:12">
      <c r="A504" t="s">
        <v>337</v>
      </c>
      <c r="B504">
        <v>1979</v>
      </c>
      <c r="C504" t="s">
        <v>28</v>
      </c>
      <c r="D504">
        <v>56.99</v>
      </c>
      <c r="E504">
        <v>145</v>
      </c>
      <c r="F504">
        <v>85</v>
      </c>
      <c r="G504">
        <v>162.5</v>
      </c>
      <c r="H504">
        <v>392.5</v>
      </c>
      <c r="I504">
        <v>2015</v>
      </c>
      <c r="J504" t="s">
        <v>852</v>
      </c>
      <c r="K504" t="s">
        <v>30</v>
      </c>
      <c r="L504" s="8">
        <f t="shared" si="8"/>
        <v>0.58620689655172409</v>
      </c>
    </row>
    <row r="505" spans="1:12">
      <c r="A505" t="s">
        <v>206</v>
      </c>
      <c r="B505">
        <v>1970</v>
      </c>
      <c r="C505" t="s">
        <v>62</v>
      </c>
      <c r="D505">
        <v>71.099999999999994</v>
      </c>
      <c r="E505">
        <v>157.5</v>
      </c>
      <c r="F505">
        <v>92.5</v>
      </c>
      <c r="G505">
        <v>207.5</v>
      </c>
      <c r="H505">
        <v>457.5</v>
      </c>
      <c r="I505">
        <v>2013</v>
      </c>
      <c r="J505" t="s">
        <v>852</v>
      </c>
      <c r="K505" t="s">
        <v>30</v>
      </c>
      <c r="L505" s="8">
        <f t="shared" si="8"/>
        <v>0.58730158730158732</v>
      </c>
    </row>
    <row r="506" spans="1:12">
      <c r="A506" t="s">
        <v>262</v>
      </c>
      <c r="B506">
        <v>1988</v>
      </c>
      <c r="C506" t="s">
        <v>62</v>
      </c>
      <c r="D506">
        <v>130.29</v>
      </c>
      <c r="E506">
        <v>247.5</v>
      </c>
      <c r="F506">
        <v>145.5</v>
      </c>
      <c r="G506">
        <v>222.5</v>
      </c>
      <c r="H506">
        <v>615.5</v>
      </c>
      <c r="I506">
        <v>2015</v>
      </c>
      <c r="J506" t="s">
        <v>852</v>
      </c>
      <c r="K506" t="s">
        <v>30</v>
      </c>
      <c r="L506" s="8">
        <f t="shared" si="8"/>
        <v>0.58787878787878789</v>
      </c>
    </row>
    <row r="507" spans="1:12">
      <c r="A507" t="s">
        <v>304</v>
      </c>
      <c r="B507">
        <v>1986</v>
      </c>
      <c r="C507" t="s">
        <v>113</v>
      </c>
      <c r="D507">
        <v>52</v>
      </c>
      <c r="E507">
        <v>127.5</v>
      </c>
      <c r="F507">
        <v>75</v>
      </c>
      <c r="G507">
        <v>135</v>
      </c>
      <c r="H507">
        <v>337.5</v>
      </c>
      <c r="I507">
        <v>2015</v>
      </c>
      <c r="J507" t="s">
        <v>852</v>
      </c>
      <c r="K507" t="s">
        <v>30</v>
      </c>
      <c r="L507" s="8">
        <f t="shared" si="8"/>
        <v>0.58823529411764708</v>
      </c>
    </row>
    <row r="508" spans="1:12">
      <c r="A508" t="s">
        <v>259</v>
      </c>
      <c r="B508">
        <v>1990</v>
      </c>
      <c r="C508" t="s">
        <v>35</v>
      </c>
      <c r="D508">
        <v>50.55</v>
      </c>
      <c r="E508">
        <v>140</v>
      </c>
      <c r="F508">
        <v>82.5</v>
      </c>
      <c r="G508">
        <v>162.5</v>
      </c>
      <c r="H508">
        <v>385</v>
      </c>
      <c r="I508">
        <v>2014</v>
      </c>
      <c r="J508" t="s">
        <v>852</v>
      </c>
      <c r="K508" t="s">
        <v>30</v>
      </c>
      <c r="L508" s="8">
        <f t="shared" si="8"/>
        <v>0.5892857142857143</v>
      </c>
    </row>
    <row r="509" spans="1:12">
      <c r="A509" t="s">
        <v>1058</v>
      </c>
      <c r="B509">
        <v>1987</v>
      </c>
      <c r="C509" t="s">
        <v>62</v>
      </c>
      <c r="D509">
        <v>46.15</v>
      </c>
      <c r="E509">
        <v>97.5</v>
      </c>
      <c r="F509">
        <v>57.5</v>
      </c>
      <c r="G509">
        <v>130</v>
      </c>
      <c r="H509">
        <v>285</v>
      </c>
      <c r="I509">
        <v>2013</v>
      </c>
      <c r="J509" t="s">
        <v>852</v>
      </c>
      <c r="K509" t="s">
        <v>30</v>
      </c>
      <c r="L509" s="8">
        <f t="shared" si="8"/>
        <v>0.58974358974358976</v>
      </c>
    </row>
    <row r="510" spans="1:12">
      <c r="A510" t="s">
        <v>189</v>
      </c>
      <c r="B510">
        <v>1978</v>
      </c>
      <c r="C510" t="s">
        <v>56</v>
      </c>
      <c r="D510">
        <v>56.35</v>
      </c>
      <c r="E510">
        <v>110</v>
      </c>
      <c r="F510">
        <v>65</v>
      </c>
      <c r="G510">
        <v>152.5</v>
      </c>
      <c r="H510">
        <v>327.5</v>
      </c>
      <c r="I510">
        <v>2015</v>
      </c>
      <c r="J510" t="s">
        <v>852</v>
      </c>
      <c r="K510" t="s">
        <v>30</v>
      </c>
      <c r="L510" s="8">
        <f t="shared" si="8"/>
        <v>0.59090909090909094</v>
      </c>
    </row>
    <row r="511" spans="1:12">
      <c r="A511" t="s">
        <v>216</v>
      </c>
      <c r="B511">
        <v>1981</v>
      </c>
      <c r="C511" t="s">
        <v>217</v>
      </c>
      <c r="D511">
        <v>46.78</v>
      </c>
      <c r="E511">
        <v>110</v>
      </c>
      <c r="F511">
        <v>65</v>
      </c>
      <c r="G511">
        <v>152.5</v>
      </c>
      <c r="H511">
        <v>327.5</v>
      </c>
      <c r="I511">
        <v>2015</v>
      </c>
      <c r="J511" t="s">
        <v>852</v>
      </c>
      <c r="K511" t="s">
        <v>30</v>
      </c>
      <c r="L511" s="8">
        <f t="shared" si="8"/>
        <v>0.59090909090909094</v>
      </c>
    </row>
    <row r="512" spans="1:12">
      <c r="A512" t="s">
        <v>233</v>
      </c>
      <c r="B512">
        <v>1988</v>
      </c>
      <c r="C512" t="s">
        <v>62</v>
      </c>
      <c r="D512">
        <v>56.48</v>
      </c>
      <c r="E512">
        <v>122.5</v>
      </c>
      <c r="F512">
        <v>72.5</v>
      </c>
      <c r="G512">
        <v>160</v>
      </c>
      <c r="H512">
        <v>355</v>
      </c>
      <c r="I512">
        <v>2015</v>
      </c>
      <c r="J512" t="s">
        <v>852</v>
      </c>
      <c r="K512" t="s">
        <v>30</v>
      </c>
      <c r="L512" s="8">
        <f t="shared" si="8"/>
        <v>0.59183673469387754</v>
      </c>
    </row>
    <row r="513" spans="1:12">
      <c r="A513" t="s">
        <v>225</v>
      </c>
      <c r="B513">
        <v>1978</v>
      </c>
      <c r="C513" t="s">
        <v>51</v>
      </c>
      <c r="D513">
        <v>60.65</v>
      </c>
      <c r="E513">
        <v>122.5</v>
      </c>
      <c r="F513">
        <v>72.5</v>
      </c>
      <c r="G513">
        <v>150</v>
      </c>
      <c r="H513">
        <v>345</v>
      </c>
      <c r="I513">
        <v>2014</v>
      </c>
      <c r="J513" t="s">
        <v>852</v>
      </c>
      <c r="K513" t="s">
        <v>30</v>
      </c>
      <c r="L513" s="8">
        <f t="shared" si="8"/>
        <v>0.59183673469387754</v>
      </c>
    </row>
    <row r="514" spans="1:12">
      <c r="A514" t="s">
        <v>874</v>
      </c>
      <c r="B514">
        <v>1963</v>
      </c>
      <c r="C514" t="s">
        <v>51</v>
      </c>
      <c r="D514">
        <v>77.55</v>
      </c>
      <c r="E514">
        <v>135</v>
      </c>
      <c r="F514">
        <v>80</v>
      </c>
      <c r="G514">
        <v>160</v>
      </c>
      <c r="H514">
        <v>375</v>
      </c>
      <c r="I514">
        <v>2012</v>
      </c>
      <c r="J514" t="s">
        <v>852</v>
      </c>
      <c r="K514" t="s">
        <v>30</v>
      </c>
      <c r="L514" s="8">
        <f t="shared" si="8"/>
        <v>0.59259259259259256</v>
      </c>
    </row>
    <row r="515" spans="1:12">
      <c r="A515" t="s">
        <v>290</v>
      </c>
      <c r="B515">
        <v>1980</v>
      </c>
      <c r="C515" t="s">
        <v>35</v>
      </c>
      <c r="D515">
        <v>110.32</v>
      </c>
      <c r="E515">
        <v>215</v>
      </c>
      <c r="F515">
        <v>127.5</v>
      </c>
      <c r="G515">
        <v>205</v>
      </c>
      <c r="H515">
        <v>547.5</v>
      </c>
      <c r="I515">
        <v>2015</v>
      </c>
      <c r="J515" t="s">
        <v>852</v>
      </c>
      <c r="K515" t="s">
        <v>30</v>
      </c>
      <c r="L515" s="8">
        <f t="shared" si="8"/>
        <v>0.59302325581395354</v>
      </c>
    </row>
    <row r="516" spans="1:12">
      <c r="A516" t="s">
        <v>886</v>
      </c>
      <c r="B516">
        <v>1979</v>
      </c>
      <c r="C516" t="s">
        <v>282</v>
      </c>
      <c r="D516">
        <v>56.6</v>
      </c>
      <c r="E516">
        <v>147.5</v>
      </c>
      <c r="F516">
        <v>87.5</v>
      </c>
      <c r="G516">
        <v>172.5</v>
      </c>
      <c r="H516">
        <v>407.5</v>
      </c>
      <c r="I516">
        <v>2014</v>
      </c>
      <c r="J516" t="s">
        <v>852</v>
      </c>
      <c r="K516" t="s">
        <v>30</v>
      </c>
      <c r="L516" s="8">
        <f t="shared" si="8"/>
        <v>0.59322033898305082</v>
      </c>
    </row>
    <row r="517" spans="1:12">
      <c r="A517" t="s">
        <v>246</v>
      </c>
      <c r="B517">
        <v>1984</v>
      </c>
      <c r="C517" t="s">
        <v>80</v>
      </c>
      <c r="D517">
        <v>76.03</v>
      </c>
      <c r="E517">
        <v>175</v>
      </c>
      <c r="F517">
        <v>105</v>
      </c>
      <c r="G517">
        <v>170</v>
      </c>
      <c r="H517">
        <v>450</v>
      </c>
      <c r="I517">
        <v>2015</v>
      </c>
      <c r="J517" t="s">
        <v>852</v>
      </c>
      <c r="K517" t="s">
        <v>30</v>
      </c>
      <c r="L517" s="8">
        <f t="shared" si="8"/>
        <v>0.6</v>
      </c>
    </row>
    <row r="518" spans="1:12">
      <c r="A518" t="s">
        <v>978</v>
      </c>
      <c r="B518">
        <v>1975</v>
      </c>
      <c r="C518" t="s">
        <v>80</v>
      </c>
      <c r="D518">
        <v>62.7</v>
      </c>
      <c r="E518">
        <v>125</v>
      </c>
      <c r="F518">
        <v>75</v>
      </c>
      <c r="G518">
        <v>157.5</v>
      </c>
      <c r="H518">
        <v>357.5</v>
      </c>
      <c r="I518">
        <v>2012</v>
      </c>
      <c r="J518" t="s">
        <v>852</v>
      </c>
      <c r="K518" t="s">
        <v>30</v>
      </c>
      <c r="L518" s="8">
        <f t="shared" si="8"/>
        <v>0.6</v>
      </c>
    </row>
    <row r="519" spans="1:12">
      <c r="A519" t="s">
        <v>288</v>
      </c>
      <c r="B519">
        <v>1968</v>
      </c>
      <c r="C519" t="s">
        <v>289</v>
      </c>
      <c r="D519">
        <v>50.7</v>
      </c>
      <c r="E519">
        <v>125</v>
      </c>
      <c r="F519">
        <v>75</v>
      </c>
      <c r="G519">
        <v>152.5</v>
      </c>
      <c r="H519">
        <v>352.5</v>
      </c>
      <c r="I519">
        <v>2012</v>
      </c>
      <c r="J519" t="s">
        <v>852</v>
      </c>
      <c r="K519" t="s">
        <v>30</v>
      </c>
      <c r="L519" s="8">
        <f t="shared" si="8"/>
        <v>0.6</v>
      </c>
    </row>
    <row r="520" spans="1:12">
      <c r="A520" t="s">
        <v>1060</v>
      </c>
      <c r="B520">
        <v>1967</v>
      </c>
      <c r="C520" t="s">
        <v>28</v>
      </c>
      <c r="D520">
        <v>66.95</v>
      </c>
      <c r="E520">
        <v>137.5</v>
      </c>
      <c r="F520">
        <v>82.5</v>
      </c>
      <c r="G520">
        <v>185</v>
      </c>
      <c r="H520">
        <v>405</v>
      </c>
      <c r="I520">
        <v>2012</v>
      </c>
      <c r="J520" t="s">
        <v>852</v>
      </c>
      <c r="K520" t="s">
        <v>30</v>
      </c>
      <c r="L520" s="8">
        <f t="shared" si="8"/>
        <v>0.6</v>
      </c>
    </row>
    <row r="521" spans="1:12">
      <c r="A521" t="s">
        <v>206</v>
      </c>
      <c r="B521">
        <v>1970</v>
      </c>
      <c r="C521" t="s">
        <v>62</v>
      </c>
      <c r="D521">
        <v>81.08</v>
      </c>
      <c r="E521">
        <v>165</v>
      </c>
      <c r="F521">
        <v>100</v>
      </c>
      <c r="G521">
        <v>217.5</v>
      </c>
      <c r="H521">
        <v>482.5</v>
      </c>
      <c r="I521">
        <v>2015</v>
      </c>
      <c r="J521" t="s">
        <v>852</v>
      </c>
      <c r="K521" t="s">
        <v>30</v>
      </c>
      <c r="L521" s="8">
        <f t="shared" si="8"/>
        <v>0.60606060606060608</v>
      </c>
    </row>
    <row r="522" spans="1:12">
      <c r="A522" t="s">
        <v>344</v>
      </c>
      <c r="B522">
        <v>1973</v>
      </c>
      <c r="C522" t="s">
        <v>163</v>
      </c>
      <c r="D522">
        <v>81.510000000000005</v>
      </c>
      <c r="E522">
        <v>165</v>
      </c>
      <c r="F522">
        <v>100</v>
      </c>
      <c r="G522">
        <v>197.5</v>
      </c>
      <c r="H522">
        <v>462.5</v>
      </c>
      <c r="I522">
        <v>2015</v>
      </c>
      <c r="J522" t="s">
        <v>852</v>
      </c>
      <c r="K522" t="s">
        <v>30</v>
      </c>
      <c r="L522" s="8">
        <f t="shared" si="8"/>
        <v>0.60606060606060608</v>
      </c>
    </row>
    <row r="523" spans="1:12">
      <c r="A523" t="s">
        <v>944</v>
      </c>
      <c r="B523">
        <v>1979</v>
      </c>
      <c r="C523" t="s">
        <v>28</v>
      </c>
      <c r="D523">
        <v>51.3</v>
      </c>
      <c r="E523">
        <v>140</v>
      </c>
      <c r="F523">
        <v>85</v>
      </c>
      <c r="G523">
        <v>160</v>
      </c>
      <c r="H523">
        <v>385</v>
      </c>
      <c r="I523">
        <v>2013</v>
      </c>
      <c r="J523" t="s">
        <v>852</v>
      </c>
      <c r="K523" t="s">
        <v>30</v>
      </c>
      <c r="L523" s="8">
        <f t="shared" si="8"/>
        <v>0.6071428571428571</v>
      </c>
    </row>
    <row r="524" spans="1:12">
      <c r="A524" t="s">
        <v>233</v>
      </c>
      <c r="B524">
        <v>1988</v>
      </c>
      <c r="C524" t="s">
        <v>62</v>
      </c>
      <c r="D524">
        <v>56.2</v>
      </c>
      <c r="E524">
        <v>115</v>
      </c>
      <c r="F524">
        <v>70</v>
      </c>
      <c r="G524">
        <v>150</v>
      </c>
      <c r="H524">
        <v>335</v>
      </c>
      <c r="I524">
        <v>2014</v>
      </c>
      <c r="J524" t="s">
        <v>852</v>
      </c>
      <c r="K524" t="s">
        <v>30</v>
      </c>
      <c r="L524" s="8">
        <f t="shared" si="8"/>
        <v>0.60869565217391308</v>
      </c>
    </row>
    <row r="525" spans="1:12">
      <c r="A525" t="s">
        <v>952</v>
      </c>
      <c r="B525">
        <v>1981</v>
      </c>
      <c r="C525" t="s">
        <v>137</v>
      </c>
      <c r="D525">
        <v>46.1</v>
      </c>
      <c r="E525">
        <v>115</v>
      </c>
      <c r="F525">
        <v>70</v>
      </c>
      <c r="G525">
        <v>135</v>
      </c>
      <c r="H525">
        <v>320</v>
      </c>
      <c r="I525">
        <v>2014</v>
      </c>
      <c r="J525" t="s">
        <v>852</v>
      </c>
      <c r="K525" t="s">
        <v>30</v>
      </c>
      <c r="L525" s="8">
        <f t="shared" si="8"/>
        <v>0.60869565217391308</v>
      </c>
    </row>
    <row r="526" spans="1:12">
      <c r="A526" t="s">
        <v>949</v>
      </c>
      <c r="B526">
        <v>1974</v>
      </c>
      <c r="C526" t="s">
        <v>80</v>
      </c>
      <c r="D526">
        <v>56.5</v>
      </c>
      <c r="E526">
        <v>102.5</v>
      </c>
      <c r="F526">
        <v>62.5</v>
      </c>
      <c r="G526">
        <v>130</v>
      </c>
      <c r="H526">
        <v>295</v>
      </c>
      <c r="I526">
        <v>2012</v>
      </c>
      <c r="J526" t="s">
        <v>852</v>
      </c>
      <c r="K526" t="s">
        <v>30</v>
      </c>
      <c r="L526" s="8">
        <f t="shared" si="8"/>
        <v>0.6097560975609756</v>
      </c>
    </row>
    <row r="527" spans="1:12">
      <c r="A527" t="s">
        <v>1014</v>
      </c>
      <c r="B527">
        <v>1979</v>
      </c>
      <c r="C527" t="s">
        <v>56</v>
      </c>
      <c r="D527">
        <v>46.15</v>
      </c>
      <c r="E527">
        <v>90</v>
      </c>
      <c r="F527">
        <v>55</v>
      </c>
      <c r="G527">
        <v>125</v>
      </c>
      <c r="H527">
        <v>270</v>
      </c>
      <c r="I527">
        <v>2014</v>
      </c>
      <c r="J527" t="s">
        <v>852</v>
      </c>
      <c r="K527" t="s">
        <v>30</v>
      </c>
      <c r="L527" s="8">
        <f t="shared" si="8"/>
        <v>0.61111111111111116</v>
      </c>
    </row>
    <row r="528" spans="1:12">
      <c r="A528" t="s">
        <v>330</v>
      </c>
      <c r="B528">
        <v>1988</v>
      </c>
      <c r="C528" t="s">
        <v>28</v>
      </c>
      <c r="D528">
        <v>79.849999999999994</v>
      </c>
      <c r="E528">
        <v>180</v>
      </c>
      <c r="F528">
        <v>110</v>
      </c>
      <c r="G528">
        <v>190</v>
      </c>
      <c r="H528">
        <v>480</v>
      </c>
      <c r="I528">
        <v>2014</v>
      </c>
      <c r="J528" t="s">
        <v>852</v>
      </c>
      <c r="K528" t="s">
        <v>30</v>
      </c>
      <c r="L528" s="8">
        <f t="shared" si="8"/>
        <v>0.61111111111111116</v>
      </c>
    </row>
    <row r="529" spans="1:12">
      <c r="A529" t="s">
        <v>931</v>
      </c>
      <c r="B529">
        <v>1976</v>
      </c>
      <c r="C529" t="s">
        <v>62</v>
      </c>
      <c r="D529">
        <v>49.9</v>
      </c>
      <c r="E529">
        <v>122.5</v>
      </c>
      <c r="F529">
        <v>75</v>
      </c>
      <c r="G529">
        <v>155</v>
      </c>
      <c r="H529">
        <v>352.5</v>
      </c>
      <c r="I529">
        <v>2014</v>
      </c>
      <c r="J529" t="s">
        <v>852</v>
      </c>
      <c r="K529" t="s">
        <v>30</v>
      </c>
      <c r="L529" s="8">
        <f t="shared" si="8"/>
        <v>0.61224489795918369</v>
      </c>
    </row>
    <row r="530" spans="1:12">
      <c r="A530" t="s">
        <v>1011</v>
      </c>
      <c r="B530">
        <v>1976</v>
      </c>
      <c r="C530" t="s">
        <v>35</v>
      </c>
      <c r="D530">
        <v>94.84</v>
      </c>
      <c r="E530">
        <v>155</v>
      </c>
      <c r="F530">
        <v>95</v>
      </c>
      <c r="G530">
        <v>187.5</v>
      </c>
      <c r="H530">
        <v>437.5</v>
      </c>
      <c r="I530">
        <v>2012</v>
      </c>
      <c r="J530" t="s">
        <v>852</v>
      </c>
      <c r="K530" t="s">
        <v>30</v>
      </c>
      <c r="L530" s="8">
        <f t="shared" ref="L530:L593" si="9">IF(AND(F530&lt;&gt;0,E530&lt;&gt;0),F530/E530,"")</f>
        <v>0.61290322580645162</v>
      </c>
    </row>
    <row r="531" spans="1:12">
      <c r="A531" t="s">
        <v>225</v>
      </c>
      <c r="B531">
        <v>1978</v>
      </c>
      <c r="C531" t="s">
        <v>51</v>
      </c>
      <c r="D531">
        <v>60.6</v>
      </c>
      <c r="E531">
        <v>110</v>
      </c>
      <c r="F531">
        <v>67.5</v>
      </c>
      <c r="G531">
        <v>157.5</v>
      </c>
      <c r="H531">
        <v>335</v>
      </c>
      <c r="I531">
        <v>2013</v>
      </c>
      <c r="J531" t="s">
        <v>852</v>
      </c>
      <c r="K531" t="s">
        <v>30</v>
      </c>
      <c r="L531" s="8">
        <f t="shared" si="9"/>
        <v>0.61363636363636365</v>
      </c>
    </row>
    <row r="532" spans="1:12">
      <c r="A532" t="s">
        <v>933</v>
      </c>
      <c r="B532">
        <v>1987</v>
      </c>
      <c r="C532" t="s">
        <v>56</v>
      </c>
      <c r="D532">
        <v>62.7</v>
      </c>
      <c r="E532">
        <v>110</v>
      </c>
      <c r="F532">
        <v>67.5</v>
      </c>
      <c r="G532">
        <v>160</v>
      </c>
      <c r="H532">
        <v>337.5</v>
      </c>
      <c r="I532">
        <v>2013</v>
      </c>
      <c r="J532" t="s">
        <v>852</v>
      </c>
      <c r="K532" t="s">
        <v>30</v>
      </c>
      <c r="L532" s="8">
        <f t="shared" si="9"/>
        <v>0.61363636363636365</v>
      </c>
    </row>
    <row r="533" spans="1:12">
      <c r="A533" t="s">
        <v>337</v>
      </c>
      <c r="B533">
        <v>1979</v>
      </c>
      <c r="C533" t="s">
        <v>28</v>
      </c>
      <c r="D533">
        <v>56.8</v>
      </c>
      <c r="E533">
        <v>142.5</v>
      </c>
      <c r="F533">
        <v>87.5</v>
      </c>
      <c r="G533">
        <v>145</v>
      </c>
      <c r="H533">
        <v>375</v>
      </c>
      <c r="I533">
        <v>2014</v>
      </c>
      <c r="J533" t="s">
        <v>852</v>
      </c>
      <c r="K533" t="s">
        <v>30</v>
      </c>
      <c r="L533" s="8">
        <f t="shared" si="9"/>
        <v>0.61403508771929827</v>
      </c>
    </row>
    <row r="534" spans="1:12">
      <c r="A534" t="s">
        <v>298</v>
      </c>
      <c r="B534">
        <v>1977</v>
      </c>
      <c r="C534" t="s">
        <v>51</v>
      </c>
      <c r="D534">
        <v>45.55</v>
      </c>
      <c r="E534">
        <v>97.5</v>
      </c>
      <c r="F534">
        <v>60</v>
      </c>
      <c r="G534">
        <v>122.5</v>
      </c>
      <c r="H534">
        <v>280</v>
      </c>
      <c r="I534">
        <v>2015</v>
      </c>
      <c r="J534" t="s">
        <v>852</v>
      </c>
      <c r="K534" t="s">
        <v>30</v>
      </c>
      <c r="L534" s="8">
        <f t="shared" si="9"/>
        <v>0.61538461538461542</v>
      </c>
    </row>
    <row r="535" spans="1:12">
      <c r="A535" t="s">
        <v>987</v>
      </c>
      <c r="B535">
        <v>1989</v>
      </c>
      <c r="C535" t="s">
        <v>85</v>
      </c>
      <c r="D535">
        <v>75.5</v>
      </c>
      <c r="E535">
        <v>162.5</v>
      </c>
      <c r="F535">
        <v>100</v>
      </c>
      <c r="G535">
        <v>202.5</v>
      </c>
      <c r="H535">
        <v>465</v>
      </c>
      <c r="I535">
        <v>2014</v>
      </c>
      <c r="J535" t="s">
        <v>852</v>
      </c>
      <c r="K535" t="s">
        <v>30</v>
      </c>
      <c r="L535" s="8">
        <f t="shared" si="9"/>
        <v>0.61538461538461542</v>
      </c>
    </row>
    <row r="536" spans="1:12">
      <c r="A536" t="s">
        <v>919</v>
      </c>
      <c r="B536">
        <v>1980</v>
      </c>
      <c r="C536" t="s">
        <v>56</v>
      </c>
      <c r="D536">
        <v>51.25</v>
      </c>
      <c r="E536">
        <v>85</v>
      </c>
      <c r="F536">
        <v>52.5</v>
      </c>
      <c r="G536">
        <v>140</v>
      </c>
      <c r="H536">
        <v>277.5</v>
      </c>
      <c r="I536">
        <v>2013</v>
      </c>
      <c r="J536" t="s">
        <v>852</v>
      </c>
      <c r="K536" t="s">
        <v>30</v>
      </c>
      <c r="L536" s="8">
        <f t="shared" si="9"/>
        <v>0.61764705882352944</v>
      </c>
    </row>
    <row r="537" spans="1:12">
      <c r="A537" t="s">
        <v>275</v>
      </c>
      <c r="B537">
        <v>1988</v>
      </c>
      <c r="C537" t="s">
        <v>51</v>
      </c>
      <c r="D537">
        <v>56.84</v>
      </c>
      <c r="E537">
        <v>137.5</v>
      </c>
      <c r="F537">
        <v>85</v>
      </c>
      <c r="G537">
        <v>147.5</v>
      </c>
      <c r="H537">
        <v>370</v>
      </c>
      <c r="I537">
        <v>2015</v>
      </c>
      <c r="J537" t="s">
        <v>852</v>
      </c>
      <c r="K537" t="s">
        <v>30</v>
      </c>
      <c r="L537" s="8">
        <f t="shared" si="9"/>
        <v>0.61818181818181817</v>
      </c>
    </row>
    <row r="538" spans="1:12">
      <c r="A538" t="s">
        <v>987</v>
      </c>
      <c r="B538">
        <v>1989</v>
      </c>
      <c r="C538" t="s">
        <v>85</v>
      </c>
      <c r="D538">
        <v>70.8</v>
      </c>
      <c r="E538">
        <v>137.5</v>
      </c>
      <c r="F538">
        <v>85</v>
      </c>
      <c r="G538">
        <v>190</v>
      </c>
      <c r="H538">
        <v>412.5</v>
      </c>
      <c r="I538">
        <v>2012</v>
      </c>
      <c r="J538" t="s">
        <v>852</v>
      </c>
      <c r="K538" t="s">
        <v>30</v>
      </c>
      <c r="L538" s="8">
        <f t="shared" si="9"/>
        <v>0.61818181818181817</v>
      </c>
    </row>
    <row r="539" spans="1:12">
      <c r="A539" t="s">
        <v>342</v>
      </c>
      <c r="B539">
        <v>1978</v>
      </c>
      <c r="C539" t="s">
        <v>62</v>
      </c>
      <c r="D539">
        <v>62.25</v>
      </c>
      <c r="E539">
        <v>157.5</v>
      </c>
      <c r="F539">
        <v>97.5</v>
      </c>
      <c r="G539">
        <v>221</v>
      </c>
      <c r="H539">
        <v>476</v>
      </c>
      <c r="I539">
        <v>2013</v>
      </c>
      <c r="J539" t="s">
        <v>852</v>
      </c>
      <c r="K539" t="s">
        <v>30</v>
      </c>
      <c r="L539" s="8">
        <f t="shared" si="9"/>
        <v>0.61904761904761907</v>
      </c>
    </row>
    <row r="540" spans="1:12">
      <c r="A540" t="s">
        <v>225</v>
      </c>
      <c r="B540">
        <v>1978</v>
      </c>
      <c r="C540" t="s">
        <v>51</v>
      </c>
      <c r="D540">
        <v>62.12</v>
      </c>
      <c r="E540">
        <v>125</v>
      </c>
      <c r="F540">
        <v>77.5</v>
      </c>
      <c r="G540">
        <v>175</v>
      </c>
      <c r="H540">
        <v>377.5</v>
      </c>
      <c r="I540">
        <v>2015</v>
      </c>
      <c r="J540" t="s">
        <v>852</v>
      </c>
      <c r="K540" t="s">
        <v>30</v>
      </c>
      <c r="L540" s="8">
        <f t="shared" si="9"/>
        <v>0.62</v>
      </c>
    </row>
    <row r="541" spans="1:12">
      <c r="A541" t="s">
        <v>975</v>
      </c>
      <c r="B541">
        <v>1986</v>
      </c>
      <c r="C541" t="s">
        <v>56</v>
      </c>
      <c r="D541">
        <v>55.7</v>
      </c>
      <c r="E541">
        <v>125</v>
      </c>
      <c r="F541">
        <v>77.5</v>
      </c>
      <c r="G541">
        <v>132.5</v>
      </c>
      <c r="H541">
        <v>335</v>
      </c>
      <c r="I541">
        <v>2014</v>
      </c>
      <c r="J541" t="s">
        <v>852</v>
      </c>
      <c r="K541" t="s">
        <v>30</v>
      </c>
      <c r="L541" s="8">
        <f t="shared" si="9"/>
        <v>0.62</v>
      </c>
    </row>
    <row r="542" spans="1:12">
      <c r="A542" t="s">
        <v>960</v>
      </c>
      <c r="B542">
        <v>1991</v>
      </c>
      <c r="C542" t="s">
        <v>56</v>
      </c>
      <c r="D542">
        <v>50.65</v>
      </c>
      <c r="E542">
        <v>72.5</v>
      </c>
      <c r="F542">
        <v>45</v>
      </c>
      <c r="G542">
        <v>95</v>
      </c>
      <c r="H542">
        <v>212.5</v>
      </c>
      <c r="I542">
        <v>2012</v>
      </c>
      <c r="J542" t="s">
        <v>852</v>
      </c>
      <c r="K542" t="s">
        <v>30</v>
      </c>
      <c r="L542" s="8">
        <f t="shared" si="9"/>
        <v>0.62068965517241381</v>
      </c>
    </row>
    <row r="543" spans="1:12">
      <c r="A543" t="s">
        <v>246</v>
      </c>
      <c r="B543">
        <v>1984</v>
      </c>
      <c r="C543" t="s">
        <v>80</v>
      </c>
      <c r="D543">
        <v>71.05</v>
      </c>
      <c r="E543">
        <v>165</v>
      </c>
      <c r="F543">
        <v>102.5</v>
      </c>
      <c r="G543">
        <v>160</v>
      </c>
      <c r="H543">
        <v>427.5</v>
      </c>
      <c r="I543">
        <v>2014</v>
      </c>
      <c r="J543" t="s">
        <v>852</v>
      </c>
      <c r="K543" t="s">
        <v>30</v>
      </c>
      <c r="L543" s="8">
        <f t="shared" si="9"/>
        <v>0.62121212121212122</v>
      </c>
    </row>
    <row r="544" spans="1:12">
      <c r="A544" t="s">
        <v>1010</v>
      </c>
      <c r="B544">
        <v>1986</v>
      </c>
      <c r="C544" t="s">
        <v>62</v>
      </c>
      <c r="D544">
        <v>69.349999999999994</v>
      </c>
      <c r="E544">
        <v>132.5</v>
      </c>
      <c r="F544">
        <v>82.5</v>
      </c>
      <c r="G544">
        <v>182.5</v>
      </c>
      <c r="H544">
        <v>397.5</v>
      </c>
      <c r="I544">
        <v>2012</v>
      </c>
      <c r="J544" t="s">
        <v>852</v>
      </c>
      <c r="K544" t="s">
        <v>30</v>
      </c>
      <c r="L544" s="8">
        <f t="shared" si="9"/>
        <v>0.62264150943396224</v>
      </c>
    </row>
    <row r="545" spans="1:12">
      <c r="A545" t="s">
        <v>342</v>
      </c>
      <c r="B545">
        <v>1978</v>
      </c>
      <c r="C545" t="s">
        <v>62</v>
      </c>
      <c r="D545">
        <v>65.25</v>
      </c>
      <c r="E545">
        <v>172.5</v>
      </c>
      <c r="F545">
        <v>107.5</v>
      </c>
      <c r="G545">
        <v>230</v>
      </c>
      <c r="H545">
        <v>510</v>
      </c>
      <c r="I545">
        <v>2014</v>
      </c>
      <c r="J545" t="s">
        <v>852</v>
      </c>
      <c r="K545" t="s">
        <v>30</v>
      </c>
      <c r="L545" s="8">
        <f t="shared" si="9"/>
        <v>0.62318840579710144</v>
      </c>
    </row>
    <row r="546" spans="1:12">
      <c r="A546" t="s">
        <v>1005</v>
      </c>
      <c r="B546">
        <v>1956</v>
      </c>
      <c r="C546" t="s">
        <v>113</v>
      </c>
      <c r="D546">
        <v>51.3</v>
      </c>
      <c r="E546">
        <v>100</v>
      </c>
      <c r="F546">
        <v>62.5</v>
      </c>
      <c r="G546">
        <v>155</v>
      </c>
      <c r="H546">
        <v>317.5</v>
      </c>
      <c r="I546">
        <v>2012</v>
      </c>
      <c r="J546" t="s">
        <v>852</v>
      </c>
      <c r="K546" t="s">
        <v>30</v>
      </c>
      <c r="L546" s="8">
        <f t="shared" si="9"/>
        <v>0.625</v>
      </c>
    </row>
    <row r="547" spans="1:12">
      <c r="A547" t="s">
        <v>259</v>
      </c>
      <c r="B547">
        <v>1990</v>
      </c>
      <c r="C547" t="s">
        <v>35</v>
      </c>
      <c r="D547">
        <v>51.14</v>
      </c>
      <c r="E547">
        <v>147.5</v>
      </c>
      <c r="F547">
        <v>92.5</v>
      </c>
      <c r="G547">
        <v>172.5</v>
      </c>
      <c r="H547">
        <v>412.5</v>
      </c>
      <c r="I547">
        <v>2015</v>
      </c>
      <c r="J547" t="s">
        <v>852</v>
      </c>
      <c r="K547" t="s">
        <v>30</v>
      </c>
      <c r="L547" s="8">
        <f t="shared" si="9"/>
        <v>0.6271186440677966</v>
      </c>
    </row>
    <row r="548" spans="1:12">
      <c r="A548" t="s">
        <v>334</v>
      </c>
      <c r="B548">
        <v>1977</v>
      </c>
      <c r="C548" t="s">
        <v>194</v>
      </c>
      <c r="D548">
        <v>61.93</v>
      </c>
      <c r="E548">
        <v>127.5</v>
      </c>
      <c r="F548">
        <v>80</v>
      </c>
      <c r="G548">
        <v>145</v>
      </c>
      <c r="H548">
        <v>352.5</v>
      </c>
      <c r="I548">
        <v>2015</v>
      </c>
      <c r="J548" t="s">
        <v>852</v>
      </c>
      <c r="K548" t="s">
        <v>30</v>
      </c>
      <c r="L548" s="8">
        <f t="shared" si="9"/>
        <v>0.62745098039215685</v>
      </c>
    </row>
    <row r="549" spans="1:12">
      <c r="A549" t="s">
        <v>956</v>
      </c>
      <c r="B549">
        <v>1977</v>
      </c>
      <c r="C549" t="s">
        <v>51</v>
      </c>
      <c r="D549">
        <v>55.85</v>
      </c>
      <c r="E549">
        <v>127.5</v>
      </c>
      <c r="F549">
        <v>80</v>
      </c>
      <c r="G549">
        <v>155</v>
      </c>
      <c r="H549">
        <v>362.5</v>
      </c>
      <c r="I549">
        <v>2014</v>
      </c>
      <c r="J549" t="s">
        <v>852</v>
      </c>
      <c r="K549" t="s">
        <v>30</v>
      </c>
      <c r="L549" s="8">
        <f t="shared" si="9"/>
        <v>0.62745098039215685</v>
      </c>
    </row>
    <row r="550" spans="1:12">
      <c r="A550" t="s">
        <v>1021</v>
      </c>
      <c r="B550">
        <v>1968</v>
      </c>
      <c r="C550" t="s">
        <v>62</v>
      </c>
      <c r="D550">
        <v>56.4</v>
      </c>
      <c r="E550">
        <v>107.5</v>
      </c>
      <c r="F550">
        <v>67.5</v>
      </c>
      <c r="G550">
        <v>130</v>
      </c>
      <c r="H550">
        <v>305</v>
      </c>
      <c r="I550">
        <v>2013</v>
      </c>
      <c r="J550" t="s">
        <v>852</v>
      </c>
      <c r="K550" t="s">
        <v>30</v>
      </c>
      <c r="L550" s="8">
        <f t="shared" si="9"/>
        <v>0.62790697674418605</v>
      </c>
    </row>
    <row r="551" spans="1:12">
      <c r="A551" t="s">
        <v>1009</v>
      </c>
      <c r="B551">
        <v>1988</v>
      </c>
      <c r="C551" t="s">
        <v>113</v>
      </c>
      <c r="D551">
        <v>62.1</v>
      </c>
      <c r="E551">
        <v>135</v>
      </c>
      <c r="F551">
        <v>85</v>
      </c>
      <c r="G551">
        <v>160</v>
      </c>
      <c r="H551">
        <v>380</v>
      </c>
      <c r="I551">
        <v>2013</v>
      </c>
      <c r="J551" t="s">
        <v>852</v>
      </c>
      <c r="K551" t="s">
        <v>30</v>
      </c>
      <c r="L551" s="8">
        <f t="shared" si="9"/>
        <v>0.62962962962962965</v>
      </c>
    </row>
    <row r="552" spans="1:12">
      <c r="A552" t="s">
        <v>271</v>
      </c>
      <c r="B552">
        <v>1974</v>
      </c>
      <c r="C552" t="s">
        <v>28</v>
      </c>
      <c r="D552">
        <v>95.4</v>
      </c>
      <c r="E552">
        <v>182.5</v>
      </c>
      <c r="F552">
        <v>115</v>
      </c>
      <c r="G552">
        <v>190</v>
      </c>
      <c r="H552">
        <v>487.5</v>
      </c>
      <c r="I552">
        <v>2013</v>
      </c>
      <c r="J552" t="s">
        <v>852</v>
      </c>
      <c r="K552" t="s">
        <v>30</v>
      </c>
      <c r="L552" s="8">
        <f t="shared" si="9"/>
        <v>0.63013698630136983</v>
      </c>
    </row>
    <row r="553" spans="1:12">
      <c r="A553" t="s">
        <v>1037</v>
      </c>
      <c r="B553">
        <v>1981</v>
      </c>
      <c r="C553" t="s">
        <v>56</v>
      </c>
      <c r="D553">
        <v>83.5</v>
      </c>
      <c r="E553">
        <v>115</v>
      </c>
      <c r="F553">
        <v>72.5</v>
      </c>
      <c r="G553">
        <v>162.5</v>
      </c>
      <c r="H553">
        <v>350</v>
      </c>
      <c r="I553">
        <v>2013</v>
      </c>
      <c r="J553" t="s">
        <v>852</v>
      </c>
      <c r="K553" t="s">
        <v>30</v>
      </c>
      <c r="L553" s="8">
        <f t="shared" si="9"/>
        <v>0.63043478260869568</v>
      </c>
    </row>
    <row r="554" spans="1:12">
      <c r="A554" t="s">
        <v>293</v>
      </c>
      <c r="B554">
        <v>1984</v>
      </c>
      <c r="C554" t="s">
        <v>163</v>
      </c>
      <c r="D554">
        <v>53.74</v>
      </c>
      <c r="E554">
        <v>95</v>
      </c>
      <c r="F554">
        <v>60</v>
      </c>
      <c r="G554">
        <v>132.5</v>
      </c>
      <c r="H554">
        <v>287.5</v>
      </c>
      <c r="I554">
        <v>2015</v>
      </c>
      <c r="J554" t="s">
        <v>852</v>
      </c>
      <c r="K554" t="s">
        <v>30</v>
      </c>
      <c r="L554" s="8">
        <f t="shared" si="9"/>
        <v>0.63157894736842102</v>
      </c>
    </row>
    <row r="555" spans="1:12">
      <c r="A555" t="s">
        <v>242</v>
      </c>
      <c r="B555">
        <v>1961</v>
      </c>
      <c r="C555" t="s">
        <v>243</v>
      </c>
      <c r="D555">
        <v>61.35</v>
      </c>
      <c r="E555">
        <v>95</v>
      </c>
      <c r="F555">
        <v>60</v>
      </c>
      <c r="G555">
        <v>112.5</v>
      </c>
      <c r="H555">
        <v>267.5</v>
      </c>
      <c r="I555">
        <v>2012</v>
      </c>
      <c r="J555" t="s">
        <v>852</v>
      </c>
      <c r="K555" t="s">
        <v>30</v>
      </c>
      <c r="L555" s="8">
        <f t="shared" si="9"/>
        <v>0.63157894736842102</v>
      </c>
    </row>
    <row r="556" spans="1:12">
      <c r="A556" t="s">
        <v>341</v>
      </c>
      <c r="B556">
        <v>1988</v>
      </c>
      <c r="C556" t="s">
        <v>80</v>
      </c>
      <c r="D556">
        <v>62.75</v>
      </c>
      <c r="E556">
        <v>142.5</v>
      </c>
      <c r="F556">
        <v>90</v>
      </c>
      <c r="G556">
        <v>172.5</v>
      </c>
      <c r="H556">
        <v>405</v>
      </c>
      <c r="I556">
        <v>2012</v>
      </c>
      <c r="J556" t="s">
        <v>852</v>
      </c>
      <c r="K556" t="s">
        <v>30</v>
      </c>
      <c r="L556" s="8">
        <f t="shared" si="9"/>
        <v>0.63157894736842102</v>
      </c>
    </row>
    <row r="557" spans="1:12">
      <c r="A557" t="s">
        <v>857</v>
      </c>
      <c r="B557">
        <v>1989</v>
      </c>
      <c r="C557" t="s">
        <v>39</v>
      </c>
      <c r="D557">
        <v>93.5</v>
      </c>
      <c r="E557">
        <v>170</v>
      </c>
      <c r="F557">
        <v>107.5</v>
      </c>
      <c r="G557">
        <v>185</v>
      </c>
      <c r="H557">
        <v>462.5</v>
      </c>
      <c r="I557">
        <v>2013</v>
      </c>
      <c r="J557" t="s">
        <v>852</v>
      </c>
      <c r="K557" t="s">
        <v>30</v>
      </c>
      <c r="L557" s="8">
        <f t="shared" si="9"/>
        <v>0.63235294117647056</v>
      </c>
    </row>
    <row r="558" spans="1:12">
      <c r="A558" t="s">
        <v>917</v>
      </c>
      <c r="B558">
        <v>1989</v>
      </c>
      <c r="C558" t="s">
        <v>56</v>
      </c>
      <c r="D558">
        <v>77.900000000000006</v>
      </c>
      <c r="E558">
        <v>170</v>
      </c>
      <c r="F558">
        <v>107.5</v>
      </c>
      <c r="G558">
        <v>175</v>
      </c>
      <c r="H558">
        <v>452.5</v>
      </c>
      <c r="I558">
        <v>2014</v>
      </c>
      <c r="J558" t="s">
        <v>852</v>
      </c>
      <c r="K558" t="s">
        <v>30</v>
      </c>
      <c r="L558" s="8">
        <f t="shared" si="9"/>
        <v>0.63235294117647056</v>
      </c>
    </row>
    <row r="559" spans="1:12">
      <c r="A559" t="s">
        <v>906</v>
      </c>
      <c r="B559">
        <v>1983</v>
      </c>
      <c r="C559" t="s">
        <v>35</v>
      </c>
      <c r="D559">
        <v>55.65</v>
      </c>
      <c r="E559">
        <v>122.5</v>
      </c>
      <c r="F559">
        <v>77.5</v>
      </c>
      <c r="G559">
        <v>175</v>
      </c>
      <c r="H559">
        <v>375</v>
      </c>
      <c r="I559">
        <v>2012</v>
      </c>
      <c r="J559" t="s">
        <v>852</v>
      </c>
      <c r="K559" t="s">
        <v>30</v>
      </c>
      <c r="L559" s="8">
        <f t="shared" si="9"/>
        <v>0.63265306122448983</v>
      </c>
    </row>
    <row r="560" spans="1:12">
      <c r="A560" t="s">
        <v>998</v>
      </c>
      <c r="B560">
        <v>1986</v>
      </c>
      <c r="C560" t="s">
        <v>28</v>
      </c>
      <c r="D560">
        <v>56.65</v>
      </c>
      <c r="E560">
        <v>150</v>
      </c>
      <c r="F560">
        <v>95</v>
      </c>
      <c r="G560">
        <v>175</v>
      </c>
      <c r="H560">
        <v>420</v>
      </c>
      <c r="I560">
        <v>2013</v>
      </c>
      <c r="J560" t="s">
        <v>852</v>
      </c>
      <c r="K560" t="s">
        <v>30</v>
      </c>
      <c r="L560" s="8">
        <f t="shared" si="9"/>
        <v>0.6333333333333333</v>
      </c>
    </row>
    <row r="561" spans="1:12">
      <c r="A561" t="s">
        <v>963</v>
      </c>
      <c r="B561">
        <v>1961</v>
      </c>
      <c r="C561" t="s">
        <v>163</v>
      </c>
      <c r="D561">
        <v>126</v>
      </c>
      <c r="E561">
        <v>177.5</v>
      </c>
      <c r="F561">
        <v>112.5</v>
      </c>
      <c r="G561">
        <v>225</v>
      </c>
      <c r="H561">
        <v>515</v>
      </c>
      <c r="I561">
        <v>2012</v>
      </c>
      <c r="J561" t="s">
        <v>852</v>
      </c>
      <c r="K561" t="s">
        <v>30</v>
      </c>
      <c r="L561" s="8">
        <f t="shared" si="9"/>
        <v>0.63380281690140849</v>
      </c>
    </row>
    <row r="562" spans="1:12">
      <c r="A562" t="s">
        <v>899</v>
      </c>
      <c r="B562">
        <v>1975</v>
      </c>
      <c r="C562" t="s">
        <v>56</v>
      </c>
      <c r="D562">
        <v>51</v>
      </c>
      <c r="E562">
        <v>102.5</v>
      </c>
      <c r="F562">
        <v>65</v>
      </c>
      <c r="G562">
        <v>127.5</v>
      </c>
      <c r="H562">
        <v>295</v>
      </c>
      <c r="I562">
        <v>2013</v>
      </c>
      <c r="J562" t="s">
        <v>852</v>
      </c>
      <c r="K562" t="s">
        <v>30</v>
      </c>
      <c r="L562" s="8">
        <f t="shared" si="9"/>
        <v>0.63414634146341464</v>
      </c>
    </row>
    <row r="563" spans="1:12">
      <c r="A563" t="s">
        <v>892</v>
      </c>
      <c r="B563">
        <v>1986</v>
      </c>
      <c r="C563" t="s">
        <v>39</v>
      </c>
      <c r="D563">
        <v>56.6</v>
      </c>
      <c r="E563">
        <v>130</v>
      </c>
      <c r="F563">
        <v>82.5</v>
      </c>
      <c r="G563">
        <v>142.5</v>
      </c>
      <c r="H563">
        <v>355</v>
      </c>
      <c r="I563">
        <v>2013</v>
      </c>
      <c r="J563" t="s">
        <v>852</v>
      </c>
      <c r="K563" t="s">
        <v>30</v>
      </c>
      <c r="L563" s="8">
        <f t="shared" si="9"/>
        <v>0.63461538461538458</v>
      </c>
    </row>
    <row r="564" spans="1:12">
      <c r="A564" t="s">
        <v>275</v>
      </c>
      <c r="B564">
        <v>1988</v>
      </c>
      <c r="C564" t="s">
        <v>51</v>
      </c>
      <c r="D564">
        <v>54.85</v>
      </c>
      <c r="E564">
        <v>130</v>
      </c>
      <c r="F564">
        <v>82.5</v>
      </c>
      <c r="G564">
        <v>147.5</v>
      </c>
      <c r="H564">
        <v>360</v>
      </c>
      <c r="I564">
        <v>2014</v>
      </c>
      <c r="J564" t="s">
        <v>852</v>
      </c>
      <c r="K564" t="s">
        <v>30</v>
      </c>
      <c r="L564" s="8">
        <f t="shared" si="9"/>
        <v>0.63461538461538458</v>
      </c>
    </row>
    <row r="565" spans="1:12">
      <c r="A565" t="s">
        <v>258</v>
      </c>
      <c r="B565">
        <v>1978</v>
      </c>
      <c r="C565" t="s">
        <v>137</v>
      </c>
      <c r="D565">
        <v>46.75</v>
      </c>
      <c r="E565">
        <v>110</v>
      </c>
      <c r="F565">
        <v>70</v>
      </c>
      <c r="G565">
        <v>132.5</v>
      </c>
      <c r="H565">
        <v>312.5</v>
      </c>
      <c r="I565">
        <v>2015</v>
      </c>
      <c r="J565" t="s">
        <v>852</v>
      </c>
      <c r="K565" t="s">
        <v>30</v>
      </c>
      <c r="L565" s="8">
        <f t="shared" si="9"/>
        <v>0.63636363636363635</v>
      </c>
    </row>
    <row r="566" spans="1:12">
      <c r="A566" t="s">
        <v>926</v>
      </c>
      <c r="B566">
        <v>1986</v>
      </c>
      <c r="C566" t="s">
        <v>51</v>
      </c>
      <c r="D566">
        <v>46.25</v>
      </c>
      <c r="E566">
        <v>82.5</v>
      </c>
      <c r="F566">
        <v>52.5</v>
      </c>
      <c r="G566">
        <v>120</v>
      </c>
      <c r="H566">
        <v>255</v>
      </c>
      <c r="I566">
        <v>2014</v>
      </c>
      <c r="J566" t="s">
        <v>852</v>
      </c>
      <c r="K566" t="s">
        <v>30</v>
      </c>
      <c r="L566" s="8">
        <f t="shared" si="9"/>
        <v>0.63636363636363635</v>
      </c>
    </row>
    <row r="567" spans="1:12">
      <c r="A567" t="s">
        <v>271</v>
      </c>
      <c r="B567">
        <v>1974</v>
      </c>
      <c r="C567" t="s">
        <v>28</v>
      </c>
      <c r="D567">
        <v>95.7</v>
      </c>
      <c r="E567">
        <v>195</v>
      </c>
      <c r="F567">
        <v>125</v>
      </c>
      <c r="G567">
        <v>197.5</v>
      </c>
      <c r="H567">
        <v>517.5</v>
      </c>
      <c r="I567">
        <v>2015</v>
      </c>
      <c r="J567" t="s">
        <v>852</v>
      </c>
      <c r="K567" t="s">
        <v>30</v>
      </c>
      <c r="L567" s="8">
        <f t="shared" si="9"/>
        <v>0.64102564102564108</v>
      </c>
    </row>
    <row r="568" spans="1:12">
      <c r="A568" t="s">
        <v>342</v>
      </c>
      <c r="B568">
        <v>1978</v>
      </c>
      <c r="C568" t="s">
        <v>62</v>
      </c>
      <c r="D568">
        <v>69.02</v>
      </c>
      <c r="E568">
        <v>175</v>
      </c>
      <c r="F568">
        <v>112.5</v>
      </c>
      <c r="G568">
        <v>240.5</v>
      </c>
      <c r="H568">
        <v>528</v>
      </c>
      <c r="I568">
        <v>2015</v>
      </c>
      <c r="J568" t="s">
        <v>852</v>
      </c>
      <c r="K568" t="s">
        <v>30</v>
      </c>
      <c r="L568" s="8">
        <f t="shared" si="9"/>
        <v>0.6428571428571429</v>
      </c>
    </row>
    <row r="569" spans="1:12">
      <c r="A569" t="s">
        <v>935</v>
      </c>
      <c r="B569">
        <v>1958</v>
      </c>
      <c r="C569" t="s">
        <v>51</v>
      </c>
      <c r="D569">
        <v>53.7</v>
      </c>
      <c r="E569">
        <v>105</v>
      </c>
      <c r="F569">
        <v>67.5</v>
      </c>
      <c r="G569">
        <v>155</v>
      </c>
      <c r="H569">
        <v>327.5</v>
      </c>
      <c r="I569">
        <v>2012</v>
      </c>
      <c r="J569" t="s">
        <v>852</v>
      </c>
      <c r="K569" t="s">
        <v>30</v>
      </c>
      <c r="L569" s="8">
        <f t="shared" si="9"/>
        <v>0.6428571428571429</v>
      </c>
    </row>
    <row r="570" spans="1:12">
      <c r="A570" t="s">
        <v>987</v>
      </c>
      <c r="B570">
        <v>1989</v>
      </c>
      <c r="C570" t="s">
        <v>85</v>
      </c>
      <c r="D570">
        <v>74.55</v>
      </c>
      <c r="E570">
        <v>147.5</v>
      </c>
      <c r="F570">
        <v>95</v>
      </c>
      <c r="G570">
        <v>185</v>
      </c>
      <c r="H570">
        <v>427.5</v>
      </c>
      <c r="I570">
        <v>2013</v>
      </c>
      <c r="J570" t="s">
        <v>852</v>
      </c>
      <c r="K570" t="s">
        <v>30</v>
      </c>
      <c r="L570" s="8">
        <f t="shared" si="9"/>
        <v>0.64406779661016944</v>
      </c>
    </row>
    <row r="571" spans="1:12">
      <c r="A571" t="s">
        <v>1029</v>
      </c>
      <c r="B571">
        <v>1990</v>
      </c>
      <c r="C571" t="s">
        <v>77</v>
      </c>
      <c r="D571">
        <v>52.05</v>
      </c>
      <c r="E571">
        <v>92.5</v>
      </c>
      <c r="F571">
        <v>60</v>
      </c>
      <c r="G571">
        <v>120</v>
      </c>
      <c r="H571">
        <v>272.5</v>
      </c>
      <c r="I571">
        <v>2012</v>
      </c>
      <c r="J571" t="s">
        <v>852</v>
      </c>
      <c r="K571" t="s">
        <v>30</v>
      </c>
      <c r="L571" s="8">
        <f t="shared" si="9"/>
        <v>0.64864864864864868</v>
      </c>
    </row>
    <row r="572" spans="1:12">
      <c r="A572" t="s">
        <v>990</v>
      </c>
      <c r="B572">
        <v>1992</v>
      </c>
      <c r="C572" t="s">
        <v>62</v>
      </c>
      <c r="D572">
        <v>51.2</v>
      </c>
      <c r="E572">
        <v>100</v>
      </c>
      <c r="F572">
        <v>65</v>
      </c>
      <c r="G572">
        <v>120</v>
      </c>
      <c r="H572">
        <v>285</v>
      </c>
      <c r="I572">
        <v>2012</v>
      </c>
      <c r="J572" t="s">
        <v>852</v>
      </c>
      <c r="K572" t="s">
        <v>30</v>
      </c>
      <c r="L572" s="8">
        <f t="shared" si="9"/>
        <v>0.65</v>
      </c>
    </row>
    <row r="573" spans="1:12">
      <c r="A573" t="s">
        <v>1000</v>
      </c>
      <c r="B573">
        <v>1984</v>
      </c>
      <c r="C573" t="s">
        <v>51</v>
      </c>
      <c r="D573">
        <v>71.849999999999994</v>
      </c>
      <c r="E573">
        <v>100</v>
      </c>
      <c r="F573">
        <v>65</v>
      </c>
      <c r="G573">
        <v>160</v>
      </c>
      <c r="H573">
        <v>325</v>
      </c>
      <c r="I573">
        <v>2012</v>
      </c>
      <c r="J573" t="s">
        <v>852</v>
      </c>
      <c r="K573" t="s">
        <v>30</v>
      </c>
      <c r="L573" s="8">
        <f t="shared" si="9"/>
        <v>0.65</v>
      </c>
    </row>
    <row r="574" spans="1:12">
      <c r="A574" t="s">
        <v>1000</v>
      </c>
      <c r="B574">
        <v>1984</v>
      </c>
      <c r="C574" t="s">
        <v>51</v>
      </c>
      <c r="D574">
        <v>71.900000000000006</v>
      </c>
      <c r="E574">
        <v>100</v>
      </c>
      <c r="F574">
        <v>65</v>
      </c>
      <c r="G574">
        <v>150</v>
      </c>
      <c r="H574">
        <v>315</v>
      </c>
      <c r="I574">
        <v>2013</v>
      </c>
      <c r="J574" t="s">
        <v>852</v>
      </c>
      <c r="K574" t="s">
        <v>30</v>
      </c>
      <c r="L574" s="8">
        <f t="shared" si="9"/>
        <v>0.65</v>
      </c>
    </row>
    <row r="575" spans="1:12">
      <c r="A575" t="s">
        <v>317</v>
      </c>
      <c r="B575">
        <v>1973</v>
      </c>
      <c r="C575" t="s">
        <v>318</v>
      </c>
      <c r="D575">
        <v>83</v>
      </c>
      <c r="E575">
        <v>195</v>
      </c>
      <c r="F575">
        <v>127.5</v>
      </c>
      <c r="G575">
        <v>190</v>
      </c>
      <c r="H575">
        <v>512.5</v>
      </c>
      <c r="I575">
        <v>2014</v>
      </c>
      <c r="J575" t="s">
        <v>852</v>
      </c>
      <c r="K575" t="s">
        <v>30</v>
      </c>
      <c r="L575" s="8">
        <f t="shared" si="9"/>
        <v>0.65384615384615385</v>
      </c>
    </row>
    <row r="576" spans="1:12">
      <c r="A576" t="s">
        <v>871</v>
      </c>
      <c r="B576">
        <v>1981</v>
      </c>
      <c r="C576" t="s">
        <v>113</v>
      </c>
      <c r="D576">
        <v>58.15</v>
      </c>
      <c r="E576">
        <v>137.5</v>
      </c>
      <c r="F576">
        <v>90</v>
      </c>
      <c r="G576">
        <v>145</v>
      </c>
      <c r="H576">
        <v>372.5</v>
      </c>
      <c r="I576">
        <v>2013</v>
      </c>
      <c r="J576" t="s">
        <v>852</v>
      </c>
      <c r="K576" t="s">
        <v>30</v>
      </c>
      <c r="L576" s="8">
        <f t="shared" si="9"/>
        <v>0.65454545454545454</v>
      </c>
    </row>
    <row r="577" spans="1:12">
      <c r="A577" t="s">
        <v>340</v>
      </c>
      <c r="B577">
        <v>1975</v>
      </c>
      <c r="C577" t="s">
        <v>28</v>
      </c>
      <c r="D577">
        <v>62.25</v>
      </c>
      <c r="E577">
        <v>145</v>
      </c>
      <c r="F577">
        <v>95</v>
      </c>
      <c r="G577">
        <v>180</v>
      </c>
      <c r="H577">
        <v>420</v>
      </c>
      <c r="I577">
        <v>2014</v>
      </c>
      <c r="J577" t="s">
        <v>852</v>
      </c>
      <c r="K577" t="s">
        <v>30</v>
      </c>
      <c r="L577" s="8">
        <f t="shared" si="9"/>
        <v>0.65517241379310343</v>
      </c>
    </row>
    <row r="578" spans="1:12">
      <c r="A578" t="s">
        <v>1044</v>
      </c>
      <c r="B578">
        <v>1990</v>
      </c>
      <c r="C578" t="s">
        <v>56</v>
      </c>
      <c r="D578">
        <v>80.099999999999994</v>
      </c>
      <c r="E578">
        <v>160</v>
      </c>
      <c r="F578">
        <v>105</v>
      </c>
      <c r="G578">
        <v>192.5</v>
      </c>
      <c r="H578">
        <v>457.5</v>
      </c>
      <c r="I578">
        <v>2014</v>
      </c>
      <c r="J578" t="s">
        <v>852</v>
      </c>
      <c r="K578" t="s">
        <v>30</v>
      </c>
      <c r="L578" s="8">
        <f t="shared" si="9"/>
        <v>0.65625</v>
      </c>
    </row>
    <row r="579" spans="1:12">
      <c r="A579" t="s">
        <v>245</v>
      </c>
      <c r="B579">
        <v>1979</v>
      </c>
      <c r="C579" t="s">
        <v>77</v>
      </c>
      <c r="D579">
        <v>46.6</v>
      </c>
      <c r="E579">
        <v>102.5</v>
      </c>
      <c r="F579">
        <v>67.5</v>
      </c>
      <c r="G579">
        <v>135</v>
      </c>
      <c r="H579">
        <v>305</v>
      </c>
      <c r="I579">
        <v>2013</v>
      </c>
      <c r="J579" t="s">
        <v>852</v>
      </c>
      <c r="K579" t="s">
        <v>30</v>
      </c>
      <c r="L579" s="8">
        <f t="shared" si="9"/>
        <v>0.65853658536585369</v>
      </c>
    </row>
    <row r="580" spans="1:12">
      <c r="A580" t="s">
        <v>317</v>
      </c>
      <c r="B580">
        <v>1973</v>
      </c>
      <c r="C580" t="s">
        <v>318</v>
      </c>
      <c r="D580">
        <v>83.35</v>
      </c>
      <c r="E580">
        <v>205</v>
      </c>
      <c r="F580">
        <v>135</v>
      </c>
      <c r="G580">
        <v>195</v>
      </c>
      <c r="H580">
        <v>535</v>
      </c>
      <c r="I580">
        <v>2012</v>
      </c>
      <c r="J580" t="s">
        <v>852</v>
      </c>
      <c r="K580" t="s">
        <v>30</v>
      </c>
      <c r="L580" s="8">
        <f t="shared" si="9"/>
        <v>0.65853658536585369</v>
      </c>
    </row>
    <row r="581" spans="1:12">
      <c r="A581" t="s">
        <v>245</v>
      </c>
      <c r="B581">
        <v>1979</v>
      </c>
      <c r="C581" t="s">
        <v>77</v>
      </c>
      <c r="D581">
        <v>46.36</v>
      </c>
      <c r="E581">
        <v>110</v>
      </c>
      <c r="F581">
        <v>72.5</v>
      </c>
      <c r="G581">
        <v>152.5</v>
      </c>
      <c r="H581">
        <v>335</v>
      </c>
      <c r="I581">
        <v>2015</v>
      </c>
      <c r="J581" t="s">
        <v>852</v>
      </c>
      <c r="K581" t="s">
        <v>30</v>
      </c>
      <c r="L581" s="8">
        <f t="shared" si="9"/>
        <v>0.65909090909090906</v>
      </c>
    </row>
    <row r="582" spans="1:12">
      <c r="A582" t="s">
        <v>195</v>
      </c>
      <c r="B582">
        <v>1985</v>
      </c>
      <c r="C582" t="s">
        <v>49</v>
      </c>
      <c r="D582">
        <v>68.150000000000006</v>
      </c>
      <c r="E582">
        <v>185.5</v>
      </c>
      <c r="F582">
        <v>122.5</v>
      </c>
      <c r="G582">
        <v>200</v>
      </c>
      <c r="H582">
        <v>508</v>
      </c>
      <c r="I582">
        <v>2014</v>
      </c>
      <c r="J582" t="s">
        <v>852</v>
      </c>
      <c r="K582" t="s">
        <v>30</v>
      </c>
      <c r="L582" s="8">
        <f t="shared" si="9"/>
        <v>0.660377358490566</v>
      </c>
    </row>
    <row r="583" spans="1:12">
      <c r="A583" t="s">
        <v>337</v>
      </c>
      <c r="B583">
        <v>1979</v>
      </c>
      <c r="C583" t="s">
        <v>28</v>
      </c>
      <c r="D583">
        <v>56.7</v>
      </c>
      <c r="E583">
        <v>140</v>
      </c>
      <c r="F583">
        <v>92.5</v>
      </c>
      <c r="G583">
        <v>162.5</v>
      </c>
      <c r="H583">
        <v>395</v>
      </c>
      <c r="I583">
        <v>2012</v>
      </c>
      <c r="J583" t="s">
        <v>852</v>
      </c>
      <c r="K583" t="s">
        <v>30</v>
      </c>
      <c r="L583" s="8">
        <f t="shared" si="9"/>
        <v>0.6607142857142857</v>
      </c>
    </row>
    <row r="584" spans="1:12">
      <c r="A584" t="s">
        <v>246</v>
      </c>
      <c r="B584">
        <v>1984</v>
      </c>
      <c r="C584" t="s">
        <v>80</v>
      </c>
      <c r="D584">
        <v>70.95</v>
      </c>
      <c r="E584">
        <v>155</v>
      </c>
      <c r="F584">
        <v>102.5</v>
      </c>
      <c r="G584">
        <v>167.5</v>
      </c>
      <c r="H584">
        <v>425</v>
      </c>
      <c r="I584">
        <v>2012</v>
      </c>
      <c r="J584" t="s">
        <v>852</v>
      </c>
      <c r="K584" t="s">
        <v>30</v>
      </c>
      <c r="L584" s="8">
        <f t="shared" si="9"/>
        <v>0.66129032258064513</v>
      </c>
    </row>
    <row r="585" spans="1:12">
      <c r="A585" t="s">
        <v>982</v>
      </c>
      <c r="B585">
        <v>1983</v>
      </c>
      <c r="C585" t="s">
        <v>62</v>
      </c>
      <c r="D585">
        <v>102.65</v>
      </c>
      <c r="E585">
        <v>185</v>
      </c>
      <c r="F585">
        <v>122.5</v>
      </c>
      <c r="G585">
        <v>215</v>
      </c>
      <c r="H585">
        <v>522.5</v>
      </c>
      <c r="I585">
        <v>2013</v>
      </c>
      <c r="J585" t="s">
        <v>852</v>
      </c>
      <c r="K585" t="s">
        <v>30</v>
      </c>
      <c r="L585" s="8">
        <f t="shared" si="9"/>
        <v>0.66216216216216217</v>
      </c>
    </row>
    <row r="586" spans="1:12">
      <c r="A586" t="s">
        <v>340</v>
      </c>
      <c r="B586">
        <v>1975</v>
      </c>
      <c r="C586" t="s">
        <v>28</v>
      </c>
      <c r="D586">
        <v>61.99</v>
      </c>
      <c r="E586">
        <v>142.5</v>
      </c>
      <c r="F586">
        <v>95</v>
      </c>
      <c r="G586">
        <v>180</v>
      </c>
      <c r="H586">
        <v>417.5</v>
      </c>
      <c r="I586">
        <v>2015</v>
      </c>
      <c r="J586" t="s">
        <v>852</v>
      </c>
      <c r="K586" t="s">
        <v>30</v>
      </c>
      <c r="L586" s="8">
        <f t="shared" si="9"/>
        <v>0.66666666666666663</v>
      </c>
    </row>
    <row r="587" spans="1:12">
      <c r="A587" t="s">
        <v>910</v>
      </c>
      <c r="B587">
        <v>1983</v>
      </c>
      <c r="C587" t="s">
        <v>51</v>
      </c>
      <c r="D587">
        <v>67.3</v>
      </c>
      <c r="E587">
        <v>135</v>
      </c>
      <c r="F587">
        <v>90</v>
      </c>
      <c r="G587">
        <v>145</v>
      </c>
      <c r="H587">
        <v>370</v>
      </c>
      <c r="I587">
        <v>2013</v>
      </c>
      <c r="J587" t="s">
        <v>852</v>
      </c>
      <c r="K587" t="s">
        <v>30</v>
      </c>
      <c r="L587" s="8">
        <f t="shared" si="9"/>
        <v>0.66666666666666663</v>
      </c>
    </row>
    <row r="588" spans="1:12">
      <c r="A588" t="s">
        <v>266</v>
      </c>
      <c r="B588">
        <v>1982</v>
      </c>
      <c r="C588" t="s">
        <v>137</v>
      </c>
      <c r="D588">
        <v>46.6</v>
      </c>
      <c r="E588">
        <v>105</v>
      </c>
      <c r="F588">
        <v>70</v>
      </c>
      <c r="G588">
        <v>125</v>
      </c>
      <c r="H588">
        <v>300</v>
      </c>
      <c r="I588">
        <v>2013</v>
      </c>
      <c r="J588" t="s">
        <v>852</v>
      </c>
      <c r="K588" t="s">
        <v>30</v>
      </c>
      <c r="L588" s="8">
        <f t="shared" si="9"/>
        <v>0.66666666666666663</v>
      </c>
    </row>
    <row r="589" spans="1:12">
      <c r="A589" t="s">
        <v>266</v>
      </c>
      <c r="B589">
        <v>1982</v>
      </c>
      <c r="C589" t="s">
        <v>137</v>
      </c>
      <c r="D589">
        <v>46.6</v>
      </c>
      <c r="E589">
        <v>105</v>
      </c>
      <c r="F589">
        <v>70</v>
      </c>
      <c r="G589">
        <v>122.5</v>
      </c>
      <c r="H589">
        <v>297.5</v>
      </c>
      <c r="I589">
        <v>2014</v>
      </c>
      <c r="J589" t="s">
        <v>852</v>
      </c>
      <c r="K589" t="s">
        <v>30</v>
      </c>
      <c r="L589" s="8">
        <f t="shared" si="9"/>
        <v>0.66666666666666663</v>
      </c>
    </row>
    <row r="590" spans="1:12">
      <c r="A590" t="s">
        <v>1055</v>
      </c>
      <c r="B590">
        <v>1981</v>
      </c>
      <c r="C590" t="s">
        <v>119</v>
      </c>
      <c r="D590">
        <v>62.35</v>
      </c>
      <c r="E590">
        <v>120</v>
      </c>
      <c r="F590">
        <v>80</v>
      </c>
      <c r="G590">
        <v>130</v>
      </c>
      <c r="H590">
        <v>330</v>
      </c>
      <c r="I590">
        <v>2013</v>
      </c>
      <c r="J590" t="s">
        <v>852</v>
      </c>
      <c r="K590" t="s">
        <v>30</v>
      </c>
      <c r="L590" s="8">
        <f t="shared" si="9"/>
        <v>0.66666666666666663</v>
      </c>
    </row>
    <row r="591" spans="1:12">
      <c r="A591" t="s">
        <v>338</v>
      </c>
      <c r="B591">
        <v>1972</v>
      </c>
      <c r="C591" t="s">
        <v>28</v>
      </c>
      <c r="D591">
        <v>70.709999999999994</v>
      </c>
      <c r="E591">
        <v>160</v>
      </c>
      <c r="F591">
        <v>107.5</v>
      </c>
      <c r="G591">
        <v>152.5</v>
      </c>
      <c r="H591">
        <v>420</v>
      </c>
      <c r="I591">
        <v>2015</v>
      </c>
      <c r="J591" t="s">
        <v>852</v>
      </c>
      <c r="K591" t="s">
        <v>30</v>
      </c>
      <c r="L591" s="8">
        <f t="shared" si="9"/>
        <v>0.671875</v>
      </c>
    </row>
    <row r="592" spans="1:12">
      <c r="A592" t="s">
        <v>895</v>
      </c>
      <c r="B592">
        <v>1963</v>
      </c>
      <c r="C592" t="s">
        <v>113</v>
      </c>
      <c r="D592">
        <v>114.35</v>
      </c>
      <c r="E592">
        <v>107.5</v>
      </c>
      <c r="F592">
        <v>72.5</v>
      </c>
      <c r="G592">
        <v>142.5</v>
      </c>
      <c r="H592">
        <v>322.5</v>
      </c>
      <c r="I592">
        <v>2013</v>
      </c>
      <c r="J592" t="s">
        <v>852</v>
      </c>
      <c r="K592" t="s">
        <v>30</v>
      </c>
      <c r="L592" s="8">
        <f t="shared" si="9"/>
        <v>0.67441860465116277</v>
      </c>
    </row>
    <row r="593" spans="1:12">
      <c r="A593" t="s">
        <v>245</v>
      </c>
      <c r="B593">
        <v>1979</v>
      </c>
      <c r="C593" t="s">
        <v>77</v>
      </c>
      <c r="D593">
        <v>46.5</v>
      </c>
      <c r="E593">
        <v>107.5</v>
      </c>
      <c r="F593">
        <v>72.5</v>
      </c>
      <c r="G593">
        <v>145</v>
      </c>
      <c r="H593">
        <v>325</v>
      </c>
      <c r="I593">
        <v>2014</v>
      </c>
      <c r="J593" t="s">
        <v>852</v>
      </c>
      <c r="K593" t="s">
        <v>30</v>
      </c>
      <c r="L593" s="8">
        <f t="shared" si="9"/>
        <v>0.67441860465116277</v>
      </c>
    </row>
    <row r="594" spans="1:12">
      <c r="A594" t="s">
        <v>963</v>
      </c>
      <c r="B594">
        <v>1961</v>
      </c>
      <c r="C594" t="s">
        <v>163</v>
      </c>
      <c r="D594">
        <v>128.30000000000001</v>
      </c>
      <c r="E594">
        <v>177.5</v>
      </c>
      <c r="F594">
        <v>120</v>
      </c>
      <c r="G594">
        <v>236</v>
      </c>
      <c r="H594">
        <v>533.5</v>
      </c>
      <c r="I594">
        <v>2013</v>
      </c>
      <c r="J594" t="s">
        <v>852</v>
      </c>
      <c r="K594" t="s">
        <v>30</v>
      </c>
      <c r="L594" s="8">
        <f t="shared" ref="L594:L661" si="10">IF(AND(F594&lt;&gt;0,E594&lt;&gt;0),F594/E594,"")</f>
        <v>0.676056338028169</v>
      </c>
    </row>
    <row r="595" spans="1:12">
      <c r="A595" t="s">
        <v>316</v>
      </c>
      <c r="B595">
        <v>1988</v>
      </c>
      <c r="C595" t="s">
        <v>113</v>
      </c>
      <c r="D595">
        <v>71.69</v>
      </c>
      <c r="E595">
        <v>170</v>
      </c>
      <c r="F595">
        <v>115</v>
      </c>
      <c r="G595">
        <v>180</v>
      </c>
      <c r="H595">
        <v>465</v>
      </c>
      <c r="I595">
        <v>2015</v>
      </c>
      <c r="J595" t="s">
        <v>852</v>
      </c>
      <c r="K595" t="s">
        <v>30</v>
      </c>
      <c r="L595" s="8">
        <f t="shared" si="10"/>
        <v>0.67647058823529416</v>
      </c>
    </row>
    <row r="596" spans="1:12">
      <c r="A596" t="s">
        <v>246</v>
      </c>
      <c r="B596">
        <v>1984</v>
      </c>
      <c r="C596" t="s">
        <v>80</v>
      </c>
      <c r="D596">
        <v>71.5</v>
      </c>
      <c r="E596">
        <v>162.5</v>
      </c>
      <c r="F596">
        <v>110</v>
      </c>
      <c r="G596">
        <v>175</v>
      </c>
      <c r="H596">
        <v>447.5</v>
      </c>
      <c r="I596">
        <v>2013</v>
      </c>
      <c r="J596" t="s">
        <v>852</v>
      </c>
      <c r="K596" t="s">
        <v>30</v>
      </c>
      <c r="L596" s="8">
        <f t="shared" si="10"/>
        <v>0.67692307692307696</v>
      </c>
    </row>
    <row r="597" spans="1:12">
      <c r="A597" t="s">
        <v>317</v>
      </c>
      <c r="B597">
        <v>1973</v>
      </c>
      <c r="C597" t="s">
        <v>318</v>
      </c>
      <c r="D597">
        <v>83.45</v>
      </c>
      <c r="E597">
        <v>200</v>
      </c>
      <c r="F597">
        <v>135.5</v>
      </c>
      <c r="G597">
        <v>195</v>
      </c>
      <c r="H597">
        <v>530.5</v>
      </c>
      <c r="I597">
        <v>2013</v>
      </c>
      <c r="J597" t="s">
        <v>852</v>
      </c>
      <c r="K597" t="s">
        <v>30</v>
      </c>
      <c r="L597" s="8">
        <f t="shared" si="10"/>
        <v>0.67749999999999999</v>
      </c>
    </row>
    <row r="598" spans="1:12">
      <c r="A598" t="s">
        <v>944</v>
      </c>
      <c r="B598">
        <v>1979</v>
      </c>
      <c r="C598" t="s">
        <v>28</v>
      </c>
      <c r="D598">
        <v>51.65</v>
      </c>
      <c r="E598">
        <v>132.5</v>
      </c>
      <c r="F598">
        <v>90</v>
      </c>
      <c r="G598">
        <v>160</v>
      </c>
      <c r="H598">
        <v>382.5</v>
      </c>
      <c r="I598">
        <v>2012</v>
      </c>
      <c r="J598" t="s">
        <v>852</v>
      </c>
      <c r="K598" t="s">
        <v>30</v>
      </c>
      <c r="L598" s="8">
        <f t="shared" si="10"/>
        <v>0.67924528301886788</v>
      </c>
    </row>
    <row r="599" spans="1:12">
      <c r="A599" t="s">
        <v>870</v>
      </c>
      <c r="B599">
        <v>1984</v>
      </c>
      <c r="C599" t="s">
        <v>194</v>
      </c>
      <c r="D599">
        <v>62.75</v>
      </c>
      <c r="E599">
        <v>110</v>
      </c>
      <c r="F599">
        <v>75</v>
      </c>
      <c r="G599">
        <v>162.5</v>
      </c>
      <c r="H599">
        <v>347.5</v>
      </c>
      <c r="I599">
        <v>2014</v>
      </c>
      <c r="J599" t="s">
        <v>852</v>
      </c>
      <c r="K599" t="s">
        <v>30</v>
      </c>
      <c r="L599" s="8">
        <f t="shared" si="10"/>
        <v>0.68181818181818177</v>
      </c>
    </row>
    <row r="600" spans="1:12">
      <c r="A600" t="s">
        <v>913</v>
      </c>
      <c r="B600">
        <v>1980</v>
      </c>
      <c r="C600" t="s">
        <v>28</v>
      </c>
      <c r="D600">
        <v>60.15</v>
      </c>
      <c r="E600">
        <v>142.5</v>
      </c>
      <c r="F600">
        <v>97.5</v>
      </c>
      <c r="G600">
        <v>170</v>
      </c>
      <c r="H600">
        <v>410</v>
      </c>
      <c r="I600">
        <v>2012</v>
      </c>
      <c r="J600" t="s">
        <v>852</v>
      </c>
      <c r="K600" t="s">
        <v>30</v>
      </c>
      <c r="L600" s="8">
        <f t="shared" si="10"/>
        <v>0.68421052631578949</v>
      </c>
    </row>
    <row r="601" spans="1:12">
      <c r="A601" t="s">
        <v>988</v>
      </c>
      <c r="B601">
        <v>1982</v>
      </c>
      <c r="C601" t="s">
        <v>194</v>
      </c>
      <c r="D601">
        <v>56.15</v>
      </c>
      <c r="E601">
        <v>95</v>
      </c>
      <c r="F601">
        <v>65</v>
      </c>
      <c r="G601">
        <v>142.5</v>
      </c>
      <c r="H601">
        <v>302.5</v>
      </c>
      <c r="I601">
        <v>2014</v>
      </c>
      <c r="J601" t="s">
        <v>852</v>
      </c>
      <c r="K601" t="s">
        <v>30</v>
      </c>
      <c r="L601" s="8">
        <f t="shared" si="10"/>
        <v>0.68421052631578949</v>
      </c>
    </row>
    <row r="602" spans="1:12">
      <c r="A602" t="s">
        <v>317</v>
      </c>
      <c r="B602">
        <v>1973</v>
      </c>
      <c r="C602" t="s">
        <v>318</v>
      </c>
      <c r="D602">
        <v>83.71</v>
      </c>
      <c r="E602">
        <v>197.5</v>
      </c>
      <c r="F602">
        <v>136</v>
      </c>
      <c r="G602">
        <v>190</v>
      </c>
      <c r="H602">
        <v>523.5</v>
      </c>
      <c r="I602">
        <v>2015</v>
      </c>
      <c r="J602" t="s">
        <v>852</v>
      </c>
      <c r="K602" t="s">
        <v>30</v>
      </c>
      <c r="L602" s="8">
        <f t="shared" si="10"/>
        <v>0.68860759493670887</v>
      </c>
    </row>
    <row r="603" spans="1:12">
      <c r="A603" t="s">
        <v>897</v>
      </c>
      <c r="B603">
        <v>1954</v>
      </c>
      <c r="C603" t="s">
        <v>51</v>
      </c>
      <c r="D603">
        <v>45.4</v>
      </c>
      <c r="E603">
        <v>72.5</v>
      </c>
      <c r="F603">
        <v>50</v>
      </c>
      <c r="G603">
        <v>117.5</v>
      </c>
      <c r="H603">
        <v>240</v>
      </c>
      <c r="I603">
        <v>2013</v>
      </c>
      <c r="J603" t="s">
        <v>852</v>
      </c>
      <c r="K603" t="s">
        <v>30</v>
      </c>
      <c r="L603" s="8">
        <f t="shared" si="10"/>
        <v>0.68965517241379315</v>
      </c>
    </row>
    <row r="604" spans="1:12">
      <c r="A604" t="s">
        <v>879</v>
      </c>
      <c r="B604">
        <v>1987</v>
      </c>
      <c r="C604" t="s">
        <v>35</v>
      </c>
      <c r="D604">
        <v>56.5</v>
      </c>
      <c r="E604">
        <v>115</v>
      </c>
      <c r="F604">
        <v>80</v>
      </c>
      <c r="G604">
        <v>175</v>
      </c>
      <c r="H604">
        <v>370</v>
      </c>
      <c r="I604">
        <v>2012</v>
      </c>
      <c r="J604" t="s">
        <v>852</v>
      </c>
      <c r="K604" t="s">
        <v>30</v>
      </c>
      <c r="L604" s="8">
        <f t="shared" si="10"/>
        <v>0.69565217391304346</v>
      </c>
    </row>
    <row r="605" spans="1:12">
      <c r="A605" t="s">
        <v>992</v>
      </c>
      <c r="B605">
        <v>1983</v>
      </c>
      <c r="C605" t="s">
        <v>119</v>
      </c>
      <c r="D605">
        <v>56.25</v>
      </c>
      <c r="E605">
        <v>107.5</v>
      </c>
      <c r="F605">
        <v>75</v>
      </c>
      <c r="G605">
        <v>132.5</v>
      </c>
      <c r="H605">
        <v>315</v>
      </c>
      <c r="I605">
        <v>2012</v>
      </c>
      <c r="J605" t="s">
        <v>852</v>
      </c>
      <c r="K605" t="s">
        <v>30</v>
      </c>
      <c r="L605" s="8">
        <f t="shared" si="10"/>
        <v>0.69767441860465118</v>
      </c>
    </row>
    <row r="606" spans="1:12">
      <c r="A606" t="s">
        <v>188</v>
      </c>
      <c r="B606">
        <v>1986</v>
      </c>
      <c r="C606" t="s">
        <v>137</v>
      </c>
      <c r="D606">
        <v>54.98</v>
      </c>
      <c r="E606">
        <v>125</v>
      </c>
      <c r="F606">
        <v>87.5</v>
      </c>
      <c r="G606">
        <v>140</v>
      </c>
      <c r="H606">
        <v>352.5</v>
      </c>
      <c r="I606">
        <v>2015</v>
      </c>
      <c r="J606" t="s">
        <v>852</v>
      </c>
      <c r="K606" t="s">
        <v>30</v>
      </c>
      <c r="L606" s="8">
        <f t="shared" si="10"/>
        <v>0.7</v>
      </c>
    </row>
    <row r="607" spans="1:12">
      <c r="A607" t="s">
        <v>974</v>
      </c>
      <c r="B607">
        <v>1965</v>
      </c>
      <c r="C607" t="s">
        <v>39</v>
      </c>
      <c r="D607">
        <v>61.95</v>
      </c>
      <c r="E607">
        <v>125</v>
      </c>
      <c r="F607">
        <v>87.5</v>
      </c>
      <c r="G607">
        <v>165</v>
      </c>
      <c r="H607">
        <v>377.5</v>
      </c>
      <c r="I607">
        <v>2013</v>
      </c>
      <c r="J607" t="s">
        <v>852</v>
      </c>
      <c r="K607" t="s">
        <v>30</v>
      </c>
      <c r="L607" s="8">
        <f t="shared" si="10"/>
        <v>0.7</v>
      </c>
    </row>
    <row r="608" spans="1:12">
      <c r="A608" t="s">
        <v>1056</v>
      </c>
      <c r="B608">
        <v>1988</v>
      </c>
      <c r="C608" t="s">
        <v>480</v>
      </c>
      <c r="D608">
        <v>75.8</v>
      </c>
      <c r="E608">
        <v>150</v>
      </c>
      <c r="F608">
        <v>105</v>
      </c>
      <c r="G608">
        <v>140</v>
      </c>
      <c r="H608">
        <v>395</v>
      </c>
      <c r="I608">
        <v>2013</v>
      </c>
      <c r="J608" t="s">
        <v>852</v>
      </c>
      <c r="K608" t="s">
        <v>30</v>
      </c>
      <c r="L608" s="8">
        <f t="shared" si="10"/>
        <v>0.7</v>
      </c>
    </row>
    <row r="609" spans="1:12">
      <c r="A609" t="s">
        <v>871</v>
      </c>
      <c r="B609">
        <v>1981</v>
      </c>
      <c r="C609" t="s">
        <v>113</v>
      </c>
      <c r="D609">
        <v>55.35</v>
      </c>
      <c r="E609">
        <v>135</v>
      </c>
      <c r="F609">
        <v>95</v>
      </c>
      <c r="G609">
        <v>152.5</v>
      </c>
      <c r="H609">
        <v>382.5</v>
      </c>
      <c r="I609">
        <v>2014</v>
      </c>
      <c r="J609" t="s">
        <v>852</v>
      </c>
      <c r="K609" t="s">
        <v>30</v>
      </c>
      <c r="L609" s="8">
        <f t="shared" si="10"/>
        <v>0.70370370370370372</v>
      </c>
    </row>
    <row r="610" spans="1:12">
      <c r="A610" t="s">
        <v>992</v>
      </c>
      <c r="B610">
        <v>1983</v>
      </c>
      <c r="C610" t="s">
        <v>119</v>
      </c>
      <c r="D610">
        <v>57</v>
      </c>
      <c r="E610">
        <v>110</v>
      </c>
      <c r="F610">
        <v>77.5</v>
      </c>
      <c r="G610">
        <v>140</v>
      </c>
      <c r="H610">
        <v>327.5</v>
      </c>
      <c r="I610">
        <v>2013</v>
      </c>
      <c r="J610" t="s">
        <v>852</v>
      </c>
      <c r="K610" t="s">
        <v>30</v>
      </c>
      <c r="L610" s="8">
        <f t="shared" si="10"/>
        <v>0.70454545454545459</v>
      </c>
    </row>
    <row r="611" spans="1:12">
      <c r="A611" t="s">
        <v>303</v>
      </c>
      <c r="B611">
        <v>1976</v>
      </c>
      <c r="C611" t="s">
        <v>113</v>
      </c>
      <c r="D611">
        <v>50.92</v>
      </c>
      <c r="E611">
        <v>120</v>
      </c>
      <c r="F611">
        <v>85</v>
      </c>
      <c r="G611">
        <v>145</v>
      </c>
      <c r="H611">
        <v>350</v>
      </c>
      <c r="I611">
        <v>2015</v>
      </c>
      <c r="J611" t="s">
        <v>852</v>
      </c>
      <c r="K611" t="s">
        <v>30</v>
      </c>
      <c r="L611" s="8">
        <f t="shared" si="10"/>
        <v>0.70833333333333337</v>
      </c>
    </row>
    <row r="612" spans="1:12">
      <c r="A612" t="s">
        <v>223</v>
      </c>
      <c r="B612">
        <v>1970</v>
      </c>
      <c r="C612" t="s">
        <v>28</v>
      </c>
      <c r="D612">
        <v>46.65</v>
      </c>
      <c r="E612">
        <v>120</v>
      </c>
      <c r="F612">
        <v>85</v>
      </c>
      <c r="G612">
        <v>145</v>
      </c>
      <c r="H612">
        <v>350</v>
      </c>
      <c r="I612">
        <v>2013</v>
      </c>
      <c r="J612" t="s">
        <v>852</v>
      </c>
      <c r="K612" t="s">
        <v>30</v>
      </c>
      <c r="L612" s="8">
        <f t="shared" si="10"/>
        <v>0.70833333333333337</v>
      </c>
    </row>
    <row r="613" spans="1:12">
      <c r="A613" t="s">
        <v>345</v>
      </c>
      <c r="B613">
        <v>1986</v>
      </c>
      <c r="C613" t="s">
        <v>74</v>
      </c>
      <c r="D613">
        <v>56.5</v>
      </c>
      <c r="E613">
        <v>130</v>
      </c>
      <c r="F613">
        <v>92.5</v>
      </c>
      <c r="G613">
        <v>175</v>
      </c>
      <c r="H613">
        <v>397.5</v>
      </c>
      <c r="I613">
        <v>2013</v>
      </c>
      <c r="J613" t="s">
        <v>852</v>
      </c>
      <c r="K613" t="s">
        <v>30</v>
      </c>
      <c r="L613" s="8">
        <f t="shared" si="10"/>
        <v>0.71153846153846156</v>
      </c>
    </row>
    <row r="614" spans="1:12">
      <c r="A614" t="s">
        <v>896</v>
      </c>
      <c r="B614">
        <v>1954</v>
      </c>
      <c r="C614" t="s">
        <v>51</v>
      </c>
      <c r="D614">
        <v>44.55</v>
      </c>
      <c r="E614">
        <v>70</v>
      </c>
      <c r="F614">
        <v>50</v>
      </c>
      <c r="G614">
        <v>117.5</v>
      </c>
      <c r="H614">
        <v>237.5</v>
      </c>
      <c r="I614">
        <v>2012</v>
      </c>
      <c r="J614" t="s">
        <v>852</v>
      </c>
      <c r="K614" t="s">
        <v>30</v>
      </c>
      <c r="L614" s="8">
        <f t="shared" si="10"/>
        <v>0.7142857142857143</v>
      </c>
    </row>
    <row r="615" spans="1:12">
      <c r="A615" t="s">
        <v>923</v>
      </c>
      <c r="B615">
        <v>1988</v>
      </c>
      <c r="C615" t="s">
        <v>480</v>
      </c>
      <c r="D615">
        <v>51.5</v>
      </c>
      <c r="E615">
        <v>105</v>
      </c>
      <c r="F615">
        <v>75</v>
      </c>
      <c r="G615">
        <v>135</v>
      </c>
      <c r="H615">
        <v>315</v>
      </c>
      <c r="I615">
        <v>2013</v>
      </c>
      <c r="J615" t="s">
        <v>852</v>
      </c>
      <c r="K615" t="s">
        <v>30</v>
      </c>
      <c r="L615" s="8">
        <f t="shared" si="10"/>
        <v>0.7142857142857143</v>
      </c>
    </row>
    <row r="616" spans="1:12">
      <c r="A616" t="s">
        <v>256</v>
      </c>
      <c r="B616">
        <v>1985</v>
      </c>
      <c r="C616" t="s">
        <v>39</v>
      </c>
      <c r="D616">
        <v>70.45</v>
      </c>
      <c r="E616">
        <v>160</v>
      </c>
      <c r="F616">
        <v>115</v>
      </c>
      <c r="G616">
        <v>180</v>
      </c>
      <c r="H616">
        <v>455</v>
      </c>
      <c r="I616">
        <v>2013</v>
      </c>
      <c r="J616" t="s">
        <v>852</v>
      </c>
      <c r="K616" t="s">
        <v>30</v>
      </c>
      <c r="L616" s="8">
        <f t="shared" si="10"/>
        <v>0.71875</v>
      </c>
    </row>
    <row r="617" spans="1:12">
      <c r="A617" t="s">
        <v>253</v>
      </c>
      <c r="B617">
        <v>1971</v>
      </c>
      <c r="C617" t="s">
        <v>194</v>
      </c>
      <c r="D617">
        <v>54.72</v>
      </c>
      <c r="E617">
        <v>125</v>
      </c>
      <c r="F617">
        <v>90</v>
      </c>
      <c r="G617">
        <v>145</v>
      </c>
      <c r="H617">
        <v>360</v>
      </c>
      <c r="I617">
        <v>2015</v>
      </c>
      <c r="J617" t="s">
        <v>852</v>
      </c>
      <c r="K617" t="s">
        <v>30</v>
      </c>
      <c r="L617" s="8">
        <f t="shared" si="10"/>
        <v>0.72</v>
      </c>
    </row>
    <row r="618" spans="1:12">
      <c r="A618" t="s">
        <v>172</v>
      </c>
      <c r="B618">
        <v>1982</v>
      </c>
      <c r="C618" t="s">
        <v>35</v>
      </c>
      <c r="D618">
        <v>62.54</v>
      </c>
      <c r="E618">
        <v>152.5</v>
      </c>
      <c r="F618">
        <v>110</v>
      </c>
      <c r="G618">
        <v>177.5</v>
      </c>
      <c r="H618">
        <v>440</v>
      </c>
      <c r="I618">
        <v>2015</v>
      </c>
      <c r="J618" t="s">
        <v>852</v>
      </c>
      <c r="K618" t="s">
        <v>30</v>
      </c>
      <c r="L618" s="8">
        <f t="shared" si="10"/>
        <v>0.72131147540983609</v>
      </c>
    </row>
    <row r="619" spans="1:12">
      <c r="A619" t="s">
        <v>223</v>
      </c>
      <c r="B619">
        <v>1970</v>
      </c>
      <c r="C619" t="s">
        <v>28</v>
      </c>
      <c r="D619">
        <v>51.48</v>
      </c>
      <c r="E619">
        <v>135</v>
      </c>
      <c r="F619">
        <v>97.5</v>
      </c>
      <c r="G619">
        <v>170</v>
      </c>
      <c r="H619">
        <v>402.5</v>
      </c>
      <c r="I619">
        <v>2015</v>
      </c>
      <c r="J619" t="s">
        <v>852</v>
      </c>
      <c r="K619" t="s">
        <v>30</v>
      </c>
      <c r="L619" s="8">
        <f t="shared" si="10"/>
        <v>0.72222222222222221</v>
      </c>
    </row>
    <row r="620" spans="1:12">
      <c r="A620" t="s">
        <v>1034</v>
      </c>
      <c r="B620">
        <v>1962</v>
      </c>
      <c r="C620" t="s">
        <v>77</v>
      </c>
      <c r="D620">
        <v>53.5</v>
      </c>
      <c r="E620">
        <v>90</v>
      </c>
      <c r="F620">
        <v>65</v>
      </c>
      <c r="G620">
        <v>127.5</v>
      </c>
      <c r="H620">
        <v>282.5</v>
      </c>
      <c r="I620">
        <v>2012</v>
      </c>
      <c r="J620" t="s">
        <v>852</v>
      </c>
      <c r="K620" t="s">
        <v>30</v>
      </c>
      <c r="L620" s="8">
        <f t="shared" si="10"/>
        <v>0.72222222222222221</v>
      </c>
    </row>
    <row r="621" spans="1:12">
      <c r="A621" t="s">
        <v>253</v>
      </c>
      <c r="B621">
        <v>1971</v>
      </c>
      <c r="C621" t="s">
        <v>194</v>
      </c>
      <c r="D621">
        <v>51.75</v>
      </c>
      <c r="E621">
        <v>100</v>
      </c>
      <c r="F621">
        <v>72.5</v>
      </c>
      <c r="G621">
        <v>130</v>
      </c>
      <c r="H621">
        <v>302.5</v>
      </c>
      <c r="I621">
        <v>2013</v>
      </c>
      <c r="J621" t="s">
        <v>852</v>
      </c>
      <c r="K621" t="s">
        <v>30</v>
      </c>
      <c r="L621" s="8">
        <f t="shared" si="10"/>
        <v>0.72499999999999998</v>
      </c>
    </row>
    <row r="622" spans="1:12">
      <c r="A622" t="s">
        <v>345</v>
      </c>
      <c r="B622">
        <v>1986</v>
      </c>
      <c r="C622" t="s">
        <v>74</v>
      </c>
      <c r="D622">
        <v>56.63</v>
      </c>
      <c r="E622">
        <v>137.5</v>
      </c>
      <c r="F622">
        <v>100</v>
      </c>
      <c r="G622">
        <v>170</v>
      </c>
      <c r="H622">
        <v>407.5</v>
      </c>
      <c r="I622">
        <v>2015</v>
      </c>
      <c r="J622" t="s">
        <v>852</v>
      </c>
      <c r="K622" t="s">
        <v>30</v>
      </c>
      <c r="L622" s="8">
        <f t="shared" si="10"/>
        <v>0.72727272727272729</v>
      </c>
    </row>
    <row r="623" spans="1:12">
      <c r="A623" t="s">
        <v>236</v>
      </c>
      <c r="B623">
        <v>1980</v>
      </c>
      <c r="C623" t="s">
        <v>56</v>
      </c>
      <c r="D623">
        <v>56.45</v>
      </c>
      <c r="E623">
        <v>110</v>
      </c>
      <c r="F623">
        <v>80</v>
      </c>
      <c r="G623">
        <v>145</v>
      </c>
      <c r="H623">
        <v>335</v>
      </c>
      <c r="I623">
        <v>2012</v>
      </c>
      <c r="J623" t="s">
        <v>852</v>
      </c>
      <c r="K623" t="s">
        <v>30</v>
      </c>
      <c r="L623" s="8">
        <f t="shared" si="10"/>
        <v>0.72727272727272729</v>
      </c>
    </row>
    <row r="624" spans="1:12">
      <c r="A624" t="s">
        <v>910</v>
      </c>
      <c r="B624">
        <v>1983</v>
      </c>
      <c r="C624" t="s">
        <v>51</v>
      </c>
      <c r="D624">
        <v>62.55</v>
      </c>
      <c r="E624">
        <v>120</v>
      </c>
      <c r="F624">
        <v>87.5</v>
      </c>
      <c r="G624">
        <v>140</v>
      </c>
      <c r="H624">
        <v>347.5</v>
      </c>
      <c r="I624">
        <v>2012</v>
      </c>
      <c r="J624" t="s">
        <v>852</v>
      </c>
      <c r="K624" t="s">
        <v>30</v>
      </c>
      <c r="L624" s="8">
        <f t="shared" si="10"/>
        <v>0.72916666666666663</v>
      </c>
    </row>
    <row r="625" spans="1:12">
      <c r="A625" t="s">
        <v>345</v>
      </c>
      <c r="B625">
        <v>1986</v>
      </c>
      <c r="C625" t="s">
        <v>74</v>
      </c>
      <c r="D625">
        <v>56.7</v>
      </c>
      <c r="E625">
        <v>130</v>
      </c>
      <c r="F625">
        <v>95</v>
      </c>
      <c r="G625">
        <v>172.5</v>
      </c>
      <c r="H625">
        <v>397.5</v>
      </c>
      <c r="I625">
        <v>2012</v>
      </c>
      <c r="J625" t="s">
        <v>852</v>
      </c>
      <c r="K625" t="s">
        <v>30</v>
      </c>
      <c r="L625" s="8">
        <f t="shared" si="10"/>
        <v>0.73076923076923073</v>
      </c>
    </row>
    <row r="626" spans="1:12">
      <c r="A626" t="s">
        <v>236</v>
      </c>
      <c r="B626">
        <v>1980</v>
      </c>
      <c r="C626" t="s">
        <v>56</v>
      </c>
      <c r="D626">
        <v>51.7</v>
      </c>
      <c r="E626">
        <v>102.5</v>
      </c>
      <c r="F626">
        <v>75</v>
      </c>
      <c r="G626">
        <v>135</v>
      </c>
      <c r="H626">
        <v>312.5</v>
      </c>
      <c r="I626">
        <v>2015</v>
      </c>
      <c r="J626" t="s">
        <v>852</v>
      </c>
      <c r="K626" t="s">
        <v>30</v>
      </c>
      <c r="L626" s="8">
        <f t="shared" si="10"/>
        <v>0.73170731707317072</v>
      </c>
    </row>
    <row r="627" spans="1:12">
      <c r="A627" t="s">
        <v>864</v>
      </c>
      <c r="B627">
        <v>1985</v>
      </c>
      <c r="C627" t="s">
        <v>35</v>
      </c>
      <c r="D627">
        <v>71.349999999999994</v>
      </c>
      <c r="E627">
        <v>140</v>
      </c>
      <c r="F627">
        <v>102.5</v>
      </c>
      <c r="G627">
        <v>145</v>
      </c>
      <c r="H627">
        <v>387.5</v>
      </c>
      <c r="I627">
        <v>2012</v>
      </c>
      <c r="J627" t="s">
        <v>852</v>
      </c>
      <c r="K627" t="s">
        <v>30</v>
      </c>
      <c r="L627" s="8">
        <f t="shared" si="10"/>
        <v>0.7321428571428571</v>
      </c>
    </row>
    <row r="628" spans="1:12">
      <c r="A628" t="s">
        <v>864</v>
      </c>
      <c r="B628">
        <v>1985</v>
      </c>
      <c r="C628" t="s">
        <v>35</v>
      </c>
      <c r="D628">
        <v>70.599999999999994</v>
      </c>
      <c r="E628">
        <v>142.5</v>
      </c>
      <c r="F628">
        <v>105</v>
      </c>
      <c r="G628">
        <v>155</v>
      </c>
      <c r="H628">
        <v>402.5</v>
      </c>
      <c r="I628">
        <v>2013</v>
      </c>
      <c r="J628" t="s">
        <v>852</v>
      </c>
      <c r="K628" t="s">
        <v>30</v>
      </c>
      <c r="L628" s="8">
        <f t="shared" si="10"/>
        <v>0.73684210526315785</v>
      </c>
    </row>
    <row r="629" spans="1:12">
      <c r="A629" t="s">
        <v>342</v>
      </c>
      <c r="B629">
        <v>1978</v>
      </c>
      <c r="C629" t="s">
        <v>62</v>
      </c>
      <c r="D629">
        <v>61.65</v>
      </c>
      <c r="E629">
        <v>142.5</v>
      </c>
      <c r="F629">
        <v>105</v>
      </c>
      <c r="G629">
        <v>220.5</v>
      </c>
      <c r="H629">
        <v>468</v>
      </c>
      <c r="I629">
        <v>2012</v>
      </c>
      <c r="J629" t="s">
        <v>852</v>
      </c>
      <c r="K629" t="s">
        <v>30</v>
      </c>
      <c r="L629" s="8">
        <f t="shared" si="10"/>
        <v>0.73684210526315785</v>
      </c>
    </row>
    <row r="630" spans="1:12">
      <c r="A630" t="s">
        <v>320</v>
      </c>
      <c r="B630">
        <v>1978</v>
      </c>
      <c r="C630" t="s">
        <v>125</v>
      </c>
      <c r="D630">
        <v>62.59</v>
      </c>
      <c r="E630">
        <v>110</v>
      </c>
      <c r="F630">
        <v>82.5</v>
      </c>
      <c r="G630">
        <v>170</v>
      </c>
      <c r="H630">
        <v>362.5</v>
      </c>
      <c r="I630">
        <v>2015</v>
      </c>
      <c r="J630" t="s">
        <v>852</v>
      </c>
      <c r="K630" t="s">
        <v>30</v>
      </c>
      <c r="L630" s="8">
        <f t="shared" si="10"/>
        <v>0.75</v>
      </c>
    </row>
    <row r="631" spans="1:12">
      <c r="A631" t="s">
        <v>172</v>
      </c>
      <c r="B631">
        <v>1982</v>
      </c>
      <c r="C631" t="s">
        <v>35</v>
      </c>
      <c r="D631">
        <v>62.4</v>
      </c>
      <c r="E631">
        <v>150</v>
      </c>
      <c r="F631">
        <v>112.5</v>
      </c>
      <c r="G631">
        <v>177.5</v>
      </c>
      <c r="H631">
        <v>440</v>
      </c>
      <c r="I631">
        <v>2014</v>
      </c>
      <c r="J631" t="s">
        <v>852</v>
      </c>
      <c r="K631" t="s">
        <v>30</v>
      </c>
      <c r="L631" s="8">
        <f t="shared" si="10"/>
        <v>0.75</v>
      </c>
    </row>
    <row r="632" spans="1:12">
      <c r="A632" t="s">
        <v>973</v>
      </c>
      <c r="B632">
        <v>1971</v>
      </c>
      <c r="C632" t="s">
        <v>77</v>
      </c>
      <c r="D632">
        <v>46.7</v>
      </c>
      <c r="E632">
        <v>70</v>
      </c>
      <c r="F632">
        <v>52.5</v>
      </c>
      <c r="G632">
        <v>110</v>
      </c>
      <c r="H632">
        <v>232.5</v>
      </c>
      <c r="I632">
        <v>2013</v>
      </c>
      <c r="J632" t="s">
        <v>852</v>
      </c>
      <c r="K632" t="s">
        <v>30</v>
      </c>
      <c r="L632" s="8">
        <f t="shared" si="10"/>
        <v>0.75</v>
      </c>
    </row>
    <row r="633" spans="1:12">
      <c r="A633" t="s">
        <v>992</v>
      </c>
      <c r="B633">
        <v>1983</v>
      </c>
      <c r="C633" t="s">
        <v>119</v>
      </c>
      <c r="D633">
        <v>56.95</v>
      </c>
      <c r="E633">
        <v>110</v>
      </c>
      <c r="F633">
        <v>82.5</v>
      </c>
      <c r="G633">
        <v>132.5</v>
      </c>
      <c r="H633">
        <v>325</v>
      </c>
      <c r="I633">
        <v>2014</v>
      </c>
      <c r="J633" t="s">
        <v>852</v>
      </c>
      <c r="K633" t="s">
        <v>30</v>
      </c>
      <c r="L633" s="8">
        <f t="shared" si="10"/>
        <v>0.75</v>
      </c>
    </row>
    <row r="634" spans="1:12">
      <c r="A634" t="s">
        <v>211</v>
      </c>
      <c r="B634">
        <v>1988</v>
      </c>
      <c r="C634" t="s">
        <v>28</v>
      </c>
      <c r="D634">
        <v>61.95</v>
      </c>
      <c r="E634">
        <v>142.5</v>
      </c>
      <c r="F634">
        <v>107.5</v>
      </c>
      <c r="G634">
        <v>167.5</v>
      </c>
      <c r="H634">
        <v>417.5</v>
      </c>
      <c r="I634">
        <v>2014</v>
      </c>
      <c r="J634" t="s">
        <v>852</v>
      </c>
      <c r="K634" t="s">
        <v>30</v>
      </c>
      <c r="L634" s="8">
        <f t="shared" si="10"/>
        <v>0.75438596491228072</v>
      </c>
    </row>
    <row r="635" spans="1:12">
      <c r="A635" t="s">
        <v>957</v>
      </c>
      <c r="B635">
        <v>1973</v>
      </c>
      <c r="C635" t="s">
        <v>80</v>
      </c>
      <c r="D635">
        <v>56.55</v>
      </c>
      <c r="E635">
        <v>112.5</v>
      </c>
      <c r="F635">
        <v>85</v>
      </c>
      <c r="G635">
        <v>157.5</v>
      </c>
      <c r="H635">
        <v>355</v>
      </c>
      <c r="I635">
        <v>2013</v>
      </c>
      <c r="J635" t="s">
        <v>852</v>
      </c>
      <c r="K635" t="s">
        <v>30</v>
      </c>
      <c r="L635" s="8">
        <f t="shared" si="10"/>
        <v>0.75555555555555554</v>
      </c>
    </row>
    <row r="636" spans="1:12">
      <c r="A636" t="s">
        <v>971</v>
      </c>
      <c r="B636">
        <v>1978</v>
      </c>
      <c r="C636" t="s">
        <v>480</v>
      </c>
      <c r="D636">
        <v>45.95</v>
      </c>
      <c r="E636">
        <v>92.5</v>
      </c>
      <c r="F636">
        <v>70</v>
      </c>
      <c r="G636">
        <v>112.5</v>
      </c>
      <c r="H636">
        <v>275</v>
      </c>
      <c r="I636">
        <v>2013</v>
      </c>
      <c r="J636" t="s">
        <v>852</v>
      </c>
      <c r="K636" t="s">
        <v>30</v>
      </c>
      <c r="L636" s="8">
        <f t="shared" si="10"/>
        <v>0.7567567567567568</v>
      </c>
    </row>
    <row r="637" spans="1:12">
      <c r="A637" t="s">
        <v>997</v>
      </c>
      <c r="B637">
        <v>1967</v>
      </c>
      <c r="C637" t="s">
        <v>62</v>
      </c>
      <c r="D637">
        <v>86.65</v>
      </c>
      <c r="E637">
        <v>155</v>
      </c>
      <c r="F637">
        <v>117.5</v>
      </c>
      <c r="G637">
        <v>170</v>
      </c>
      <c r="H637">
        <v>442.5</v>
      </c>
      <c r="I637">
        <v>2013</v>
      </c>
      <c r="J637" t="s">
        <v>852</v>
      </c>
      <c r="K637" t="s">
        <v>30</v>
      </c>
      <c r="L637" s="8">
        <f t="shared" si="10"/>
        <v>0.75806451612903225</v>
      </c>
    </row>
    <row r="638" spans="1:12">
      <c r="A638" t="s">
        <v>320</v>
      </c>
      <c r="B638">
        <v>1978</v>
      </c>
      <c r="C638" t="s">
        <v>125</v>
      </c>
      <c r="D638">
        <v>62.75</v>
      </c>
      <c r="E638">
        <v>105</v>
      </c>
      <c r="F638">
        <v>80</v>
      </c>
      <c r="G638">
        <v>162.5</v>
      </c>
      <c r="H638">
        <v>347.5</v>
      </c>
      <c r="I638">
        <v>2014</v>
      </c>
      <c r="J638" t="s">
        <v>852</v>
      </c>
      <c r="K638" t="s">
        <v>30</v>
      </c>
      <c r="L638" s="8">
        <f t="shared" si="10"/>
        <v>0.76190476190476186</v>
      </c>
    </row>
    <row r="639" spans="1:12">
      <c r="A639" t="s">
        <v>979</v>
      </c>
      <c r="B639">
        <v>1991</v>
      </c>
      <c r="C639" t="s">
        <v>77</v>
      </c>
      <c r="D639">
        <v>57.65</v>
      </c>
      <c r="E639">
        <v>85</v>
      </c>
      <c r="F639">
        <v>65</v>
      </c>
      <c r="G639">
        <v>125</v>
      </c>
      <c r="H639">
        <v>275</v>
      </c>
      <c r="I639">
        <v>2012</v>
      </c>
      <c r="J639" t="s">
        <v>852</v>
      </c>
      <c r="K639" t="s">
        <v>30</v>
      </c>
      <c r="L639" s="8">
        <f t="shared" si="10"/>
        <v>0.76470588235294112</v>
      </c>
    </row>
    <row r="640" spans="1:12">
      <c r="A640" t="s">
        <v>223</v>
      </c>
      <c r="B640">
        <v>1970</v>
      </c>
      <c r="C640" t="s">
        <v>28</v>
      </c>
      <c r="D640">
        <v>46.75</v>
      </c>
      <c r="E640">
        <v>117.5</v>
      </c>
      <c r="F640">
        <v>90.5</v>
      </c>
      <c r="G640">
        <v>170.5</v>
      </c>
      <c r="H640">
        <v>378.5</v>
      </c>
      <c r="I640">
        <v>2012</v>
      </c>
      <c r="J640" t="s">
        <v>852</v>
      </c>
      <c r="K640" t="s">
        <v>30</v>
      </c>
      <c r="L640" s="8">
        <f t="shared" si="10"/>
        <v>0.77021276595744681</v>
      </c>
    </row>
    <row r="641" spans="1:12">
      <c r="A641" t="s">
        <v>236</v>
      </c>
      <c r="B641">
        <v>1980</v>
      </c>
      <c r="C641" t="s">
        <v>56</v>
      </c>
      <c r="D641">
        <v>56.75</v>
      </c>
      <c r="E641">
        <v>100</v>
      </c>
      <c r="F641">
        <v>77.5</v>
      </c>
      <c r="G641">
        <v>150</v>
      </c>
      <c r="H641">
        <v>327.5</v>
      </c>
      <c r="I641">
        <v>2013</v>
      </c>
      <c r="J641" t="s">
        <v>852</v>
      </c>
      <c r="K641" t="s">
        <v>30</v>
      </c>
      <c r="L641" s="8">
        <f t="shared" si="10"/>
        <v>0.77500000000000002</v>
      </c>
    </row>
    <row r="642" spans="1:12">
      <c r="A642" t="s">
        <v>941</v>
      </c>
      <c r="B642">
        <v>1987</v>
      </c>
      <c r="C642" t="s">
        <v>39</v>
      </c>
      <c r="D642">
        <v>64.2</v>
      </c>
      <c r="E642">
        <v>145</v>
      </c>
      <c r="F642">
        <v>112.5</v>
      </c>
      <c r="G642">
        <v>185</v>
      </c>
      <c r="H642">
        <v>442.5</v>
      </c>
      <c r="I642">
        <v>2013</v>
      </c>
      <c r="J642" t="s">
        <v>852</v>
      </c>
      <c r="K642" t="s">
        <v>30</v>
      </c>
      <c r="L642" s="8">
        <f t="shared" si="10"/>
        <v>0.77586206896551724</v>
      </c>
    </row>
    <row r="643" spans="1:12">
      <c r="A643" t="s">
        <v>1043</v>
      </c>
      <c r="B643">
        <v>1984</v>
      </c>
      <c r="C643" t="s">
        <v>77</v>
      </c>
      <c r="D643">
        <v>50.9</v>
      </c>
      <c r="E643">
        <v>90</v>
      </c>
      <c r="F643">
        <v>70</v>
      </c>
      <c r="G643">
        <v>155</v>
      </c>
      <c r="H643">
        <v>315</v>
      </c>
      <c r="I643">
        <v>2012</v>
      </c>
      <c r="J643" t="s">
        <v>852</v>
      </c>
      <c r="K643" t="s">
        <v>30</v>
      </c>
      <c r="L643" s="8">
        <f t="shared" si="10"/>
        <v>0.77777777777777779</v>
      </c>
    </row>
    <row r="644" spans="1:12">
      <c r="A644" t="s">
        <v>345</v>
      </c>
      <c r="B644">
        <v>1986</v>
      </c>
      <c r="C644" t="s">
        <v>74</v>
      </c>
      <c r="D644">
        <v>56.3</v>
      </c>
      <c r="E644">
        <v>125</v>
      </c>
      <c r="F644">
        <v>97.5</v>
      </c>
      <c r="G644">
        <v>175</v>
      </c>
      <c r="H644">
        <v>397.5</v>
      </c>
      <c r="I644">
        <v>2014</v>
      </c>
      <c r="J644" t="s">
        <v>852</v>
      </c>
      <c r="K644" t="s">
        <v>30</v>
      </c>
      <c r="L644" s="8">
        <f t="shared" si="10"/>
        <v>0.78</v>
      </c>
    </row>
    <row r="645" spans="1:12">
      <c r="A645" t="s">
        <v>1006</v>
      </c>
      <c r="B645">
        <v>1974</v>
      </c>
      <c r="C645" t="s">
        <v>80</v>
      </c>
      <c r="D645">
        <v>51.55</v>
      </c>
      <c r="E645">
        <v>102.5</v>
      </c>
      <c r="F645">
        <v>80</v>
      </c>
      <c r="G645">
        <v>135</v>
      </c>
      <c r="H645">
        <v>317.5</v>
      </c>
      <c r="I645">
        <v>2012</v>
      </c>
      <c r="J645" t="s">
        <v>852</v>
      </c>
      <c r="K645" t="s">
        <v>30</v>
      </c>
      <c r="L645" s="8">
        <f t="shared" si="10"/>
        <v>0.78048780487804881</v>
      </c>
    </row>
    <row r="646" spans="1:12">
      <c r="A646" t="s">
        <v>1001</v>
      </c>
      <c r="B646">
        <v>1987</v>
      </c>
      <c r="C646" t="s">
        <v>77</v>
      </c>
      <c r="D646">
        <v>55.95</v>
      </c>
      <c r="E646">
        <v>115</v>
      </c>
      <c r="F646">
        <v>90</v>
      </c>
      <c r="G646">
        <v>125</v>
      </c>
      <c r="H646">
        <v>330</v>
      </c>
      <c r="I646">
        <v>2014</v>
      </c>
      <c r="J646" t="s">
        <v>852</v>
      </c>
      <c r="K646" t="s">
        <v>30</v>
      </c>
      <c r="L646" s="8">
        <f t="shared" si="10"/>
        <v>0.78260869565217395</v>
      </c>
    </row>
    <row r="647" spans="1:12">
      <c r="A647" t="s">
        <v>1053</v>
      </c>
      <c r="B647">
        <v>1986</v>
      </c>
      <c r="C647" t="s">
        <v>39</v>
      </c>
      <c r="D647">
        <v>51.3</v>
      </c>
      <c r="E647">
        <v>115</v>
      </c>
      <c r="F647">
        <v>90</v>
      </c>
      <c r="G647">
        <v>152.5</v>
      </c>
      <c r="H647">
        <v>357.5</v>
      </c>
      <c r="I647">
        <v>2013</v>
      </c>
      <c r="J647" t="s">
        <v>852</v>
      </c>
      <c r="K647" t="s">
        <v>30</v>
      </c>
      <c r="L647" s="8">
        <f t="shared" si="10"/>
        <v>0.78260869565217395</v>
      </c>
    </row>
    <row r="648" spans="1:12">
      <c r="A648" t="s">
        <v>1012</v>
      </c>
      <c r="B648">
        <v>1972</v>
      </c>
      <c r="C648" t="s">
        <v>80</v>
      </c>
      <c r="D648">
        <v>51.75</v>
      </c>
      <c r="E648">
        <v>92.5</v>
      </c>
      <c r="F648">
        <v>72.5</v>
      </c>
      <c r="G648">
        <v>142.5</v>
      </c>
      <c r="H648">
        <v>307.5</v>
      </c>
      <c r="I648">
        <v>2013</v>
      </c>
      <c r="J648" t="s">
        <v>852</v>
      </c>
      <c r="K648" t="s">
        <v>30</v>
      </c>
      <c r="L648" s="8">
        <f t="shared" si="10"/>
        <v>0.78378378378378377</v>
      </c>
    </row>
    <row r="649" spans="1:12">
      <c r="A649" t="s">
        <v>912</v>
      </c>
      <c r="B649">
        <v>1971</v>
      </c>
      <c r="C649" t="s">
        <v>77</v>
      </c>
      <c r="D649">
        <v>51.2</v>
      </c>
      <c r="E649">
        <v>117.5</v>
      </c>
      <c r="F649">
        <v>92.5</v>
      </c>
      <c r="G649">
        <v>135</v>
      </c>
      <c r="H649">
        <v>345</v>
      </c>
      <c r="I649">
        <v>2013</v>
      </c>
      <c r="J649" t="s">
        <v>852</v>
      </c>
      <c r="K649" t="s">
        <v>30</v>
      </c>
      <c r="L649" s="8">
        <f t="shared" si="10"/>
        <v>0.78723404255319152</v>
      </c>
    </row>
    <row r="650" spans="1:12">
      <c r="A650" t="s">
        <v>948</v>
      </c>
      <c r="B650">
        <v>1974</v>
      </c>
      <c r="C650" t="s">
        <v>119</v>
      </c>
      <c r="D650">
        <v>46.85</v>
      </c>
      <c r="E650">
        <v>95</v>
      </c>
      <c r="F650">
        <v>75</v>
      </c>
      <c r="G650">
        <v>132.5</v>
      </c>
      <c r="H650">
        <v>302.5</v>
      </c>
      <c r="I650">
        <v>2013</v>
      </c>
      <c r="J650" t="s">
        <v>852</v>
      </c>
      <c r="K650" t="s">
        <v>30</v>
      </c>
      <c r="L650" s="8">
        <f t="shared" si="10"/>
        <v>0.78947368421052633</v>
      </c>
    </row>
    <row r="651" spans="1:12">
      <c r="A651" t="s">
        <v>223</v>
      </c>
      <c r="B651">
        <v>1970</v>
      </c>
      <c r="C651" t="s">
        <v>28</v>
      </c>
      <c r="D651">
        <v>46.9</v>
      </c>
      <c r="E651">
        <v>115</v>
      </c>
      <c r="F651">
        <v>91</v>
      </c>
      <c r="G651">
        <v>140</v>
      </c>
      <c r="H651">
        <v>346</v>
      </c>
      <c r="I651">
        <v>2014</v>
      </c>
      <c r="J651" t="s">
        <v>852</v>
      </c>
      <c r="K651" t="s">
        <v>30</v>
      </c>
      <c r="L651" s="8">
        <f t="shared" si="10"/>
        <v>0.79130434782608694</v>
      </c>
    </row>
    <row r="652" spans="1:12">
      <c r="A652" t="s">
        <v>973</v>
      </c>
      <c r="B652">
        <v>1971</v>
      </c>
      <c r="C652" t="s">
        <v>77</v>
      </c>
      <c r="D652">
        <v>46.35</v>
      </c>
      <c r="E652">
        <v>72.5</v>
      </c>
      <c r="F652">
        <v>57.5</v>
      </c>
      <c r="G652">
        <v>95</v>
      </c>
      <c r="H652">
        <v>225</v>
      </c>
      <c r="I652">
        <v>2012</v>
      </c>
      <c r="J652" t="s">
        <v>852</v>
      </c>
      <c r="K652" t="s">
        <v>30</v>
      </c>
      <c r="L652" s="8">
        <f t="shared" si="10"/>
        <v>0.7931034482758621</v>
      </c>
    </row>
    <row r="653" spans="1:12">
      <c r="A653" t="s">
        <v>912</v>
      </c>
      <c r="B653">
        <v>1971</v>
      </c>
      <c r="C653" t="s">
        <v>77</v>
      </c>
      <c r="D653">
        <v>51.15</v>
      </c>
      <c r="E653">
        <v>112.5</v>
      </c>
      <c r="F653">
        <v>90</v>
      </c>
      <c r="G653">
        <v>135</v>
      </c>
      <c r="H653">
        <v>337.5</v>
      </c>
      <c r="I653">
        <v>2012</v>
      </c>
      <c r="J653" t="s">
        <v>852</v>
      </c>
      <c r="K653" t="s">
        <v>30</v>
      </c>
      <c r="L653" s="8">
        <f t="shared" si="10"/>
        <v>0.8</v>
      </c>
    </row>
    <row r="654" spans="1:12">
      <c r="A654" t="s">
        <v>999</v>
      </c>
      <c r="B654">
        <v>1973</v>
      </c>
      <c r="C654" t="s">
        <v>80</v>
      </c>
      <c r="D654">
        <v>69.45</v>
      </c>
      <c r="E654">
        <v>112.5</v>
      </c>
      <c r="F654">
        <v>90</v>
      </c>
      <c r="G654">
        <v>150</v>
      </c>
      <c r="H654">
        <v>352.5</v>
      </c>
      <c r="I654">
        <v>2012</v>
      </c>
      <c r="J654" t="s">
        <v>852</v>
      </c>
      <c r="K654" t="s">
        <v>30</v>
      </c>
      <c r="L654" s="8">
        <f t="shared" si="10"/>
        <v>0.8</v>
      </c>
    </row>
    <row r="655" spans="1:12">
      <c r="A655" t="s">
        <v>930</v>
      </c>
      <c r="B655">
        <v>1958</v>
      </c>
      <c r="C655" t="s">
        <v>51</v>
      </c>
      <c r="D655">
        <v>51.95</v>
      </c>
      <c r="E655">
        <v>90</v>
      </c>
      <c r="F655">
        <v>72.5</v>
      </c>
      <c r="G655">
        <v>140</v>
      </c>
      <c r="H655">
        <v>302.5</v>
      </c>
      <c r="I655">
        <v>2012</v>
      </c>
      <c r="J655" t="s">
        <v>852</v>
      </c>
      <c r="K655" t="s">
        <v>30</v>
      </c>
      <c r="L655" s="8">
        <f t="shared" si="10"/>
        <v>0.80555555555555558</v>
      </c>
    </row>
    <row r="656" spans="1:12">
      <c r="A656" t="s">
        <v>297</v>
      </c>
      <c r="B656">
        <v>1982</v>
      </c>
      <c r="C656" t="s">
        <v>80</v>
      </c>
      <c r="D656">
        <v>46.9</v>
      </c>
      <c r="E656">
        <v>110</v>
      </c>
      <c r="F656">
        <v>91.5</v>
      </c>
      <c r="G656">
        <v>140</v>
      </c>
      <c r="H656">
        <v>341.5</v>
      </c>
      <c r="I656">
        <v>2015</v>
      </c>
      <c r="J656" t="s">
        <v>852</v>
      </c>
      <c r="K656" t="s">
        <v>30</v>
      </c>
      <c r="L656" s="8">
        <f t="shared" si="10"/>
        <v>0.83181818181818179</v>
      </c>
    </row>
    <row r="657" spans="1:12">
      <c r="A657" t="s">
        <v>959</v>
      </c>
      <c r="B657">
        <v>1978</v>
      </c>
      <c r="C657" t="s">
        <v>289</v>
      </c>
      <c r="D657">
        <v>115.2</v>
      </c>
      <c r="E657">
        <v>132.5</v>
      </c>
      <c r="F657">
        <v>112.5</v>
      </c>
      <c r="G657">
        <v>160</v>
      </c>
      <c r="H657">
        <v>405</v>
      </c>
      <c r="I657">
        <v>2012</v>
      </c>
      <c r="J657" t="s">
        <v>852</v>
      </c>
      <c r="K657" t="s">
        <v>30</v>
      </c>
      <c r="L657" s="8">
        <f t="shared" si="10"/>
        <v>0.84905660377358494</v>
      </c>
    </row>
    <row r="658" spans="1:12">
      <c r="A658" t="s">
        <v>1048</v>
      </c>
      <c r="B658">
        <v>1968</v>
      </c>
      <c r="C658" t="s">
        <v>62</v>
      </c>
      <c r="D658">
        <v>81.900000000000006</v>
      </c>
      <c r="E658">
        <v>122.5</v>
      </c>
      <c r="F658">
        <v>110</v>
      </c>
      <c r="G658">
        <v>160</v>
      </c>
      <c r="H658">
        <v>392.5</v>
      </c>
      <c r="I658">
        <v>2012</v>
      </c>
      <c r="J658" t="s">
        <v>852</v>
      </c>
      <c r="K658" t="s">
        <v>30</v>
      </c>
      <c r="L658" s="8">
        <f t="shared" si="10"/>
        <v>0.89795918367346939</v>
      </c>
    </row>
    <row r="659" spans="1:12">
      <c r="A659" t="s">
        <v>326</v>
      </c>
      <c r="B659">
        <v>1973</v>
      </c>
      <c r="C659" t="s">
        <v>62</v>
      </c>
      <c r="D659">
        <v>61.6</v>
      </c>
      <c r="E659">
        <v>142.5</v>
      </c>
      <c r="F659">
        <v>132.5</v>
      </c>
      <c r="G659">
        <v>192.5</v>
      </c>
      <c r="H659">
        <v>467.5</v>
      </c>
      <c r="I659">
        <v>2012</v>
      </c>
      <c r="J659" t="s">
        <v>852</v>
      </c>
      <c r="K659" t="s">
        <v>30</v>
      </c>
      <c r="L659" s="8">
        <f t="shared" si="10"/>
        <v>0.92982456140350878</v>
      </c>
    </row>
    <row r="660" spans="1:12">
      <c r="A660" t="s">
        <v>326</v>
      </c>
      <c r="B660">
        <v>1973</v>
      </c>
      <c r="C660" t="s">
        <v>62</v>
      </c>
      <c r="D660">
        <v>60.65</v>
      </c>
      <c r="E660">
        <v>142.5</v>
      </c>
      <c r="F660">
        <v>137.5</v>
      </c>
      <c r="G660">
        <v>197.5</v>
      </c>
      <c r="H660">
        <v>477.5</v>
      </c>
      <c r="I660">
        <v>2014</v>
      </c>
      <c r="J660" t="s">
        <v>852</v>
      </c>
      <c r="K660" t="s">
        <v>30</v>
      </c>
      <c r="L660" s="8">
        <f t="shared" si="10"/>
        <v>0.96491228070175439</v>
      </c>
    </row>
    <row r="661" spans="1:12">
      <c r="A661" t="s">
        <v>326</v>
      </c>
      <c r="B661">
        <v>1973</v>
      </c>
      <c r="C661" t="s">
        <v>62</v>
      </c>
      <c r="D661">
        <v>61.4</v>
      </c>
      <c r="E661">
        <v>142.5</v>
      </c>
      <c r="F661">
        <v>140.5</v>
      </c>
      <c r="G661">
        <v>197.5</v>
      </c>
      <c r="H661">
        <v>480.5</v>
      </c>
      <c r="I661">
        <v>2015</v>
      </c>
      <c r="J661" t="s">
        <v>852</v>
      </c>
      <c r="K661" t="s">
        <v>30</v>
      </c>
      <c r="L661" s="8">
        <f t="shared" si="10"/>
        <v>0.98596491228070171</v>
      </c>
    </row>
    <row r="663" spans="1:12">
      <c r="A663" t="s">
        <v>843</v>
      </c>
      <c r="B663">
        <v>1994</v>
      </c>
      <c r="C663" t="s">
        <v>74</v>
      </c>
      <c r="D663">
        <v>103.78</v>
      </c>
      <c r="E663">
        <v>400</v>
      </c>
      <c r="F663">
        <v>75</v>
      </c>
      <c r="G663">
        <v>275</v>
      </c>
      <c r="H663">
        <v>750</v>
      </c>
      <c r="I663">
        <v>2015</v>
      </c>
      <c r="J663" t="s">
        <v>29</v>
      </c>
      <c r="K663" t="s">
        <v>171</v>
      </c>
      <c r="L663" s="8">
        <f t="shared" ref="L663:L726" si="11">IF(AND(F663&lt;&gt;0,E663&lt;&gt;0),F663/E663,"")</f>
        <v>0.1875</v>
      </c>
    </row>
    <row r="664" spans="1:12">
      <c r="A664" t="s">
        <v>584</v>
      </c>
      <c r="B664">
        <v>1983</v>
      </c>
      <c r="C664" t="s">
        <v>125</v>
      </c>
      <c r="D664">
        <v>142.9</v>
      </c>
      <c r="E664">
        <v>345</v>
      </c>
      <c r="F664">
        <v>125</v>
      </c>
      <c r="G664">
        <v>335</v>
      </c>
      <c r="H664">
        <v>805</v>
      </c>
      <c r="I664">
        <v>2013</v>
      </c>
      <c r="J664" t="s">
        <v>29</v>
      </c>
      <c r="K664" t="s">
        <v>171</v>
      </c>
      <c r="L664" s="8">
        <f t="shared" si="11"/>
        <v>0.36231884057971014</v>
      </c>
    </row>
    <row r="665" spans="1:12">
      <c r="A665" t="s">
        <v>732</v>
      </c>
      <c r="B665">
        <v>1965</v>
      </c>
      <c r="C665" t="s">
        <v>72</v>
      </c>
      <c r="D665">
        <v>65.69</v>
      </c>
      <c r="E665">
        <v>265</v>
      </c>
      <c r="F665">
        <v>102.5</v>
      </c>
      <c r="G665">
        <v>240</v>
      </c>
      <c r="H665">
        <v>607.5</v>
      </c>
      <c r="I665">
        <v>2012</v>
      </c>
      <c r="J665" t="s">
        <v>29</v>
      </c>
      <c r="K665" t="s">
        <v>171</v>
      </c>
      <c r="L665" s="8">
        <f t="shared" si="11"/>
        <v>0.3867924528301887</v>
      </c>
    </row>
    <row r="666" spans="1:12">
      <c r="A666" t="s">
        <v>523</v>
      </c>
      <c r="B666">
        <v>1984</v>
      </c>
      <c r="C666" t="s">
        <v>125</v>
      </c>
      <c r="D666">
        <v>92.6</v>
      </c>
      <c r="E666">
        <v>320</v>
      </c>
      <c r="F666">
        <v>125</v>
      </c>
      <c r="G666">
        <v>300</v>
      </c>
      <c r="H666">
        <v>745</v>
      </c>
      <c r="I666">
        <v>2014</v>
      </c>
      <c r="J666" t="s">
        <v>29</v>
      </c>
      <c r="K666" t="s">
        <v>171</v>
      </c>
      <c r="L666" s="8">
        <f t="shared" si="11"/>
        <v>0.390625</v>
      </c>
    </row>
    <row r="667" spans="1:12">
      <c r="A667" t="s">
        <v>732</v>
      </c>
      <c r="B667">
        <v>1965</v>
      </c>
      <c r="C667" t="s">
        <v>72</v>
      </c>
      <c r="D667">
        <v>65.849999999999994</v>
      </c>
      <c r="E667">
        <v>250</v>
      </c>
      <c r="F667">
        <v>100</v>
      </c>
      <c r="G667">
        <v>230</v>
      </c>
      <c r="H667">
        <v>580</v>
      </c>
      <c r="I667">
        <v>2015</v>
      </c>
      <c r="J667" t="s">
        <v>29</v>
      </c>
      <c r="K667" t="s">
        <v>171</v>
      </c>
      <c r="L667" s="8">
        <f t="shared" si="11"/>
        <v>0.4</v>
      </c>
    </row>
    <row r="668" spans="1:12">
      <c r="A668" t="s">
        <v>674</v>
      </c>
      <c r="B668">
        <v>1990</v>
      </c>
      <c r="C668" t="s">
        <v>252</v>
      </c>
      <c r="D668">
        <v>127.88</v>
      </c>
      <c r="E668">
        <v>290</v>
      </c>
      <c r="F668">
        <v>140</v>
      </c>
      <c r="G668">
        <v>245</v>
      </c>
      <c r="H668">
        <v>675</v>
      </c>
      <c r="I668">
        <v>2015</v>
      </c>
      <c r="J668" t="s">
        <v>29</v>
      </c>
      <c r="K668" t="s">
        <v>171</v>
      </c>
      <c r="L668" s="8">
        <f t="shared" si="11"/>
        <v>0.48275862068965519</v>
      </c>
    </row>
    <row r="669" spans="1:12">
      <c r="A669" t="s">
        <v>791</v>
      </c>
      <c r="B669">
        <v>1968</v>
      </c>
      <c r="C669" t="s">
        <v>336</v>
      </c>
      <c r="D669">
        <v>81.55</v>
      </c>
      <c r="E669">
        <v>325</v>
      </c>
      <c r="F669">
        <v>170</v>
      </c>
      <c r="G669">
        <v>260</v>
      </c>
      <c r="H669">
        <v>755</v>
      </c>
      <c r="I669">
        <v>2013</v>
      </c>
      <c r="J669" t="s">
        <v>29</v>
      </c>
      <c r="K669" t="s">
        <v>171</v>
      </c>
      <c r="L669" s="8">
        <f t="shared" si="11"/>
        <v>0.52307692307692311</v>
      </c>
    </row>
    <row r="670" spans="1:12">
      <c r="A670" t="s">
        <v>814</v>
      </c>
      <c r="B670">
        <v>1979</v>
      </c>
      <c r="C670" t="s">
        <v>815</v>
      </c>
      <c r="D670">
        <v>116.95</v>
      </c>
      <c r="E670">
        <v>305</v>
      </c>
      <c r="F670">
        <v>160</v>
      </c>
      <c r="G670">
        <v>230</v>
      </c>
      <c r="H670">
        <v>695</v>
      </c>
      <c r="I670">
        <v>2012</v>
      </c>
      <c r="J670" t="s">
        <v>29</v>
      </c>
      <c r="K670" t="s">
        <v>171</v>
      </c>
      <c r="L670" s="8">
        <f t="shared" si="11"/>
        <v>0.52459016393442626</v>
      </c>
    </row>
    <row r="671" spans="1:12">
      <c r="A671" t="s">
        <v>472</v>
      </c>
      <c r="B671">
        <v>1980</v>
      </c>
      <c r="C671" t="s">
        <v>49</v>
      </c>
      <c r="D671">
        <v>92</v>
      </c>
      <c r="E671">
        <v>265</v>
      </c>
      <c r="F671">
        <v>140</v>
      </c>
      <c r="G671">
        <v>240</v>
      </c>
      <c r="H671">
        <v>645</v>
      </c>
      <c r="I671">
        <v>2014</v>
      </c>
      <c r="J671" t="s">
        <v>29</v>
      </c>
      <c r="K671" t="s">
        <v>171</v>
      </c>
      <c r="L671" s="8">
        <f t="shared" si="11"/>
        <v>0.52830188679245282</v>
      </c>
    </row>
    <row r="672" spans="1:12">
      <c r="A672" t="s">
        <v>645</v>
      </c>
      <c r="B672">
        <v>1989</v>
      </c>
      <c r="C672" t="s">
        <v>280</v>
      </c>
      <c r="D672">
        <v>72.2</v>
      </c>
      <c r="E672">
        <v>300</v>
      </c>
      <c r="F672">
        <v>160</v>
      </c>
      <c r="G672">
        <v>320</v>
      </c>
      <c r="H672">
        <v>780</v>
      </c>
      <c r="I672">
        <v>2013</v>
      </c>
      <c r="J672" t="s">
        <v>29</v>
      </c>
      <c r="K672" t="s">
        <v>171</v>
      </c>
      <c r="L672" s="8">
        <f t="shared" si="11"/>
        <v>0.53333333333333333</v>
      </c>
    </row>
    <row r="673" spans="1:12">
      <c r="A673" t="s">
        <v>462</v>
      </c>
      <c r="B673">
        <v>1975</v>
      </c>
      <c r="C673" t="s">
        <v>137</v>
      </c>
      <c r="D673">
        <v>65.88</v>
      </c>
      <c r="E673">
        <v>290</v>
      </c>
      <c r="F673">
        <v>155</v>
      </c>
      <c r="G673">
        <v>313</v>
      </c>
      <c r="H673">
        <v>758</v>
      </c>
      <c r="I673">
        <v>2012</v>
      </c>
      <c r="J673" t="s">
        <v>29</v>
      </c>
      <c r="K673" t="s">
        <v>171</v>
      </c>
      <c r="L673" s="8">
        <f t="shared" si="11"/>
        <v>0.53448275862068961</v>
      </c>
    </row>
    <row r="674" spans="1:12">
      <c r="A674" t="s">
        <v>667</v>
      </c>
      <c r="B674">
        <v>1970</v>
      </c>
      <c r="C674" t="s">
        <v>49</v>
      </c>
      <c r="D674">
        <v>119.14</v>
      </c>
      <c r="E674">
        <v>355</v>
      </c>
      <c r="F674">
        <v>190</v>
      </c>
      <c r="G674">
        <v>300</v>
      </c>
      <c r="H674">
        <v>845</v>
      </c>
      <c r="I674">
        <v>2014</v>
      </c>
      <c r="J674" t="s">
        <v>29</v>
      </c>
      <c r="K674" t="s">
        <v>171</v>
      </c>
      <c r="L674" s="8">
        <f t="shared" si="11"/>
        <v>0.53521126760563376</v>
      </c>
    </row>
    <row r="675" spans="1:12">
      <c r="A675" t="s">
        <v>809</v>
      </c>
      <c r="B675">
        <v>1963</v>
      </c>
      <c r="C675" t="s">
        <v>318</v>
      </c>
      <c r="D675">
        <v>91.78</v>
      </c>
      <c r="E675">
        <v>315</v>
      </c>
      <c r="F675">
        <v>170</v>
      </c>
      <c r="G675">
        <v>300</v>
      </c>
      <c r="H675">
        <v>785</v>
      </c>
      <c r="I675">
        <v>2013</v>
      </c>
      <c r="J675" t="s">
        <v>29</v>
      </c>
      <c r="K675" t="s">
        <v>171</v>
      </c>
      <c r="L675" s="8">
        <f t="shared" si="11"/>
        <v>0.53968253968253965</v>
      </c>
    </row>
    <row r="676" spans="1:12">
      <c r="A676" t="s">
        <v>473</v>
      </c>
      <c r="B676">
        <v>1995</v>
      </c>
      <c r="C676" t="s">
        <v>418</v>
      </c>
      <c r="D676">
        <v>72.239999999999995</v>
      </c>
      <c r="E676">
        <v>220</v>
      </c>
      <c r="F676">
        <v>120</v>
      </c>
      <c r="G676">
        <v>220</v>
      </c>
      <c r="H676">
        <v>560</v>
      </c>
      <c r="I676">
        <v>2014</v>
      </c>
      <c r="J676" t="s">
        <v>29</v>
      </c>
      <c r="K676" t="s">
        <v>171</v>
      </c>
      <c r="L676" s="8">
        <f t="shared" si="11"/>
        <v>0.54545454545454541</v>
      </c>
    </row>
    <row r="677" spans="1:12">
      <c r="A677" t="s">
        <v>548</v>
      </c>
      <c r="B677">
        <v>1981</v>
      </c>
      <c r="C677" t="s">
        <v>56</v>
      </c>
      <c r="D677">
        <v>104.1</v>
      </c>
      <c r="E677">
        <v>320</v>
      </c>
      <c r="F677">
        <v>175</v>
      </c>
      <c r="G677">
        <v>315</v>
      </c>
      <c r="H677">
        <v>810</v>
      </c>
      <c r="I677">
        <v>2012</v>
      </c>
      <c r="J677" t="s">
        <v>29</v>
      </c>
      <c r="K677" t="s">
        <v>171</v>
      </c>
      <c r="L677" s="8">
        <f t="shared" si="11"/>
        <v>0.546875</v>
      </c>
    </row>
    <row r="678" spans="1:12">
      <c r="A678" t="s">
        <v>519</v>
      </c>
      <c r="B678">
        <v>1985</v>
      </c>
      <c r="C678" t="s">
        <v>349</v>
      </c>
      <c r="D678">
        <v>179.9</v>
      </c>
      <c r="E678">
        <v>455</v>
      </c>
      <c r="F678">
        <v>250</v>
      </c>
      <c r="G678">
        <v>300</v>
      </c>
      <c r="H678">
        <v>1005</v>
      </c>
      <c r="I678">
        <v>2013</v>
      </c>
      <c r="J678" t="s">
        <v>29</v>
      </c>
      <c r="K678" t="s">
        <v>171</v>
      </c>
      <c r="L678" s="8">
        <f t="shared" si="11"/>
        <v>0.5494505494505495</v>
      </c>
    </row>
    <row r="679" spans="1:12">
      <c r="A679" t="s">
        <v>383</v>
      </c>
      <c r="B679">
        <v>1989</v>
      </c>
      <c r="C679" t="s">
        <v>54</v>
      </c>
      <c r="D679">
        <v>73.44</v>
      </c>
      <c r="E679">
        <v>290</v>
      </c>
      <c r="F679">
        <v>160</v>
      </c>
      <c r="G679">
        <v>292.5</v>
      </c>
      <c r="H679">
        <v>742.5</v>
      </c>
      <c r="I679">
        <v>2014</v>
      </c>
      <c r="J679" t="s">
        <v>29</v>
      </c>
      <c r="K679" t="s">
        <v>171</v>
      </c>
      <c r="L679" s="8">
        <f t="shared" si="11"/>
        <v>0.55172413793103448</v>
      </c>
    </row>
    <row r="680" spans="1:12">
      <c r="A680" t="s">
        <v>448</v>
      </c>
      <c r="B680">
        <v>1989</v>
      </c>
      <c r="C680" t="s">
        <v>62</v>
      </c>
      <c r="D680">
        <v>82.91</v>
      </c>
      <c r="E680">
        <v>340</v>
      </c>
      <c r="F680">
        <v>190</v>
      </c>
      <c r="G680">
        <v>320</v>
      </c>
      <c r="H680">
        <v>850</v>
      </c>
      <c r="I680">
        <v>2012</v>
      </c>
      <c r="J680" t="s">
        <v>29</v>
      </c>
      <c r="K680" t="s">
        <v>171</v>
      </c>
      <c r="L680" s="8">
        <f t="shared" si="11"/>
        <v>0.55882352941176472</v>
      </c>
    </row>
    <row r="681" spans="1:12">
      <c r="A681" t="s">
        <v>559</v>
      </c>
      <c r="B681">
        <v>1986</v>
      </c>
      <c r="C681" t="s">
        <v>252</v>
      </c>
      <c r="D681">
        <v>58.46</v>
      </c>
      <c r="E681">
        <v>250</v>
      </c>
      <c r="F681">
        <v>140</v>
      </c>
      <c r="G681">
        <v>240</v>
      </c>
      <c r="H681">
        <v>630</v>
      </c>
      <c r="I681">
        <v>2015</v>
      </c>
      <c r="J681" t="s">
        <v>29</v>
      </c>
      <c r="K681" t="s">
        <v>171</v>
      </c>
      <c r="L681" s="8">
        <f t="shared" si="11"/>
        <v>0.56000000000000005</v>
      </c>
    </row>
    <row r="682" spans="1:12">
      <c r="A682" t="s">
        <v>414</v>
      </c>
      <c r="B682">
        <v>1987</v>
      </c>
      <c r="C682" t="s">
        <v>336</v>
      </c>
      <c r="D682">
        <v>92.8</v>
      </c>
      <c r="E682">
        <v>320</v>
      </c>
      <c r="F682">
        <v>180</v>
      </c>
      <c r="G682">
        <v>337.5</v>
      </c>
      <c r="H682">
        <v>837.5</v>
      </c>
      <c r="I682">
        <v>2012</v>
      </c>
      <c r="J682" t="s">
        <v>29</v>
      </c>
      <c r="K682" t="s">
        <v>171</v>
      </c>
      <c r="L682" s="8">
        <f t="shared" si="11"/>
        <v>0.5625</v>
      </c>
    </row>
    <row r="683" spans="1:12">
      <c r="A683" t="s">
        <v>387</v>
      </c>
      <c r="B683">
        <v>1992</v>
      </c>
      <c r="C683" t="s">
        <v>62</v>
      </c>
      <c r="D683">
        <v>91.88</v>
      </c>
      <c r="E683">
        <v>372.5</v>
      </c>
      <c r="F683">
        <v>210</v>
      </c>
      <c r="G683">
        <v>370</v>
      </c>
      <c r="H683">
        <v>952.5</v>
      </c>
      <c r="I683">
        <v>2014</v>
      </c>
      <c r="J683" t="s">
        <v>29</v>
      </c>
      <c r="K683" t="s">
        <v>171</v>
      </c>
      <c r="L683" s="8">
        <f t="shared" si="11"/>
        <v>0.56375838926174493</v>
      </c>
    </row>
    <row r="684" spans="1:12">
      <c r="A684" t="s">
        <v>567</v>
      </c>
      <c r="B684">
        <v>1984</v>
      </c>
      <c r="C684" t="s">
        <v>62</v>
      </c>
      <c r="D684">
        <v>66.52</v>
      </c>
      <c r="E684">
        <v>235</v>
      </c>
      <c r="F684">
        <v>132.5</v>
      </c>
      <c r="G684">
        <v>230</v>
      </c>
      <c r="H684">
        <v>597.5</v>
      </c>
      <c r="I684">
        <v>2013</v>
      </c>
      <c r="J684" t="s">
        <v>29</v>
      </c>
      <c r="K684" t="s">
        <v>171</v>
      </c>
      <c r="L684" s="8">
        <f t="shared" si="11"/>
        <v>0.56382978723404253</v>
      </c>
    </row>
    <row r="685" spans="1:12">
      <c r="A685" t="s">
        <v>539</v>
      </c>
      <c r="B685">
        <v>1990</v>
      </c>
      <c r="C685" t="s">
        <v>77</v>
      </c>
      <c r="D685">
        <v>58.92</v>
      </c>
      <c r="E685">
        <v>230</v>
      </c>
      <c r="F685">
        <v>130</v>
      </c>
      <c r="G685">
        <v>230</v>
      </c>
      <c r="H685">
        <v>590</v>
      </c>
      <c r="I685">
        <v>2012</v>
      </c>
      <c r="J685" t="s">
        <v>29</v>
      </c>
      <c r="K685" t="s">
        <v>171</v>
      </c>
      <c r="L685" s="8">
        <f t="shared" si="11"/>
        <v>0.56521739130434778</v>
      </c>
    </row>
    <row r="686" spans="1:12">
      <c r="A686" t="s">
        <v>440</v>
      </c>
      <c r="B686">
        <v>1986</v>
      </c>
      <c r="C686" t="s">
        <v>28</v>
      </c>
      <c r="D686">
        <v>65.239999999999995</v>
      </c>
      <c r="E686">
        <v>326</v>
      </c>
      <c r="F686">
        <v>185</v>
      </c>
      <c r="G686">
        <v>287.5</v>
      </c>
      <c r="H686">
        <v>798.5</v>
      </c>
      <c r="I686">
        <v>2013</v>
      </c>
      <c r="J686" t="s">
        <v>29</v>
      </c>
      <c r="K686" t="s">
        <v>171</v>
      </c>
      <c r="L686" s="8">
        <f t="shared" si="11"/>
        <v>0.56748466257668717</v>
      </c>
    </row>
    <row r="687" spans="1:12">
      <c r="A687" t="s">
        <v>752</v>
      </c>
      <c r="B687">
        <v>1975</v>
      </c>
      <c r="C687" t="s">
        <v>753</v>
      </c>
      <c r="D687">
        <v>137.06</v>
      </c>
      <c r="E687">
        <v>422.5</v>
      </c>
      <c r="F687">
        <v>240</v>
      </c>
      <c r="G687">
        <v>320</v>
      </c>
      <c r="H687">
        <v>982.5</v>
      </c>
      <c r="I687">
        <v>2012</v>
      </c>
      <c r="J687" t="s">
        <v>29</v>
      </c>
      <c r="K687" t="s">
        <v>171</v>
      </c>
      <c r="L687" s="8">
        <f t="shared" si="11"/>
        <v>0.56804733727810652</v>
      </c>
    </row>
    <row r="688" spans="1:12">
      <c r="A688" t="s">
        <v>799</v>
      </c>
      <c r="B688">
        <v>1988</v>
      </c>
      <c r="C688" t="s">
        <v>62</v>
      </c>
      <c r="D688">
        <v>58.82</v>
      </c>
      <c r="E688">
        <v>237.5</v>
      </c>
      <c r="F688">
        <v>135</v>
      </c>
      <c r="G688">
        <v>242.5</v>
      </c>
      <c r="H688">
        <v>615</v>
      </c>
      <c r="I688">
        <v>2014</v>
      </c>
      <c r="J688" t="s">
        <v>29</v>
      </c>
      <c r="K688" t="s">
        <v>171</v>
      </c>
      <c r="L688" s="8">
        <f t="shared" si="11"/>
        <v>0.56842105263157894</v>
      </c>
    </row>
    <row r="689" spans="1:12">
      <c r="A689" t="s">
        <v>783</v>
      </c>
      <c r="B689">
        <v>1993</v>
      </c>
      <c r="C689" t="s">
        <v>74</v>
      </c>
      <c r="D689">
        <v>93.98</v>
      </c>
      <c r="E689">
        <v>255</v>
      </c>
      <c r="F689">
        <v>145</v>
      </c>
      <c r="G689">
        <v>272.5</v>
      </c>
      <c r="H689">
        <v>672.5</v>
      </c>
      <c r="I689">
        <v>2014</v>
      </c>
      <c r="J689" t="s">
        <v>29</v>
      </c>
      <c r="K689" t="s">
        <v>171</v>
      </c>
      <c r="L689" s="8">
        <f t="shared" si="11"/>
        <v>0.56862745098039214</v>
      </c>
    </row>
    <row r="690" spans="1:12">
      <c r="A690" t="s">
        <v>759</v>
      </c>
      <c r="B690">
        <v>1984</v>
      </c>
      <c r="C690" t="s">
        <v>56</v>
      </c>
      <c r="D690">
        <v>82.65</v>
      </c>
      <c r="E690">
        <v>280</v>
      </c>
      <c r="F690">
        <v>160</v>
      </c>
      <c r="G690">
        <v>255</v>
      </c>
      <c r="H690">
        <v>695</v>
      </c>
      <c r="I690">
        <v>2012</v>
      </c>
      <c r="J690" t="s">
        <v>29</v>
      </c>
      <c r="K690" t="s">
        <v>171</v>
      </c>
      <c r="L690" s="8">
        <f t="shared" si="11"/>
        <v>0.5714285714285714</v>
      </c>
    </row>
    <row r="691" spans="1:12">
      <c r="A691" t="s">
        <v>771</v>
      </c>
      <c r="B691">
        <v>1983</v>
      </c>
      <c r="C691" t="s">
        <v>51</v>
      </c>
      <c r="D691">
        <v>123.8</v>
      </c>
      <c r="E691">
        <v>380</v>
      </c>
      <c r="F691">
        <v>217.5</v>
      </c>
      <c r="G691">
        <v>330</v>
      </c>
      <c r="H691">
        <v>927.5</v>
      </c>
      <c r="I691">
        <v>2013</v>
      </c>
      <c r="J691" t="s">
        <v>29</v>
      </c>
      <c r="K691" t="s">
        <v>171</v>
      </c>
      <c r="L691" s="8">
        <f t="shared" si="11"/>
        <v>0.57236842105263153</v>
      </c>
    </row>
    <row r="692" spans="1:12">
      <c r="A692" t="s">
        <v>617</v>
      </c>
      <c r="B692">
        <v>1977</v>
      </c>
      <c r="C692" t="s">
        <v>51</v>
      </c>
      <c r="D692">
        <v>92.7</v>
      </c>
      <c r="E692">
        <v>325</v>
      </c>
      <c r="F692">
        <v>187.5</v>
      </c>
      <c r="G692">
        <v>287.5</v>
      </c>
      <c r="H692">
        <v>800</v>
      </c>
      <c r="I692">
        <v>2012</v>
      </c>
      <c r="J692" t="s">
        <v>29</v>
      </c>
      <c r="K692" t="s">
        <v>171</v>
      </c>
      <c r="L692" s="8">
        <f t="shared" si="11"/>
        <v>0.57692307692307687</v>
      </c>
    </row>
    <row r="693" spans="1:12">
      <c r="A693" t="s">
        <v>823</v>
      </c>
      <c r="B693">
        <v>1983</v>
      </c>
      <c r="C693" t="s">
        <v>485</v>
      </c>
      <c r="D693">
        <v>81.06</v>
      </c>
      <c r="E693">
        <v>260</v>
      </c>
      <c r="F693">
        <v>150</v>
      </c>
      <c r="G693">
        <v>280</v>
      </c>
      <c r="H693">
        <v>690</v>
      </c>
      <c r="I693">
        <v>2014</v>
      </c>
      <c r="J693" t="s">
        <v>29</v>
      </c>
      <c r="K693" t="s">
        <v>171</v>
      </c>
      <c r="L693" s="8">
        <f t="shared" si="11"/>
        <v>0.57692307692307687</v>
      </c>
    </row>
    <row r="694" spans="1:12">
      <c r="A694" t="s">
        <v>567</v>
      </c>
      <c r="B694">
        <v>1984</v>
      </c>
      <c r="C694" t="s">
        <v>62</v>
      </c>
      <c r="D694">
        <v>64.89</v>
      </c>
      <c r="E694">
        <v>242.5</v>
      </c>
      <c r="F694">
        <v>140</v>
      </c>
      <c r="G694">
        <v>250</v>
      </c>
      <c r="H694">
        <v>632.5</v>
      </c>
      <c r="I694">
        <v>2015</v>
      </c>
      <c r="J694" t="s">
        <v>29</v>
      </c>
      <c r="K694" t="s">
        <v>171</v>
      </c>
      <c r="L694" s="8">
        <f t="shared" si="11"/>
        <v>0.57731958762886593</v>
      </c>
    </row>
    <row r="695" spans="1:12">
      <c r="A695" t="s">
        <v>417</v>
      </c>
      <c r="B695">
        <v>1979</v>
      </c>
      <c r="C695" t="s">
        <v>418</v>
      </c>
      <c r="D695">
        <v>104.27</v>
      </c>
      <c r="E695">
        <v>310</v>
      </c>
      <c r="F695">
        <v>180</v>
      </c>
      <c r="G695">
        <v>310</v>
      </c>
      <c r="H695">
        <v>800</v>
      </c>
      <c r="I695">
        <v>2015</v>
      </c>
      <c r="J695" t="s">
        <v>29</v>
      </c>
      <c r="K695" t="s">
        <v>171</v>
      </c>
      <c r="L695" s="8">
        <f t="shared" si="11"/>
        <v>0.58064516129032262</v>
      </c>
    </row>
    <row r="696" spans="1:12">
      <c r="A696" t="s">
        <v>791</v>
      </c>
      <c r="B696">
        <v>1968</v>
      </c>
      <c r="C696" t="s">
        <v>336</v>
      </c>
      <c r="D696">
        <v>82.22</v>
      </c>
      <c r="E696">
        <v>340</v>
      </c>
      <c r="F696">
        <v>197.5</v>
      </c>
      <c r="G696">
        <v>265</v>
      </c>
      <c r="H696">
        <v>802.5</v>
      </c>
      <c r="I696">
        <v>2012</v>
      </c>
      <c r="J696" t="s">
        <v>29</v>
      </c>
      <c r="K696" t="s">
        <v>171</v>
      </c>
      <c r="L696" s="8">
        <f t="shared" si="11"/>
        <v>0.58088235294117652</v>
      </c>
    </row>
    <row r="697" spans="1:12">
      <c r="A697" t="s">
        <v>850</v>
      </c>
      <c r="B697">
        <v>1987</v>
      </c>
      <c r="C697" t="s">
        <v>485</v>
      </c>
      <c r="D697">
        <v>65.5</v>
      </c>
      <c r="E697">
        <v>215</v>
      </c>
      <c r="F697">
        <v>125</v>
      </c>
      <c r="G697">
        <v>200</v>
      </c>
      <c r="H697">
        <v>540</v>
      </c>
      <c r="I697">
        <v>2014</v>
      </c>
      <c r="J697" t="s">
        <v>29</v>
      </c>
      <c r="K697" t="s">
        <v>171</v>
      </c>
      <c r="L697" s="8">
        <f t="shared" si="11"/>
        <v>0.58139534883720934</v>
      </c>
    </row>
    <row r="698" spans="1:12">
      <c r="A698" t="s">
        <v>435</v>
      </c>
      <c r="B698">
        <v>1969</v>
      </c>
      <c r="C698" t="s">
        <v>51</v>
      </c>
      <c r="D698">
        <v>58.51</v>
      </c>
      <c r="E698">
        <v>240</v>
      </c>
      <c r="F698">
        <v>140</v>
      </c>
      <c r="G698">
        <v>232.5</v>
      </c>
      <c r="H698">
        <v>612.5</v>
      </c>
      <c r="I698">
        <v>2012</v>
      </c>
      <c r="J698" t="s">
        <v>29</v>
      </c>
      <c r="K698" t="s">
        <v>171</v>
      </c>
      <c r="L698" s="8">
        <f t="shared" si="11"/>
        <v>0.58333333333333337</v>
      </c>
    </row>
    <row r="699" spans="1:12">
      <c r="A699" t="s">
        <v>736</v>
      </c>
      <c r="B699">
        <v>1983</v>
      </c>
      <c r="C699" t="s">
        <v>51</v>
      </c>
      <c r="D699">
        <v>125.08</v>
      </c>
      <c r="E699">
        <v>380</v>
      </c>
      <c r="F699">
        <v>222.5</v>
      </c>
      <c r="G699">
        <v>327.5</v>
      </c>
      <c r="H699">
        <v>930</v>
      </c>
      <c r="I699">
        <v>2015</v>
      </c>
      <c r="J699" t="s">
        <v>29</v>
      </c>
      <c r="K699" t="s">
        <v>171</v>
      </c>
      <c r="L699" s="8">
        <f t="shared" si="11"/>
        <v>0.58552631578947367</v>
      </c>
    </row>
    <row r="700" spans="1:12">
      <c r="A700" t="s">
        <v>383</v>
      </c>
      <c r="B700">
        <v>1989</v>
      </c>
      <c r="C700" t="s">
        <v>54</v>
      </c>
      <c r="D700">
        <v>73.39</v>
      </c>
      <c r="E700">
        <v>290</v>
      </c>
      <c r="F700">
        <v>170</v>
      </c>
      <c r="G700">
        <v>277.5</v>
      </c>
      <c r="H700">
        <v>737.5</v>
      </c>
      <c r="I700">
        <v>2015</v>
      </c>
      <c r="J700" t="s">
        <v>29</v>
      </c>
      <c r="K700" t="s">
        <v>171</v>
      </c>
      <c r="L700" s="8">
        <f t="shared" si="11"/>
        <v>0.58620689655172409</v>
      </c>
    </row>
    <row r="701" spans="1:12">
      <c r="A701" t="s">
        <v>486</v>
      </c>
      <c r="B701">
        <v>1986</v>
      </c>
      <c r="C701" t="s">
        <v>47</v>
      </c>
      <c r="D701">
        <v>101.21</v>
      </c>
      <c r="E701">
        <v>230</v>
      </c>
      <c r="F701">
        <v>135</v>
      </c>
      <c r="G701">
        <v>260</v>
      </c>
      <c r="H701">
        <v>625</v>
      </c>
      <c r="I701">
        <v>2015</v>
      </c>
      <c r="J701" t="s">
        <v>29</v>
      </c>
      <c r="K701" t="s">
        <v>171</v>
      </c>
      <c r="L701" s="8">
        <f t="shared" si="11"/>
        <v>0.58695652173913049</v>
      </c>
    </row>
    <row r="702" spans="1:12">
      <c r="A702" t="s">
        <v>682</v>
      </c>
      <c r="B702">
        <v>1974</v>
      </c>
      <c r="C702" t="s">
        <v>85</v>
      </c>
      <c r="D702">
        <v>73.319999999999993</v>
      </c>
      <c r="E702">
        <v>360</v>
      </c>
      <c r="F702">
        <v>212.5</v>
      </c>
      <c r="G702">
        <v>310</v>
      </c>
      <c r="H702">
        <v>882.5</v>
      </c>
      <c r="I702">
        <v>2014</v>
      </c>
      <c r="J702" t="s">
        <v>29</v>
      </c>
      <c r="K702" t="s">
        <v>171</v>
      </c>
      <c r="L702" s="8">
        <f t="shared" si="11"/>
        <v>0.59027777777777779</v>
      </c>
    </row>
    <row r="703" spans="1:12">
      <c r="A703" t="s">
        <v>682</v>
      </c>
      <c r="B703">
        <v>1974</v>
      </c>
      <c r="C703" t="s">
        <v>85</v>
      </c>
      <c r="D703">
        <v>72.849999999999994</v>
      </c>
      <c r="E703">
        <v>360</v>
      </c>
      <c r="F703">
        <v>212.5</v>
      </c>
      <c r="G703">
        <v>310</v>
      </c>
      <c r="H703">
        <v>882.5</v>
      </c>
      <c r="I703">
        <v>2015</v>
      </c>
      <c r="J703" t="s">
        <v>29</v>
      </c>
      <c r="K703" t="s">
        <v>171</v>
      </c>
      <c r="L703" s="8">
        <f t="shared" si="11"/>
        <v>0.59027777777777779</v>
      </c>
    </row>
    <row r="704" spans="1:12">
      <c r="A704" t="s">
        <v>383</v>
      </c>
      <c r="B704">
        <v>1989</v>
      </c>
      <c r="C704" t="s">
        <v>54</v>
      </c>
      <c r="D704">
        <v>73.5</v>
      </c>
      <c r="E704">
        <v>275</v>
      </c>
      <c r="F704">
        <v>162.5</v>
      </c>
      <c r="G704">
        <v>272.5</v>
      </c>
      <c r="H704">
        <v>710</v>
      </c>
      <c r="I704">
        <v>2013</v>
      </c>
      <c r="J704" t="s">
        <v>29</v>
      </c>
      <c r="K704" t="s">
        <v>171</v>
      </c>
      <c r="L704" s="8">
        <f t="shared" si="11"/>
        <v>0.59090909090909094</v>
      </c>
    </row>
    <row r="705" spans="1:12">
      <c r="A705" t="s">
        <v>682</v>
      </c>
      <c r="B705">
        <v>1974</v>
      </c>
      <c r="C705" t="s">
        <v>85</v>
      </c>
      <c r="D705">
        <v>72.989999999999995</v>
      </c>
      <c r="E705">
        <v>355</v>
      </c>
      <c r="F705">
        <v>210</v>
      </c>
      <c r="G705">
        <v>310</v>
      </c>
      <c r="H705">
        <v>875</v>
      </c>
      <c r="I705">
        <v>2012</v>
      </c>
      <c r="J705" t="s">
        <v>29</v>
      </c>
      <c r="K705" t="s">
        <v>171</v>
      </c>
      <c r="L705" s="8">
        <f t="shared" si="11"/>
        <v>0.59154929577464788</v>
      </c>
    </row>
    <row r="706" spans="1:12">
      <c r="A706" t="s">
        <v>682</v>
      </c>
      <c r="B706">
        <v>1974</v>
      </c>
      <c r="C706" t="s">
        <v>85</v>
      </c>
      <c r="D706">
        <v>73.319999999999993</v>
      </c>
      <c r="E706">
        <v>367.5</v>
      </c>
      <c r="F706">
        <v>217.5</v>
      </c>
      <c r="G706">
        <v>320</v>
      </c>
      <c r="H706">
        <v>905</v>
      </c>
      <c r="I706">
        <v>2013</v>
      </c>
      <c r="J706" t="s">
        <v>29</v>
      </c>
      <c r="K706" t="s">
        <v>171</v>
      </c>
      <c r="L706" s="8">
        <f t="shared" si="11"/>
        <v>0.59183673469387754</v>
      </c>
    </row>
    <row r="707" spans="1:12">
      <c r="A707" t="s">
        <v>680</v>
      </c>
      <c r="B707">
        <v>1990</v>
      </c>
      <c r="C707" t="s">
        <v>282</v>
      </c>
      <c r="D707">
        <v>65.44</v>
      </c>
      <c r="E707">
        <v>265</v>
      </c>
      <c r="F707">
        <v>157.5</v>
      </c>
      <c r="G707">
        <v>235</v>
      </c>
      <c r="H707">
        <v>657.5</v>
      </c>
      <c r="I707">
        <v>2013</v>
      </c>
      <c r="J707" t="s">
        <v>29</v>
      </c>
      <c r="K707" t="s">
        <v>171</v>
      </c>
      <c r="L707" s="8">
        <f t="shared" si="11"/>
        <v>0.59433962264150941</v>
      </c>
    </row>
    <row r="708" spans="1:12">
      <c r="A708" t="s">
        <v>691</v>
      </c>
      <c r="B708">
        <v>1982</v>
      </c>
      <c r="C708" t="s">
        <v>239</v>
      </c>
      <c r="D708">
        <v>104.45</v>
      </c>
      <c r="E708">
        <v>370</v>
      </c>
      <c r="F708">
        <v>220</v>
      </c>
      <c r="G708">
        <v>305</v>
      </c>
      <c r="H708">
        <v>895</v>
      </c>
      <c r="I708">
        <v>2012</v>
      </c>
      <c r="J708" t="s">
        <v>29</v>
      </c>
      <c r="K708" t="s">
        <v>171</v>
      </c>
      <c r="L708" s="8">
        <f t="shared" si="11"/>
        <v>0.59459459459459463</v>
      </c>
    </row>
    <row r="709" spans="1:12">
      <c r="A709" t="s">
        <v>69</v>
      </c>
      <c r="B709">
        <v>1983</v>
      </c>
      <c r="C709" t="s">
        <v>45</v>
      </c>
      <c r="D709">
        <v>110.95</v>
      </c>
      <c r="E709">
        <v>395</v>
      </c>
      <c r="F709">
        <v>235</v>
      </c>
      <c r="G709">
        <v>375</v>
      </c>
      <c r="H709">
        <v>1005</v>
      </c>
      <c r="I709">
        <v>2015</v>
      </c>
      <c r="J709" t="s">
        <v>29</v>
      </c>
      <c r="K709" t="s">
        <v>171</v>
      </c>
      <c r="L709" s="8">
        <f t="shared" si="11"/>
        <v>0.59493670886075944</v>
      </c>
    </row>
    <row r="710" spans="1:12">
      <c r="A710" t="s">
        <v>481</v>
      </c>
      <c r="B710">
        <v>1986</v>
      </c>
      <c r="C710" t="s">
        <v>28</v>
      </c>
      <c r="D710">
        <v>72.900000000000006</v>
      </c>
      <c r="E710">
        <v>340</v>
      </c>
      <c r="F710">
        <v>202.5</v>
      </c>
      <c r="G710">
        <v>322.5</v>
      </c>
      <c r="H710">
        <v>865</v>
      </c>
      <c r="I710">
        <v>2015</v>
      </c>
      <c r="J710" t="s">
        <v>29</v>
      </c>
      <c r="K710" t="s">
        <v>171</v>
      </c>
      <c r="L710" s="8">
        <f t="shared" si="11"/>
        <v>0.59558823529411764</v>
      </c>
    </row>
    <row r="711" spans="1:12">
      <c r="A711" t="s">
        <v>437</v>
      </c>
      <c r="B711">
        <v>1987</v>
      </c>
      <c r="C711" t="s">
        <v>282</v>
      </c>
      <c r="D711">
        <v>73.75</v>
      </c>
      <c r="E711">
        <v>285</v>
      </c>
      <c r="F711">
        <v>170</v>
      </c>
      <c r="G711">
        <v>270</v>
      </c>
      <c r="H711">
        <v>725</v>
      </c>
      <c r="I711">
        <v>2013</v>
      </c>
      <c r="J711" t="s">
        <v>29</v>
      </c>
      <c r="K711" t="s">
        <v>171</v>
      </c>
      <c r="L711" s="8">
        <f t="shared" si="11"/>
        <v>0.59649122807017541</v>
      </c>
    </row>
    <row r="712" spans="1:12">
      <c r="A712" t="s">
        <v>554</v>
      </c>
      <c r="B712">
        <v>1994</v>
      </c>
      <c r="C712" t="s">
        <v>74</v>
      </c>
      <c r="D712">
        <v>82.35</v>
      </c>
      <c r="E712">
        <v>285</v>
      </c>
      <c r="F712">
        <v>170</v>
      </c>
      <c r="G712">
        <v>325</v>
      </c>
      <c r="H712">
        <v>780</v>
      </c>
      <c r="I712">
        <v>2013</v>
      </c>
      <c r="J712" t="s">
        <v>29</v>
      </c>
      <c r="K712" t="s">
        <v>171</v>
      </c>
      <c r="L712" s="8">
        <f t="shared" si="11"/>
        <v>0.59649122807017541</v>
      </c>
    </row>
    <row r="713" spans="1:12">
      <c r="A713" t="s">
        <v>617</v>
      </c>
      <c r="B713">
        <v>1977</v>
      </c>
      <c r="C713" t="s">
        <v>51</v>
      </c>
      <c r="D713">
        <v>91.66</v>
      </c>
      <c r="E713">
        <v>322.5</v>
      </c>
      <c r="F713">
        <v>192.5</v>
      </c>
      <c r="G713">
        <v>290</v>
      </c>
      <c r="H713">
        <v>805</v>
      </c>
      <c r="I713">
        <v>2015</v>
      </c>
      <c r="J713" t="s">
        <v>29</v>
      </c>
      <c r="K713" t="s">
        <v>171</v>
      </c>
      <c r="L713" s="8">
        <f t="shared" si="11"/>
        <v>0.5968992248062015</v>
      </c>
    </row>
    <row r="714" spans="1:12">
      <c r="A714" t="s">
        <v>688</v>
      </c>
      <c r="B714">
        <v>1977</v>
      </c>
      <c r="C714" t="s">
        <v>85</v>
      </c>
      <c r="D714">
        <v>58.68</v>
      </c>
      <c r="E714">
        <v>255</v>
      </c>
      <c r="F714">
        <v>152.5</v>
      </c>
      <c r="G714">
        <v>217.5</v>
      </c>
      <c r="H714">
        <v>625</v>
      </c>
      <c r="I714">
        <v>2013</v>
      </c>
      <c r="J714" t="s">
        <v>29</v>
      </c>
      <c r="K714" t="s">
        <v>171</v>
      </c>
      <c r="L714" s="8">
        <f t="shared" si="11"/>
        <v>0.59803921568627449</v>
      </c>
    </row>
    <row r="715" spans="1:12">
      <c r="A715" t="s">
        <v>609</v>
      </c>
      <c r="B715">
        <v>1985</v>
      </c>
      <c r="C715" t="s">
        <v>49</v>
      </c>
      <c r="D715">
        <v>64.930000000000007</v>
      </c>
      <c r="E715">
        <v>267.5</v>
      </c>
      <c r="F715">
        <v>160</v>
      </c>
      <c r="G715">
        <v>260</v>
      </c>
      <c r="H715">
        <v>687.5</v>
      </c>
      <c r="I715">
        <v>2013</v>
      </c>
      <c r="J715" t="s">
        <v>29</v>
      </c>
      <c r="K715" t="s">
        <v>171</v>
      </c>
      <c r="L715" s="8">
        <f t="shared" si="11"/>
        <v>0.59813084112149528</v>
      </c>
    </row>
    <row r="716" spans="1:12">
      <c r="A716" t="s">
        <v>791</v>
      </c>
      <c r="B716">
        <v>1968</v>
      </c>
      <c r="C716" t="s">
        <v>336</v>
      </c>
      <c r="D716">
        <v>82.56</v>
      </c>
      <c r="E716">
        <v>317.5</v>
      </c>
      <c r="F716">
        <v>190</v>
      </c>
      <c r="G716">
        <v>267.5</v>
      </c>
      <c r="H716">
        <v>775</v>
      </c>
      <c r="I716">
        <v>2014</v>
      </c>
      <c r="J716" t="s">
        <v>29</v>
      </c>
      <c r="K716" t="s">
        <v>171</v>
      </c>
      <c r="L716" s="8">
        <f t="shared" si="11"/>
        <v>0.59842519685039375</v>
      </c>
    </row>
    <row r="717" spans="1:12">
      <c r="A717" t="s">
        <v>462</v>
      </c>
      <c r="B717">
        <v>1975</v>
      </c>
      <c r="C717" t="s">
        <v>137</v>
      </c>
      <c r="D717">
        <v>72.19</v>
      </c>
      <c r="E717">
        <v>300</v>
      </c>
      <c r="F717">
        <v>180</v>
      </c>
      <c r="G717">
        <v>305</v>
      </c>
      <c r="H717">
        <v>785</v>
      </c>
      <c r="I717">
        <v>2013</v>
      </c>
      <c r="J717" t="s">
        <v>29</v>
      </c>
      <c r="K717" t="s">
        <v>171</v>
      </c>
      <c r="L717" s="8">
        <f t="shared" si="11"/>
        <v>0.6</v>
      </c>
    </row>
    <row r="718" spans="1:12">
      <c r="A718" t="s">
        <v>69</v>
      </c>
      <c r="B718">
        <v>1983</v>
      </c>
      <c r="C718" t="s">
        <v>45</v>
      </c>
      <c r="D718">
        <v>107.42</v>
      </c>
      <c r="E718">
        <v>360</v>
      </c>
      <c r="F718">
        <v>217.5</v>
      </c>
      <c r="G718">
        <v>360</v>
      </c>
      <c r="H718">
        <v>937.5</v>
      </c>
      <c r="I718">
        <v>2014</v>
      </c>
      <c r="J718" t="s">
        <v>29</v>
      </c>
      <c r="K718" t="s">
        <v>171</v>
      </c>
      <c r="L718" s="8">
        <f t="shared" si="11"/>
        <v>0.60416666666666663</v>
      </c>
    </row>
    <row r="719" spans="1:12">
      <c r="A719" t="s">
        <v>612</v>
      </c>
      <c r="B719">
        <v>1979</v>
      </c>
      <c r="C719" t="s">
        <v>137</v>
      </c>
      <c r="D719">
        <v>58.8</v>
      </c>
      <c r="E719">
        <v>240</v>
      </c>
      <c r="F719">
        <v>145</v>
      </c>
      <c r="G719">
        <v>247.5</v>
      </c>
      <c r="H719">
        <v>632.5</v>
      </c>
      <c r="I719">
        <v>2012</v>
      </c>
      <c r="J719" t="s">
        <v>29</v>
      </c>
      <c r="K719" t="s">
        <v>171</v>
      </c>
      <c r="L719" s="8">
        <f t="shared" si="11"/>
        <v>0.60416666666666663</v>
      </c>
    </row>
    <row r="720" spans="1:12">
      <c r="A720" t="s">
        <v>826</v>
      </c>
      <c r="B720">
        <v>1990</v>
      </c>
      <c r="C720" t="s">
        <v>74</v>
      </c>
      <c r="D720">
        <v>58.56</v>
      </c>
      <c r="E720">
        <v>240</v>
      </c>
      <c r="F720">
        <v>145</v>
      </c>
      <c r="G720">
        <v>230</v>
      </c>
      <c r="H720">
        <v>615</v>
      </c>
      <c r="I720">
        <v>2014</v>
      </c>
      <c r="J720" t="s">
        <v>29</v>
      </c>
      <c r="K720" t="s">
        <v>171</v>
      </c>
      <c r="L720" s="8">
        <f t="shared" si="11"/>
        <v>0.60416666666666663</v>
      </c>
    </row>
    <row r="721" spans="1:12">
      <c r="A721" t="s">
        <v>101</v>
      </c>
      <c r="B721">
        <v>1987</v>
      </c>
      <c r="C721" t="s">
        <v>77</v>
      </c>
      <c r="D721">
        <v>92.72</v>
      </c>
      <c r="E721">
        <v>355</v>
      </c>
      <c r="F721">
        <v>215</v>
      </c>
      <c r="G721">
        <v>235</v>
      </c>
      <c r="H721">
        <v>805</v>
      </c>
      <c r="I721">
        <v>2012</v>
      </c>
      <c r="J721" t="s">
        <v>29</v>
      </c>
      <c r="K721" t="s">
        <v>171</v>
      </c>
      <c r="L721" s="8">
        <f t="shared" si="11"/>
        <v>0.60563380281690138</v>
      </c>
    </row>
    <row r="722" spans="1:12">
      <c r="A722" t="s">
        <v>688</v>
      </c>
      <c r="B722">
        <v>1977</v>
      </c>
      <c r="C722" t="s">
        <v>85</v>
      </c>
      <c r="D722">
        <v>58.73</v>
      </c>
      <c r="E722">
        <v>255</v>
      </c>
      <c r="F722">
        <v>155</v>
      </c>
      <c r="G722">
        <v>225</v>
      </c>
      <c r="H722">
        <v>635</v>
      </c>
      <c r="I722">
        <v>2012</v>
      </c>
      <c r="J722" t="s">
        <v>29</v>
      </c>
      <c r="K722" t="s">
        <v>171</v>
      </c>
      <c r="L722" s="8">
        <f t="shared" si="11"/>
        <v>0.60784313725490191</v>
      </c>
    </row>
    <row r="723" spans="1:12">
      <c r="A723" t="s">
        <v>440</v>
      </c>
      <c r="B723">
        <v>1986</v>
      </c>
      <c r="C723" t="s">
        <v>28</v>
      </c>
      <c r="D723">
        <v>65.58</v>
      </c>
      <c r="E723">
        <v>312.5</v>
      </c>
      <c r="F723">
        <v>190</v>
      </c>
      <c r="G723">
        <v>280</v>
      </c>
      <c r="H723">
        <v>782.5</v>
      </c>
      <c r="I723">
        <v>2014</v>
      </c>
      <c r="J723" t="s">
        <v>29</v>
      </c>
      <c r="K723" t="s">
        <v>171</v>
      </c>
      <c r="L723" s="8">
        <f t="shared" si="11"/>
        <v>0.60799999999999998</v>
      </c>
    </row>
    <row r="724" spans="1:12">
      <c r="A724" t="s">
        <v>407</v>
      </c>
      <c r="B724">
        <v>1976</v>
      </c>
      <c r="C724" t="s">
        <v>274</v>
      </c>
      <c r="D724">
        <v>82.69</v>
      </c>
      <c r="E724">
        <v>300</v>
      </c>
      <c r="F724">
        <v>182.5</v>
      </c>
      <c r="G724">
        <v>285</v>
      </c>
      <c r="H724">
        <v>767.5</v>
      </c>
      <c r="I724">
        <v>2015</v>
      </c>
      <c r="J724" t="s">
        <v>29</v>
      </c>
      <c r="K724" t="s">
        <v>171</v>
      </c>
      <c r="L724" s="8">
        <f t="shared" si="11"/>
        <v>0.60833333333333328</v>
      </c>
    </row>
    <row r="725" spans="1:12">
      <c r="A725" t="s">
        <v>440</v>
      </c>
      <c r="B725">
        <v>1986</v>
      </c>
      <c r="C725" t="s">
        <v>28</v>
      </c>
      <c r="D725">
        <v>64.55</v>
      </c>
      <c r="E725">
        <v>300</v>
      </c>
      <c r="F725">
        <v>182.5</v>
      </c>
      <c r="G725">
        <v>272.5</v>
      </c>
      <c r="H725">
        <v>755</v>
      </c>
      <c r="I725">
        <v>2012</v>
      </c>
      <c r="J725" t="s">
        <v>29</v>
      </c>
      <c r="K725" t="s">
        <v>171</v>
      </c>
      <c r="L725" s="8">
        <f t="shared" si="11"/>
        <v>0.60833333333333328</v>
      </c>
    </row>
    <row r="726" spans="1:12">
      <c r="A726" t="s">
        <v>108</v>
      </c>
      <c r="B726">
        <v>1969</v>
      </c>
      <c r="C726" t="s">
        <v>109</v>
      </c>
      <c r="D726">
        <v>113.45</v>
      </c>
      <c r="E726">
        <v>345</v>
      </c>
      <c r="F726">
        <v>210</v>
      </c>
      <c r="G726">
        <v>310</v>
      </c>
      <c r="H726">
        <v>865</v>
      </c>
      <c r="I726">
        <v>2012</v>
      </c>
      <c r="J726" t="s">
        <v>29</v>
      </c>
      <c r="K726" t="s">
        <v>171</v>
      </c>
      <c r="L726" s="8">
        <f t="shared" si="11"/>
        <v>0.60869565217391308</v>
      </c>
    </row>
    <row r="727" spans="1:12">
      <c r="A727" t="s">
        <v>363</v>
      </c>
      <c r="B727">
        <v>1989</v>
      </c>
      <c r="C727" t="s">
        <v>280</v>
      </c>
      <c r="D727">
        <v>65.89</v>
      </c>
      <c r="E727">
        <v>295</v>
      </c>
      <c r="F727">
        <v>180</v>
      </c>
      <c r="G727">
        <v>0</v>
      </c>
      <c r="H727">
        <v>0</v>
      </c>
      <c r="I727">
        <v>2013</v>
      </c>
      <c r="J727" t="s">
        <v>29</v>
      </c>
      <c r="K727" t="s">
        <v>171</v>
      </c>
      <c r="L727" s="8">
        <f t="shared" ref="L727:L790" si="12">IF(AND(F727&lt;&gt;0,E727&lt;&gt;0),F727/E727,"")</f>
        <v>0.61016949152542377</v>
      </c>
    </row>
    <row r="728" spans="1:12">
      <c r="A728" t="s">
        <v>691</v>
      </c>
      <c r="B728">
        <v>1982</v>
      </c>
      <c r="C728" t="s">
        <v>239</v>
      </c>
      <c r="D728">
        <v>104.36</v>
      </c>
      <c r="E728">
        <v>372.5</v>
      </c>
      <c r="F728">
        <v>227.5</v>
      </c>
      <c r="G728">
        <v>312.5</v>
      </c>
      <c r="H728">
        <v>912.5</v>
      </c>
      <c r="I728">
        <v>2013</v>
      </c>
      <c r="J728" t="s">
        <v>29</v>
      </c>
      <c r="K728" t="s">
        <v>171</v>
      </c>
      <c r="L728" s="8">
        <f t="shared" si="12"/>
        <v>0.61073825503355705</v>
      </c>
    </row>
    <row r="729" spans="1:12">
      <c r="A729" t="s">
        <v>611</v>
      </c>
      <c r="B729">
        <v>1994</v>
      </c>
      <c r="C729" t="s">
        <v>74</v>
      </c>
      <c r="D729">
        <v>58.5</v>
      </c>
      <c r="E729">
        <v>245</v>
      </c>
      <c r="F729">
        <v>150</v>
      </c>
      <c r="G729">
        <v>255</v>
      </c>
      <c r="H729">
        <v>650</v>
      </c>
      <c r="I729">
        <v>2014</v>
      </c>
      <c r="J729" t="s">
        <v>29</v>
      </c>
      <c r="K729" t="s">
        <v>171</v>
      </c>
      <c r="L729" s="8">
        <f t="shared" si="12"/>
        <v>0.61224489795918369</v>
      </c>
    </row>
    <row r="730" spans="1:12">
      <c r="A730" t="s">
        <v>440</v>
      </c>
      <c r="B730">
        <v>1986</v>
      </c>
      <c r="C730" t="s">
        <v>28</v>
      </c>
      <c r="D730">
        <v>65.239999999999995</v>
      </c>
      <c r="E730">
        <v>325</v>
      </c>
      <c r="F730">
        <v>200</v>
      </c>
      <c r="G730">
        <v>270</v>
      </c>
      <c r="H730">
        <v>795</v>
      </c>
      <c r="I730">
        <v>2015</v>
      </c>
      <c r="J730" t="s">
        <v>29</v>
      </c>
      <c r="K730" t="s">
        <v>171</v>
      </c>
      <c r="L730" s="8">
        <f t="shared" si="12"/>
        <v>0.61538461538461542</v>
      </c>
    </row>
    <row r="731" spans="1:12">
      <c r="A731" t="s">
        <v>555</v>
      </c>
      <c r="B731">
        <v>1990</v>
      </c>
      <c r="C731" t="s">
        <v>62</v>
      </c>
      <c r="D731">
        <v>99.14</v>
      </c>
      <c r="E731">
        <v>357.5</v>
      </c>
      <c r="F731">
        <v>220</v>
      </c>
      <c r="G731">
        <v>335</v>
      </c>
      <c r="H731">
        <v>912.5</v>
      </c>
      <c r="I731">
        <v>2015</v>
      </c>
      <c r="J731" t="s">
        <v>29</v>
      </c>
      <c r="K731" t="s">
        <v>171</v>
      </c>
      <c r="L731" s="8">
        <f t="shared" si="12"/>
        <v>0.61538461538461542</v>
      </c>
    </row>
    <row r="732" spans="1:12">
      <c r="A732" t="s">
        <v>813</v>
      </c>
      <c r="B732">
        <v>1978</v>
      </c>
      <c r="C732" t="s">
        <v>239</v>
      </c>
      <c r="D732">
        <v>92.83</v>
      </c>
      <c r="E732">
        <v>325</v>
      </c>
      <c r="F732">
        <v>200</v>
      </c>
      <c r="G732">
        <v>312.5</v>
      </c>
      <c r="H732">
        <v>837.5</v>
      </c>
      <c r="I732">
        <v>2012</v>
      </c>
      <c r="J732" t="s">
        <v>29</v>
      </c>
      <c r="K732" t="s">
        <v>171</v>
      </c>
      <c r="L732" s="8">
        <f t="shared" si="12"/>
        <v>0.61538461538461542</v>
      </c>
    </row>
    <row r="733" spans="1:12">
      <c r="A733" t="s">
        <v>816</v>
      </c>
      <c r="B733">
        <v>1978</v>
      </c>
      <c r="C733" t="s">
        <v>352</v>
      </c>
      <c r="D733">
        <v>82.53</v>
      </c>
      <c r="E733">
        <v>325</v>
      </c>
      <c r="F733">
        <v>200</v>
      </c>
      <c r="G733">
        <v>325</v>
      </c>
      <c r="H733">
        <v>850</v>
      </c>
      <c r="I733">
        <v>2012</v>
      </c>
      <c r="J733" t="s">
        <v>29</v>
      </c>
      <c r="K733" t="s">
        <v>171</v>
      </c>
      <c r="L733" s="8">
        <f t="shared" si="12"/>
        <v>0.61538461538461542</v>
      </c>
    </row>
    <row r="734" spans="1:12">
      <c r="A734" t="s">
        <v>776</v>
      </c>
      <c r="B734">
        <v>1985</v>
      </c>
      <c r="C734" t="s">
        <v>28</v>
      </c>
      <c r="D734">
        <v>82.83</v>
      </c>
      <c r="E734">
        <v>365</v>
      </c>
      <c r="F734">
        <v>225</v>
      </c>
      <c r="G734">
        <v>310</v>
      </c>
      <c r="H734">
        <v>900</v>
      </c>
      <c r="I734">
        <v>2012</v>
      </c>
      <c r="J734" t="s">
        <v>29</v>
      </c>
      <c r="K734" t="s">
        <v>171</v>
      </c>
      <c r="L734" s="8">
        <f t="shared" si="12"/>
        <v>0.61643835616438358</v>
      </c>
    </row>
    <row r="735" spans="1:12">
      <c r="A735" t="s">
        <v>611</v>
      </c>
      <c r="B735">
        <v>1994</v>
      </c>
      <c r="C735" t="s">
        <v>74</v>
      </c>
      <c r="D735">
        <v>58.29</v>
      </c>
      <c r="E735">
        <v>242.5</v>
      </c>
      <c r="F735">
        <v>150</v>
      </c>
      <c r="G735">
        <v>257.5</v>
      </c>
      <c r="H735">
        <v>650</v>
      </c>
      <c r="I735">
        <v>2015</v>
      </c>
      <c r="J735" t="s">
        <v>29</v>
      </c>
      <c r="K735" t="s">
        <v>171</v>
      </c>
      <c r="L735" s="8">
        <f t="shared" si="12"/>
        <v>0.61855670103092786</v>
      </c>
    </row>
    <row r="736" spans="1:12">
      <c r="A736" t="s">
        <v>48</v>
      </c>
      <c r="B736">
        <v>1983</v>
      </c>
      <c r="C736" t="s">
        <v>49</v>
      </c>
      <c r="D736">
        <v>91.59</v>
      </c>
      <c r="E736">
        <v>335</v>
      </c>
      <c r="F736">
        <v>207.5</v>
      </c>
      <c r="G736">
        <v>320</v>
      </c>
      <c r="H736">
        <v>862.5</v>
      </c>
      <c r="I736">
        <v>2012</v>
      </c>
      <c r="J736" t="s">
        <v>29</v>
      </c>
      <c r="K736" t="s">
        <v>171</v>
      </c>
      <c r="L736" s="8">
        <f t="shared" si="12"/>
        <v>0.61940298507462688</v>
      </c>
    </row>
    <row r="737" spans="1:12">
      <c r="A737" t="s">
        <v>449</v>
      </c>
      <c r="B737">
        <v>1989</v>
      </c>
      <c r="C737" t="s">
        <v>62</v>
      </c>
      <c r="D737">
        <v>82.56</v>
      </c>
      <c r="E737">
        <v>355</v>
      </c>
      <c r="F737">
        <v>220</v>
      </c>
      <c r="G737">
        <v>322.5</v>
      </c>
      <c r="H737">
        <v>897.5</v>
      </c>
      <c r="I737">
        <v>2015</v>
      </c>
      <c r="J737" t="s">
        <v>29</v>
      </c>
      <c r="K737" t="s">
        <v>171</v>
      </c>
      <c r="L737" s="8">
        <f t="shared" si="12"/>
        <v>0.61971830985915488</v>
      </c>
    </row>
    <row r="738" spans="1:12">
      <c r="A738" t="s">
        <v>438</v>
      </c>
      <c r="B738">
        <v>1991</v>
      </c>
      <c r="C738" t="s">
        <v>125</v>
      </c>
      <c r="D738">
        <v>81.47</v>
      </c>
      <c r="E738">
        <v>337.5</v>
      </c>
      <c r="F738">
        <v>210</v>
      </c>
      <c r="G738">
        <v>262.5</v>
      </c>
      <c r="H738">
        <v>810</v>
      </c>
      <c r="I738">
        <v>2015</v>
      </c>
      <c r="J738" t="s">
        <v>29</v>
      </c>
      <c r="K738" t="s">
        <v>171</v>
      </c>
      <c r="L738" s="8">
        <f t="shared" si="12"/>
        <v>0.62222222222222223</v>
      </c>
    </row>
    <row r="739" spans="1:12">
      <c r="A739" t="s">
        <v>688</v>
      </c>
      <c r="B739">
        <v>1977</v>
      </c>
      <c r="C739" t="s">
        <v>85</v>
      </c>
      <c r="D739">
        <v>58.62</v>
      </c>
      <c r="E739">
        <v>245</v>
      </c>
      <c r="F739">
        <v>152.5</v>
      </c>
      <c r="G739">
        <v>225</v>
      </c>
      <c r="H739">
        <v>622.5</v>
      </c>
      <c r="I739">
        <v>2014</v>
      </c>
      <c r="J739" t="s">
        <v>29</v>
      </c>
      <c r="K739" t="s">
        <v>171</v>
      </c>
      <c r="L739" s="8">
        <f t="shared" si="12"/>
        <v>0.62244897959183676</v>
      </c>
    </row>
    <row r="740" spans="1:12">
      <c r="A740" t="s">
        <v>596</v>
      </c>
      <c r="B740">
        <v>1982</v>
      </c>
      <c r="C740" t="s">
        <v>74</v>
      </c>
      <c r="D740">
        <v>72.39</v>
      </c>
      <c r="E740">
        <v>265</v>
      </c>
      <c r="F740">
        <v>165</v>
      </c>
      <c r="G740">
        <v>305</v>
      </c>
      <c r="H740">
        <v>735</v>
      </c>
      <c r="I740">
        <v>2012</v>
      </c>
      <c r="J740" t="s">
        <v>29</v>
      </c>
      <c r="K740" t="s">
        <v>171</v>
      </c>
      <c r="L740" s="8">
        <f t="shared" si="12"/>
        <v>0.62264150943396224</v>
      </c>
    </row>
    <row r="741" spans="1:12">
      <c r="A741" t="s">
        <v>763</v>
      </c>
      <c r="B741">
        <v>1982</v>
      </c>
      <c r="C741" t="s">
        <v>380</v>
      </c>
      <c r="D741">
        <v>73.28</v>
      </c>
      <c r="E741">
        <v>272.5</v>
      </c>
      <c r="F741">
        <v>170</v>
      </c>
      <c r="G741">
        <v>250</v>
      </c>
      <c r="H741">
        <v>692.5</v>
      </c>
      <c r="I741">
        <v>2013</v>
      </c>
      <c r="J741" t="s">
        <v>29</v>
      </c>
      <c r="K741" t="s">
        <v>171</v>
      </c>
      <c r="L741" s="8">
        <f t="shared" si="12"/>
        <v>0.62385321100917435</v>
      </c>
    </row>
    <row r="742" spans="1:12">
      <c r="A742" t="s">
        <v>646</v>
      </c>
      <c r="B742">
        <v>1981</v>
      </c>
      <c r="C742" t="s">
        <v>418</v>
      </c>
      <c r="D742">
        <v>72.62</v>
      </c>
      <c r="E742">
        <v>240</v>
      </c>
      <c r="F742">
        <v>150</v>
      </c>
      <c r="G742">
        <v>240</v>
      </c>
      <c r="H742">
        <v>630</v>
      </c>
      <c r="I742">
        <v>2014</v>
      </c>
      <c r="J742" t="s">
        <v>29</v>
      </c>
      <c r="K742" t="s">
        <v>171</v>
      </c>
      <c r="L742" s="8">
        <f t="shared" si="12"/>
        <v>0.625</v>
      </c>
    </row>
    <row r="743" spans="1:12">
      <c r="A743" t="s">
        <v>57</v>
      </c>
      <c r="B743">
        <v>1982</v>
      </c>
      <c r="C743" t="s">
        <v>28</v>
      </c>
      <c r="D743">
        <v>57.03</v>
      </c>
      <c r="E743">
        <v>295</v>
      </c>
      <c r="F743">
        <v>185</v>
      </c>
      <c r="G743">
        <v>257.5</v>
      </c>
      <c r="H743">
        <v>737.5</v>
      </c>
      <c r="I743">
        <v>2012</v>
      </c>
      <c r="J743" t="s">
        <v>29</v>
      </c>
      <c r="K743" t="s">
        <v>171</v>
      </c>
      <c r="L743" s="8">
        <f t="shared" si="12"/>
        <v>0.6271186440677966</v>
      </c>
    </row>
    <row r="744" spans="1:12">
      <c r="A744" t="s">
        <v>353</v>
      </c>
      <c r="B744">
        <v>1989</v>
      </c>
      <c r="C744" t="s">
        <v>349</v>
      </c>
      <c r="D744">
        <v>118.95</v>
      </c>
      <c r="E744">
        <v>350</v>
      </c>
      <c r="F744">
        <v>220</v>
      </c>
      <c r="G744">
        <v>335</v>
      </c>
      <c r="H744">
        <v>905</v>
      </c>
      <c r="I744">
        <v>2013</v>
      </c>
      <c r="J744" t="s">
        <v>29</v>
      </c>
      <c r="K744" t="s">
        <v>171</v>
      </c>
      <c r="L744" s="8">
        <f t="shared" si="12"/>
        <v>0.62857142857142856</v>
      </c>
    </row>
    <row r="745" spans="1:12">
      <c r="A745" t="s">
        <v>433</v>
      </c>
      <c r="B745">
        <v>1959</v>
      </c>
      <c r="C745" t="s">
        <v>390</v>
      </c>
      <c r="D745">
        <v>118.95</v>
      </c>
      <c r="E745">
        <v>350</v>
      </c>
      <c r="F745">
        <v>220</v>
      </c>
      <c r="G745">
        <v>295</v>
      </c>
      <c r="H745">
        <v>865</v>
      </c>
      <c r="I745">
        <v>2012</v>
      </c>
      <c r="J745" t="s">
        <v>29</v>
      </c>
      <c r="K745" t="s">
        <v>171</v>
      </c>
      <c r="L745" s="8">
        <f t="shared" si="12"/>
        <v>0.62857142857142856</v>
      </c>
    </row>
    <row r="746" spans="1:12">
      <c r="A746" t="s">
        <v>454</v>
      </c>
      <c r="B746">
        <v>1975</v>
      </c>
      <c r="C746" t="s">
        <v>49</v>
      </c>
      <c r="D746">
        <v>101.56</v>
      </c>
      <c r="E746">
        <v>350</v>
      </c>
      <c r="F746">
        <v>220</v>
      </c>
      <c r="G746">
        <v>285</v>
      </c>
      <c r="H746">
        <v>855</v>
      </c>
      <c r="I746">
        <v>2014</v>
      </c>
      <c r="J746" t="s">
        <v>29</v>
      </c>
      <c r="K746" t="s">
        <v>171</v>
      </c>
      <c r="L746" s="8">
        <f t="shared" si="12"/>
        <v>0.62857142857142856</v>
      </c>
    </row>
    <row r="747" spans="1:12">
      <c r="A747" t="s">
        <v>510</v>
      </c>
      <c r="B747">
        <v>1984</v>
      </c>
      <c r="C747" t="s">
        <v>62</v>
      </c>
      <c r="D747">
        <v>65.2</v>
      </c>
      <c r="E747">
        <v>242.5</v>
      </c>
      <c r="F747">
        <v>152.5</v>
      </c>
      <c r="G747">
        <v>240</v>
      </c>
      <c r="H747">
        <v>635</v>
      </c>
      <c r="I747">
        <v>2013</v>
      </c>
      <c r="J747" t="s">
        <v>29</v>
      </c>
      <c r="K747" t="s">
        <v>171</v>
      </c>
      <c r="L747" s="8">
        <f t="shared" si="12"/>
        <v>0.62886597938144329</v>
      </c>
    </row>
    <row r="748" spans="1:12">
      <c r="A748" t="s">
        <v>823</v>
      </c>
      <c r="B748">
        <v>1983</v>
      </c>
      <c r="C748" t="s">
        <v>485</v>
      </c>
      <c r="D748">
        <v>80.16</v>
      </c>
      <c r="E748">
        <v>242.5</v>
      </c>
      <c r="F748">
        <v>152.5</v>
      </c>
      <c r="G748">
        <v>275</v>
      </c>
      <c r="H748">
        <v>670</v>
      </c>
      <c r="I748">
        <v>2012</v>
      </c>
      <c r="J748" t="s">
        <v>29</v>
      </c>
      <c r="K748" t="s">
        <v>171</v>
      </c>
      <c r="L748" s="8">
        <f t="shared" si="12"/>
        <v>0.62886597938144329</v>
      </c>
    </row>
    <row r="749" spans="1:12">
      <c r="A749" t="s">
        <v>554</v>
      </c>
      <c r="B749">
        <v>1994</v>
      </c>
      <c r="C749" t="s">
        <v>74</v>
      </c>
      <c r="D749">
        <v>82.78</v>
      </c>
      <c r="E749">
        <v>270</v>
      </c>
      <c r="F749">
        <v>170</v>
      </c>
      <c r="G749">
        <v>332.5</v>
      </c>
      <c r="H749">
        <v>772.5</v>
      </c>
      <c r="I749">
        <v>2014</v>
      </c>
      <c r="J749" t="s">
        <v>29</v>
      </c>
      <c r="K749" t="s">
        <v>171</v>
      </c>
      <c r="L749" s="8">
        <f t="shared" si="12"/>
        <v>0.62962962962962965</v>
      </c>
    </row>
    <row r="750" spans="1:12">
      <c r="A750" t="s">
        <v>656</v>
      </c>
      <c r="B750">
        <v>1985</v>
      </c>
      <c r="C750" t="s">
        <v>485</v>
      </c>
      <c r="D750">
        <v>101.5</v>
      </c>
      <c r="E750">
        <v>270</v>
      </c>
      <c r="F750">
        <v>170</v>
      </c>
      <c r="G750">
        <v>255</v>
      </c>
      <c r="H750">
        <v>695</v>
      </c>
      <c r="I750">
        <v>2014</v>
      </c>
      <c r="J750" t="s">
        <v>29</v>
      </c>
      <c r="K750" t="s">
        <v>171</v>
      </c>
      <c r="L750" s="8">
        <f t="shared" si="12"/>
        <v>0.62962962962962965</v>
      </c>
    </row>
    <row r="751" spans="1:12">
      <c r="A751" t="s">
        <v>462</v>
      </c>
      <c r="B751">
        <v>1975</v>
      </c>
      <c r="C751" t="s">
        <v>137</v>
      </c>
      <c r="D751">
        <v>71.7</v>
      </c>
      <c r="E751">
        <v>285</v>
      </c>
      <c r="F751">
        <v>180</v>
      </c>
      <c r="G751">
        <v>307.5</v>
      </c>
      <c r="H751">
        <v>772.5</v>
      </c>
      <c r="I751">
        <v>2014</v>
      </c>
      <c r="J751" t="s">
        <v>29</v>
      </c>
      <c r="K751" t="s">
        <v>171</v>
      </c>
      <c r="L751" s="8">
        <f t="shared" si="12"/>
        <v>0.63157894736842102</v>
      </c>
    </row>
    <row r="752" spans="1:12">
      <c r="A752" t="s">
        <v>422</v>
      </c>
      <c r="B752">
        <v>1986</v>
      </c>
      <c r="C752" t="s">
        <v>282</v>
      </c>
      <c r="D752">
        <v>82.9</v>
      </c>
      <c r="E752">
        <v>360</v>
      </c>
      <c r="F752">
        <v>227.5</v>
      </c>
      <c r="G752">
        <v>307.5</v>
      </c>
      <c r="H752">
        <v>895</v>
      </c>
      <c r="I752">
        <v>2013</v>
      </c>
      <c r="J752" t="s">
        <v>29</v>
      </c>
      <c r="K752" t="s">
        <v>171</v>
      </c>
      <c r="L752" s="8">
        <f t="shared" si="12"/>
        <v>0.63194444444444442</v>
      </c>
    </row>
    <row r="753" spans="1:12">
      <c r="A753" t="s">
        <v>511</v>
      </c>
      <c r="B753">
        <v>1978</v>
      </c>
      <c r="C753" t="s">
        <v>56</v>
      </c>
      <c r="D753">
        <v>139.46</v>
      </c>
      <c r="E753">
        <v>340</v>
      </c>
      <c r="F753">
        <v>215</v>
      </c>
      <c r="G753">
        <v>300</v>
      </c>
      <c r="H753">
        <v>855</v>
      </c>
      <c r="I753">
        <v>2015</v>
      </c>
      <c r="J753" t="s">
        <v>29</v>
      </c>
      <c r="K753" t="s">
        <v>171</v>
      </c>
      <c r="L753" s="8">
        <f t="shared" si="12"/>
        <v>0.63235294117647056</v>
      </c>
    </row>
    <row r="754" spans="1:12">
      <c r="A754" t="s">
        <v>417</v>
      </c>
      <c r="B754">
        <v>1979</v>
      </c>
      <c r="C754" t="s">
        <v>418</v>
      </c>
      <c r="D754">
        <v>103.64</v>
      </c>
      <c r="E754">
        <v>300</v>
      </c>
      <c r="F754">
        <v>190</v>
      </c>
      <c r="G754">
        <v>317.5</v>
      </c>
      <c r="H754">
        <v>807.5</v>
      </c>
      <c r="I754">
        <v>2014</v>
      </c>
      <c r="J754" t="s">
        <v>29</v>
      </c>
      <c r="K754" t="s">
        <v>171</v>
      </c>
      <c r="L754" s="8">
        <f t="shared" si="12"/>
        <v>0.6333333333333333</v>
      </c>
    </row>
    <row r="755" spans="1:12">
      <c r="A755" t="s">
        <v>660</v>
      </c>
      <c r="B755">
        <v>1988</v>
      </c>
      <c r="C755" t="s">
        <v>380</v>
      </c>
      <c r="D755">
        <v>82.88</v>
      </c>
      <c r="E755">
        <v>300</v>
      </c>
      <c r="F755">
        <v>190</v>
      </c>
      <c r="G755">
        <v>267.5</v>
      </c>
      <c r="H755">
        <v>757.5</v>
      </c>
      <c r="I755">
        <v>2014</v>
      </c>
      <c r="J755" t="s">
        <v>29</v>
      </c>
      <c r="K755" t="s">
        <v>171</v>
      </c>
      <c r="L755" s="8">
        <f t="shared" si="12"/>
        <v>0.6333333333333333</v>
      </c>
    </row>
    <row r="756" spans="1:12">
      <c r="A756" t="s">
        <v>691</v>
      </c>
      <c r="B756">
        <v>1982</v>
      </c>
      <c r="C756" t="s">
        <v>239</v>
      </c>
      <c r="D756">
        <v>118.84</v>
      </c>
      <c r="E756">
        <v>390</v>
      </c>
      <c r="F756">
        <v>247.5</v>
      </c>
      <c r="G756">
        <v>325</v>
      </c>
      <c r="H756">
        <v>962.5</v>
      </c>
      <c r="I756">
        <v>2014</v>
      </c>
      <c r="J756" t="s">
        <v>29</v>
      </c>
      <c r="K756" t="s">
        <v>171</v>
      </c>
      <c r="L756" s="8">
        <f t="shared" si="12"/>
        <v>0.63461538461538458</v>
      </c>
    </row>
    <row r="757" spans="1:12">
      <c r="A757" t="s">
        <v>437</v>
      </c>
      <c r="B757">
        <v>1987</v>
      </c>
      <c r="C757" t="s">
        <v>282</v>
      </c>
      <c r="D757">
        <v>73.760000000000005</v>
      </c>
      <c r="E757">
        <v>290</v>
      </c>
      <c r="F757">
        <v>185</v>
      </c>
      <c r="G757">
        <v>265</v>
      </c>
      <c r="H757">
        <v>740</v>
      </c>
      <c r="I757">
        <v>2014</v>
      </c>
      <c r="J757" t="s">
        <v>29</v>
      </c>
      <c r="K757" t="s">
        <v>171</v>
      </c>
      <c r="L757" s="8">
        <f t="shared" si="12"/>
        <v>0.63793103448275867</v>
      </c>
    </row>
    <row r="758" spans="1:12">
      <c r="A758" t="s">
        <v>566</v>
      </c>
      <c r="B758">
        <v>1983</v>
      </c>
      <c r="C758" t="s">
        <v>318</v>
      </c>
      <c r="D758">
        <v>73.88</v>
      </c>
      <c r="E758">
        <v>270</v>
      </c>
      <c r="F758">
        <v>172.5</v>
      </c>
      <c r="G758">
        <v>275</v>
      </c>
      <c r="H758">
        <v>717.5</v>
      </c>
      <c r="I758">
        <v>2015</v>
      </c>
      <c r="J758" t="s">
        <v>29</v>
      </c>
      <c r="K758" t="s">
        <v>171</v>
      </c>
      <c r="L758" s="8">
        <f t="shared" si="12"/>
        <v>0.63888888888888884</v>
      </c>
    </row>
    <row r="759" spans="1:12">
      <c r="A759" t="s">
        <v>607</v>
      </c>
      <c r="B759">
        <v>1983</v>
      </c>
      <c r="C759" t="s">
        <v>282</v>
      </c>
      <c r="D759">
        <v>58.32</v>
      </c>
      <c r="E759">
        <v>270</v>
      </c>
      <c r="F759">
        <v>172.5</v>
      </c>
      <c r="G759">
        <v>237.5</v>
      </c>
      <c r="H759">
        <v>680</v>
      </c>
      <c r="I759">
        <v>2014</v>
      </c>
      <c r="J759" t="s">
        <v>29</v>
      </c>
      <c r="K759" t="s">
        <v>171</v>
      </c>
      <c r="L759" s="8">
        <f t="shared" si="12"/>
        <v>0.63888888888888884</v>
      </c>
    </row>
    <row r="760" spans="1:12">
      <c r="A760" t="s">
        <v>776</v>
      </c>
      <c r="B760">
        <v>1985</v>
      </c>
      <c r="C760" t="s">
        <v>28</v>
      </c>
      <c r="D760">
        <v>82.37</v>
      </c>
      <c r="E760">
        <v>375</v>
      </c>
      <c r="F760">
        <v>240</v>
      </c>
      <c r="G760">
        <v>307.5</v>
      </c>
      <c r="H760">
        <v>922.5</v>
      </c>
      <c r="I760">
        <v>2015</v>
      </c>
      <c r="J760" t="s">
        <v>29</v>
      </c>
      <c r="K760" t="s">
        <v>171</v>
      </c>
      <c r="L760" s="8">
        <f t="shared" si="12"/>
        <v>0.64</v>
      </c>
    </row>
    <row r="761" spans="1:12">
      <c r="A761" t="s">
        <v>671</v>
      </c>
      <c r="B761">
        <v>1975</v>
      </c>
      <c r="C761" t="s">
        <v>62</v>
      </c>
      <c r="D761">
        <v>73.849999999999994</v>
      </c>
      <c r="E761">
        <v>285</v>
      </c>
      <c r="F761">
        <v>182.5</v>
      </c>
      <c r="G761">
        <v>307.5</v>
      </c>
      <c r="H761">
        <v>775</v>
      </c>
      <c r="I761">
        <v>2012</v>
      </c>
      <c r="J761" t="s">
        <v>29</v>
      </c>
      <c r="K761" t="s">
        <v>171</v>
      </c>
      <c r="L761" s="8">
        <f t="shared" si="12"/>
        <v>0.64035087719298245</v>
      </c>
    </row>
    <row r="762" spans="1:12">
      <c r="A762" t="s">
        <v>677</v>
      </c>
      <c r="B762">
        <v>1970</v>
      </c>
      <c r="C762" t="s">
        <v>113</v>
      </c>
      <c r="D762">
        <v>65.959999999999994</v>
      </c>
      <c r="E762">
        <v>230</v>
      </c>
      <c r="F762">
        <v>147.5</v>
      </c>
      <c r="G762">
        <v>275</v>
      </c>
      <c r="H762">
        <v>652.5</v>
      </c>
      <c r="I762">
        <v>2012</v>
      </c>
      <c r="J762" t="s">
        <v>29</v>
      </c>
      <c r="K762" t="s">
        <v>171</v>
      </c>
      <c r="L762" s="8">
        <f t="shared" si="12"/>
        <v>0.64130434782608692</v>
      </c>
    </row>
    <row r="763" spans="1:12">
      <c r="A763" t="s">
        <v>776</v>
      </c>
      <c r="B763">
        <v>1985</v>
      </c>
      <c r="C763" t="s">
        <v>28</v>
      </c>
      <c r="D763">
        <v>82.68</v>
      </c>
      <c r="E763">
        <v>362.5</v>
      </c>
      <c r="F763">
        <v>232.5</v>
      </c>
      <c r="G763">
        <v>290</v>
      </c>
      <c r="H763">
        <v>885</v>
      </c>
      <c r="I763">
        <v>2013</v>
      </c>
      <c r="J763" t="s">
        <v>29</v>
      </c>
      <c r="K763" t="s">
        <v>171</v>
      </c>
      <c r="L763" s="8">
        <f t="shared" si="12"/>
        <v>0.64137931034482754</v>
      </c>
    </row>
    <row r="764" spans="1:12">
      <c r="A764" t="s">
        <v>801</v>
      </c>
      <c r="B764">
        <v>1974</v>
      </c>
      <c r="C764" t="s">
        <v>35</v>
      </c>
      <c r="D764">
        <v>92.44</v>
      </c>
      <c r="E764">
        <v>362.5</v>
      </c>
      <c r="F764">
        <v>232.5</v>
      </c>
      <c r="G764">
        <v>320</v>
      </c>
      <c r="H764">
        <v>915</v>
      </c>
      <c r="I764">
        <v>2012</v>
      </c>
      <c r="J764" t="s">
        <v>29</v>
      </c>
      <c r="K764" t="s">
        <v>171</v>
      </c>
      <c r="L764" s="8">
        <f t="shared" si="12"/>
        <v>0.64137931034482754</v>
      </c>
    </row>
    <row r="765" spans="1:12">
      <c r="A765" t="s">
        <v>805</v>
      </c>
      <c r="B765">
        <v>1982</v>
      </c>
      <c r="C765" t="s">
        <v>282</v>
      </c>
      <c r="D765">
        <v>141</v>
      </c>
      <c r="E765">
        <v>405</v>
      </c>
      <c r="F765">
        <v>260</v>
      </c>
      <c r="G765">
        <v>275</v>
      </c>
      <c r="H765">
        <v>940</v>
      </c>
      <c r="I765">
        <v>2013</v>
      </c>
      <c r="J765" t="s">
        <v>29</v>
      </c>
      <c r="K765" t="s">
        <v>171</v>
      </c>
      <c r="L765" s="8">
        <f t="shared" si="12"/>
        <v>0.64197530864197527</v>
      </c>
    </row>
    <row r="766" spans="1:12">
      <c r="A766" t="s">
        <v>607</v>
      </c>
      <c r="B766">
        <v>1983</v>
      </c>
      <c r="C766" t="s">
        <v>282</v>
      </c>
      <c r="D766">
        <v>58.6</v>
      </c>
      <c r="E766">
        <v>272.5</v>
      </c>
      <c r="F766">
        <v>175</v>
      </c>
      <c r="G766">
        <v>235</v>
      </c>
      <c r="H766">
        <v>682.5</v>
      </c>
      <c r="I766">
        <v>2015</v>
      </c>
      <c r="J766" t="s">
        <v>29</v>
      </c>
      <c r="K766" t="s">
        <v>171</v>
      </c>
      <c r="L766" s="8">
        <f t="shared" si="12"/>
        <v>0.64220183486238536</v>
      </c>
    </row>
    <row r="767" spans="1:12">
      <c r="A767" t="s">
        <v>826</v>
      </c>
      <c r="B767">
        <v>1990</v>
      </c>
      <c r="C767" t="s">
        <v>74</v>
      </c>
      <c r="D767">
        <v>58.32</v>
      </c>
      <c r="E767">
        <v>245</v>
      </c>
      <c r="F767">
        <v>157.5</v>
      </c>
      <c r="G767">
        <v>252.5</v>
      </c>
      <c r="H767">
        <v>655</v>
      </c>
      <c r="I767">
        <v>2015</v>
      </c>
      <c r="J767" t="s">
        <v>29</v>
      </c>
      <c r="K767" t="s">
        <v>171</v>
      </c>
      <c r="L767" s="8">
        <f t="shared" si="12"/>
        <v>0.6428571428571429</v>
      </c>
    </row>
    <row r="768" spans="1:12">
      <c r="A768" t="s">
        <v>580</v>
      </c>
      <c r="B768">
        <v>1975</v>
      </c>
      <c r="C768" t="s">
        <v>77</v>
      </c>
      <c r="D768">
        <v>82.2</v>
      </c>
      <c r="E768">
        <v>322.5</v>
      </c>
      <c r="F768">
        <v>207.5</v>
      </c>
      <c r="G768">
        <v>290</v>
      </c>
      <c r="H768">
        <v>820</v>
      </c>
      <c r="I768">
        <v>2015</v>
      </c>
      <c r="J768" t="s">
        <v>29</v>
      </c>
      <c r="K768" t="s">
        <v>171</v>
      </c>
      <c r="L768" s="8">
        <f t="shared" si="12"/>
        <v>0.64341085271317833</v>
      </c>
    </row>
    <row r="769" spans="1:12">
      <c r="A769" t="s">
        <v>672</v>
      </c>
      <c r="B769">
        <v>1984</v>
      </c>
      <c r="C769" t="s">
        <v>54</v>
      </c>
      <c r="D769">
        <v>92.2</v>
      </c>
      <c r="E769">
        <v>330</v>
      </c>
      <c r="F769">
        <v>212.5</v>
      </c>
      <c r="G769">
        <v>282.5</v>
      </c>
      <c r="H769">
        <v>825</v>
      </c>
      <c r="I769">
        <v>2012</v>
      </c>
      <c r="J769" t="s">
        <v>29</v>
      </c>
      <c r="K769" t="s">
        <v>171</v>
      </c>
      <c r="L769" s="8">
        <f t="shared" si="12"/>
        <v>0.64393939393939392</v>
      </c>
    </row>
    <row r="770" spans="1:12">
      <c r="A770" t="s">
        <v>607</v>
      </c>
      <c r="B770">
        <v>1983</v>
      </c>
      <c r="C770" t="s">
        <v>282</v>
      </c>
      <c r="D770">
        <v>58.8</v>
      </c>
      <c r="E770">
        <v>260</v>
      </c>
      <c r="F770">
        <v>167.5</v>
      </c>
      <c r="G770">
        <v>227.5</v>
      </c>
      <c r="H770">
        <v>655</v>
      </c>
      <c r="I770">
        <v>2012</v>
      </c>
      <c r="J770" t="s">
        <v>29</v>
      </c>
      <c r="K770" t="s">
        <v>171</v>
      </c>
      <c r="L770" s="8">
        <f t="shared" si="12"/>
        <v>0.64423076923076927</v>
      </c>
    </row>
    <row r="771" spans="1:12">
      <c r="A771" t="s">
        <v>778</v>
      </c>
      <c r="B771">
        <v>1972</v>
      </c>
      <c r="C771" t="s">
        <v>49</v>
      </c>
      <c r="D771">
        <v>152.9</v>
      </c>
      <c r="E771">
        <v>372.5</v>
      </c>
      <c r="F771">
        <v>240</v>
      </c>
      <c r="G771">
        <v>285</v>
      </c>
      <c r="H771">
        <v>897.5</v>
      </c>
      <c r="I771">
        <v>2015</v>
      </c>
      <c r="J771" t="s">
        <v>29</v>
      </c>
      <c r="K771" t="s">
        <v>171</v>
      </c>
      <c r="L771" s="8">
        <f t="shared" si="12"/>
        <v>0.64429530201342278</v>
      </c>
    </row>
    <row r="772" spans="1:12">
      <c r="A772" t="s">
        <v>602</v>
      </c>
      <c r="B772">
        <v>1989</v>
      </c>
      <c r="C772" t="s">
        <v>336</v>
      </c>
      <c r="D772">
        <v>73.680000000000007</v>
      </c>
      <c r="E772">
        <v>190</v>
      </c>
      <c r="F772">
        <v>122.5</v>
      </c>
      <c r="G772">
        <v>232.5</v>
      </c>
      <c r="H772">
        <v>545</v>
      </c>
      <c r="I772">
        <v>2012</v>
      </c>
      <c r="J772" t="s">
        <v>29</v>
      </c>
      <c r="K772" t="s">
        <v>171</v>
      </c>
      <c r="L772" s="8">
        <f t="shared" si="12"/>
        <v>0.64473684210526316</v>
      </c>
    </row>
    <row r="773" spans="1:12">
      <c r="A773" t="s">
        <v>738</v>
      </c>
      <c r="B773">
        <v>1989</v>
      </c>
      <c r="C773" t="s">
        <v>282</v>
      </c>
      <c r="D773">
        <v>114.62</v>
      </c>
      <c r="E773">
        <v>345</v>
      </c>
      <c r="F773">
        <v>222.5</v>
      </c>
      <c r="G773">
        <v>275</v>
      </c>
      <c r="H773">
        <v>842.5</v>
      </c>
      <c r="I773">
        <v>2014</v>
      </c>
      <c r="J773" t="s">
        <v>29</v>
      </c>
      <c r="K773" t="s">
        <v>171</v>
      </c>
      <c r="L773" s="8">
        <f t="shared" si="12"/>
        <v>0.64492753623188404</v>
      </c>
    </row>
    <row r="774" spans="1:12">
      <c r="A774" t="s">
        <v>472</v>
      </c>
      <c r="B774">
        <v>1981</v>
      </c>
      <c r="C774" t="s">
        <v>49</v>
      </c>
      <c r="D774">
        <v>100.85</v>
      </c>
      <c r="E774">
        <v>275</v>
      </c>
      <c r="F774">
        <v>177.5</v>
      </c>
      <c r="G774">
        <v>230</v>
      </c>
      <c r="H774">
        <v>682.5</v>
      </c>
      <c r="I774">
        <v>2015</v>
      </c>
      <c r="J774" t="s">
        <v>29</v>
      </c>
      <c r="K774" t="s">
        <v>171</v>
      </c>
      <c r="L774" s="8">
        <f t="shared" si="12"/>
        <v>0.6454545454545455</v>
      </c>
    </row>
    <row r="775" spans="1:12">
      <c r="A775" t="s">
        <v>497</v>
      </c>
      <c r="B775">
        <v>1979</v>
      </c>
      <c r="C775" t="s">
        <v>119</v>
      </c>
      <c r="D775">
        <v>73.77</v>
      </c>
      <c r="E775">
        <v>305</v>
      </c>
      <c r="F775">
        <v>197.5</v>
      </c>
      <c r="G775">
        <v>312.5</v>
      </c>
      <c r="H775">
        <v>815</v>
      </c>
      <c r="I775">
        <v>2013</v>
      </c>
      <c r="J775" t="s">
        <v>29</v>
      </c>
      <c r="K775" t="s">
        <v>171</v>
      </c>
      <c r="L775" s="8">
        <f t="shared" si="12"/>
        <v>0.64754098360655743</v>
      </c>
    </row>
    <row r="776" spans="1:12">
      <c r="A776" t="s">
        <v>768</v>
      </c>
      <c r="B776">
        <v>1976</v>
      </c>
      <c r="C776" t="s">
        <v>142</v>
      </c>
      <c r="D776">
        <v>92.9</v>
      </c>
      <c r="E776">
        <v>355</v>
      </c>
      <c r="F776">
        <v>230</v>
      </c>
      <c r="G776">
        <v>330</v>
      </c>
      <c r="H776">
        <v>915</v>
      </c>
      <c r="I776">
        <v>2013</v>
      </c>
      <c r="J776" t="s">
        <v>29</v>
      </c>
      <c r="K776" t="s">
        <v>171</v>
      </c>
      <c r="L776" s="8">
        <f t="shared" si="12"/>
        <v>0.647887323943662</v>
      </c>
    </row>
    <row r="777" spans="1:12">
      <c r="A777" t="s">
        <v>408</v>
      </c>
      <c r="B777">
        <v>1975</v>
      </c>
      <c r="C777" t="s">
        <v>119</v>
      </c>
      <c r="D777">
        <v>92.92</v>
      </c>
      <c r="E777">
        <v>377.5</v>
      </c>
      <c r="F777">
        <v>245</v>
      </c>
      <c r="G777">
        <v>337.5</v>
      </c>
      <c r="H777">
        <v>960</v>
      </c>
      <c r="I777">
        <v>2012</v>
      </c>
      <c r="J777" t="s">
        <v>29</v>
      </c>
      <c r="K777" t="s">
        <v>171</v>
      </c>
      <c r="L777" s="8">
        <f t="shared" si="12"/>
        <v>0.64900662251655628</v>
      </c>
    </row>
    <row r="778" spans="1:12">
      <c r="A778" t="s">
        <v>460</v>
      </c>
      <c r="B778">
        <v>1975</v>
      </c>
      <c r="C778" t="s">
        <v>137</v>
      </c>
      <c r="D778">
        <v>71.349999999999994</v>
      </c>
      <c r="E778">
        <v>285</v>
      </c>
      <c r="F778">
        <v>185</v>
      </c>
      <c r="G778">
        <v>300</v>
      </c>
      <c r="H778">
        <v>770</v>
      </c>
      <c r="I778">
        <v>2015</v>
      </c>
      <c r="J778" t="s">
        <v>29</v>
      </c>
      <c r="K778" t="s">
        <v>171</v>
      </c>
      <c r="L778" s="8">
        <f t="shared" si="12"/>
        <v>0.64912280701754388</v>
      </c>
    </row>
    <row r="779" spans="1:12">
      <c r="A779" t="s">
        <v>46</v>
      </c>
      <c r="B779">
        <v>1972</v>
      </c>
      <c r="C779" t="s">
        <v>47</v>
      </c>
      <c r="D779">
        <v>104.39</v>
      </c>
      <c r="E779">
        <v>400</v>
      </c>
      <c r="F779">
        <v>260</v>
      </c>
      <c r="G779">
        <v>387.5</v>
      </c>
      <c r="H779">
        <v>1047.5</v>
      </c>
      <c r="I779">
        <v>2012</v>
      </c>
      <c r="J779" t="s">
        <v>29</v>
      </c>
      <c r="K779" t="s">
        <v>171</v>
      </c>
      <c r="L779" s="8">
        <f t="shared" si="12"/>
        <v>0.65</v>
      </c>
    </row>
    <row r="780" spans="1:12">
      <c r="A780" t="s">
        <v>609</v>
      </c>
      <c r="B780">
        <v>1985</v>
      </c>
      <c r="C780" t="s">
        <v>49</v>
      </c>
      <c r="D780">
        <v>58.6</v>
      </c>
      <c r="E780">
        <v>250</v>
      </c>
      <c r="F780">
        <v>162.5</v>
      </c>
      <c r="G780">
        <v>255</v>
      </c>
      <c r="H780">
        <v>667.5</v>
      </c>
      <c r="I780">
        <v>2014</v>
      </c>
      <c r="J780" t="s">
        <v>29</v>
      </c>
      <c r="K780" t="s">
        <v>171</v>
      </c>
      <c r="L780" s="8">
        <f t="shared" si="12"/>
        <v>0.65</v>
      </c>
    </row>
    <row r="781" spans="1:12">
      <c r="A781" t="s">
        <v>494</v>
      </c>
      <c r="B781">
        <v>1971</v>
      </c>
      <c r="C781" t="s">
        <v>336</v>
      </c>
      <c r="D781">
        <v>98.91</v>
      </c>
      <c r="E781">
        <v>307.5</v>
      </c>
      <c r="F781">
        <v>200</v>
      </c>
      <c r="G781">
        <v>270</v>
      </c>
      <c r="H781">
        <v>777.5</v>
      </c>
      <c r="I781">
        <v>2012</v>
      </c>
      <c r="J781" t="s">
        <v>29</v>
      </c>
      <c r="K781" t="s">
        <v>171</v>
      </c>
      <c r="L781" s="8">
        <f t="shared" si="12"/>
        <v>0.65040650406504064</v>
      </c>
    </row>
    <row r="782" spans="1:12">
      <c r="A782" t="s">
        <v>490</v>
      </c>
      <c r="B782">
        <v>1989</v>
      </c>
      <c r="C782" t="s">
        <v>28</v>
      </c>
      <c r="D782">
        <v>65.94</v>
      </c>
      <c r="E782">
        <v>315</v>
      </c>
      <c r="F782">
        <v>205</v>
      </c>
      <c r="G782">
        <v>290</v>
      </c>
      <c r="H782">
        <v>810</v>
      </c>
      <c r="I782">
        <v>2012</v>
      </c>
      <c r="J782" t="s">
        <v>29</v>
      </c>
      <c r="K782" t="s">
        <v>171</v>
      </c>
      <c r="L782" s="8">
        <f t="shared" si="12"/>
        <v>0.65079365079365081</v>
      </c>
    </row>
    <row r="783" spans="1:12">
      <c r="A783" t="s">
        <v>566</v>
      </c>
      <c r="B783">
        <v>1983</v>
      </c>
      <c r="C783" t="s">
        <v>318</v>
      </c>
      <c r="D783">
        <v>73.88</v>
      </c>
      <c r="E783">
        <v>272.5</v>
      </c>
      <c r="F783">
        <v>177.5</v>
      </c>
      <c r="G783">
        <v>277.5</v>
      </c>
      <c r="H783">
        <v>727.5</v>
      </c>
      <c r="I783">
        <v>2013</v>
      </c>
      <c r="J783" t="s">
        <v>29</v>
      </c>
      <c r="K783" t="s">
        <v>171</v>
      </c>
      <c r="L783" s="8">
        <f t="shared" si="12"/>
        <v>0.65137614678899081</v>
      </c>
    </row>
    <row r="784" spans="1:12">
      <c r="A784" t="s">
        <v>382</v>
      </c>
      <c r="B784">
        <v>1981</v>
      </c>
      <c r="C784" t="s">
        <v>380</v>
      </c>
      <c r="D784">
        <v>114.2</v>
      </c>
      <c r="E784">
        <v>330</v>
      </c>
      <c r="F784">
        <v>215</v>
      </c>
      <c r="G784">
        <v>260</v>
      </c>
      <c r="H784">
        <v>805</v>
      </c>
      <c r="I784">
        <v>2014</v>
      </c>
      <c r="J784" t="s">
        <v>29</v>
      </c>
      <c r="K784" t="s">
        <v>171</v>
      </c>
      <c r="L784" s="8">
        <f t="shared" si="12"/>
        <v>0.65151515151515149</v>
      </c>
    </row>
    <row r="785" spans="1:12">
      <c r="A785" t="s">
        <v>721</v>
      </c>
      <c r="B785">
        <v>1959</v>
      </c>
      <c r="C785" t="s">
        <v>62</v>
      </c>
      <c r="D785">
        <v>91.63</v>
      </c>
      <c r="E785">
        <v>345</v>
      </c>
      <c r="F785">
        <v>225</v>
      </c>
      <c r="G785">
        <v>305</v>
      </c>
      <c r="H785">
        <v>875</v>
      </c>
      <c r="I785">
        <v>2012</v>
      </c>
      <c r="J785" t="s">
        <v>29</v>
      </c>
      <c r="K785" t="s">
        <v>171</v>
      </c>
      <c r="L785" s="8">
        <f t="shared" si="12"/>
        <v>0.65217391304347827</v>
      </c>
    </row>
    <row r="786" spans="1:12">
      <c r="A786" t="s">
        <v>704</v>
      </c>
      <c r="B786">
        <v>1982</v>
      </c>
      <c r="C786" t="s">
        <v>485</v>
      </c>
      <c r="D786">
        <v>114.75</v>
      </c>
      <c r="E786">
        <v>360</v>
      </c>
      <c r="F786">
        <v>235</v>
      </c>
      <c r="G786">
        <v>310</v>
      </c>
      <c r="H786">
        <v>905</v>
      </c>
      <c r="I786">
        <v>2012</v>
      </c>
      <c r="J786" t="s">
        <v>29</v>
      </c>
      <c r="K786" t="s">
        <v>171</v>
      </c>
      <c r="L786" s="8">
        <f t="shared" si="12"/>
        <v>0.65277777777777779</v>
      </c>
    </row>
    <row r="787" spans="1:12">
      <c r="A787" t="s">
        <v>136</v>
      </c>
      <c r="B787">
        <v>1987</v>
      </c>
      <c r="C787" t="s">
        <v>137</v>
      </c>
      <c r="D787">
        <v>82.2</v>
      </c>
      <c r="E787">
        <v>317.5</v>
      </c>
      <c r="F787">
        <v>207.5</v>
      </c>
      <c r="G787">
        <v>285</v>
      </c>
      <c r="H787">
        <v>810</v>
      </c>
      <c r="I787">
        <v>2012</v>
      </c>
      <c r="J787" t="s">
        <v>29</v>
      </c>
      <c r="K787" t="s">
        <v>171</v>
      </c>
      <c r="L787" s="8">
        <f t="shared" si="12"/>
        <v>0.65354330708661412</v>
      </c>
    </row>
    <row r="788" spans="1:12">
      <c r="A788" t="s">
        <v>505</v>
      </c>
      <c r="B788">
        <v>1992</v>
      </c>
      <c r="C788" t="s">
        <v>480</v>
      </c>
      <c r="D788">
        <v>82.03</v>
      </c>
      <c r="E788">
        <v>260</v>
      </c>
      <c r="F788">
        <v>170</v>
      </c>
      <c r="G788">
        <v>240</v>
      </c>
      <c r="H788">
        <v>670</v>
      </c>
      <c r="I788">
        <v>2012</v>
      </c>
      <c r="J788" t="s">
        <v>29</v>
      </c>
      <c r="K788" t="s">
        <v>171</v>
      </c>
      <c r="L788" s="8">
        <f t="shared" si="12"/>
        <v>0.65384615384615385</v>
      </c>
    </row>
    <row r="789" spans="1:12">
      <c r="A789" t="s">
        <v>516</v>
      </c>
      <c r="B789">
        <v>1986</v>
      </c>
      <c r="C789" t="s">
        <v>45</v>
      </c>
      <c r="D789">
        <v>114.26</v>
      </c>
      <c r="E789">
        <v>390</v>
      </c>
      <c r="F789">
        <v>255</v>
      </c>
      <c r="G789">
        <v>337.5</v>
      </c>
      <c r="H789">
        <v>982.5</v>
      </c>
      <c r="I789">
        <v>2013</v>
      </c>
      <c r="J789" t="s">
        <v>29</v>
      </c>
      <c r="K789" t="s">
        <v>171</v>
      </c>
      <c r="L789" s="8">
        <f t="shared" si="12"/>
        <v>0.65384615384615385</v>
      </c>
    </row>
    <row r="790" spans="1:12">
      <c r="A790" t="s">
        <v>675</v>
      </c>
      <c r="B790">
        <v>1990</v>
      </c>
      <c r="C790" t="s">
        <v>77</v>
      </c>
      <c r="D790">
        <v>65.930000000000007</v>
      </c>
      <c r="E790">
        <v>260</v>
      </c>
      <c r="F790">
        <v>170</v>
      </c>
      <c r="G790">
        <v>245</v>
      </c>
      <c r="H790">
        <v>675</v>
      </c>
      <c r="I790">
        <v>2013</v>
      </c>
      <c r="J790" t="s">
        <v>29</v>
      </c>
      <c r="K790" t="s">
        <v>171</v>
      </c>
      <c r="L790" s="8">
        <f t="shared" si="12"/>
        <v>0.65384615384615385</v>
      </c>
    </row>
    <row r="791" spans="1:12">
      <c r="A791" t="s">
        <v>422</v>
      </c>
      <c r="B791">
        <v>1986</v>
      </c>
      <c r="C791" t="s">
        <v>282</v>
      </c>
      <c r="D791">
        <v>82.54</v>
      </c>
      <c r="E791">
        <v>377.5</v>
      </c>
      <c r="F791">
        <v>247.5</v>
      </c>
      <c r="G791">
        <v>330</v>
      </c>
      <c r="H791">
        <v>955</v>
      </c>
      <c r="I791">
        <v>2014</v>
      </c>
      <c r="J791" t="s">
        <v>29</v>
      </c>
      <c r="K791" t="s">
        <v>171</v>
      </c>
      <c r="L791" s="8">
        <f t="shared" ref="L791:L854" si="13">IF(AND(F791&lt;&gt;0,E791&lt;&gt;0),F791/E791,"")</f>
        <v>0.6556291390728477</v>
      </c>
    </row>
    <row r="792" spans="1:12">
      <c r="A792" t="s">
        <v>741</v>
      </c>
      <c r="B792">
        <v>1974</v>
      </c>
      <c r="C792" t="s">
        <v>282</v>
      </c>
      <c r="D792">
        <v>82.54</v>
      </c>
      <c r="E792">
        <v>305</v>
      </c>
      <c r="F792">
        <v>200</v>
      </c>
      <c r="G792">
        <v>225</v>
      </c>
      <c r="H792">
        <v>730</v>
      </c>
      <c r="I792">
        <v>2012</v>
      </c>
      <c r="J792" t="s">
        <v>29</v>
      </c>
      <c r="K792" t="s">
        <v>171</v>
      </c>
      <c r="L792" s="8">
        <f t="shared" si="13"/>
        <v>0.65573770491803274</v>
      </c>
    </row>
    <row r="793" spans="1:12">
      <c r="A793" t="s">
        <v>417</v>
      </c>
      <c r="B793">
        <v>1979</v>
      </c>
      <c r="C793" t="s">
        <v>418</v>
      </c>
      <c r="D793">
        <v>125.94</v>
      </c>
      <c r="E793">
        <v>335</v>
      </c>
      <c r="F793">
        <v>220</v>
      </c>
      <c r="G793">
        <v>310</v>
      </c>
      <c r="H793">
        <v>865</v>
      </c>
      <c r="I793">
        <v>2012</v>
      </c>
      <c r="J793" t="s">
        <v>29</v>
      </c>
      <c r="K793" t="s">
        <v>171</v>
      </c>
      <c r="L793" s="8">
        <f t="shared" si="13"/>
        <v>0.65671641791044777</v>
      </c>
    </row>
    <row r="794" spans="1:12">
      <c r="A794" t="s">
        <v>422</v>
      </c>
      <c r="B794">
        <v>1986</v>
      </c>
      <c r="C794" t="s">
        <v>282</v>
      </c>
      <c r="D794">
        <v>83</v>
      </c>
      <c r="E794">
        <v>350</v>
      </c>
      <c r="F794">
        <v>230</v>
      </c>
      <c r="G794">
        <v>322.5</v>
      </c>
      <c r="H794">
        <v>902.5</v>
      </c>
      <c r="I794">
        <v>2012</v>
      </c>
      <c r="J794" t="s">
        <v>29</v>
      </c>
      <c r="K794" t="s">
        <v>171</v>
      </c>
      <c r="L794" s="8">
        <f t="shared" si="13"/>
        <v>0.65714285714285714</v>
      </c>
    </row>
    <row r="795" spans="1:12">
      <c r="A795" t="s">
        <v>736</v>
      </c>
      <c r="B795">
        <v>1983</v>
      </c>
      <c r="C795" t="s">
        <v>51</v>
      </c>
      <c r="D795">
        <v>119.68</v>
      </c>
      <c r="E795">
        <v>350</v>
      </c>
      <c r="F795">
        <v>230</v>
      </c>
      <c r="G795">
        <v>325</v>
      </c>
      <c r="H795">
        <v>905</v>
      </c>
      <c r="I795">
        <v>2014</v>
      </c>
      <c r="J795" t="s">
        <v>29</v>
      </c>
      <c r="K795" t="s">
        <v>171</v>
      </c>
      <c r="L795" s="8">
        <f t="shared" si="13"/>
        <v>0.65714285714285714</v>
      </c>
    </row>
    <row r="796" spans="1:12">
      <c r="A796" t="s">
        <v>733</v>
      </c>
      <c r="B796">
        <v>1982</v>
      </c>
      <c r="C796" t="s">
        <v>119</v>
      </c>
      <c r="D796">
        <v>82.33</v>
      </c>
      <c r="E796">
        <v>357.5</v>
      </c>
      <c r="F796">
        <v>235</v>
      </c>
      <c r="G796">
        <v>317.5</v>
      </c>
      <c r="H796">
        <v>910</v>
      </c>
      <c r="I796">
        <v>2012</v>
      </c>
      <c r="J796" t="s">
        <v>29</v>
      </c>
      <c r="K796" t="s">
        <v>171</v>
      </c>
      <c r="L796" s="8">
        <f t="shared" si="13"/>
        <v>0.65734265734265729</v>
      </c>
    </row>
    <row r="797" spans="1:12">
      <c r="A797" t="s">
        <v>496</v>
      </c>
      <c r="B797">
        <v>1979</v>
      </c>
      <c r="C797" t="s">
        <v>119</v>
      </c>
      <c r="D797">
        <v>73.540000000000006</v>
      </c>
      <c r="E797">
        <v>300</v>
      </c>
      <c r="F797">
        <v>197.5</v>
      </c>
      <c r="G797">
        <v>323</v>
      </c>
      <c r="H797">
        <v>820.5</v>
      </c>
      <c r="I797">
        <v>2014</v>
      </c>
      <c r="J797" t="s">
        <v>29</v>
      </c>
      <c r="K797" t="s">
        <v>171</v>
      </c>
      <c r="L797" s="8">
        <f t="shared" si="13"/>
        <v>0.65833333333333333</v>
      </c>
    </row>
    <row r="798" spans="1:12">
      <c r="A798" t="s">
        <v>738</v>
      </c>
      <c r="B798">
        <v>1989</v>
      </c>
      <c r="C798" t="s">
        <v>282</v>
      </c>
      <c r="D798">
        <v>118.1</v>
      </c>
      <c r="E798">
        <v>330</v>
      </c>
      <c r="F798">
        <v>217.5</v>
      </c>
      <c r="G798">
        <v>270</v>
      </c>
      <c r="H798">
        <v>817.5</v>
      </c>
      <c r="I798">
        <v>2013</v>
      </c>
      <c r="J798" t="s">
        <v>29</v>
      </c>
      <c r="K798" t="s">
        <v>171</v>
      </c>
      <c r="L798" s="8">
        <f t="shared" si="13"/>
        <v>0.65909090909090906</v>
      </c>
    </row>
    <row r="799" spans="1:12">
      <c r="A799" t="s">
        <v>737</v>
      </c>
      <c r="B799">
        <v>1974</v>
      </c>
      <c r="C799" t="s">
        <v>485</v>
      </c>
      <c r="D799">
        <v>73.69</v>
      </c>
      <c r="E799">
        <v>235</v>
      </c>
      <c r="F799">
        <v>155</v>
      </c>
      <c r="G799">
        <v>235</v>
      </c>
      <c r="H799">
        <v>625</v>
      </c>
      <c r="I799">
        <v>2012</v>
      </c>
      <c r="J799" t="s">
        <v>29</v>
      </c>
      <c r="K799" t="s">
        <v>171</v>
      </c>
      <c r="L799" s="8">
        <f t="shared" si="13"/>
        <v>0.65957446808510634</v>
      </c>
    </row>
    <row r="800" spans="1:12">
      <c r="A800" t="s">
        <v>478</v>
      </c>
      <c r="B800">
        <v>1984</v>
      </c>
      <c r="C800" t="s">
        <v>113</v>
      </c>
      <c r="D800">
        <v>81.900000000000006</v>
      </c>
      <c r="E800">
        <v>250</v>
      </c>
      <c r="F800">
        <v>165</v>
      </c>
      <c r="G800">
        <v>250</v>
      </c>
      <c r="H800">
        <v>665</v>
      </c>
      <c r="I800">
        <v>2014</v>
      </c>
      <c r="J800" t="s">
        <v>29</v>
      </c>
      <c r="K800" t="s">
        <v>171</v>
      </c>
      <c r="L800" s="8">
        <f t="shared" si="13"/>
        <v>0.66</v>
      </c>
    </row>
    <row r="801" spans="1:12">
      <c r="A801" t="s">
        <v>167</v>
      </c>
      <c r="B801">
        <v>1978</v>
      </c>
      <c r="C801" t="s">
        <v>85</v>
      </c>
      <c r="D801">
        <v>58.77</v>
      </c>
      <c r="E801">
        <v>257.5</v>
      </c>
      <c r="F801">
        <v>170</v>
      </c>
      <c r="G801">
        <v>227.5</v>
      </c>
      <c r="H801">
        <v>655</v>
      </c>
      <c r="I801">
        <v>2012</v>
      </c>
      <c r="J801" t="s">
        <v>29</v>
      </c>
      <c r="K801" t="s">
        <v>171</v>
      </c>
      <c r="L801" s="8">
        <f t="shared" si="13"/>
        <v>0.66019417475728159</v>
      </c>
    </row>
    <row r="802" spans="1:12">
      <c r="A802" t="s">
        <v>740</v>
      </c>
      <c r="B802">
        <v>1982</v>
      </c>
      <c r="C802" t="s">
        <v>274</v>
      </c>
      <c r="D802">
        <v>83</v>
      </c>
      <c r="E802">
        <v>302.5</v>
      </c>
      <c r="F802">
        <v>200</v>
      </c>
      <c r="G802">
        <v>307.5</v>
      </c>
      <c r="H802">
        <v>810</v>
      </c>
      <c r="I802">
        <v>2015</v>
      </c>
      <c r="J802" t="s">
        <v>29</v>
      </c>
      <c r="K802" t="s">
        <v>171</v>
      </c>
      <c r="L802" s="8">
        <f t="shared" si="13"/>
        <v>0.66115702479338845</v>
      </c>
    </row>
    <row r="803" spans="1:12">
      <c r="A803" t="s">
        <v>490</v>
      </c>
      <c r="B803">
        <v>1989</v>
      </c>
      <c r="C803" t="s">
        <v>28</v>
      </c>
      <c r="D803">
        <v>65.45</v>
      </c>
      <c r="E803">
        <v>310</v>
      </c>
      <c r="F803">
        <v>205</v>
      </c>
      <c r="G803">
        <v>282.5</v>
      </c>
      <c r="H803">
        <v>797.5</v>
      </c>
      <c r="I803">
        <v>2013</v>
      </c>
      <c r="J803" t="s">
        <v>29</v>
      </c>
      <c r="K803" t="s">
        <v>171</v>
      </c>
      <c r="L803" s="8">
        <f t="shared" si="13"/>
        <v>0.66129032258064513</v>
      </c>
    </row>
    <row r="804" spans="1:12">
      <c r="A804" t="s">
        <v>731</v>
      </c>
      <c r="B804">
        <v>1988</v>
      </c>
      <c r="C804" t="s">
        <v>318</v>
      </c>
      <c r="D804">
        <v>138.29</v>
      </c>
      <c r="E804">
        <v>325</v>
      </c>
      <c r="F804">
        <v>215</v>
      </c>
      <c r="G804">
        <v>290</v>
      </c>
      <c r="H804">
        <v>830</v>
      </c>
      <c r="I804">
        <v>2012</v>
      </c>
      <c r="J804" t="s">
        <v>29</v>
      </c>
      <c r="K804" t="s">
        <v>171</v>
      </c>
      <c r="L804" s="8">
        <f t="shared" si="13"/>
        <v>0.66153846153846152</v>
      </c>
    </row>
    <row r="805" spans="1:12">
      <c r="A805" t="s">
        <v>622</v>
      </c>
      <c r="B805">
        <v>1983</v>
      </c>
      <c r="C805" t="s">
        <v>113</v>
      </c>
      <c r="D805">
        <v>104.96</v>
      </c>
      <c r="E805">
        <v>340</v>
      </c>
      <c r="F805">
        <v>225</v>
      </c>
      <c r="G805">
        <v>322.5</v>
      </c>
      <c r="H805">
        <v>887.5</v>
      </c>
      <c r="I805">
        <v>2012</v>
      </c>
      <c r="J805" t="s">
        <v>29</v>
      </c>
      <c r="K805" t="s">
        <v>171</v>
      </c>
      <c r="L805" s="8">
        <f t="shared" si="13"/>
        <v>0.66176470588235292</v>
      </c>
    </row>
    <row r="806" spans="1:12">
      <c r="A806" t="s">
        <v>756</v>
      </c>
      <c r="B806">
        <v>1988</v>
      </c>
      <c r="C806" t="s">
        <v>119</v>
      </c>
      <c r="D806">
        <v>104.69</v>
      </c>
      <c r="E806">
        <v>415.5</v>
      </c>
      <c r="F806">
        <v>275</v>
      </c>
      <c r="G806">
        <v>345</v>
      </c>
      <c r="H806">
        <v>1035.5</v>
      </c>
      <c r="I806">
        <v>2015</v>
      </c>
      <c r="J806" t="s">
        <v>29</v>
      </c>
      <c r="K806" t="s">
        <v>171</v>
      </c>
      <c r="L806" s="8">
        <f t="shared" si="13"/>
        <v>0.66185318892900125</v>
      </c>
    </row>
    <row r="807" spans="1:12">
      <c r="A807" t="s">
        <v>603</v>
      </c>
      <c r="B807">
        <v>1987</v>
      </c>
      <c r="C807" t="s">
        <v>125</v>
      </c>
      <c r="D807">
        <v>104.34</v>
      </c>
      <c r="E807">
        <v>347.5</v>
      </c>
      <c r="F807">
        <v>230</v>
      </c>
      <c r="G807">
        <v>317.5</v>
      </c>
      <c r="H807">
        <v>895</v>
      </c>
      <c r="I807">
        <v>2014</v>
      </c>
      <c r="J807" t="s">
        <v>29</v>
      </c>
      <c r="K807" t="s">
        <v>171</v>
      </c>
      <c r="L807" s="8">
        <f t="shared" si="13"/>
        <v>0.66187050359712229</v>
      </c>
    </row>
    <row r="808" spans="1:12">
      <c r="A808" t="s">
        <v>48</v>
      </c>
      <c r="B808">
        <v>1983</v>
      </c>
      <c r="C808" t="s">
        <v>49</v>
      </c>
      <c r="D808">
        <v>92.55</v>
      </c>
      <c r="E808">
        <v>355</v>
      </c>
      <c r="F808">
        <v>235</v>
      </c>
      <c r="G808">
        <v>327.5</v>
      </c>
      <c r="H808">
        <v>917.5</v>
      </c>
      <c r="I808">
        <v>2013</v>
      </c>
      <c r="J808" t="s">
        <v>29</v>
      </c>
      <c r="K808" t="s">
        <v>171</v>
      </c>
      <c r="L808" s="8">
        <f t="shared" si="13"/>
        <v>0.6619718309859155</v>
      </c>
    </row>
    <row r="809" spans="1:12">
      <c r="A809" t="s">
        <v>46</v>
      </c>
      <c r="B809">
        <v>1972</v>
      </c>
      <c r="C809" t="s">
        <v>47</v>
      </c>
      <c r="D809">
        <v>102.95</v>
      </c>
      <c r="E809">
        <v>400</v>
      </c>
      <c r="F809">
        <v>265</v>
      </c>
      <c r="G809">
        <v>365</v>
      </c>
      <c r="H809">
        <v>1030</v>
      </c>
      <c r="I809">
        <v>2013</v>
      </c>
      <c r="J809" t="s">
        <v>29</v>
      </c>
      <c r="K809" t="s">
        <v>171</v>
      </c>
      <c r="L809" s="8">
        <f t="shared" si="13"/>
        <v>0.66249999999999998</v>
      </c>
    </row>
    <row r="810" spans="1:12">
      <c r="A810" t="s">
        <v>499</v>
      </c>
      <c r="B810">
        <v>1986</v>
      </c>
      <c r="C810" t="s">
        <v>85</v>
      </c>
      <c r="D810">
        <v>118.94</v>
      </c>
      <c r="E810">
        <v>415</v>
      </c>
      <c r="F810">
        <v>275</v>
      </c>
      <c r="G810">
        <v>350</v>
      </c>
      <c r="H810">
        <v>1040</v>
      </c>
      <c r="I810">
        <v>2014</v>
      </c>
      <c r="J810" t="s">
        <v>29</v>
      </c>
      <c r="K810" t="s">
        <v>171</v>
      </c>
      <c r="L810" s="8">
        <f t="shared" si="13"/>
        <v>0.66265060240963858</v>
      </c>
    </row>
    <row r="811" spans="1:12">
      <c r="A811" t="s">
        <v>680</v>
      </c>
      <c r="B811">
        <v>1990</v>
      </c>
      <c r="C811" t="s">
        <v>282</v>
      </c>
      <c r="D811">
        <v>65.7</v>
      </c>
      <c r="E811">
        <v>260</v>
      </c>
      <c r="F811">
        <v>172.5</v>
      </c>
      <c r="G811">
        <v>257.5</v>
      </c>
      <c r="H811">
        <v>690</v>
      </c>
      <c r="I811">
        <v>2014</v>
      </c>
      <c r="J811" t="s">
        <v>29</v>
      </c>
      <c r="K811" t="s">
        <v>171</v>
      </c>
      <c r="L811" s="8">
        <f t="shared" si="13"/>
        <v>0.66346153846153844</v>
      </c>
    </row>
    <row r="812" spans="1:12">
      <c r="A812" t="s">
        <v>637</v>
      </c>
      <c r="B812">
        <v>1982</v>
      </c>
      <c r="C812" t="s">
        <v>137</v>
      </c>
      <c r="D812">
        <v>72.760000000000005</v>
      </c>
      <c r="E812">
        <v>290</v>
      </c>
      <c r="F812">
        <v>192.5</v>
      </c>
      <c r="G812">
        <v>240</v>
      </c>
      <c r="H812">
        <v>722.5</v>
      </c>
      <c r="I812">
        <v>2012</v>
      </c>
      <c r="J812" t="s">
        <v>29</v>
      </c>
      <c r="K812" t="s">
        <v>171</v>
      </c>
      <c r="L812" s="8">
        <f t="shared" si="13"/>
        <v>0.66379310344827591</v>
      </c>
    </row>
    <row r="813" spans="1:12">
      <c r="A813" t="s">
        <v>681</v>
      </c>
      <c r="B813">
        <v>1979</v>
      </c>
      <c r="C813" t="s">
        <v>49</v>
      </c>
      <c r="D813">
        <v>72.95</v>
      </c>
      <c r="E813">
        <v>312.5</v>
      </c>
      <c r="F813">
        <v>207.5</v>
      </c>
      <c r="G813">
        <v>260</v>
      </c>
      <c r="H813">
        <v>780</v>
      </c>
      <c r="I813">
        <v>2012</v>
      </c>
      <c r="J813" t="s">
        <v>29</v>
      </c>
      <c r="K813" t="s">
        <v>171</v>
      </c>
      <c r="L813" s="8">
        <f t="shared" si="13"/>
        <v>0.66400000000000003</v>
      </c>
    </row>
    <row r="814" spans="1:12">
      <c r="A814" t="s">
        <v>161</v>
      </c>
      <c r="B814">
        <v>1988</v>
      </c>
      <c r="C814" t="s">
        <v>45</v>
      </c>
      <c r="D814">
        <v>104.23</v>
      </c>
      <c r="E814">
        <v>365</v>
      </c>
      <c r="F814">
        <v>242.5</v>
      </c>
      <c r="G814">
        <v>320</v>
      </c>
      <c r="H814">
        <v>927.5</v>
      </c>
      <c r="I814">
        <v>2012</v>
      </c>
      <c r="J814" t="s">
        <v>29</v>
      </c>
      <c r="K814" t="s">
        <v>171</v>
      </c>
      <c r="L814" s="8">
        <f t="shared" si="13"/>
        <v>0.66438356164383561</v>
      </c>
    </row>
    <row r="815" spans="1:12">
      <c r="A815" t="s">
        <v>635</v>
      </c>
      <c r="B815">
        <v>1987</v>
      </c>
      <c r="C815" t="s">
        <v>28</v>
      </c>
      <c r="D815">
        <v>92.82</v>
      </c>
      <c r="E815">
        <v>372.5</v>
      </c>
      <c r="F815">
        <v>247.5</v>
      </c>
      <c r="G815">
        <v>335</v>
      </c>
      <c r="H815">
        <v>955</v>
      </c>
      <c r="I815">
        <v>2013</v>
      </c>
      <c r="J815" t="s">
        <v>29</v>
      </c>
      <c r="K815" t="s">
        <v>171</v>
      </c>
      <c r="L815" s="8">
        <f t="shared" si="13"/>
        <v>0.66442953020134232</v>
      </c>
    </row>
    <row r="816" spans="1:12">
      <c r="A816" t="s">
        <v>516</v>
      </c>
      <c r="B816">
        <v>1986</v>
      </c>
      <c r="C816" t="s">
        <v>45</v>
      </c>
      <c r="D816">
        <v>119.52</v>
      </c>
      <c r="E816">
        <v>402.5</v>
      </c>
      <c r="F816">
        <v>267.5</v>
      </c>
      <c r="G816">
        <v>342.5</v>
      </c>
      <c r="H816">
        <v>1012.5</v>
      </c>
      <c r="I816">
        <v>2012</v>
      </c>
      <c r="J816" t="s">
        <v>29</v>
      </c>
      <c r="K816" t="s">
        <v>171</v>
      </c>
      <c r="L816" s="8">
        <f t="shared" si="13"/>
        <v>0.6645962732919255</v>
      </c>
    </row>
    <row r="817" spans="1:12">
      <c r="A817" t="s">
        <v>619</v>
      </c>
      <c r="B817">
        <v>1991</v>
      </c>
      <c r="C817" t="s">
        <v>72</v>
      </c>
      <c r="D817">
        <v>138.19999999999999</v>
      </c>
      <c r="E817">
        <v>425</v>
      </c>
      <c r="F817">
        <v>282.5</v>
      </c>
      <c r="G817">
        <v>322.5</v>
      </c>
      <c r="H817">
        <v>1030</v>
      </c>
      <c r="I817">
        <v>2013</v>
      </c>
      <c r="J817" t="s">
        <v>29</v>
      </c>
      <c r="K817" t="s">
        <v>171</v>
      </c>
      <c r="L817" s="8">
        <f t="shared" si="13"/>
        <v>0.66470588235294115</v>
      </c>
    </row>
    <row r="818" spans="1:12">
      <c r="A818" t="s">
        <v>419</v>
      </c>
      <c r="B818">
        <v>1982</v>
      </c>
      <c r="C818" t="s">
        <v>336</v>
      </c>
      <c r="D818">
        <v>58.92</v>
      </c>
      <c r="E818">
        <v>232.5</v>
      </c>
      <c r="F818">
        <v>155</v>
      </c>
      <c r="G818">
        <v>212.5</v>
      </c>
      <c r="H818">
        <v>600</v>
      </c>
      <c r="I818">
        <v>2012</v>
      </c>
      <c r="J818" t="s">
        <v>29</v>
      </c>
      <c r="K818" t="s">
        <v>171</v>
      </c>
      <c r="L818" s="8">
        <f t="shared" si="13"/>
        <v>0.66666666666666663</v>
      </c>
    </row>
    <row r="819" spans="1:12">
      <c r="A819" t="s">
        <v>518</v>
      </c>
      <c r="B819">
        <v>1982</v>
      </c>
      <c r="C819" t="s">
        <v>239</v>
      </c>
      <c r="D819">
        <v>104.42</v>
      </c>
      <c r="E819">
        <v>345</v>
      </c>
      <c r="F819">
        <v>230</v>
      </c>
      <c r="G819">
        <v>335</v>
      </c>
      <c r="H819">
        <v>910</v>
      </c>
      <c r="I819">
        <v>2012</v>
      </c>
      <c r="J819" t="s">
        <v>29</v>
      </c>
      <c r="K819" t="s">
        <v>171</v>
      </c>
      <c r="L819" s="8">
        <f t="shared" si="13"/>
        <v>0.66666666666666663</v>
      </c>
    </row>
    <row r="820" spans="1:12">
      <c r="A820" t="s">
        <v>557</v>
      </c>
      <c r="B820">
        <v>1972</v>
      </c>
      <c r="C820" t="s">
        <v>228</v>
      </c>
      <c r="D820">
        <v>138.83000000000001</v>
      </c>
      <c r="E820">
        <v>412.5</v>
      </c>
      <c r="F820">
        <v>275</v>
      </c>
      <c r="G820">
        <v>362.5</v>
      </c>
      <c r="H820">
        <v>1050</v>
      </c>
      <c r="I820">
        <v>2012</v>
      </c>
      <c r="J820" t="s">
        <v>29</v>
      </c>
      <c r="K820" t="s">
        <v>171</v>
      </c>
      <c r="L820" s="8">
        <f t="shared" si="13"/>
        <v>0.66666666666666663</v>
      </c>
    </row>
    <row r="821" spans="1:12">
      <c r="A821" t="s">
        <v>606</v>
      </c>
      <c r="B821">
        <v>1989</v>
      </c>
      <c r="C821" t="s">
        <v>47</v>
      </c>
      <c r="D821">
        <v>89.17</v>
      </c>
      <c r="E821">
        <v>232.5</v>
      </c>
      <c r="F821">
        <v>155</v>
      </c>
      <c r="G821">
        <v>280</v>
      </c>
      <c r="H821">
        <v>667.5</v>
      </c>
      <c r="I821">
        <v>2015</v>
      </c>
      <c r="J821" t="s">
        <v>29</v>
      </c>
      <c r="K821" t="s">
        <v>171</v>
      </c>
      <c r="L821" s="8">
        <f t="shared" si="13"/>
        <v>0.66666666666666663</v>
      </c>
    </row>
    <row r="822" spans="1:12">
      <c r="A822" t="s">
        <v>630</v>
      </c>
      <c r="B822">
        <v>1975</v>
      </c>
      <c r="C822" t="s">
        <v>80</v>
      </c>
      <c r="D822">
        <v>144.65</v>
      </c>
      <c r="E822">
        <v>375</v>
      </c>
      <c r="F822">
        <v>250</v>
      </c>
      <c r="G822">
        <v>355</v>
      </c>
      <c r="H822">
        <v>980</v>
      </c>
      <c r="I822">
        <v>2015</v>
      </c>
      <c r="J822" t="s">
        <v>29</v>
      </c>
      <c r="K822" t="s">
        <v>171</v>
      </c>
      <c r="L822" s="8">
        <f t="shared" si="13"/>
        <v>0.66666666666666663</v>
      </c>
    </row>
    <row r="823" spans="1:12">
      <c r="A823" t="s">
        <v>702</v>
      </c>
      <c r="B823">
        <v>1993</v>
      </c>
      <c r="C823" t="s">
        <v>47</v>
      </c>
      <c r="D823">
        <v>82</v>
      </c>
      <c r="E823">
        <v>255</v>
      </c>
      <c r="F823">
        <v>170</v>
      </c>
      <c r="G823">
        <v>240</v>
      </c>
      <c r="H823">
        <v>665</v>
      </c>
      <c r="I823">
        <v>2015</v>
      </c>
      <c r="J823" t="s">
        <v>29</v>
      </c>
      <c r="K823" t="s">
        <v>171</v>
      </c>
      <c r="L823" s="8">
        <f t="shared" si="13"/>
        <v>0.66666666666666663</v>
      </c>
    </row>
    <row r="824" spans="1:12">
      <c r="A824" t="s">
        <v>773</v>
      </c>
      <c r="B824">
        <v>1991</v>
      </c>
      <c r="C824" t="s">
        <v>194</v>
      </c>
      <c r="D824">
        <v>104.7</v>
      </c>
      <c r="E824">
        <v>337.5</v>
      </c>
      <c r="F824">
        <v>225</v>
      </c>
      <c r="G824">
        <v>300</v>
      </c>
      <c r="H824">
        <v>862.5</v>
      </c>
      <c r="I824">
        <v>2012</v>
      </c>
      <c r="J824" t="s">
        <v>29</v>
      </c>
      <c r="K824" t="s">
        <v>171</v>
      </c>
      <c r="L824" s="8">
        <f t="shared" si="13"/>
        <v>0.66666666666666663</v>
      </c>
    </row>
    <row r="825" spans="1:12">
      <c r="A825" t="s">
        <v>481</v>
      </c>
      <c r="B825">
        <v>1986</v>
      </c>
      <c r="C825" t="s">
        <v>28</v>
      </c>
      <c r="D825">
        <v>73.16</v>
      </c>
      <c r="E825">
        <v>310</v>
      </c>
      <c r="F825">
        <v>207.5</v>
      </c>
      <c r="G825">
        <v>325</v>
      </c>
      <c r="H825">
        <v>842.5</v>
      </c>
      <c r="I825">
        <v>2014</v>
      </c>
      <c r="J825" t="s">
        <v>29</v>
      </c>
      <c r="K825" t="s">
        <v>171</v>
      </c>
      <c r="L825" s="8">
        <f t="shared" si="13"/>
        <v>0.66935483870967738</v>
      </c>
    </row>
    <row r="826" spans="1:12">
      <c r="A826" t="s">
        <v>601</v>
      </c>
      <c r="B826">
        <v>1985</v>
      </c>
      <c r="C826" t="s">
        <v>464</v>
      </c>
      <c r="D826">
        <v>65.94</v>
      </c>
      <c r="E826">
        <v>272.5</v>
      </c>
      <c r="F826">
        <v>182.5</v>
      </c>
      <c r="G826">
        <v>277.5</v>
      </c>
      <c r="H826">
        <v>732.5</v>
      </c>
      <c r="I826">
        <v>2012</v>
      </c>
      <c r="J826" t="s">
        <v>29</v>
      </c>
      <c r="K826" t="s">
        <v>171</v>
      </c>
      <c r="L826" s="8">
        <f t="shared" si="13"/>
        <v>0.66972477064220182</v>
      </c>
    </row>
    <row r="827" spans="1:12">
      <c r="A827" t="s">
        <v>57</v>
      </c>
      <c r="B827">
        <v>1982</v>
      </c>
      <c r="C827" t="s">
        <v>28</v>
      </c>
      <c r="D827">
        <v>58.06</v>
      </c>
      <c r="E827">
        <v>300</v>
      </c>
      <c r="F827">
        <v>201</v>
      </c>
      <c r="G827">
        <v>260</v>
      </c>
      <c r="H827">
        <v>761</v>
      </c>
      <c r="I827">
        <v>2014</v>
      </c>
      <c r="J827" t="s">
        <v>29</v>
      </c>
      <c r="K827" t="s">
        <v>171</v>
      </c>
      <c r="L827" s="8">
        <f t="shared" si="13"/>
        <v>0.67</v>
      </c>
    </row>
    <row r="828" spans="1:12">
      <c r="A828" t="s">
        <v>154</v>
      </c>
      <c r="B828">
        <v>1987</v>
      </c>
      <c r="C828" t="s">
        <v>62</v>
      </c>
      <c r="D828">
        <v>158.27000000000001</v>
      </c>
      <c r="E828">
        <v>440</v>
      </c>
      <c r="F828">
        <v>295</v>
      </c>
      <c r="G828">
        <v>332.5</v>
      </c>
      <c r="H828">
        <v>1067.5</v>
      </c>
      <c r="I828">
        <v>2012</v>
      </c>
      <c r="J828" t="s">
        <v>29</v>
      </c>
      <c r="K828" t="s">
        <v>171</v>
      </c>
      <c r="L828" s="8">
        <f t="shared" si="13"/>
        <v>0.67045454545454541</v>
      </c>
    </row>
    <row r="829" spans="1:12">
      <c r="A829" t="s">
        <v>516</v>
      </c>
      <c r="B829">
        <v>1986</v>
      </c>
      <c r="C829" t="s">
        <v>45</v>
      </c>
      <c r="D829">
        <v>118.82</v>
      </c>
      <c r="E829">
        <v>395</v>
      </c>
      <c r="F829">
        <v>265</v>
      </c>
      <c r="G829">
        <v>327.5</v>
      </c>
      <c r="H829">
        <v>987.5</v>
      </c>
      <c r="I829">
        <v>2014</v>
      </c>
      <c r="J829" t="s">
        <v>29</v>
      </c>
      <c r="K829" t="s">
        <v>171</v>
      </c>
      <c r="L829" s="8">
        <f t="shared" si="13"/>
        <v>0.67088607594936711</v>
      </c>
    </row>
    <row r="830" spans="1:12">
      <c r="A830" t="s">
        <v>835</v>
      </c>
      <c r="B830">
        <v>1979</v>
      </c>
      <c r="C830" t="s">
        <v>62</v>
      </c>
      <c r="D830">
        <v>118.54</v>
      </c>
      <c r="E830">
        <v>395</v>
      </c>
      <c r="F830">
        <v>265</v>
      </c>
      <c r="G830">
        <v>365</v>
      </c>
      <c r="H830">
        <v>1025</v>
      </c>
      <c r="I830">
        <v>2014</v>
      </c>
      <c r="J830" t="s">
        <v>29</v>
      </c>
      <c r="K830" t="s">
        <v>171</v>
      </c>
      <c r="L830" s="8">
        <f t="shared" si="13"/>
        <v>0.67088607594936711</v>
      </c>
    </row>
    <row r="831" spans="1:12">
      <c r="A831" t="s">
        <v>621</v>
      </c>
      <c r="B831">
        <v>1982</v>
      </c>
      <c r="C831" t="s">
        <v>80</v>
      </c>
      <c r="D831">
        <v>104.55</v>
      </c>
      <c r="E831">
        <v>350</v>
      </c>
      <c r="F831">
        <v>235</v>
      </c>
      <c r="G831">
        <v>290</v>
      </c>
      <c r="H831">
        <v>875</v>
      </c>
      <c r="I831">
        <v>2015</v>
      </c>
      <c r="J831" t="s">
        <v>29</v>
      </c>
      <c r="K831" t="s">
        <v>171</v>
      </c>
      <c r="L831" s="8">
        <f t="shared" si="13"/>
        <v>0.67142857142857137</v>
      </c>
    </row>
    <row r="832" spans="1:12">
      <c r="A832" t="s">
        <v>768</v>
      </c>
      <c r="B832">
        <v>1976</v>
      </c>
      <c r="C832" t="s">
        <v>142</v>
      </c>
      <c r="D832">
        <v>93</v>
      </c>
      <c r="E832">
        <v>350</v>
      </c>
      <c r="F832">
        <v>235</v>
      </c>
      <c r="G832">
        <v>350</v>
      </c>
      <c r="H832">
        <v>935</v>
      </c>
      <c r="I832">
        <v>2015</v>
      </c>
      <c r="J832" t="s">
        <v>29</v>
      </c>
      <c r="K832" t="s">
        <v>171</v>
      </c>
      <c r="L832" s="8">
        <f t="shared" si="13"/>
        <v>0.67142857142857137</v>
      </c>
    </row>
    <row r="833" spans="1:12">
      <c r="A833" t="s">
        <v>675</v>
      </c>
      <c r="B833">
        <v>1990</v>
      </c>
      <c r="C833" t="s">
        <v>77</v>
      </c>
      <c r="D833">
        <v>65.86</v>
      </c>
      <c r="E833">
        <v>290</v>
      </c>
      <c r="F833">
        <v>195</v>
      </c>
      <c r="G833">
        <v>270</v>
      </c>
      <c r="H833">
        <v>755</v>
      </c>
      <c r="I833">
        <v>2014</v>
      </c>
      <c r="J833" t="s">
        <v>29</v>
      </c>
      <c r="K833" t="s">
        <v>171</v>
      </c>
      <c r="L833" s="8">
        <f t="shared" si="13"/>
        <v>0.67241379310344829</v>
      </c>
    </row>
    <row r="834" spans="1:12">
      <c r="A834" t="s">
        <v>366</v>
      </c>
      <c r="B834">
        <v>1968</v>
      </c>
      <c r="C834" t="s">
        <v>137</v>
      </c>
      <c r="D834">
        <v>73.64</v>
      </c>
      <c r="E834">
        <v>282.5</v>
      </c>
      <c r="F834">
        <v>190</v>
      </c>
      <c r="G834">
        <v>272.5</v>
      </c>
      <c r="H834">
        <v>745</v>
      </c>
      <c r="I834">
        <v>2012</v>
      </c>
      <c r="J834" t="s">
        <v>29</v>
      </c>
      <c r="K834" t="s">
        <v>171</v>
      </c>
      <c r="L834" s="8">
        <f t="shared" si="13"/>
        <v>0.67256637168141598</v>
      </c>
    </row>
    <row r="835" spans="1:12">
      <c r="A835" t="s">
        <v>376</v>
      </c>
      <c r="B835">
        <v>1983</v>
      </c>
      <c r="C835" t="s">
        <v>62</v>
      </c>
      <c r="D835">
        <v>65.599999999999994</v>
      </c>
      <c r="E835">
        <v>245</v>
      </c>
      <c r="F835">
        <v>165</v>
      </c>
      <c r="G835">
        <v>242.5</v>
      </c>
      <c r="H835">
        <v>652.5</v>
      </c>
      <c r="I835">
        <v>2012</v>
      </c>
      <c r="J835" t="s">
        <v>29</v>
      </c>
      <c r="K835" t="s">
        <v>171</v>
      </c>
      <c r="L835" s="8">
        <f t="shared" si="13"/>
        <v>0.67346938775510201</v>
      </c>
    </row>
    <row r="836" spans="1:12">
      <c r="A836" t="s">
        <v>834</v>
      </c>
      <c r="B836">
        <v>1986</v>
      </c>
      <c r="C836" t="s">
        <v>109</v>
      </c>
      <c r="D836">
        <v>69.489999999999995</v>
      </c>
      <c r="E836">
        <v>245</v>
      </c>
      <c r="F836">
        <v>165</v>
      </c>
      <c r="G836">
        <v>215</v>
      </c>
      <c r="H836">
        <v>625</v>
      </c>
      <c r="I836">
        <v>2012</v>
      </c>
      <c r="J836" t="s">
        <v>29</v>
      </c>
      <c r="K836" t="s">
        <v>171</v>
      </c>
      <c r="L836" s="8">
        <f t="shared" si="13"/>
        <v>0.67346938775510201</v>
      </c>
    </row>
    <row r="837" spans="1:12">
      <c r="A837" t="s">
        <v>48</v>
      </c>
      <c r="B837">
        <v>1983</v>
      </c>
      <c r="C837" t="s">
        <v>49</v>
      </c>
      <c r="D837">
        <v>91.94</v>
      </c>
      <c r="E837">
        <v>360</v>
      </c>
      <c r="F837">
        <v>242.5</v>
      </c>
      <c r="G837">
        <v>350</v>
      </c>
      <c r="H837">
        <v>952.5</v>
      </c>
      <c r="I837">
        <v>2014</v>
      </c>
      <c r="J837" t="s">
        <v>29</v>
      </c>
      <c r="K837" t="s">
        <v>171</v>
      </c>
      <c r="L837" s="8">
        <f t="shared" si="13"/>
        <v>0.67361111111111116</v>
      </c>
    </row>
    <row r="838" spans="1:12">
      <c r="A838" t="s">
        <v>419</v>
      </c>
      <c r="B838">
        <v>1982</v>
      </c>
      <c r="C838" t="s">
        <v>336</v>
      </c>
      <c r="D838">
        <v>58.89</v>
      </c>
      <c r="E838">
        <v>237.5</v>
      </c>
      <c r="F838">
        <v>160</v>
      </c>
      <c r="G838">
        <v>217.5</v>
      </c>
      <c r="H838">
        <v>615</v>
      </c>
      <c r="I838">
        <v>2013</v>
      </c>
      <c r="J838" t="s">
        <v>29</v>
      </c>
      <c r="K838" t="s">
        <v>171</v>
      </c>
      <c r="L838" s="8">
        <f t="shared" si="13"/>
        <v>0.67368421052631577</v>
      </c>
    </row>
    <row r="839" spans="1:12">
      <c r="A839" t="s">
        <v>745</v>
      </c>
      <c r="B839">
        <v>1975</v>
      </c>
      <c r="C839" t="s">
        <v>72</v>
      </c>
      <c r="D839">
        <v>104.93</v>
      </c>
      <c r="E839">
        <v>345</v>
      </c>
      <c r="F839">
        <v>232.5</v>
      </c>
      <c r="G839">
        <v>335</v>
      </c>
      <c r="H839">
        <v>912.5</v>
      </c>
      <c r="I839">
        <v>2012</v>
      </c>
      <c r="J839" t="s">
        <v>29</v>
      </c>
      <c r="K839" t="s">
        <v>171</v>
      </c>
      <c r="L839" s="8">
        <f t="shared" si="13"/>
        <v>0.67391304347826086</v>
      </c>
    </row>
    <row r="840" spans="1:12">
      <c r="A840" t="s">
        <v>646</v>
      </c>
      <c r="B840">
        <v>1981</v>
      </c>
      <c r="C840" t="s">
        <v>418</v>
      </c>
      <c r="D840">
        <v>71.739999999999995</v>
      </c>
      <c r="E840">
        <v>222.5</v>
      </c>
      <c r="F840">
        <v>150</v>
      </c>
      <c r="G840">
        <v>230</v>
      </c>
      <c r="H840">
        <v>602.5</v>
      </c>
      <c r="I840">
        <v>2012</v>
      </c>
      <c r="J840" t="s">
        <v>29</v>
      </c>
      <c r="K840" t="s">
        <v>171</v>
      </c>
      <c r="L840" s="8">
        <f t="shared" si="13"/>
        <v>0.6741573033707865</v>
      </c>
    </row>
    <row r="841" spans="1:12">
      <c r="A841" t="s">
        <v>57</v>
      </c>
      <c r="B841">
        <v>1982</v>
      </c>
      <c r="C841" t="s">
        <v>28</v>
      </c>
      <c r="D841">
        <v>57.63</v>
      </c>
      <c r="E841">
        <v>292.5</v>
      </c>
      <c r="F841">
        <v>197.5</v>
      </c>
      <c r="G841">
        <v>265</v>
      </c>
      <c r="H841">
        <v>755</v>
      </c>
      <c r="I841">
        <v>2013</v>
      </c>
      <c r="J841" t="s">
        <v>29</v>
      </c>
      <c r="K841" t="s">
        <v>171</v>
      </c>
      <c r="L841" s="8">
        <f t="shared" si="13"/>
        <v>0.67521367521367526</v>
      </c>
    </row>
    <row r="842" spans="1:12">
      <c r="A842" t="s">
        <v>778</v>
      </c>
      <c r="B842">
        <v>1972</v>
      </c>
      <c r="C842" t="s">
        <v>49</v>
      </c>
      <c r="D842">
        <v>151.52000000000001</v>
      </c>
      <c r="E842">
        <v>385</v>
      </c>
      <c r="F842">
        <v>260</v>
      </c>
      <c r="G842">
        <v>295</v>
      </c>
      <c r="H842">
        <v>940</v>
      </c>
      <c r="I842">
        <v>2014</v>
      </c>
      <c r="J842" t="s">
        <v>29</v>
      </c>
      <c r="K842" t="s">
        <v>171</v>
      </c>
      <c r="L842" s="8">
        <f t="shared" si="13"/>
        <v>0.67532467532467533</v>
      </c>
    </row>
    <row r="843" spans="1:12">
      <c r="A843" t="s">
        <v>560</v>
      </c>
      <c r="B843">
        <v>1991</v>
      </c>
      <c r="C843" t="s">
        <v>85</v>
      </c>
      <c r="D843">
        <v>104.2</v>
      </c>
      <c r="E843">
        <v>340</v>
      </c>
      <c r="F843">
        <v>230</v>
      </c>
      <c r="G843">
        <v>345</v>
      </c>
      <c r="H843">
        <v>915</v>
      </c>
      <c r="I843">
        <v>2015</v>
      </c>
      <c r="J843" t="s">
        <v>29</v>
      </c>
      <c r="K843" t="s">
        <v>171</v>
      </c>
      <c r="L843" s="8">
        <f t="shared" si="13"/>
        <v>0.67647058823529416</v>
      </c>
    </row>
    <row r="844" spans="1:12">
      <c r="A844" t="s">
        <v>419</v>
      </c>
      <c r="B844">
        <v>1982</v>
      </c>
      <c r="C844" t="s">
        <v>336</v>
      </c>
      <c r="D844">
        <v>58.68</v>
      </c>
      <c r="E844">
        <v>240</v>
      </c>
      <c r="F844">
        <v>162.5</v>
      </c>
      <c r="G844">
        <v>225</v>
      </c>
      <c r="H844">
        <v>627.5</v>
      </c>
      <c r="I844">
        <v>2014</v>
      </c>
      <c r="J844" t="s">
        <v>29</v>
      </c>
      <c r="K844" t="s">
        <v>171</v>
      </c>
      <c r="L844" s="8">
        <f t="shared" si="13"/>
        <v>0.67708333333333337</v>
      </c>
    </row>
    <row r="845" spans="1:12">
      <c r="A845" t="s">
        <v>408</v>
      </c>
      <c r="B845">
        <v>1975</v>
      </c>
      <c r="C845" t="s">
        <v>119</v>
      </c>
      <c r="D845">
        <v>92.42</v>
      </c>
      <c r="E845">
        <v>380</v>
      </c>
      <c r="F845">
        <v>257.5</v>
      </c>
      <c r="G845">
        <v>355</v>
      </c>
      <c r="H845">
        <v>992.5</v>
      </c>
      <c r="I845">
        <v>2014</v>
      </c>
      <c r="J845" t="s">
        <v>29</v>
      </c>
      <c r="K845" t="s">
        <v>171</v>
      </c>
      <c r="L845" s="8">
        <f t="shared" si="13"/>
        <v>0.67763157894736847</v>
      </c>
    </row>
    <row r="846" spans="1:12">
      <c r="A846" t="s">
        <v>492</v>
      </c>
      <c r="B846">
        <v>1990</v>
      </c>
      <c r="C846" t="s">
        <v>109</v>
      </c>
      <c r="D846">
        <v>104.39</v>
      </c>
      <c r="E846">
        <v>342.5</v>
      </c>
      <c r="F846">
        <v>232.5</v>
      </c>
      <c r="G846">
        <v>277.5</v>
      </c>
      <c r="H846">
        <v>852.5</v>
      </c>
      <c r="I846">
        <v>2015</v>
      </c>
      <c r="J846" t="s">
        <v>29</v>
      </c>
      <c r="K846" t="s">
        <v>171</v>
      </c>
      <c r="L846" s="8">
        <f t="shared" si="13"/>
        <v>0.67883211678832112</v>
      </c>
    </row>
    <row r="847" spans="1:12">
      <c r="A847" t="s">
        <v>848</v>
      </c>
      <c r="B847">
        <v>1981</v>
      </c>
      <c r="C847" t="s">
        <v>113</v>
      </c>
      <c r="D847">
        <v>92.6</v>
      </c>
      <c r="E847">
        <v>312.5</v>
      </c>
      <c r="F847">
        <v>212.5</v>
      </c>
      <c r="G847">
        <v>265</v>
      </c>
      <c r="H847">
        <v>790</v>
      </c>
      <c r="I847">
        <v>2014</v>
      </c>
      <c r="J847" t="s">
        <v>29</v>
      </c>
      <c r="K847" t="s">
        <v>171</v>
      </c>
      <c r="L847" s="8">
        <f t="shared" si="13"/>
        <v>0.68</v>
      </c>
    </row>
    <row r="848" spans="1:12">
      <c r="A848" t="s">
        <v>819</v>
      </c>
      <c r="B848">
        <v>1985</v>
      </c>
      <c r="C848" t="s">
        <v>28</v>
      </c>
      <c r="D848">
        <v>82.68</v>
      </c>
      <c r="E848">
        <v>360</v>
      </c>
      <c r="F848">
        <v>245</v>
      </c>
      <c r="G848">
        <v>320</v>
      </c>
      <c r="H848">
        <v>925</v>
      </c>
      <c r="I848">
        <v>2012</v>
      </c>
      <c r="J848" t="s">
        <v>29</v>
      </c>
      <c r="K848" t="s">
        <v>171</v>
      </c>
      <c r="L848" s="8">
        <f t="shared" si="13"/>
        <v>0.68055555555555558</v>
      </c>
    </row>
    <row r="849" spans="1:12">
      <c r="A849" t="s">
        <v>527</v>
      </c>
      <c r="B849">
        <v>1977</v>
      </c>
      <c r="C849" t="s">
        <v>62</v>
      </c>
      <c r="D849">
        <v>65.5</v>
      </c>
      <c r="E849">
        <v>252.5</v>
      </c>
      <c r="F849">
        <v>172.5</v>
      </c>
      <c r="G849">
        <v>255</v>
      </c>
      <c r="H849">
        <v>680</v>
      </c>
      <c r="I849">
        <v>2013</v>
      </c>
      <c r="J849" t="s">
        <v>29</v>
      </c>
      <c r="K849" t="s">
        <v>171</v>
      </c>
      <c r="L849" s="8">
        <f t="shared" si="13"/>
        <v>0.68316831683168322</v>
      </c>
    </row>
    <row r="850" spans="1:12">
      <c r="A850" t="s">
        <v>733</v>
      </c>
      <c r="B850">
        <v>1982</v>
      </c>
      <c r="C850" t="s">
        <v>119</v>
      </c>
      <c r="D850">
        <v>82.7</v>
      </c>
      <c r="E850">
        <v>357.5</v>
      </c>
      <c r="F850">
        <v>245</v>
      </c>
      <c r="G850">
        <v>320</v>
      </c>
      <c r="H850">
        <v>922.5</v>
      </c>
      <c r="I850">
        <v>2013</v>
      </c>
      <c r="J850" t="s">
        <v>29</v>
      </c>
      <c r="K850" t="s">
        <v>171</v>
      </c>
      <c r="L850" s="8">
        <f t="shared" si="13"/>
        <v>0.68531468531468531</v>
      </c>
    </row>
    <row r="851" spans="1:12">
      <c r="A851" t="s">
        <v>518</v>
      </c>
      <c r="B851">
        <v>1982</v>
      </c>
      <c r="C851" t="s">
        <v>239</v>
      </c>
      <c r="D851">
        <v>104.03</v>
      </c>
      <c r="E851">
        <v>350</v>
      </c>
      <c r="F851">
        <v>240</v>
      </c>
      <c r="G851">
        <v>345</v>
      </c>
      <c r="H851">
        <v>935</v>
      </c>
      <c r="I851">
        <v>2015</v>
      </c>
      <c r="J851" t="s">
        <v>29</v>
      </c>
      <c r="K851" t="s">
        <v>171</v>
      </c>
      <c r="L851" s="8">
        <f t="shared" si="13"/>
        <v>0.68571428571428572</v>
      </c>
    </row>
    <row r="852" spans="1:12">
      <c r="A852" t="s">
        <v>527</v>
      </c>
      <c r="B852">
        <v>1980</v>
      </c>
      <c r="C852" t="s">
        <v>62</v>
      </c>
      <c r="D852">
        <v>65.84</v>
      </c>
      <c r="E852">
        <v>262.5</v>
      </c>
      <c r="F852">
        <v>180</v>
      </c>
      <c r="G852">
        <v>282.5</v>
      </c>
      <c r="H852">
        <v>725</v>
      </c>
      <c r="I852">
        <v>2014</v>
      </c>
      <c r="J852" t="s">
        <v>29</v>
      </c>
      <c r="K852" t="s">
        <v>171</v>
      </c>
      <c r="L852" s="8">
        <f t="shared" si="13"/>
        <v>0.68571428571428572</v>
      </c>
    </row>
    <row r="853" spans="1:12">
      <c r="A853" t="s">
        <v>778</v>
      </c>
      <c r="B853">
        <v>1972</v>
      </c>
      <c r="C853" t="s">
        <v>49</v>
      </c>
      <c r="D853">
        <v>141.09</v>
      </c>
      <c r="E853">
        <v>350</v>
      </c>
      <c r="F853">
        <v>240</v>
      </c>
      <c r="G853">
        <v>290</v>
      </c>
      <c r="H853">
        <v>880</v>
      </c>
      <c r="I853">
        <v>2012</v>
      </c>
      <c r="J853" t="s">
        <v>29</v>
      </c>
      <c r="K853" t="s">
        <v>171</v>
      </c>
      <c r="L853" s="8">
        <f t="shared" si="13"/>
        <v>0.68571428571428572</v>
      </c>
    </row>
    <row r="854" spans="1:12">
      <c r="A854" t="s">
        <v>720</v>
      </c>
      <c r="B854">
        <v>1974</v>
      </c>
      <c r="C854" t="s">
        <v>113</v>
      </c>
      <c r="D854">
        <v>65.78</v>
      </c>
      <c r="E854">
        <v>255</v>
      </c>
      <c r="F854">
        <v>175</v>
      </c>
      <c r="G854">
        <v>235</v>
      </c>
      <c r="H854">
        <v>665</v>
      </c>
      <c r="I854">
        <v>2012</v>
      </c>
      <c r="J854" t="s">
        <v>29</v>
      </c>
      <c r="K854" t="s">
        <v>171</v>
      </c>
      <c r="L854" s="8">
        <f t="shared" si="13"/>
        <v>0.68627450980392157</v>
      </c>
    </row>
    <row r="855" spans="1:12">
      <c r="A855" t="s">
        <v>366</v>
      </c>
      <c r="B855">
        <v>1968</v>
      </c>
      <c r="C855" t="s">
        <v>137</v>
      </c>
      <c r="D855">
        <v>73.62</v>
      </c>
      <c r="E855">
        <v>287.5</v>
      </c>
      <c r="F855">
        <v>197.5</v>
      </c>
      <c r="G855">
        <v>275</v>
      </c>
      <c r="H855">
        <v>760</v>
      </c>
      <c r="I855">
        <v>2014</v>
      </c>
      <c r="J855" t="s">
        <v>29</v>
      </c>
      <c r="K855" t="s">
        <v>171</v>
      </c>
      <c r="L855" s="8">
        <f t="shared" ref="L855:L918" si="14">IF(AND(F855&lt;&gt;0,E855&lt;&gt;0),F855/E855,"")</f>
        <v>0.68695652173913047</v>
      </c>
    </row>
    <row r="856" spans="1:12">
      <c r="A856" t="s">
        <v>664</v>
      </c>
      <c r="B856">
        <v>1984</v>
      </c>
      <c r="C856" t="s">
        <v>119</v>
      </c>
      <c r="D856">
        <v>82.32</v>
      </c>
      <c r="E856">
        <v>360</v>
      </c>
      <c r="F856">
        <v>247.5</v>
      </c>
      <c r="G856">
        <v>307.5</v>
      </c>
      <c r="H856">
        <v>915</v>
      </c>
      <c r="I856">
        <v>2012</v>
      </c>
      <c r="J856" t="s">
        <v>29</v>
      </c>
      <c r="K856" t="s">
        <v>171</v>
      </c>
      <c r="L856" s="8">
        <f t="shared" si="14"/>
        <v>0.6875</v>
      </c>
    </row>
    <row r="857" spans="1:12">
      <c r="A857" t="s">
        <v>751</v>
      </c>
      <c r="B857">
        <v>1981</v>
      </c>
      <c r="C857" t="s">
        <v>125</v>
      </c>
      <c r="D857">
        <v>100.55</v>
      </c>
      <c r="E857">
        <v>345</v>
      </c>
      <c r="F857">
        <v>237.5</v>
      </c>
      <c r="G857">
        <v>292.5</v>
      </c>
      <c r="H857">
        <v>875</v>
      </c>
      <c r="I857">
        <v>2015</v>
      </c>
      <c r="J857" t="s">
        <v>29</v>
      </c>
      <c r="K857" t="s">
        <v>171</v>
      </c>
      <c r="L857" s="8">
        <f t="shared" si="14"/>
        <v>0.68840579710144922</v>
      </c>
    </row>
    <row r="858" spans="1:12">
      <c r="A858" t="s">
        <v>572</v>
      </c>
      <c r="B858">
        <v>1968</v>
      </c>
      <c r="C858" t="s">
        <v>359</v>
      </c>
      <c r="D858">
        <v>87.4</v>
      </c>
      <c r="E858">
        <v>265</v>
      </c>
      <c r="F858">
        <v>182.5</v>
      </c>
      <c r="G858">
        <v>290</v>
      </c>
      <c r="H858">
        <v>737.5</v>
      </c>
      <c r="I858">
        <v>2013</v>
      </c>
      <c r="J858" t="s">
        <v>29</v>
      </c>
      <c r="K858" t="s">
        <v>171</v>
      </c>
      <c r="L858" s="8">
        <f t="shared" si="14"/>
        <v>0.68867924528301883</v>
      </c>
    </row>
    <row r="859" spans="1:12">
      <c r="A859" t="s">
        <v>377</v>
      </c>
      <c r="B859">
        <v>1981</v>
      </c>
      <c r="C859" t="s">
        <v>28</v>
      </c>
      <c r="D859">
        <v>119.91</v>
      </c>
      <c r="E859">
        <v>410</v>
      </c>
      <c r="F859">
        <v>282.5</v>
      </c>
      <c r="G859">
        <v>360</v>
      </c>
      <c r="H859">
        <v>1052.5</v>
      </c>
      <c r="I859">
        <v>2012</v>
      </c>
      <c r="J859" t="s">
        <v>29</v>
      </c>
      <c r="K859" t="s">
        <v>171</v>
      </c>
      <c r="L859" s="8">
        <f t="shared" si="14"/>
        <v>0.68902439024390238</v>
      </c>
    </row>
    <row r="860" spans="1:12">
      <c r="A860" t="s">
        <v>483</v>
      </c>
      <c r="B860">
        <v>1980</v>
      </c>
      <c r="C860" t="s">
        <v>464</v>
      </c>
      <c r="D860">
        <v>58.41</v>
      </c>
      <c r="E860">
        <v>250</v>
      </c>
      <c r="F860">
        <v>172.5</v>
      </c>
      <c r="G860">
        <v>245</v>
      </c>
      <c r="H860">
        <v>667.5</v>
      </c>
      <c r="I860">
        <v>2012</v>
      </c>
      <c r="J860" t="s">
        <v>29</v>
      </c>
      <c r="K860" t="s">
        <v>171</v>
      </c>
      <c r="L860" s="8">
        <f t="shared" si="14"/>
        <v>0.69</v>
      </c>
    </row>
    <row r="861" spans="1:12">
      <c r="A861" t="s">
        <v>825</v>
      </c>
      <c r="B861">
        <v>1976</v>
      </c>
      <c r="C861" t="s">
        <v>62</v>
      </c>
      <c r="D861">
        <v>73.7</v>
      </c>
      <c r="E861">
        <v>275</v>
      </c>
      <c r="F861">
        <v>190</v>
      </c>
      <c r="G861">
        <v>307.5</v>
      </c>
      <c r="H861">
        <v>772.5</v>
      </c>
      <c r="I861">
        <v>2013</v>
      </c>
      <c r="J861" t="s">
        <v>29</v>
      </c>
      <c r="K861" t="s">
        <v>171</v>
      </c>
      <c r="L861" s="8">
        <f t="shared" si="14"/>
        <v>0.69090909090909092</v>
      </c>
    </row>
    <row r="862" spans="1:12">
      <c r="A862" t="s">
        <v>385</v>
      </c>
      <c r="B862">
        <v>1990</v>
      </c>
      <c r="C862" t="s">
        <v>28</v>
      </c>
      <c r="D862">
        <v>102.78</v>
      </c>
      <c r="E862">
        <v>405</v>
      </c>
      <c r="F862">
        <v>280</v>
      </c>
      <c r="G862">
        <v>357.5</v>
      </c>
      <c r="H862">
        <v>1042.5</v>
      </c>
      <c r="I862">
        <v>2014</v>
      </c>
      <c r="J862" t="s">
        <v>29</v>
      </c>
      <c r="K862" t="s">
        <v>171</v>
      </c>
      <c r="L862" s="8">
        <f t="shared" si="14"/>
        <v>0.69135802469135799</v>
      </c>
    </row>
    <row r="863" spans="1:12">
      <c r="A863" t="s">
        <v>490</v>
      </c>
      <c r="B863">
        <v>1989</v>
      </c>
      <c r="C863" t="s">
        <v>28</v>
      </c>
      <c r="D863">
        <v>65.62</v>
      </c>
      <c r="E863">
        <v>300</v>
      </c>
      <c r="F863">
        <v>207.5</v>
      </c>
      <c r="G863">
        <v>275</v>
      </c>
      <c r="H863">
        <v>782.5</v>
      </c>
      <c r="I863">
        <v>2015</v>
      </c>
      <c r="J863" t="s">
        <v>29</v>
      </c>
      <c r="K863" t="s">
        <v>171</v>
      </c>
      <c r="L863" s="8">
        <f t="shared" si="14"/>
        <v>0.69166666666666665</v>
      </c>
    </row>
    <row r="864" spans="1:12">
      <c r="A864" t="s">
        <v>695</v>
      </c>
      <c r="B864">
        <v>1982</v>
      </c>
      <c r="C864" t="s">
        <v>51</v>
      </c>
      <c r="D864">
        <v>82.87</v>
      </c>
      <c r="E864">
        <v>332.5</v>
      </c>
      <c r="F864">
        <v>230</v>
      </c>
      <c r="G864">
        <v>295</v>
      </c>
      <c r="H864">
        <v>857.5</v>
      </c>
      <c r="I864">
        <v>2012</v>
      </c>
      <c r="J864" t="s">
        <v>29</v>
      </c>
      <c r="K864" t="s">
        <v>171</v>
      </c>
      <c r="L864" s="8">
        <f t="shared" si="14"/>
        <v>0.69172932330827064</v>
      </c>
    </row>
    <row r="865" spans="1:12">
      <c r="A865" t="s">
        <v>596</v>
      </c>
      <c r="B865">
        <v>1982</v>
      </c>
      <c r="C865" t="s">
        <v>74</v>
      </c>
      <c r="D865">
        <v>79.599999999999994</v>
      </c>
      <c r="E865">
        <v>260</v>
      </c>
      <c r="F865">
        <v>180</v>
      </c>
      <c r="G865">
        <v>310</v>
      </c>
      <c r="H865">
        <v>750</v>
      </c>
      <c r="I865">
        <v>2014</v>
      </c>
      <c r="J865" t="s">
        <v>29</v>
      </c>
      <c r="K865" t="s">
        <v>171</v>
      </c>
      <c r="L865" s="8">
        <f t="shared" si="14"/>
        <v>0.69230769230769229</v>
      </c>
    </row>
    <row r="866" spans="1:12">
      <c r="A866" t="s">
        <v>401</v>
      </c>
      <c r="B866">
        <v>1974</v>
      </c>
      <c r="C866" t="s">
        <v>51</v>
      </c>
      <c r="D866">
        <v>119.96</v>
      </c>
      <c r="E866">
        <v>400</v>
      </c>
      <c r="F866">
        <v>277.5</v>
      </c>
      <c r="G866">
        <v>350</v>
      </c>
      <c r="H866">
        <v>1027.5</v>
      </c>
      <c r="I866">
        <v>2013</v>
      </c>
      <c r="J866" t="s">
        <v>29</v>
      </c>
      <c r="K866" t="s">
        <v>171</v>
      </c>
      <c r="L866" s="8">
        <f t="shared" si="14"/>
        <v>0.69374999999999998</v>
      </c>
    </row>
    <row r="867" spans="1:12">
      <c r="A867" t="s">
        <v>751</v>
      </c>
      <c r="B867">
        <v>1981</v>
      </c>
      <c r="C867" t="s">
        <v>125</v>
      </c>
      <c r="D867">
        <v>97.32</v>
      </c>
      <c r="E867">
        <v>335</v>
      </c>
      <c r="F867">
        <v>232.5</v>
      </c>
      <c r="G867">
        <v>295</v>
      </c>
      <c r="H867">
        <v>862.5</v>
      </c>
      <c r="I867">
        <v>2014</v>
      </c>
      <c r="J867" t="s">
        <v>29</v>
      </c>
      <c r="K867" t="s">
        <v>171</v>
      </c>
      <c r="L867" s="8">
        <f t="shared" si="14"/>
        <v>0.69402985074626866</v>
      </c>
    </row>
    <row r="868" spans="1:12">
      <c r="A868" t="s">
        <v>704</v>
      </c>
      <c r="B868">
        <v>1982</v>
      </c>
      <c r="C868" t="s">
        <v>485</v>
      </c>
      <c r="D868">
        <v>114.45</v>
      </c>
      <c r="E868">
        <v>360</v>
      </c>
      <c r="F868">
        <v>250</v>
      </c>
      <c r="G868">
        <v>300</v>
      </c>
      <c r="H868">
        <v>910</v>
      </c>
      <c r="I868">
        <v>2014</v>
      </c>
      <c r="J868" t="s">
        <v>29</v>
      </c>
      <c r="K868" t="s">
        <v>171</v>
      </c>
      <c r="L868" s="8">
        <f t="shared" si="14"/>
        <v>0.69444444444444442</v>
      </c>
    </row>
    <row r="869" spans="1:12">
      <c r="A869" t="s">
        <v>428</v>
      </c>
      <c r="B869">
        <v>1990</v>
      </c>
      <c r="C869" t="s">
        <v>45</v>
      </c>
      <c r="D869">
        <v>164</v>
      </c>
      <c r="E869">
        <v>475</v>
      </c>
      <c r="F869">
        <v>330</v>
      </c>
      <c r="G869">
        <v>370</v>
      </c>
      <c r="H869">
        <v>1175</v>
      </c>
      <c r="I869">
        <v>2013</v>
      </c>
      <c r="J869" t="s">
        <v>29</v>
      </c>
      <c r="K869" t="s">
        <v>171</v>
      </c>
      <c r="L869" s="8">
        <f t="shared" si="14"/>
        <v>0.69473684210526321</v>
      </c>
    </row>
    <row r="870" spans="1:12">
      <c r="A870" t="s">
        <v>384</v>
      </c>
      <c r="B870">
        <v>1984</v>
      </c>
      <c r="C870" t="s">
        <v>137</v>
      </c>
      <c r="D870">
        <v>104.7</v>
      </c>
      <c r="E870">
        <v>385</v>
      </c>
      <c r="F870">
        <v>267.5</v>
      </c>
      <c r="G870">
        <v>360</v>
      </c>
      <c r="H870">
        <v>1012.5</v>
      </c>
      <c r="I870">
        <v>2015</v>
      </c>
      <c r="J870" t="s">
        <v>29</v>
      </c>
      <c r="K870" t="s">
        <v>171</v>
      </c>
      <c r="L870" s="8">
        <f t="shared" si="14"/>
        <v>0.69480519480519476</v>
      </c>
    </row>
    <row r="871" spans="1:12">
      <c r="A871" t="s">
        <v>690</v>
      </c>
      <c r="B871">
        <v>1980</v>
      </c>
      <c r="C871" t="s">
        <v>77</v>
      </c>
      <c r="D871">
        <v>73.94</v>
      </c>
      <c r="E871">
        <v>295</v>
      </c>
      <c r="F871">
        <v>205</v>
      </c>
      <c r="G871">
        <v>240</v>
      </c>
      <c r="H871">
        <v>740</v>
      </c>
      <c r="I871">
        <v>2013</v>
      </c>
      <c r="J871" t="s">
        <v>29</v>
      </c>
      <c r="K871" t="s">
        <v>171</v>
      </c>
      <c r="L871" s="8">
        <f t="shared" si="14"/>
        <v>0.69491525423728817</v>
      </c>
    </row>
    <row r="872" spans="1:12">
      <c r="A872" t="s">
        <v>419</v>
      </c>
      <c r="B872">
        <v>1982</v>
      </c>
      <c r="C872" t="s">
        <v>336</v>
      </c>
      <c r="D872">
        <v>58.79</v>
      </c>
      <c r="E872">
        <v>230</v>
      </c>
      <c r="F872">
        <v>160</v>
      </c>
      <c r="G872">
        <v>220</v>
      </c>
      <c r="H872">
        <v>610</v>
      </c>
      <c r="I872">
        <v>2015</v>
      </c>
      <c r="J872" t="s">
        <v>29</v>
      </c>
      <c r="K872" t="s">
        <v>171</v>
      </c>
      <c r="L872" s="8">
        <f t="shared" si="14"/>
        <v>0.69565217391304346</v>
      </c>
    </row>
    <row r="873" spans="1:12">
      <c r="A873" t="s">
        <v>493</v>
      </c>
      <c r="B873">
        <v>1989</v>
      </c>
      <c r="C873" t="s">
        <v>282</v>
      </c>
      <c r="D873">
        <v>57.94</v>
      </c>
      <c r="E873">
        <v>230</v>
      </c>
      <c r="F873">
        <v>160</v>
      </c>
      <c r="G873">
        <v>225</v>
      </c>
      <c r="H873">
        <v>615</v>
      </c>
      <c r="I873">
        <v>2014</v>
      </c>
      <c r="J873" t="s">
        <v>29</v>
      </c>
      <c r="K873" t="s">
        <v>171</v>
      </c>
      <c r="L873" s="8">
        <f t="shared" si="14"/>
        <v>0.69565217391304346</v>
      </c>
    </row>
    <row r="874" spans="1:12">
      <c r="A874" t="s">
        <v>536</v>
      </c>
      <c r="B874">
        <v>1990</v>
      </c>
      <c r="C874" t="s">
        <v>109</v>
      </c>
      <c r="D874">
        <v>89.7</v>
      </c>
      <c r="E874">
        <v>345</v>
      </c>
      <c r="F874">
        <v>240</v>
      </c>
      <c r="G874">
        <v>302.5</v>
      </c>
      <c r="H874">
        <v>887.5</v>
      </c>
      <c r="I874">
        <v>2014</v>
      </c>
      <c r="J874" t="s">
        <v>29</v>
      </c>
      <c r="K874" t="s">
        <v>171</v>
      </c>
      <c r="L874" s="8">
        <f t="shared" si="14"/>
        <v>0.69565217391304346</v>
      </c>
    </row>
    <row r="875" spans="1:12">
      <c r="A875" t="s">
        <v>638</v>
      </c>
      <c r="B875">
        <v>1984</v>
      </c>
      <c r="C875" t="s">
        <v>418</v>
      </c>
      <c r="D875">
        <v>91.4</v>
      </c>
      <c r="E875">
        <v>230</v>
      </c>
      <c r="F875">
        <v>160</v>
      </c>
      <c r="G875">
        <v>252.5</v>
      </c>
      <c r="H875">
        <v>642.5</v>
      </c>
      <c r="I875">
        <v>2014</v>
      </c>
      <c r="J875" t="s">
        <v>29</v>
      </c>
      <c r="K875" t="s">
        <v>171</v>
      </c>
      <c r="L875" s="8">
        <f t="shared" si="14"/>
        <v>0.69565217391304346</v>
      </c>
    </row>
    <row r="876" spans="1:12">
      <c r="A876" t="s">
        <v>167</v>
      </c>
      <c r="B876">
        <v>1978</v>
      </c>
      <c r="C876" t="s">
        <v>85</v>
      </c>
      <c r="D876">
        <v>58.62</v>
      </c>
      <c r="E876">
        <v>255</v>
      </c>
      <c r="F876">
        <v>177.5</v>
      </c>
      <c r="G876">
        <v>217.5</v>
      </c>
      <c r="H876">
        <v>650</v>
      </c>
      <c r="I876">
        <v>2015</v>
      </c>
      <c r="J876" t="s">
        <v>29</v>
      </c>
      <c r="K876" t="s">
        <v>171</v>
      </c>
      <c r="L876" s="8">
        <f t="shared" si="14"/>
        <v>0.69607843137254899</v>
      </c>
    </row>
    <row r="877" spans="1:12">
      <c r="A877" t="s">
        <v>493</v>
      </c>
      <c r="B877">
        <v>1989</v>
      </c>
      <c r="C877" t="s">
        <v>282</v>
      </c>
      <c r="D877">
        <v>58.2</v>
      </c>
      <c r="E877">
        <v>222.5</v>
      </c>
      <c r="F877">
        <v>155</v>
      </c>
      <c r="G877">
        <v>222.5</v>
      </c>
      <c r="H877">
        <v>600</v>
      </c>
      <c r="I877">
        <v>2013</v>
      </c>
      <c r="J877" t="s">
        <v>29</v>
      </c>
      <c r="K877" t="s">
        <v>171</v>
      </c>
      <c r="L877" s="8">
        <f t="shared" si="14"/>
        <v>0.6966292134831461</v>
      </c>
    </row>
    <row r="878" spans="1:12">
      <c r="A878" t="s">
        <v>761</v>
      </c>
      <c r="B878">
        <v>1982</v>
      </c>
      <c r="C878" t="s">
        <v>380</v>
      </c>
      <c r="D878">
        <v>104.32</v>
      </c>
      <c r="E878">
        <v>330</v>
      </c>
      <c r="F878">
        <v>230</v>
      </c>
      <c r="G878">
        <v>0</v>
      </c>
      <c r="H878">
        <v>0</v>
      </c>
      <c r="I878">
        <v>2015</v>
      </c>
      <c r="J878" t="s">
        <v>29</v>
      </c>
      <c r="K878" t="s">
        <v>171</v>
      </c>
      <c r="L878" s="8">
        <f t="shared" si="14"/>
        <v>0.69696969696969702</v>
      </c>
    </row>
    <row r="879" spans="1:12">
      <c r="A879" t="s">
        <v>408</v>
      </c>
      <c r="B879">
        <v>1975</v>
      </c>
      <c r="C879" t="s">
        <v>119</v>
      </c>
      <c r="D879">
        <v>92.65</v>
      </c>
      <c r="E879">
        <v>372.5</v>
      </c>
      <c r="F879">
        <v>260</v>
      </c>
      <c r="G879">
        <v>350</v>
      </c>
      <c r="H879">
        <v>982.5</v>
      </c>
      <c r="I879">
        <v>2013</v>
      </c>
      <c r="J879" t="s">
        <v>29</v>
      </c>
      <c r="K879" t="s">
        <v>171</v>
      </c>
      <c r="L879" s="8">
        <f t="shared" si="14"/>
        <v>0.69798657718120805</v>
      </c>
    </row>
    <row r="880" spans="1:12">
      <c r="A880" t="s">
        <v>513</v>
      </c>
      <c r="B880">
        <v>1990</v>
      </c>
      <c r="C880" t="s">
        <v>51</v>
      </c>
      <c r="D880">
        <v>104.76</v>
      </c>
      <c r="E880">
        <v>350</v>
      </c>
      <c r="F880">
        <v>245</v>
      </c>
      <c r="G880">
        <v>327.5</v>
      </c>
      <c r="H880">
        <v>922.5</v>
      </c>
      <c r="I880">
        <v>2014</v>
      </c>
      <c r="J880" t="s">
        <v>29</v>
      </c>
      <c r="K880" t="s">
        <v>171</v>
      </c>
      <c r="L880" s="8">
        <f t="shared" si="14"/>
        <v>0.7</v>
      </c>
    </row>
    <row r="881" spans="1:12">
      <c r="A881" t="s">
        <v>723</v>
      </c>
      <c r="B881">
        <v>1982</v>
      </c>
      <c r="C881" t="s">
        <v>336</v>
      </c>
      <c r="D881">
        <v>118.56</v>
      </c>
      <c r="E881">
        <v>350</v>
      </c>
      <c r="F881">
        <v>245</v>
      </c>
      <c r="G881">
        <v>312.5</v>
      </c>
      <c r="H881">
        <v>907.5</v>
      </c>
      <c r="I881">
        <v>2012</v>
      </c>
      <c r="J881" t="s">
        <v>29</v>
      </c>
      <c r="K881" t="s">
        <v>171</v>
      </c>
      <c r="L881" s="8">
        <f t="shared" si="14"/>
        <v>0.7</v>
      </c>
    </row>
    <row r="882" spans="1:12">
      <c r="A882" t="s">
        <v>161</v>
      </c>
      <c r="B882">
        <v>1988</v>
      </c>
      <c r="C882" t="s">
        <v>45</v>
      </c>
      <c r="D882">
        <v>104.38</v>
      </c>
      <c r="E882">
        <v>375</v>
      </c>
      <c r="F882">
        <v>262.5</v>
      </c>
      <c r="G882">
        <v>325</v>
      </c>
      <c r="H882">
        <v>962.5</v>
      </c>
      <c r="I882">
        <v>2013</v>
      </c>
      <c r="J882" t="s">
        <v>29</v>
      </c>
      <c r="K882" t="s">
        <v>171</v>
      </c>
      <c r="L882" s="8">
        <f t="shared" si="14"/>
        <v>0.7</v>
      </c>
    </row>
    <row r="883" spans="1:12">
      <c r="A883" t="s">
        <v>845</v>
      </c>
      <c r="B883">
        <v>1990</v>
      </c>
      <c r="C883" t="s">
        <v>39</v>
      </c>
      <c r="D883">
        <v>112.68</v>
      </c>
      <c r="E883">
        <v>400</v>
      </c>
      <c r="F883">
        <v>280</v>
      </c>
      <c r="G883">
        <v>350</v>
      </c>
      <c r="H883">
        <v>1030</v>
      </c>
      <c r="I883">
        <v>2014</v>
      </c>
      <c r="J883" t="s">
        <v>29</v>
      </c>
      <c r="K883" t="s">
        <v>171</v>
      </c>
      <c r="L883" s="8">
        <f t="shared" si="14"/>
        <v>0.7</v>
      </c>
    </row>
    <row r="884" spans="1:12">
      <c r="A884" t="s">
        <v>57</v>
      </c>
      <c r="B884">
        <v>1982</v>
      </c>
      <c r="C884" t="s">
        <v>28</v>
      </c>
      <c r="D884">
        <v>57.6</v>
      </c>
      <c r="E884">
        <v>285</v>
      </c>
      <c r="F884">
        <v>200</v>
      </c>
      <c r="G884">
        <v>260</v>
      </c>
      <c r="H884">
        <v>745</v>
      </c>
      <c r="I884">
        <v>2015</v>
      </c>
      <c r="J884" t="s">
        <v>29</v>
      </c>
      <c r="K884" t="s">
        <v>171</v>
      </c>
      <c r="L884" s="8">
        <f t="shared" si="14"/>
        <v>0.70175438596491224</v>
      </c>
    </row>
    <row r="885" spans="1:12">
      <c r="A885" t="s">
        <v>408</v>
      </c>
      <c r="B885">
        <v>1975</v>
      </c>
      <c r="C885" t="s">
        <v>119</v>
      </c>
      <c r="D885">
        <v>92.59</v>
      </c>
      <c r="E885">
        <v>370</v>
      </c>
      <c r="F885">
        <v>260</v>
      </c>
      <c r="G885">
        <v>342.5</v>
      </c>
      <c r="H885">
        <v>972.5</v>
      </c>
      <c r="I885">
        <v>2015</v>
      </c>
      <c r="J885" t="s">
        <v>29</v>
      </c>
      <c r="K885" t="s">
        <v>171</v>
      </c>
      <c r="L885" s="8">
        <f t="shared" si="14"/>
        <v>0.70270270270270274</v>
      </c>
    </row>
    <row r="886" spans="1:12">
      <c r="A886" t="s">
        <v>722</v>
      </c>
      <c r="B886">
        <v>1989</v>
      </c>
      <c r="C886" t="s">
        <v>390</v>
      </c>
      <c r="D886">
        <v>133.69999999999999</v>
      </c>
      <c r="E886">
        <v>370</v>
      </c>
      <c r="F886">
        <v>260</v>
      </c>
      <c r="G886">
        <v>320</v>
      </c>
      <c r="H886">
        <v>950</v>
      </c>
      <c r="I886">
        <v>2015</v>
      </c>
      <c r="J886" t="s">
        <v>29</v>
      </c>
      <c r="K886" t="s">
        <v>171</v>
      </c>
      <c r="L886" s="8">
        <f t="shared" si="14"/>
        <v>0.70270270270270274</v>
      </c>
    </row>
    <row r="887" spans="1:12">
      <c r="A887" t="s">
        <v>605</v>
      </c>
      <c r="B887">
        <v>1981</v>
      </c>
      <c r="C887" t="s">
        <v>28</v>
      </c>
      <c r="D887">
        <v>103.62</v>
      </c>
      <c r="E887">
        <v>405</v>
      </c>
      <c r="F887">
        <v>285</v>
      </c>
      <c r="G887">
        <v>347.5</v>
      </c>
      <c r="H887">
        <v>1037.5</v>
      </c>
      <c r="I887">
        <v>2013</v>
      </c>
      <c r="J887" t="s">
        <v>29</v>
      </c>
      <c r="K887" t="s">
        <v>171</v>
      </c>
      <c r="L887" s="8">
        <f t="shared" si="14"/>
        <v>0.70370370370370372</v>
      </c>
    </row>
    <row r="888" spans="1:12">
      <c r="A888" t="s">
        <v>779</v>
      </c>
      <c r="B888">
        <v>1980</v>
      </c>
      <c r="C888" t="s">
        <v>72</v>
      </c>
      <c r="D888">
        <v>146.47</v>
      </c>
      <c r="E888">
        <v>440</v>
      </c>
      <c r="F888">
        <v>310</v>
      </c>
      <c r="G888">
        <v>320</v>
      </c>
      <c r="H888">
        <v>1070</v>
      </c>
      <c r="I888">
        <v>2012</v>
      </c>
      <c r="J888" t="s">
        <v>29</v>
      </c>
      <c r="K888" t="s">
        <v>171</v>
      </c>
      <c r="L888" s="8">
        <f t="shared" si="14"/>
        <v>0.70454545454545459</v>
      </c>
    </row>
    <row r="889" spans="1:12">
      <c r="A889" t="s">
        <v>514</v>
      </c>
      <c r="B889">
        <v>1991</v>
      </c>
      <c r="C889" t="s">
        <v>77</v>
      </c>
      <c r="D889">
        <v>91.91</v>
      </c>
      <c r="E889">
        <v>280</v>
      </c>
      <c r="F889">
        <v>197.5</v>
      </c>
      <c r="G889">
        <v>270</v>
      </c>
      <c r="H889">
        <v>747.5</v>
      </c>
      <c r="I889">
        <v>2013</v>
      </c>
      <c r="J889" t="s">
        <v>29</v>
      </c>
      <c r="K889" t="s">
        <v>171</v>
      </c>
      <c r="L889" s="8">
        <f t="shared" si="14"/>
        <v>0.7053571428571429</v>
      </c>
    </row>
    <row r="890" spans="1:12">
      <c r="A890" t="s">
        <v>389</v>
      </c>
      <c r="B890">
        <v>1978</v>
      </c>
      <c r="C890" t="s">
        <v>390</v>
      </c>
      <c r="D890">
        <v>119.05</v>
      </c>
      <c r="E890">
        <v>425</v>
      </c>
      <c r="F890">
        <v>300</v>
      </c>
      <c r="G890">
        <v>300</v>
      </c>
      <c r="H890">
        <v>1025</v>
      </c>
      <c r="I890">
        <v>2013</v>
      </c>
      <c r="J890" t="s">
        <v>29</v>
      </c>
      <c r="K890" t="s">
        <v>171</v>
      </c>
      <c r="L890" s="8">
        <f t="shared" si="14"/>
        <v>0.70588235294117652</v>
      </c>
    </row>
    <row r="891" spans="1:12">
      <c r="A891" t="s">
        <v>603</v>
      </c>
      <c r="B891">
        <v>1987</v>
      </c>
      <c r="C891" t="s">
        <v>125</v>
      </c>
      <c r="D891">
        <v>104.23</v>
      </c>
      <c r="E891">
        <v>357.5</v>
      </c>
      <c r="F891">
        <v>252.5</v>
      </c>
      <c r="G891">
        <v>305</v>
      </c>
      <c r="H891">
        <v>915</v>
      </c>
      <c r="I891">
        <v>2015</v>
      </c>
      <c r="J891" t="s">
        <v>29</v>
      </c>
      <c r="K891" t="s">
        <v>171</v>
      </c>
      <c r="L891" s="8">
        <f t="shared" si="14"/>
        <v>0.70629370629370625</v>
      </c>
    </row>
    <row r="892" spans="1:12">
      <c r="A892" t="s">
        <v>722</v>
      </c>
      <c r="B892">
        <v>1989</v>
      </c>
      <c r="C892" t="s">
        <v>390</v>
      </c>
      <c r="D892">
        <v>135.19999999999999</v>
      </c>
      <c r="E892">
        <v>357.5</v>
      </c>
      <c r="F892">
        <v>252.5</v>
      </c>
      <c r="G892">
        <v>305</v>
      </c>
      <c r="H892">
        <v>915</v>
      </c>
      <c r="I892">
        <v>2014</v>
      </c>
      <c r="J892" t="s">
        <v>29</v>
      </c>
      <c r="K892" t="s">
        <v>171</v>
      </c>
      <c r="L892" s="8">
        <f t="shared" si="14"/>
        <v>0.70629370629370625</v>
      </c>
    </row>
    <row r="893" spans="1:12">
      <c r="A893" t="s">
        <v>584</v>
      </c>
      <c r="B893">
        <v>1983</v>
      </c>
      <c r="C893" t="s">
        <v>125</v>
      </c>
      <c r="D893">
        <v>144.65</v>
      </c>
      <c r="E893">
        <v>375</v>
      </c>
      <c r="F893">
        <v>265</v>
      </c>
      <c r="G893">
        <v>345</v>
      </c>
      <c r="H893">
        <v>985</v>
      </c>
      <c r="I893">
        <v>2012</v>
      </c>
      <c r="J893" t="s">
        <v>29</v>
      </c>
      <c r="K893" t="s">
        <v>171</v>
      </c>
      <c r="L893" s="8">
        <f t="shared" si="14"/>
        <v>0.70666666666666667</v>
      </c>
    </row>
    <row r="894" spans="1:12">
      <c r="A894" t="s">
        <v>518</v>
      </c>
      <c r="B894">
        <v>1982</v>
      </c>
      <c r="C894" t="s">
        <v>239</v>
      </c>
      <c r="D894">
        <v>104.27</v>
      </c>
      <c r="E894">
        <v>350</v>
      </c>
      <c r="F894">
        <v>247.5</v>
      </c>
      <c r="G894">
        <v>330</v>
      </c>
      <c r="H894">
        <v>927.5</v>
      </c>
      <c r="I894">
        <v>2013</v>
      </c>
      <c r="J894" t="s">
        <v>29</v>
      </c>
      <c r="K894" t="s">
        <v>171</v>
      </c>
      <c r="L894" s="8">
        <f t="shared" si="14"/>
        <v>0.70714285714285718</v>
      </c>
    </row>
    <row r="895" spans="1:12">
      <c r="A895" t="s">
        <v>375</v>
      </c>
      <c r="B895">
        <v>1989</v>
      </c>
      <c r="C895" t="s">
        <v>119</v>
      </c>
      <c r="D895">
        <v>73.73</v>
      </c>
      <c r="E895">
        <v>325</v>
      </c>
      <c r="F895">
        <v>230</v>
      </c>
      <c r="G895">
        <v>277.5</v>
      </c>
      <c r="H895">
        <v>832.5</v>
      </c>
      <c r="I895">
        <v>2015</v>
      </c>
      <c r="J895" t="s">
        <v>29</v>
      </c>
      <c r="K895" t="s">
        <v>171</v>
      </c>
      <c r="L895" s="8">
        <f t="shared" si="14"/>
        <v>0.70769230769230773</v>
      </c>
    </row>
    <row r="896" spans="1:12">
      <c r="A896" t="s">
        <v>824</v>
      </c>
      <c r="B896">
        <v>1981</v>
      </c>
      <c r="C896" t="s">
        <v>125</v>
      </c>
      <c r="D896">
        <v>82.8</v>
      </c>
      <c r="E896">
        <v>300</v>
      </c>
      <c r="F896">
        <v>212.5</v>
      </c>
      <c r="G896">
        <v>302.5</v>
      </c>
      <c r="H896">
        <v>815</v>
      </c>
      <c r="I896">
        <v>2013</v>
      </c>
      <c r="J896" t="s">
        <v>29</v>
      </c>
      <c r="K896" t="s">
        <v>171</v>
      </c>
      <c r="L896" s="8">
        <f t="shared" si="14"/>
        <v>0.70833333333333337</v>
      </c>
    </row>
    <row r="897" spans="1:12">
      <c r="A897" t="s">
        <v>167</v>
      </c>
      <c r="B897">
        <v>1978</v>
      </c>
      <c r="C897" t="s">
        <v>85</v>
      </c>
      <c r="D897">
        <v>58.46</v>
      </c>
      <c r="E897">
        <v>250</v>
      </c>
      <c r="F897">
        <v>177.5</v>
      </c>
      <c r="G897">
        <v>217.5</v>
      </c>
      <c r="H897">
        <v>645</v>
      </c>
      <c r="I897">
        <v>2014</v>
      </c>
      <c r="J897" t="s">
        <v>29</v>
      </c>
      <c r="K897" t="s">
        <v>171</v>
      </c>
      <c r="L897" s="8">
        <f t="shared" si="14"/>
        <v>0.71</v>
      </c>
    </row>
    <row r="898" spans="1:12">
      <c r="A898" t="s">
        <v>594</v>
      </c>
      <c r="B898">
        <v>1985</v>
      </c>
      <c r="C898" t="s">
        <v>54</v>
      </c>
      <c r="D898">
        <v>119.64</v>
      </c>
      <c r="E898">
        <v>362.5</v>
      </c>
      <c r="F898">
        <v>257.5</v>
      </c>
      <c r="G898">
        <v>295</v>
      </c>
      <c r="H898">
        <v>915</v>
      </c>
      <c r="I898">
        <v>2014</v>
      </c>
      <c r="J898" t="s">
        <v>29</v>
      </c>
      <c r="K898" t="s">
        <v>171</v>
      </c>
      <c r="L898" s="8">
        <f t="shared" si="14"/>
        <v>0.71034482758620687</v>
      </c>
    </row>
    <row r="899" spans="1:12">
      <c r="A899" t="s">
        <v>673</v>
      </c>
      <c r="B899">
        <v>1977</v>
      </c>
      <c r="C899" t="s">
        <v>336</v>
      </c>
      <c r="D899">
        <v>125.2</v>
      </c>
      <c r="E899">
        <v>337.5</v>
      </c>
      <c r="F899">
        <v>240</v>
      </c>
      <c r="G899">
        <v>310</v>
      </c>
      <c r="H899">
        <v>887.5</v>
      </c>
      <c r="I899">
        <v>2013</v>
      </c>
      <c r="J899" t="s">
        <v>29</v>
      </c>
      <c r="K899" t="s">
        <v>171</v>
      </c>
      <c r="L899" s="8">
        <f t="shared" si="14"/>
        <v>0.71111111111111114</v>
      </c>
    </row>
    <row r="900" spans="1:12">
      <c r="A900" t="s">
        <v>648</v>
      </c>
      <c r="B900">
        <v>1987</v>
      </c>
      <c r="C900" t="s">
        <v>464</v>
      </c>
      <c r="D900">
        <v>103.93</v>
      </c>
      <c r="E900">
        <v>355</v>
      </c>
      <c r="F900">
        <v>252.5</v>
      </c>
      <c r="G900">
        <v>332.5</v>
      </c>
      <c r="H900">
        <v>940</v>
      </c>
      <c r="I900">
        <v>2012</v>
      </c>
      <c r="J900" t="s">
        <v>29</v>
      </c>
      <c r="K900" t="s">
        <v>171</v>
      </c>
      <c r="L900" s="8">
        <f t="shared" si="14"/>
        <v>0.71126760563380287</v>
      </c>
    </row>
    <row r="901" spans="1:12">
      <c r="A901" t="s">
        <v>557</v>
      </c>
      <c r="B901">
        <v>1972</v>
      </c>
      <c r="C901" t="s">
        <v>228</v>
      </c>
      <c r="D901">
        <v>119.82</v>
      </c>
      <c r="E901">
        <v>365</v>
      </c>
      <c r="F901">
        <v>260</v>
      </c>
      <c r="G901">
        <v>337.5</v>
      </c>
      <c r="H901">
        <v>962.5</v>
      </c>
      <c r="I901">
        <v>2014</v>
      </c>
      <c r="J901" t="s">
        <v>29</v>
      </c>
      <c r="K901" t="s">
        <v>171</v>
      </c>
      <c r="L901" s="8">
        <f t="shared" si="14"/>
        <v>0.71232876712328763</v>
      </c>
    </row>
    <row r="902" spans="1:12">
      <c r="A902" t="s">
        <v>635</v>
      </c>
      <c r="B902">
        <v>1987</v>
      </c>
      <c r="C902" t="s">
        <v>28</v>
      </c>
      <c r="D902">
        <v>92.72</v>
      </c>
      <c r="E902">
        <v>365</v>
      </c>
      <c r="F902">
        <v>260</v>
      </c>
      <c r="G902">
        <v>325</v>
      </c>
      <c r="H902">
        <v>950</v>
      </c>
      <c r="I902">
        <v>2014</v>
      </c>
      <c r="J902" t="s">
        <v>29</v>
      </c>
      <c r="K902" t="s">
        <v>171</v>
      </c>
      <c r="L902" s="8">
        <f t="shared" si="14"/>
        <v>0.71232876712328763</v>
      </c>
    </row>
    <row r="903" spans="1:12">
      <c r="A903" t="s">
        <v>778</v>
      </c>
      <c r="B903">
        <v>1972</v>
      </c>
      <c r="C903" t="s">
        <v>49</v>
      </c>
      <c r="D903">
        <v>155.6</v>
      </c>
      <c r="E903">
        <v>365</v>
      </c>
      <c r="F903">
        <v>260</v>
      </c>
      <c r="G903">
        <v>280</v>
      </c>
      <c r="H903">
        <v>905</v>
      </c>
      <c r="I903">
        <v>2013</v>
      </c>
      <c r="J903" t="s">
        <v>29</v>
      </c>
      <c r="K903" t="s">
        <v>171</v>
      </c>
      <c r="L903" s="8">
        <f t="shared" si="14"/>
        <v>0.71232876712328763</v>
      </c>
    </row>
    <row r="904" spans="1:12">
      <c r="A904" t="s">
        <v>724</v>
      </c>
      <c r="B904">
        <v>1959</v>
      </c>
      <c r="C904" t="s">
        <v>336</v>
      </c>
      <c r="D904">
        <v>65.010000000000005</v>
      </c>
      <c r="E904">
        <v>200</v>
      </c>
      <c r="F904">
        <v>142.5</v>
      </c>
      <c r="G904">
        <v>200</v>
      </c>
      <c r="H904">
        <v>542.5</v>
      </c>
      <c r="I904">
        <v>2012</v>
      </c>
      <c r="J904" t="s">
        <v>29</v>
      </c>
      <c r="K904" t="s">
        <v>171</v>
      </c>
      <c r="L904" s="8">
        <f t="shared" si="14"/>
        <v>0.71250000000000002</v>
      </c>
    </row>
    <row r="905" spans="1:12">
      <c r="A905" t="s">
        <v>428</v>
      </c>
      <c r="B905">
        <v>1990</v>
      </c>
      <c r="C905" t="s">
        <v>45</v>
      </c>
      <c r="D905">
        <v>168.02</v>
      </c>
      <c r="E905">
        <v>490</v>
      </c>
      <c r="F905">
        <v>350</v>
      </c>
      <c r="G905">
        <v>390</v>
      </c>
      <c r="H905">
        <v>1230</v>
      </c>
      <c r="I905">
        <v>2014</v>
      </c>
      <c r="J905" t="s">
        <v>29</v>
      </c>
      <c r="K905" t="s">
        <v>171</v>
      </c>
      <c r="L905" s="8">
        <f t="shared" si="14"/>
        <v>0.7142857142857143</v>
      </c>
    </row>
    <row r="906" spans="1:12">
      <c r="A906" t="s">
        <v>728</v>
      </c>
      <c r="B906">
        <v>1981</v>
      </c>
      <c r="C906" t="s">
        <v>119</v>
      </c>
      <c r="D906">
        <v>119.5</v>
      </c>
      <c r="E906">
        <v>412.5</v>
      </c>
      <c r="F906">
        <v>295</v>
      </c>
      <c r="G906">
        <v>367.5</v>
      </c>
      <c r="H906">
        <v>1075</v>
      </c>
      <c r="I906">
        <v>2013</v>
      </c>
      <c r="J906" t="s">
        <v>29</v>
      </c>
      <c r="K906" t="s">
        <v>171</v>
      </c>
      <c r="L906" s="8">
        <f t="shared" si="14"/>
        <v>0.7151515151515152</v>
      </c>
    </row>
    <row r="907" spans="1:12">
      <c r="A907" t="s">
        <v>371</v>
      </c>
      <c r="B907">
        <v>1988</v>
      </c>
      <c r="C907" t="s">
        <v>45</v>
      </c>
      <c r="D907">
        <v>82</v>
      </c>
      <c r="E907">
        <v>342.5</v>
      </c>
      <c r="F907">
        <v>245</v>
      </c>
      <c r="G907">
        <v>312.5</v>
      </c>
      <c r="H907">
        <v>900</v>
      </c>
      <c r="I907">
        <v>2012</v>
      </c>
      <c r="J907" t="s">
        <v>29</v>
      </c>
      <c r="K907" t="s">
        <v>171</v>
      </c>
      <c r="L907" s="8">
        <f t="shared" si="14"/>
        <v>0.71532846715328469</v>
      </c>
    </row>
    <row r="908" spans="1:12">
      <c r="A908" t="s">
        <v>690</v>
      </c>
      <c r="B908">
        <v>1980</v>
      </c>
      <c r="C908" t="s">
        <v>77</v>
      </c>
      <c r="D908">
        <v>73.44</v>
      </c>
      <c r="E908">
        <v>290</v>
      </c>
      <c r="F908">
        <v>207.5</v>
      </c>
      <c r="G908">
        <v>250</v>
      </c>
      <c r="H908">
        <v>747.5</v>
      </c>
      <c r="I908">
        <v>2014</v>
      </c>
      <c r="J908" t="s">
        <v>29</v>
      </c>
      <c r="K908" t="s">
        <v>171</v>
      </c>
      <c r="L908" s="8">
        <f t="shared" si="14"/>
        <v>0.71551724137931039</v>
      </c>
    </row>
    <row r="909" spans="1:12">
      <c r="A909" t="s">
        <v>371</v>
      </c>
      <c r="B909">
        <v>1988</v>
      </c>
      <c r="C909" t="s">
        <v>45</v>
      </c>
      <c r="D909">
        <v>82.58</v>
      </c>
      <c r="E909">
        <v>352.5</v>
      </c>
      <c r="F909">
        <v>252.5</v>
      </c>
      <c r="G909">
        <v>337.5</v>
      </c>
      <c r="H909">
        <v>942.5</v>
      </c>
      <c r="I909">
        <v>2013</v>
      </c>
      <c r="J909" t="s">
        <v>29</v>
      </c>
      <c r="K909" t="s">
        <v>171</v>
      </c>
      <c r="L909" s="8">
        <f t="shared" si="14"/>
        <v>0.71631205673758869</v>
      </c>
    </row>
    <row r="910" spans="1:12">
      <c r="A910" t="s">
        <v>780</v>
      </c>
      <c r="B910">
        <v>1974</v>
      </c>
      <c r="C910" t="s">
        <v>72</v>
      </c>
      <c r="D910">
        <v>96</v>
      </c>
      <c r="E910">
        <v>300</v>
      </c>
      <c r="F910">
        <v>215</v>
      </c>
      <c r="G910">
        <v>290</v>
      </c>
      <c r="H910">
        <v>805</v>
      </c>
      <c r="I910">
        <v>2012</v>
      </c>
      <c r="J910" t="s">
        <v>29</v>
      </c>
      <c r="K910" t="s">
        <v>171</v>
      </c>
      <c r="L910" s="8">
        <f t="shared" si="14"/>
        <v>0.71666666666666667</v>
      </c>
    </row>
    <row r="911" spans="1:12">
      <c r="A911" t="s">
        <v>392</v>
      </c>
      <c r="B911">
        <v>1990</v>
      </c>
      <c r="C911" t="s">
        <v>119</v>
      </c>
      <c r="D911">
        <v>92.52</v>
      </c>
      <c r="E911">
        <v>362.5</v>
      </c>
      <c r="F911">
        <v>260</v>
      </c>
      <c r="G911">
        <v>322.5</v>
      </c>
      <c r="H911">
        <v>945</v>
      </c>
      <c r="I911">
        <v>2012</v>
      </c>
      <c r="J911" t="s">
        <v>29</v>
      </c>
      <c r="K911" t="s">
        <v>171</v>
      </c>
      <c r="L911" s="8">
        <f t="shared" si="14"/>
        <v>0.71724137931034482</v>
      </c>
    </row>
    <row r="912" spans="1:12">
      <c r="A912" t="s">
        <v>447</v>
      </c>
      <c r="B912">
        <v>1988</v>
      </c>
      <c r="C912" t="s">
        <v>62</v>
      </c>
      <c r="D912">
        <v>73.72</v>
      </c>
      <c r="E912">
        <v>310</v>
      </c>
      <c r="F912">
        <v>222.5</v>
      </c>
      <c r="G912">
        <v>295</v>
      </c>
      <c r="H912">
        <v>827.5</v>
      </c>
      <c r="I912">
        <v>2012</v>
      </c>
      <c r="J912" t="s">
        <v>29</v>
      </c>
      <c r="K912" t="s">
        <v>171</v>
      </c>
      <c r="L912" s="8">
        <f t="shared" si="14"/>
        <v>0.717741935483871</v>
      </c>
    </row>
    <row r="913" spans="1:12">
      <c r="A913" t="s">
        <v>384</v>
      </c>
      <c r="B913">
        <v>1984</v>
      </c>
      <c r="C913" t="s">
        <v>137</v>
      </c>
      <c r="D913">
        <v>104.48</v>
      </c>
      <c r="E913">
        <v>365</v>
      </c>
      <c r="F913">
        <v>262.5</v>
      </c>
      <c r="G913">
        <v>360</v>
      </c>
      <c r="H913">
        <v>987.5</v>
      </c>
      <c r="I913">
        <v>2014</v>
      </c>
      <c r="J913" t="s">
        <v>29</v>
      </c>
      <c r="K913" t="s">
        <v>171</v>
      </c>
      <c r="L913" s="8">
        <f t="shared" si="14"/>
        <v>0.71917808219178081</v>
      </c>
    </row>
    <row r="914" spans="1:12">
      <c r="A914" t="s">
        <v>788</v>
      </c>
      <c r="B914">
        <v>1987</v>
      </c>
      <c r="C914" t="s">
        <v>119</v>
      </c>
      <c r="D914">
        <v>160.06</v>
      </c>
      <c r="E914">
        <v>442.5</v>
      </c>
      <c r="F914">
        <v>320</v>
      </c>
      <c r="G914">
        <v>330</v>
      </c>
      <c r="H914">
        <v>1092.5</v>
      </c>
      <c r="I914">
        <v>2012</v>
      </c>
      <c r="J914" t="s">
        <v>29</v>
      </c>
      <c r="K914" t="s">
        <v>171</v>
      </c>
      <c r="L914" s="8">
        <f t="shared" si="14"/>
        <v>0.7231638418079096</v>
      </c>
    </row>
    <row r="915" spans="1:12">
      <c r="A915" t="s">
        <v>744</v>
      </c>
      <c r="B915">
        <v>1984</v>
      </c>
      <c r="C915" t="s">
        <v>352</v>
      </c>
      <c r="D915">
        <v>92.66</v>
      </c>
      <c r="E915">
        <v>352.5</v>
      </c>
      <c r="F915">
        <v>255</v>
      </c>
      <c r="G915">
        <v>337.5</v>
      </c>
      <c r="H915">
        <v>945</v>
      </c>
      <c r="I915">
        <v>2012</v>
      </c>
      <c r="J915" t="s">
        <v>29</v>
      </c>
      <c r="K915" t="s">
        <v>171</v>
      </c>
      <c r="L915" s="8">
        <f t="shared" si="14"/>
        <v>0.72340425531914898</v>
      </c>
    </row>
    <row r="916" spans="1:12">
      <c r="A916" t="s">
        <v>695</v>
      </c>
      <c r="B916">
        <v>1982</v>
      </c>
      <c r="C916" t="s">
        <v>51</v>
      </c>
      <c r="D916">
        <v>91.83</v>
      </c>
      <c r="E916">
        <v>362.5</v>
      </c>
      <c r="F916">
        <v>262.5</v>
      </c>
      <c r="G916">
        <v>292.5</v>
      </c>
      <c r="H916">
        <v>917.5</v>
      </c>
      <c r="I916">
        <v>2015</v>
      </c>
      <c r="J916" t="s">
        <v>29</v>
      </c>
      <c r="K916" t="s">
        <v>171</v>
      </c>
      <c r="L916" s="8">
        <f t="shared" si="14"/>
        <v>0.72413793103448276</v>
      </c>
    </row>
    <row r="917" spans="1:12">
      <c r="A917" t="s">
        <v>722</v>
      </c>
      <c r="B917">
        <v>1989</v>
      </c>
      <c r="C917" t="s">
        <v>390</v>
      </c>
      <c r="D917">
        <v>135.4</v>
      </c>
      <c r="E917">
        <v>345</v>
      </c>
      <c r="F917">
        <v>250</v>
      </c>
      <c r="G917">
        <v>270</v>
      </c>
      <c r="H917">
        <v>865</v>
      </c>
      <c r="I917">
        <v>2013</v>
      </c>
      <c r="J917" t="s">
        <v>29</v>
      </c>
      <c r="K917" t="s">
        <v>171</v>
      </c>
      <c r="L917" s="8">
        <f t="shared" si="14"/>
        <v>0.72463768115942029</v>
      </c>
    </row>
    <row r="918" spans="1:12">
      <c r="A918" t="s">
        <v>733</v>
      </c>
      <c r="B918">
        <v>1982</v>
      </c>
      <c r="C918" t="s">
        <v>119</v>
      </c>
      <c r="D918">
        <v>82.98</v>
      </c>
      <c r="E918">
        <v>345</v>
      </c>
      <c r="F918">
        <v>250</v>
      </c>
      <c r="G918">
        <v>322.5</v>
      </c>
      <c r="H918">
        <v>917.5</v>
      </c>
      <c r="I918">
        <v>2014</v>
      </c>
      <c r="J918" t="s">
        <v>29</v>
      </c>
      <c r="K918" t="s">
        <v>171</v>
      </c>
      <c r="L918" s="8">
        <f t="shared" si="14"/>
        <v>0.72463768115942029</v>
      </c>
    </row>
    <row r="919" spans="1:12">
      <c r="A919" t="s">
        <v>723</v>
      </c>
      <c r="B919">
        <v>1982</v>
      </c>
      <c r="C919" t="s">
        <v>336</v>
      </c>
      <c r="D919">
        <v>119.2</v>
      </c>
      <c r="E919">
        <v>355</v>
      </c>
      <c r="F919">
        <v>257.5</v>
      </c>
      <c r="G919">
        <v>300</v>
      </c>
      <c r="H919">
        <v>912.5</v>
      </c>
      <c r="I919">
        <v>2013</v>
      </c>
      <c r="J919" t="s">
        <v>29</v>
      </c>
      <c r="K919" t="s">
        <v>171</v>
      </c>
      <c r="L919" s="8">
        <f t="shared" ref="L919:L982" si="15">IF(AND(F919&lt;&gt;0,E919&lt;&gt;0),F919/E919,"")</f>
        <v>0.72535211267605637</v>
      </c>
    </row>
    <row r="920" spans="1:12">
      <c r="A920" t="s">
        <v>362</v>
      </c>
      <c r="B920">
        <v>1978</v>
      </c>
      <c r="C920" t="s">
        <v>77</v>
      </c>
      <c r="D920">
        <v>87.76</v>
      </c>
      <c r="E920">
        <v>310</v>
      </c>
      <c r="F920">
        <v>225</v>
      </c>
      <c r="G920">
        <v>290</v>
      </c>
      <c r="H920">
        <v>825</v>
      </c>
      <c r="I920">
        <v>2012</v>
      </c>
      <c r="J920" t="s">
        <v>29</v>
      </c>
      <c r="K920" t="s">
        <v>171</v>
      </c>
      <c r="L920" s="8">
        <f t="shared" si="15"/>
        <v>0.72580645161290325</v>
      </c>
    </row>
    <row r="921" spans="1:12">
      <c r="A921" t="s">
        <v>723</v>
      </c>
      <c r="B921">
        <v>1982</v>
      </c>
      <c r="C921" t="s">
        <v>336</v>
      </c>
      <c r="D921">
        <v>118.62</v>
      </c>
      <c r="E921">
        <v>375</v>
      </c>
      <c r="F921">
        <v>272.5</v>
      </c>
      <c r="G921">
        <v>307.5</v>
      </c>
      <c r="H921">
        <v>955</v>
      </c>
      <c r="I921">
        <v>2014</v>
      </c>
      <c r="J921" t="s">
        <v>29</v>
      </c>
      <c r="K921" t="s">
        <v>171</v>
      </c>
      <c r="L921" s="8">
        <f t="shared" si="15"/>
        <v>0.72666666666666668</v>
      </c>
    </row>
    <row r="922" spans="1:12">
      <c r="A922" t="s">
        <v>161</v>
      </c>
      <c r="B922">
        <v>1988</v>
      </c>
      <c r="C922" t="s">
        <v>45</v>
      </c>
      <c r="D922">
        <v>104.38</v>
      </c>
      <c r="E922">
        <v>375</v>
      </c>
      <c r="F922">
        <v>272.5</v>
      </c>
      <c r="G922">
        <v>350</v>
      </c>
      <c r="H922">
        <v>997.5</v>
      </c>
      <c r="I922">
        <v>2014</v>
      </c>
      <c r="J922" t="s">
        <v>29</v>
      </c>
      <c r="K922" t="s">
        <v>171</v>
      </c>
      <c r="L922" s="8">
        <f t="shared" si="15"/>
        <v>0.72666666666666668</v>
      </c>
    </row>
    <row r="923" spans="1:12">
      <c r="A923" t="s">
        <v>360</v>
      </c>
      <c r="B923">
        <v>1993</v>
      </c>
      <c r="C923" t="s">
        <v>39</v>
      </c>
      <c r="D923">
        <v>82.48</v>
      </c>
      <c r="E923">
        <v>330</v>
      </c>
      <c r="F923">
        <v>240</v>
      </c>
      <c r="G923">
        <v>330</v>
      </c>
      <c r="H923">
        <v>900</v>
      </c>
      <c r="I923">
        <v>2014</v>
      </c>
      <c r="J923" t="s">
        <v>29</v>
      </c>
      <c r="K923" t="s">
        <v>171</v>
      </c>
      <c r="L923" s="8">
        <f t="shared" si="15"/>
        <v>0.72727272727272729</v>
      </c>
    </row>
    <row r="924" spans="1:12">
      <c r="A924" t="s">
        <v>570</v>
      </c>
      <c r="B924">
        <v>1984</v>
      </c>
      <c r="C924" t="s">
        <v>119</v>
      </c>
      <c r="D924">
        <v>118.92</v>
      </c>
      <c r="E924">
        <v>405</v>
      </c>
      <c r="F924">
        <v>295</v>
      </c>
      <c r="G924">
        <v>332.5</v>
      </c>
      <c r="H924">
        <v>1032.5</v>
      </c>
      <c r="I924">
        <v>2012</v>
      </c>
      <c r="J924" t="s">
        <v>29</v>
      </c>
      <c r="K924" t="s">
        <v>171</v>
      </c>
      <c r="L924" s="8">
        <f t="shared" si="15"/>
        <v>0.72839506172839508</v>
      </c>
    </row>
    <row r="925" spans="1:12">
      <c r="A925" t="s">
        <v>392</v>
      </c>
      <c r="B925">
        <v>1990</v>
      </c>
      <c r="C925" t="s">
        <v>119</v>
      </c>
      <c r="D925">
        <v>92.6</v>
      </c>
      <c r="E925">
        <v>377.5</v>
      </c>
      <c r="F925">
        <v>275</v>
      </c>
      <c r="G925">
        <v>337.5</v>
      </c>
      <c r="H925">
        <v>990</v>
      </c>
      <c r="I925">
        <v>2014</v>
      </c>
      <c r="J925" t="s">
        <v>29</v>
      </c>
      <c r="K925" t="s">
        <v>171</v>
      </c>
      <c r="L925" s="8">
        <f t="shared" si="15"/>
        <v>0.72847682119205293</v>
      </c>
    </row>
    <row r="926" spans="1:12">
      <c r="A926" t="s">
        <v>817</v>
      </c>
      <c r="B926">
        <v>1985</v>
      </c>
      <c r="C926" t="s">
        <v>28</v>
      </c>
      <c r="D926">
        <v>82.94</v>
      </c>
      <c r="E926">
        <v>350</v>
      </c>
      <c r="F926">
        <v>255</v>
      </c>
      <c r="G926">
        <v>0</v>
      </c>
      <c r="H926">
        <v>0</v>
      </c>
      <c r="I926">
        <v>2014</v>
      </c>
      <c r="J926" t="s">
        <v>29</v>
      </c>
      <c r="K926" t="s">
        <v>171</v>
      </c>
      <c r="L926" s="8">
        <f t="shared" si="15"/>
        <v>0.72857142857142854</v>
      </c>
    </row>
    <row r="927" spans="1:12">
      <c r="A927" t="s">
        <v>484</v>
      </c>
      <c r="B927">
        <v>1975</v>
      </c>
      <c r="C927" t="s">
        <v>485</v>
      </c>
      <c r="D927">
        <v>90.82</v>
      </c>
      <c r="E927">
        <v>295</v>
      </c>
      <c r="F927">
        <v>215</v>
      </c>
      <c r="G927">
        <v>280</v>
      </c>
      <c r="H927">
        <v>790</v>
      </c>
      <c r="I927">
        <v>2012</v>
      </c>
      <c r="J927" t="s">
        <v>29</v>
      </c>
      <c r="K927" t="s">
        <v>171</v>
      </c>
      <c r="L927" s="8">
        <f t="shared" si="15"/>
        <v>0.72881355932203384</v>
      </c>
    </row>
    <row r="928" spans="1:12">
      <c r="A928" t="s">
        <v>104</v>
      </c>
      <c r="B928">
        <v>1986</v>
      </c>
      <c r="C928" t="s">
        <v>39</v>
      </c>
      <c r="D928">
        <v>103.65</v>
      </c>
      <c r="E928">
        <v>380</v>
      </c>
      <c r="F928">
        <v>277.5</v>
      </c>
      <c r="G928">
        <v>325</v>
      </c>
      <c r="H928">
        <v>982.5</v>
      </c>
      <c r="I928">
        <v>2015</v>
      </c>
      <c r="J928" t="s">
        <v>29</v>
      </c>
      <c r="K928" t="s">
        <v>171</v>
      </c>
      <c r="L928" s="8">
        <f t="shared" si="15"/>
        <v>0.73026315789473684</v>
      </c>
    </row>
    <row r="929" spans="1:12">
      <c r="A929" t="s">
        <v>701</v>
      </c>
      <c r="B929">
        <v>1985</v>
      </c>
      <c r="C929" t="s">
        <v>62</v>
      </c>
      <c r="D929">
        <v>73</v>
      </c>
      <c r="E929">
        <v>280</v>
      </c>
      <c r="F929">
        <v>205</v>
      </c>
      <c r="G929">
        <v>232.5</v>
      </c>
      <c r="H929">
        <v>717.5</v>
      </c>
      <c r="I929">
        <v>2015</v>
      </c>
      <c r="J929" t="s">
        <v>29</v>
      </c>
      <c r="K929" t="s">
        <v>171</v>
      </c>
      <c r="L929" s="8">
        <f t="shared" si="15"/>
        <v>0.7321428571428571</v>
      </c>
    </row>
    <row r="930" spans="1:12">
      <c r="A930" t="s">
        <v>627</v>
      </c>
      <c r="B930">
        <v>1975</v>
      </c>
      <c r="C930" t="s">
        <v>62</v>
      </c>
      <c r="D930">
        <v>119.74</v>
      </c>
      <c r="E930">
        <v>392.5</v>
      </c>
      <c r="F930">
        <v>287.5</v>
      </c>
      <c r="G930">
        <v>305</v>
      </c>
      <c r="H930">
        <v>985</v>
      </c>
      <c r="I930">
        <v>2012</v>
      </c>
      <c r="J930" t="s">
        <v>29</v>
      </c>
      <c r="K930" t="s">
        <v>171</v>
      </c>
      <c r="L930" s="8">
        <f t="shared" si="15"/>
        <v>0.73248407643312097</v>
      </c>
    </row>
    <row r="931" spans="1:12">
      <c r="A931" t="s">
        <v>652</v>
      </c>
      <c r="B931">
        <v>1978</v>
      </c>
      <c r="C931" t="s">
        <v>653</v>
      </c>
      <c r="D931">
        <v>82.07</v>
      </c>
      <c r="E931">
        <v>300</v>
      </c>
      <c r="F931">
        <v>220</v>
      </c>
      <c r="G931">
        <v>330</v>
      </c>
      <c r="H931">
        <v>850</v>
      </c>
      <c r="I931">
        <v>2012</v>
      </c>
      <c r="J931" t="s">
        <v>29</v>
      </c>
      <c r="K931" t="s">
        <v>171</v>
      </c>
      <c r="L931" s="8">
        <f t="shared" si="15"/>
        <v>0.73333333333333328</v>
      </c>
    </row>
    <row r="932" spans="1:12">
      <c r="A932" t="s">
        <v>657</v>
      </c>
      <c r="B932">
        <v>1981</v>
      </c>
      <c r="C932" t="s">
        <v>51</v>
      </c>
      <c r="D932">
        <v>72.45</v>
      </c>
      <c r="E932">
        <v>225</v>
      </c>
      <c r="F932">
        <v>165</v>
      </c>
      <c r="G932">
        <v>215</v>
      </c>
      <c r="H932">
        <v>605</v>
      </c>
      <c r="I932">
        <v>2015</v>
      </c>
      <c r="J932" t="s">
        <v>29</v>
      </c>
      <c r="K932" t="s">
        <v>171</v>
      </c>
      <c r="L932" s="8">
        <f t="shared" si="15"/>
        <v>0.73333333333333328</v>
      </c>
    </row>
    <row r="933" spans="1:12">
      <c r="A933" t="s">
        <v>811</v>
      </c>
      <c r="B933">
        <v>1981</v>
      </c>
      <c r="C933" t="s">
        <v>318</v>
      </c>
      <c r="D933">
        <v>104.02</v>
      </c>
      <c r="E933">
        <v>310</v>
      </c>
      <c r="F933">
        <v>227.5</v>
      </c>
      <c r="G933">
        <v>272.5</v>
      </c>
      <c r="H933">
        <v>810</v>
      </c>
      <c r="I933">
        <v>2013</v>
      </c>
      <c r="J933" t="s">
        <v>29</v>
      </c>
      <c r="K933" t="s">
        <v>171</v>
      </c>
      <c r="L933" s="8">
        <f t="shared" si="15"/>
        <v>0.7338709677419355</v>
      </c>
    </row>
    <row r="934" spans="1:12">
      <c r="A934" t="s">
        <v>605</v>
      </c>
      <c r="B934">
        <v>1981</v>
      </c>
      <c r="C934" t="s">
        <v>28</v>
      </c>
      <c r="D934">
        <v>104.14</v>
      </c>
      <c r="E934">
        <v>395</v>
      </c>
      <c r="F934">
        <v>290</v>
      </c>
      <c r="G934">
        <v>347.5</v>
      </c>
      <c r="H934">
        <v>1032.5</v>
      </c>
      <c r="I934">
        <v>2014</v>
      </c>
      <c r="J934" t="s">
        <v>29</v>
      </c>
      <c r="K934" t="s">
        <v>171</v>
      </c>
      <c r="L934" s="8">
        <f t="shared" si="15"/>
        <v>0.73417721518987344</v>
      </c>
    </row>
    <row r="935" spans="1:12">
      <c r="A935" t="s">
        <v>476</v>
      </c>
      <c r="B935">
        <v>1982</v>
      </c>
      <c r="C935" t="s">
        <v>113</v>
      </c>
      <c r="D935">
        <v>135.1</v>
      </c>
      <c r="E935">
        <v>340</v>
      </c>
      <c r="F935">
        <v>250</v>
      </c>
      <c r="G935">
        <v>300</v>
      </c>
      <c r="H935">
        <v>890</v>
      </c>
      <c r="I935">
        <v>2014</v>
      </c>
      <c r="J935" t="s">
        <v>29</v>
      </c>
      <c r="K935" t="s">
        <v>171</v>
      </c>
      <c r="L935" s="8">
        <f t="shared" si="15"/>
        <v>0.73529411764705888</v>
      </c>
    </row>
    <row r="936" spans="1:12">
      <c r="A936" t="s">
        <v>593</v>
      </c>
      <c r="B936">
        <v>1985</v>
      </c>
      <c r="C936" t="s">
        <v>54</v>
      </c>
      <c r="D936">
        <v>119.66</v>
      </c>
      <c r="E936">
        <v>340</v>
      </c>
      <c r="F936">
        <v>250</v>
      </c>
      <c r="G936">
        <v>315</v>
      </c>
      <c r="H936">
        <v>905</v>
      </c>
      <c r="I936">
        <v>2013</v>
      </c>
      <c r="J936" t="s">
        <v>29</v>
      </c>
      <c r="K936" t="s">
        <v>171</v>
      </c>
      <c r="L936" s="8">
        <f t="shared" si="15"/>
        <v>0.73529411764705888</v>
      </c>
    </row>
    <row r="937" spans="1:12">
      <c r="A937" t="s">
        <v>392</v>
      </c>
      <c r="B937">
        <v>1990</v>
      </c>
      <c r="C937" t="s">
        <v>119</v>
      </c>
      <c r="D937">
        <v>92.15</v>
      </c>
      <c r="E937">
        <v>387.5</v>
      </c>
      <c r="F937">
        <v>285</v>
      </c>
      <c r="G937">
        <v>350</v>
      </c>
      <c r="H937">
        <v>1022.5</v>
      </c>
      <c r="I937">
        <v>2015</v>
      </c>
      <c r="J937" t="s">
        <v>29</v>
      </c>
      <c r="K937" t="s">
        <v>171</v>
      </c>
      <c r="L937" s="8">
        <f t="shared" si="15"/>
        <v>0.73548387096774193</v>
      </c>
    </row>
    <row r="938" spans="1:12">
      <c r="A938" t="s">
        <v>358</v>
      </c>
      <c r="B938">
        <v>1991</v>
      </c>
      <c r="C938" t="s">
        <v>359</v>
      </c>
      <c r="D938">
        <v>82.12</v>
      </c>
      <c r="E938">
        <v>265</v>
      </c>
      <c r="F938">
        <v>195</v>
      </c>
      <c r="G938">
        <v>250</v>
      </c>
      <c r="H938">
        <v>710</v>
      </c>
      <c r="I938">
        <v>2013</v>
      </c>
      <c r="J938" t="s">
        <v>29</v>
      </c>
      <c r="K938" t="s">
        <v>171</v>
      </c>
      <c r="L938" s="8">
        <f t="shared" si="15"/>
        <v>0.73584905660377353</v>
      </c>
    </row>
    <row r="939" spans="1:12">
      <c r="A939" t="s">
        <v>825</v>
      </c>
      <c r="B939">
        <v>1976</v>
      </c>
      <c r="C939" t="s">
        <v>62</v>
      </c>
      <c r="D939">
        <v>73.8</v>
      </c>
      <c r="E939">
        <v>275</v>
      </c>
      <c r="F939">
        <v>202.5</v>
      </c>
      <c r="G939">
        <v>307.5</v>
      </c>
      <c r="H939">
        <v>785</v>
      </c>
      <c r="I939">
        <v>2014</v>
      </c>
      <c r="J939" t="s">
        <v>29</v>
      </c>
      <c r="K939" t="s">
        <v>171</v>
      </c>
      <c r="L939" s="8">
        <f t="shared" si="15"/>
        <v>0.73636363636363633</v>
      </c>
    </row>
    <row r="940" spans="1:12">
      <c r="A940" t="s">
        <v>551</v>
      </c>
      <c r="B940">
        <v>1985</v>
      </c>
      <c r="C940" t="s">
        <v>109</v>
      </c>
      <c r="D940">
        <v>92.58</v>
      </c>
      <c r="E940">
        <v>322.5</v>
      </c>
      <c r="F940">
        <v>237.5</v>
      </c>
      <c r="G940">
        <v>302.5</v>
      </c>
      <c r="H940">
        <v>862.5</v>
      </c>
      <c r="I940">
        <v>2014</v>
      </c>
      <c r="J940" t="s">
        <v>29</v>
      </c>
      <c r="K940" t="s">
        <v>171</v>
      </c>
      <c r="L940" s="8">
        <f t="shared" si="15"/>
        <v>0.73643410852713176</v>
      </c>
    </row>
    <row r="941" spans="1:12">
      <c r="A941" t="s">
        <v>649</v>
      </c>
      <c r="B941">
        <v>1991</v>
      </c>
      <c r="C941" t="s">
        <v>62</v>
      </c>
      <c r="D941">
        <v>118.26</v>
      </c>
      <c r="E941">
        <v>370</v>
      </c>
      <c r="F941">
        <v>272.5</v>
      </c>
      <c r="G941">
        <v>315</v>
      </c>
      <c r="H941">
        <v>957.5</v>
      </c>
      <c r="I941">
        <v>2015</v>
      </c>
      <c r="J941" t="s">
        <v>29</v>
      </c>
      <c r="K941" t="s">
        <v>171</v>
      </c>
      <c r="L941" s="8">
        <f t="shared" si="15"/>
        <v>0.73648648648648651</v>
      </c>
    </row>
    <row r="942" spans="1:12">
      <c r="A942" t="s">
        <v>535</v>
      </c>
      <c r="B942">
        <v>1981</v>
      </c>
      <c r="C942" t="s">
        <v>74</v>
      </c>
      <c r="D942">
        <v>73.91</v>
      </c>
      <c r="E942">
        <v>285</v>
      </c>
      <c r="F942">
        <v>210</v>
      </c>
      <c r="G942">
        <v>305</v>
      </c>
      <c r="H942">
        <v>800</v>
      </c>
      <c r="I942">
        <v>2012</v>
      </c>
      <c r="J942" t="s">
        <v>29</v>
      </c>
      <c r="K942" t="s">
        <v>171</v>
      </c>
      <c r="L942" s="8">
        <f t="shared" si="15"/>
        <v>0.73684210526315785</v>
      </c>
    </row>
    <row r="943" spans="1:12">
      <c r="A943" t="s">
        <v>844</v>
      </c>
      <c r="B943">
        <v>1982</v>
      </c>
      <c r="C943" t="s">
        <v>39</v>
      </c>
      <c r="D943">
        <v>92.54</v>
      </c>
      <c r="E943">
        <v>342.5</v>
      </c>
      <c r="F943">
        <v>252.5</v>
      </c>
      <c r="G943">
        <v>330</v>
      </c>
      <c r="H943">
        <v>925</v>
      </c>
      <c r="I943">
        <v>2014</v>
      </c>
      <c r="J943" t="s">
        <v>29</v>
      </c>
      <c r="K943" t="s">
        <v>171</v>
      </c>
      <c r="L943" s="8">
        <f t="shared" si="15"/>
        <v>0.73722627737226276</v>
      </c>
    </row>
    <row r="944" spans="1:12">
      <c r="A944" t="s">
        <v>605</v>
      </c>
      <c r="B944">
        <v>1981</v>
      </c>
      <c r="C944" t="s">
        <v>28</v>
      </c>
      <c r="D944">
        <v>104.74</v>
      </c>
      <c r="E944">
        <v>400</v>
      </c>
      <c r="F944">
        <v>295</v>
      </c>
      <c r="G944">
        <v>352.5</v>
      </c>
      <c r="H944">
        <v>1047.5</v>
      </c>
      <c r="I944">
        <v>2012</v>
      </c>
      <c r="J944" t="s">
        <v>29</v>
      </c>
      <c r="K944" t="s">
        <v>171</v>
      </c>
      <c r="L944" s="8">
        <f t="shared" si="15"/>
        <v>0.73750000000000004</v>
      </c>
    </row>
    <row r="945" spans="1:12">
      <c r="A945" t="s">
        <v>782</v>
      </c>
      <c r="B945">
        <v>1981</v>
      </c>
      <c r="C945" t="s">
        <v>113</v>
      </c>
      <c r="D945">
        <v>134.19999999999999</v>
      </c>
      <c r="E945">
        <v>372.5</v>
      </c>
      <c r="F945">
        <v>275</v>
      </c>
      <c r="G945">
        <v>337.5</v>
      </c>
      <c r="H945">
        <v>985</v>
      </c>
      <c r="I945">
        <v>2014</v>
      </c>
      <c r="J945" t="s">
        <v>29</v>
      </c>
      <c r="K945" t="s">
        <v>171</v>
      </c>
      <c r="L945" s="8">
        <f t="shared" si="15"/>
        <v>0.73825503355704702</v>
      </c>
    </row>
    <row r="946" spans="1:12">
      <c r="A946" t="s">
        <v>586</v>
      </c>
      <c r="B946">
        <v>1986</v>
      </c>
      <c r="C946" t="s">
        <v>28</v>
      </c>
      <c r="D946">
        <v>162.44999999999999</v>
      </c>
      <c r="E946">
        <v>460</v>
      </c>
      <c r="F946">
        <v>340</v>
      </c>
      <c r="G946">
        <v>345</v>
      </c>
      <c r="H946">
        <v>1145</v>
      </c>
      <c r="I946">
        <v>2012</v>
      </c>
      <c r="J946" t="s">
        <v>29</v>
      </c>
      <c r="K946" t="s">
        <v>171</v>
      </c>
      <c r="L946" s="8">
        <f t="shared" si="15"/>
        <v>0.73913043478260865</v>
      </c>
    </row>
    <row r="947" spans="1:12">
      <c r="A947" t="s">
        <v>673</v>
      </c>
      <c r="B947">
        <v>1977</v>
      </c>
      <c r="C947" t="s">
        <v>336</v>
      </c>
      <c r="D947">
        <v>126.98</v>
      </c>
      <c r="E947">
        <v>317.5</v>
      </c>
      <c r="F947">
        <v>235</v>
      </c>
      <c r="G947">
        <v>317.5</v>
      </c>
      <c r="H947">
        <v>870</v>
      </c>
      <c r="I947">
        <v>2012</v>
      </c>
      <c r="J947" t="s">
        <v>29</v>
      </c>
      <c r="K947" t="s">
        <v>171</v>
      </c>
      <c r="L947" s="8">
        <f t="shared" si="15"/>
        <v>0.74015748031496065</v>
      </c>
    </row>
    <row r="948" spans="1:12">
      <c r="A948" t="s">
        <v>48</v>
      </c>
      <c r="B948">
        <v>1983</v>
      </c>
      <c r="C948" t="s">
        <v>49</v>
      </c>
      <c r="D948">
        <v>92.15</v>
      </c>
      <c r="E948">
        <v>337.5</v>
      </c>
      <c r="F948">
        <v>250</v>
      </c>
      <c r="G948">
        <v>352.5</v>
      </c>
      <c r="H948">
        <v>940</v>
      </c>
      <c r="I948">
        <v>2015</v>
      </c>
      <c r="J948" t="s">
        <v>29</v>
      </c>
      <c r="K948" t="s">
        <v>171</v>
      </c>
      <c r="L948" s="8">
        <f t="shared" si="15"/>
        <v>0.7407407407407407</v>
      </c>
    </row>
    <row r="949" spans="1:12">
      <c r="A949" t="s">
        <v>733</v>
      </c>
      <c r="B949">
        <v>1982</v>
      </c>
      <c r="C949" t="s">
        <v>119</v>
      </c>
      <c r="D949">
        <v>82.66</v>
      </c>
      <c r="E949">
        <v>347.5</v>
      </c>
      <c r="F949">
        <v>257.5</v>
      </c>
      <c r="G949">
        <v>332.5</v>
      </c>
      <c r="H949">
        <v>937.5</v>
      </c>
      <c r="I949">
        <v>2015</v>
      </c>
      <c r="J949" t="s">
        <v>29</v>
      </c>
      <c r="K949" t="s">
        <v>171</v>
      </c>
      <c r="L949" s="8">
        <f t="shared" si="15"/>
        <v>0.74100719424460426</v>
      </c>
    </row>
    <row r="950" spans="1:12">
      <c r="A950" t="s">
        <v>664</v>
      </c>
      <c r="B950">
        <v>1984</v>
      </c>
      <c r="C950" t="s">
        <v>119</v>
      </c>
      <c r="D950">
        <v>82.58</v>
      </c>
      <c r="E950">
        <v>357.5</v>
      </c>
      <c r="F950">
        <v>265</v>
      </c>
      <c r="G950">
        <v>317.5</v>
      </c>
      <c r="H950">
        <v>940</v>
      </c>
      <c r="I950">
        <v>2015</v>
      </c>
      <c r="J950" t="s">
        <v>29</v>
      </c>
      <c r="K950" t="s">
        <v>171</v>
      </c>
      <c r="L950" s="8">
        <f t="shared" si="15"/>
        <v>0.74125874125874125</v>
      </c>
    </row>
    <row r="951" spans="1:12">
      <c r="A951" t="s">
        <v>428</v>
      </c>
      <c r="B951">
        <v>1990</v>
      </c>
      <c r="C951" t="s">
        <v>45</v>
      </c>
      <c r="D951">
        <v>163.47</v>
      </c>
      <c r="E951">
        <v>445</v>
      </c>
      <c r="F951">
        <v>330</v>
      </c>
      <c r="G951">
        <v>357.5</v>
      </c>
      <c r="H951">
        <v>1132.5</v>
      </c>
      <c r="I951">
        <v>2012</v>
      </c>
      <c r="J951" t="s">
        <v>29</v>
      </c>
      <c r="K951" t="s">
        <v>171</v>
      </c>
      <c r="L951" s="8">
        <f t="shared" si="15"/>
        <v>0.7415730337078652</v>
      </c>
    </row>
    <row r="952" spans="1:12">
      <c r="A952" t="s">
        <v>725</v>
      </c>
      <c r="B952">
        <v>1986</v>
      </c>
      <c r="C952" t="s">
        <v>45</v>
      </c>
      <c r="D952">
        <v>73.91</v>
      </c>
      <c r="E952">
        <v>310</v>
      </c>
      <c r="F952">
        <v>230</v>
      </c>
      <c r="G952">
        <v>267.5</v>
      </c>
      <c r="H952">
        <v>807.5</v>
      </c>
      <c r="I952">
        <v>2015</v>
      </c>
      <c r="J952" t="s">
        <v>29</v>
      </c>
      <c r="K952" t="s">
        <v>171</v>
      </c>
      <c r="L952" s="8">
        <f t="shared" si="15"/>
        <v>0.74193548387096775</v>
      </c>
    </row>
    <row r="953" spans="1:12">
      <c r="A953" t="s">
        <v>686</v>
      </c>
      <c r="B953">
        <v>1977</v>
      </c>
      <c r="C953" t="s">
        <v>45</v>
      </c>
      <c r="D953">
        <v>117.89</v>
      </c>
      <c r="E953">
        <v>397.5</v>
      </c>
      <c r="F953">
        <v>295</v>
      </c>
      <c r="G953">
        <v>327.5</v>
      </c>
      <c r="H953">
        <v>1020</v>
      </c>
      <c r="I953">
        <v>2012</v>
      </c>
      <c r="J953" t="s">
        <v>29</v>
      </c>
      <c r="K953" t="s">
        <v>171</v>
      </c>
      <c r="L953" s="8">
        <f t="shared" si="15"/>
        <v>0.74213836477987416</v>
      </c>
    </row>
    <row r="954" spans="1:12">
      <c r="A954" t="s">
        <v>484</v>
      </c>
      <c r="B954">
        <v>1975</v>
      </c>
      <c r="C954" t="s">
        <v>485</v>
      </c>
      <c r="D954">
        <v>91.28</v>
      </c>
      <c r="E954">
        <v>320</v>
      </c>
      <c r="F954">
        <v>237.5</v>
      </c>
      <c r="G954">
        <v>280</v>
      </c>
      <c r="H954">
        <v>837.5</v>
      </c>
      <c r="I954">
        <v>2014</v>
      </c>
      <c r="J954" t="s">
        <v>29</v>
      </c>
      <c r="K954" t="s">
        <v>171</v>
      </c>
      <c r="L954" s="8">
        <f t="shared" si="15"/>
        <v>0.7421875</v>
      </c>
    </row>
    <row r="955" spans="1:12">
      <c r="A955" t="s">
        <v>748</v>
      </c>
      <c r="B955">
        <v>1978</v>
      </c>
      <c r="C955" t="s">
        <v>80</v>
      </c>
      <c r="D955">
        <v>65.55</v>
      </c>
      <c r="E955">
        <v>262.5</v>
      </c>
      <c r="F955">
        <v>195</v>
      </c>
      <c r="G955">
        <v>290</v>
      </c>
      <c r="H955">
        <v>747.5</v>
      </c>
      <c r="I955">
        <v>2015</v>
      </c>
      <c r="J955" t="s">
        <v>29</v>
      </c>
      <c r="K955" t="s">
        <v>171</v>
      </c>
      <c r="L955" s="8">
        <f t="shared" si="15"/>
        <v>0.74285714285714288</v>
      </c>
    </row>
    <row r="956" spans="1:12">
      <c r="A956" t="s">
        <v>161</v>
      </c>
      <c r="B956">
        <v>1988</v>
      </c>
      <c r="C956" t="s">
        <v>45</v>
      </c>
      <c r="D956">
        <v>104.54</v>
      </c>
      <c r="E956">
        <v>390</v>
      </c>
      <c r="F956">
        <v>290</v>
      </c>
      <c r="G956">
        <v>350</v>
      </c>
      <c r="H956">
        <v>1030</v>
      </c>
      <c r="I956">
        <v>2015</v>
      </c>
      <c r="J956" t="s">
        <v>29</v>
      </c>
      <c r="K956" t="s">
        <v>171</v>
      </c>
      <c r="L956" s="8">
        <f t="shared" si="15"/>
        <v>0.74358974358974361</v>
      </c>
    </row>
    <row r="957" spans="1:12">
      <c r="A957" t="s">
        <v>531</v>
      </c>
      <c r="B957">
        <v>1979</v>
      </c>
      <c r="C957" t="s">
        <v>352</v>
      </c>
      <c r="D957">
        <v>119.26</v>
      </c>
      <c r="E957">
        <v>410</v>
      </c>
      <c r="F957">
        <v>305</v>
      </c>
      <c r="G957">
        <v>347.5</v>
      </c>
      <c r="H957">
        <v>1062.5</v>
      </c>
      <c r="I957">
        <v>2014</v>
      </c>
      <c r="J957" t="s">
        <v>29</v>
      </c>
      <c r="K957" t="s">
        <v>171</v>
      </c>
      <c r="L957" s="8">
        <f t="shared" si="15"/>
        <v>0.74390243902439024</v>
      </c>
    </row>
    <row r="958" spans="1:12">
      <c r="A958" t="s">
        <v>73</v>
      </c>
      <c r="B958">
        <v>1982</v>
      </c>
      <c r="C958" t="s">
        <v>74</v>
      </c>
      <c r="D958">
        <v>62.5</v>
      </c>
      <c r="E958">
        <v>275</v>
      </c>
      <c r="F958">
        <v>205</v>
      </c>
      <c r="G958">
        <v>285</v>
      </c>
      <c r="H958">
        <v>765</v>
      </c>
      <c r="I958">
        <v>2013</v>
      </c>
      <c r="J958" t="s">
        <v>29</v>
      </c>
      <c r="K958" t="s">
        <v>171</v>
      </c>
      <c r="L958" s="8">
        <f t="shared" si="15"/>
        <v>0.74545454545454548</v>
      </c>
    </row>
    <row r="959" spans="1:12">
      <c r="A959" t="s">
        <v>637</v>
      </c>
      <c r="B959">
        <v>1982</v>
      </c>
      <c r="C959" t="s">
        <v>137</v>
      </c>
      <c r="D959">
        <v>73.09</v>
      </c>
      <c r="E959">
        <v>295</v>
      </c>
      <c r="F959">
        <v>220</v>
      </c>
      <c r="G959">
        <v>255</v>
      </c>
      <c r="H959">
        <v>770</v>
      </c>
      <c r="I959">
        <v>2015</v>
      </c>
      <c r="J959" t="s">
        <v>29</v>
      </c>
      <c r="K959" t="s">
        <v>171</v>
      </c>
      <c r="L959" s="8">
        <f t="shared" si="15"/>
        <v>0.74576271186440679</v>
      </c>
    </row>
    <row r="960" spans="1:12">
      <c r="A960" t="s">
        <v>699</v>
      </c>
      <c r="B960">
        <v>1988</v>
      </c>
      <c r="C960" t="s">
        <v>352</v>
      </c>
      <c r="D960">
        <v>73.540000000000006</v>
      </c>
      <c r="E960">
        <v>322.5</v>
      </c>
      <c r="F960">
        <v>241</v>
      </c>
      <c r="G960">
        <v>327.5</v>
      </c>
      <c r="H960">
        <v>891</v>
      </c>
      <c r="I960">
        <v>2012</v>
      </c>
      <c r="J960" t="s">
        <v>29</v>
      </c>
      <c r="K960" t="s">
        <v>171</v>
      </c>
      <c r="L960" s="8">
        <f t="shared" si="15"/>
        <v>0.74728682170542637</v>
      </c>
    </row>
    <row r="961" spans="1:12">
      <c r="A961" t="s">
        <v>362</v>
      </c>
      <c r="B961">
        <v>1978</v>
      </c>
      <c r="C961" t="s">
        <v>77</v>
      </c>
      <c r="D961">
        <v>89.6</v>
      </c>
      <c r="E961">
        <v>307.5</v>
      </c>
      <c r="F961">
        <v>230</v>
      </c>
      <c r="G961">
        <v>290</v>
      </c>
      <c r="H961">
        <v>827.5</v>
      </c>
      <c r="I961">
        <v>2013</v>
      </c>
      <c r="J961" t="s">
        <v>29</v>
      </c>
      <c r="K961" t="s">
        <v>171</v>
      </c>
      <c r="L961" s="8">
        <f t="shared" si="15"/>
        <v>0.74796747967479671</v>
      </c>
    </row>
    <row r="962" spans="1:12">
      <c r="A962" t="s">
        <v>431</v>
      </c>
      <c r="B962">
        <v>1984</v>
      </c>
      <c r="C962" t="s">
        <v>51</v>
      </c>
      <c r="D962">
        <v>118.93</v>
      </c>
      <c r="E962">
        <v>390</v>
      </c>
      <c r="F962">
        <v>292.5</v>
      </c>
      <c r="G962">
        <v>350</v>
      </c>
      <c r="H962">
        <v>1032.5</v>
      </c>
      <c r="I962">
        <v>2015</v>
      </c>
      <c r="J962" t="s">
        <v>29</v>
      </c>
      <c r="K962" t="s">
        <v>171</v>
      </c>
      <c r="L962" s="8">
        <f t="shared" si="15"/>
        <v>0.75</v>
      </c>
    </row>
    <row r="963" spans="1:12">
      <c r="A963" t="s">
        <v>695</v>
      </c>
      <c r="B963">
        <v>1982</v>
      </c>
      <c r="C963" t="s">
        <v>51</v>
      </c>
      <c r="D963">
        <v>90.5</v>
      </c>
      <c r="E963">
        <v>340</v>
      </c>
      <c r="F963">
        <v>255</v>
      </c>
      <c r="G963">
        <v>300</v>
      </c>
      <c r="H963">
        <v>895</v>
      </c>
      <c r="I963">
        <v>2013</v>
      </c>
      <c r="J963" t="s">
        <v>29</v>
      </c>
      <c r="K963" t="s">
        <v>171</v>
      </c>
      <c r="L963" s="8">
        <f t="shared" si="15"/>
        <v>0.75</v>
      </c>
    </row>
    <row r="964" spans="1:12">
      <c r="A964" t="s">
        <v>728</v>
      </c>
      <c r="B964">
        <v>1981</v>
      </c>
      <c r="C964" t="s">
        <v>119</v>
      </c>
      <c r="D964">
        <v>118.98</v>
      </c>
      <c r="E964">
        <v>400</v>
      </c>
      <c r="F964">
        <v>300</v>
      </c>
      <c r="G964">
        <v>355</v>
      </c>
      <c r="H964">
        <v>1055</v>
      </c>
      <c r="I964">
        <v>2014</v>
      </c>
      <c r="J964" t="s">
        <v>29</v>
      </c>
      <c r="K964" t="s">
        <v>171</v>
      </c>
      <c r="L964" s="8">
        <f t="shared" si="15"/>
        <v>0.75</v>
      </c>
    </row>
    <row r="965" spans="1:12">
      <c r="A965" t="s">
        <v>531</v>
      </c>
      <c r="B965">
        <v>1979</v>
      </c>
      <c r="C965" t="s">
        <v>352</v>
      </c>
      <c r="D965">
        <v>118.31</v>
      </c>
      <c r="E965">
        <v>405</v>
      </c>
      <c r="F965">
        <v>305</v>
      </c>
      <c r="G965">
        <v>340</v>
      </c>
      <c r="H965">
        <v>1050</v>
      </c>
      <c r="I965">
        <v>2012</v>
      </c>
      <c r="J965" t="s">
        <v>29</v>
      </c>
      <c r="K965" t="s">
        <v>171</v>
      </c>
      <c r="L965" s="8">
        <f t="shared" si="15"/>
        <v>0.75308641975308643</v>
      </c>
    </row>
    <row r="966" spans="1:12">
      <c r="A966" t="s">
        <v>401</v>
      </c>
      <c r="B966">
        <v>1974</v>
      </c>
      <c r="C966" t="s">
        <v>51</v>
      </c>
      <c r="D966">
        <v>119.52</v>
      </c>
      <c r="E966">
        <v>395</v>
      </c>
      <c r="F966">
        <v>297.5</v>
      </c>
      <c r="G966">
        <v>352.5</v>
      </c>
      <c r="H966">
        <v>1045</v>
      </c>
      <c r="I966">
        <v>2014</v>
      </c>
      <c r="J966" t="s">
        <v>29</v>
      </c>
      <c r="K966" t="s">
        <v>171</v>
      </c>
      <c r="L966" s="8">
        <f t="shared" si="15"/>
        <v>0.75316455696202533</v>
      </c>
    </row>
    <row r="967" spans="1:12">
      <c r="A967" t="s">
        <v>810</v>
      </c>
      <c r="B967">
        <v>1990</v>
      </c>
      <c r="C967" t="s">
        <v>390</v>
      </c>
      <c r="D967">
        <v>104.45</v>
      </c>
      <c r="E967">
        <v>335</v>
      </c>
      <c r="F967">
        <v>252.5</v>
      </c>
      <c r="G967">
        <v>312.5</v>
      </c>
      <c r="H967">
        <v>900</v>
      </c>
      <c r="I967">
        <v>2015</v>
      </c>
      <c r="J967" t="s">
        <v>29</v>
      </c>
      <c r="K967" t="s">
        <v>171</v>
      </c>
      <c r="L967" s="8">
        <f t="shared" si="15"/>
        <v>0.75373134328358204</v>
      </c>
    </row>
    <row r="968" spans="1:12">
      <c r="A968" t="s">
        <v>355</v>
      </c>
      <c r="B968">
        <v>1982</v>
      </c>
      <c r="C968" t="s">
        <v>77</v>
      </c>
      <c r="D968">
        <v>101.37</v>
      </c>
      <c r="E968">
        <v>325</v>
      </c>
      <c r="F968">
        <v>245</v>
      </c>
      <c r="G968">
        <v>300</v>
      </c>
      <c r="H968">
        <v>870</v>
      </c>
      <c r="I968">
        <v>2012</v>
      </c>
      <c r="J968" t="s">
        <v>29</v>
      </c>
      <c r="K968" t="s">
        <v>171</v>
      </c>
      <c r="L968" s="8">
        <f t="shared" si="15"/>
        <v>0.75384615384615383</v>
      </c>
    </row>
    <row r="969" spans="1:12">
      <c r="A969" t="s">
        <v>420</v>
      </c>
      <c r="B969">
        <v>1988</v>
      </c>
      <c r="C969" t="s">
        <v>62</v>
      </c>
      <c r="D969">
        <v>170.52</v>
      </c>
      <c r="E969">
        <v>447.5</v>
      </c>
      <c r="F969">
        <v>337.5</v>
      </c>
      <c r="G969">
        <v>362.5</v>
      </c>
      <c r="H969">
        <v>1147.5</v>
      </c>
      <c r="I969">
        <v>2015</v>
      </c>
      <c r="J969" t="s">
        <v>29</v>
      </c>
      <c r="K969" t="s">
        <v>171</v>
      </c>
      <c r="L969" s="8">
        <f t="shared" si="15"/>
        <v>0.75418994413407825</v>
      </c>
    </row>
    <row r="970" spans="1:12">
      <c r="A970" t="s">
        <v>535</v>
      </c>
      <c r="B970">
        <v>1981</v>
      </c>
      <c r="C970" t="s">
        <v>74</v>
      </c>
      <c r="D970">
        <v>73.63</v>
      </c>
      <c r="E970">
        <v>285</v>
      </c>
      <c r="F970">
        <v>215</v>
      </c>
      <c r="G970">
        <v>312.5</v>
      </c>
      <c r="H970">
        <v>812.5</v>
      </c>
      <c r="I970">
        <v>2013</v>
      </c>
      <c r="J970" t="s">
        <v>29</v>
      </c>
      <c r="K970" t="s">
        <v>171</v>
      </c>
      <c r="L970" s="8">
        <f t="shared" si="15"/>
        <v>0.75438596491228072</v>
      </c>
    </row>
    <row r="971" spans="1:12">
      <c r="A971" t="s">
        <v>73</v>
      </c>
      <c r="B971">
        <v>1982</v>
      </c>
      <c r="C971" t="s">
        <v>74</v>
      </c>
      <c r="D971">
        <v>63.1</v>
      </c>
      <c r="E971">
        <v>265</v>
      </c>
      <c r="F971">
        <v>200</v>
      </c>
      <c r="G971">
        <v>267.5</v>
      </c>
      <c r="H971">
        <v>732.5</v>
      </c>
      <c r="I971">
        <v>2014</v>
      </c>
      <c r="J971" t="s">
        <v>29</v>
      </c>
      <c r="K971" t="s">
        <v>171</v>
      </c>
      <c r="L971" s="8">
        <f t="shared" si="15"/>
        <v>0.75471698113207553</v>
      </c>
    </row>
    <row r="972" spans="1:12">
      <c r="A972" t="s">
        <v>664</v>
      </c>
      <c r="B972">
        <v>1984</v>
      </c>
      <c r="C972" t="s">
        <v>119</v>
      </c>
      <c r="D972">
        <v>82.7</v>
      </c>
      <c r="E972">
        <v>345</v>
      </c>
      <c r="F972">
        <v>260.5</v>
      </c>
      <c r="G972">
        <v>302.5</v>
      </c>
      <c r="H972">
        <v>908</v>
      </c>
      <c r="I972">
        <v>2013</v>
      </c>
      <c r="J972" t="s">
        <v>29</v>
      </c>
      <c r="K972" t="s">
        <v>171</v>
      </c>
      <c r="L972" s="8">
        <f t="shared" si="15"/>
        <v>0.75507246376811599</v>
      </c>
    </row>
    <row r="973" spans="1:12">
      <c r="A973" t="s">
        <v>781</v>
      </c>
      <c r="B973">
        <v>1991</v>
      </c>
      <c r="C973" t="s">
        <v>125</v>
      </c>
      <c r="D973">
        <v>92</v>
      </c>
      <c r="E973">
        <v>337.5</v>
      </c>
      <c r="F973">
        <v>255</v>
      </c>
      <c r="G973">
        <v>335</v>
      </c>
      <c r="H973">
        <v>927.5</v>
      </c>
      <c r="I973">
        <v>2015</v>
      </c>
      <c r="J973" t="s">
        <v>29</v>
      </c>
      <c r="K973" t="s">
        <v>171</v>
      </c>
      <c r="L973" s="8">
        <f t="shared" si="15"/>
        <v>0.75555555555555554</v>
      </c>
    </row>
    <row r="974" spans="1:12">
      <c r="A974" t="s">
        <v>707</v>
      </c>
      <c r="B974">
        <v>1988</v>
      </c>
      <c r="C974" t="s">
        <v>39</v>
      </c>
      <c r="D974">
        <v>73.23</v>
      </c>
      <c r="E974">
        <v>297.5</v>
      </c>
      <c r="F974">
        <v>225</v>
      </c>
      <c r="G974">
        <v>285</v>
      </c>
      <c r="H974">
        <v>807.5</v>
      </c>
      <c r="I974">
        <v>2015</v>
      </c>
      <c r="J974" t="s">
        <v>29</v>
      </c>
      <c r="K974" t="s">
        <v>171</v>
      </c>
      <c r="L974" s="8">
        <f t="shared" si="15"/>
        <v>0.75630252100840334</v>
      </c>
    </row>
    <row r="975" spans="1:12">
      <c r="A975" t="s">
        <v>627</v>
      </c>
      <c r="B975">
        <v>1975</v>
      </c>
      <c r="C975" t="s">
        <v>62</v>
      </c>
      <c r="D975">
        <v>119.55</v>
      </c>
      <c r="E975">
        <v>390</v>
      </c>
      <c r="F975">
        <v>295</v>
      </c>
      <c r="G975">
        <v>300</v>
      </c>
      <c r="H975">
        <v>985</v>
      </c>
      <c r="I975">
        <v>2013</v>
      </c>
      <c r="J975" t="s">
        <v>29</v>
      </c>
      <c r="K975" t="s">
        <v>171</v>
      </c>
      <c r="L975" s="8">
        <f t="shared" si="15"/>
        <v>0.75641025641025639</v>
      </c>
    </row>
    <row r="976" spans="1:12">
      <c r="A976" t="s">
        <v>540</v>
      </c>
      <c r="B976">
        <v>1987</v>
      </c>
      <c r="C976" t="s">
        <v>28</v>
      </c>
      <c r="D976">
        <v>92.06</v>
      </c>
      <c r="E976">
        <v>380</v>
      </c>
      <c r="F976">
        <v>287.5</v>
      </c>
      <c r="G976">
        <v>350</v>
      </c>
      <c r="H976">
        <v>1017.5</v>
      </c>
      <c r="I976">
        <v>2015</v>
      </c>
      <c r="J976" t="s">
        <v>29</v>
      </c>
      <c r="K976" t="s">
        <v>171</v>
      </c>
      <c r="L976" s="8">
        <f t="shared" si="15"/>
        <v>0.75657894736842102</v>
      </c>
    </row>
    <row r="977" spans="1:12">
      <c r="A977" t="s">
        <v>622</v>
      </c>
      <c r="B977">
        <v>1983</v>
      </c>
      <c r="C977" t="s">
        <v>113</v>
      </c>
      <c r="D977">
        <v>118.68</v>
      </c>
      <c r="E977">
        <v>370</v>
      </c>
      <c r="F977">
        <v>280</v>
      </c>
      <c r="G977">
        <v>315</v>
      </c>
      <c r="H977">
        <v>965</v>
      </c>
      <c r="I977">
        <v>2014</v>
      </c>
      <c r="J977" t="s">
        <v>29</v>
      </c>
      <c r="K977" t="s">
        <v>171</v>
      </c>
      <c r="L977" s="8">
        <f t="shared" si="15"/>
        <v>0.7567567567567568</v>
      </c>
    </row>
    <row r="978" spans="1:12">
      <c r="A978" t="s">
        <v>370</v>
      </c>
      <c r="B978">
        <v>1974</v>
      </c>
      <c r="C978" t="s">
        <v>54</v>
      </c>
      <c r="D978">
        <v>104.3</v>
      </c>
      <c r="E978">
        <v>330</v>
      </c>
      <c r="F978">
        <v>250</v>
      </c>
      <c r="G978">
        <v>312.5</v>
      </c>
      <c r="H978">
        <v>892.5</v>
      </c>
      <c r="I978">
        <v>2012</v>
      </c>
      <c r="J978" t="s">
        <v>29</v>
      </c>
      <c r="K978" t="s">
        <v>171</v>
      </c>
      <c r="L978" s="8">
        <f t="shared" si="15"/>
        <v>0.75757575757575757</v>
      </c>
    </row>
    <row r="979" spans="1:12">
      <c r="A979" t="s">
        <v>728</v>
      </c>
      <c r="B979">
        <v>1981</v>
      </c>
      <c r="C979" t="s">
        <v>119</v>
      </c>
      <c r="D979">
        <v>119.91</v>
      </c>
      <c r="E979">
        <v>412.5</v>
      </c>
      <c r="F979">
        <v>312.5</v>
      </c>
      <c r="G979">
        <v>345</v>
      </c>
      <c r="H979">
        <v>1070</v>
      </c>
      <c r="I979">
        <v>2015</v>
      </c>
      <c r="J979" t="s">
        <v>29</v>
      </c>
      <c r="K979" t="s">
        <v>171</v>
      </c>
      <c r="L979" s="8">
        <f t="shared" si="15"/>
        <v>0.75757575757575757</v>
      </c>
    </row>
    <row r="980" spans="1:12">
      <c r="A980" t="s">
        <v>586</v>
      </c>
      <c r="B980">
        <v>1986</v>
      </c>
      <c r="C980" t="s">
        <v>28</v>
      </c>
      <c r="D980">
        <v>162</v>
      </c>
      <c r="E980">
        <v>467.5</v>
      </c>
      <c r="F980">
        <v>355</v>
      </c>
      <c r="G980">
        <v>365</v>
      </c>
      <c r="H980">
        <v>1187.5</v>
      </c>
      <c r="I980">
        <v>2013</v>
      </c>
      <c r="J980" t="s">
        <v>29</v>
      </c>
      <c r="K980" t="s">
        <v>171</v>
      </c>
      <c r="L980" s="8">
        <f t="shared" si="15"/>
        <v>0.75935828877005351</v>
      </c>
    </row>
    <row r="981" spans="1:12">
      <c r="A981" t="s">
        <v>392</v>
      </c>
      <c r="B981">
        <v>1990</v>
      </c>
      <c r="C981" t="s">
        <v>119</v>
      </c>
      <c r="D981">
        <v>92.4</v>
      </c>
      <c r="E981">
        <v>365</v>
      </c>
      <c r="F981">
        <v>277.5</v>
      </c>
      <c r="G981">
        <v>337.5</v>
      </c>
      <c r="H981">
        <v>980</v>
      </c>
      <c r="I981">
        <v>2013</v>
      </c>
      <c r="J981" t="s">
        <v>29</v>
      </c>
      <c r="K981" t="s">
        <v>171</v>
      </c>
      <c r="L981" s="8">
        <f t="shared" si="15"/>
        <v>0.76027397260273977</v>
      </c>
    </row>
    <row r="982" spans="1:12">
      <c r="A982" t="s">
        <v>586</v>
      </c>
      <c r="B982">
        <v>1986</v>
      </c>
      <c r="C982" t="s">
        <v>28</v>
      </c>
      <c r="D982">
        <v>160.94999999999999</v>
      </c>
      <c r="E982">
        <v>470</v>
      </c>
      <c r="F982">
        <v>357.5</v>
      </c>
      <c r="G982">
        <v>350</v>
      </c>
      <c r="H982">
        <v>1177.5</v>
      </c>
      <c r="I982">
        <v>2015</v>
      </c>
      <c r="J982" t="s">
        <v>29</v>
      </c>
      <c r="K982" t="s">
        <v>171</v>
      </c>
      <c r="L982" s="8">
        <f t="shared" si="15"/>
        <v>0.76063829787234039</v>
      </c>
    </row>
    <row r="983" spans="1:12">
      <c r="A983" t="s">
        <v>501</v>
      </c>
      <c r="B983">
        <v>1990</v>
      </c>
      <c r="C983" t="s">
        <v>137</v>
      </c>
      <c r="D983">
        <v>92.99</v>
      </c>
      <c r="E983">
        <v>315</v>
      </c>
      <c r="F983">
        <v>240</v>
      </c>
      <c r="G983">
        <v>280</v>
      </c>
      <c r="H983">
        <v>835</v>
      </c>
      <c r="I983">
        <v>2015</v>
      </c>
      <c r="J983" t="s">
        <v>29</v>
      </c>
      <c r="K983" t="s">
        <v>171</v>
      </c>
      <c r="L983" s="8">
        <f t="shared" ref="L983:L1046" si="16">IF(AND(F983&lt;&gt;0,E983&lt;&gt;0),F983/E983,"")</f>
        <v>0.76190476190476186</v>
      </c>
    </row>
    <row r="984" spans="1:12">
      <c r="A984" t="s">
        <v>782</v>
      </c>
      <c r="B984">
        <v>1981</v>
      </c>
      <c r="C984" t="s">
        <v>113</v>
      </c>
      <c r="D984">
        <v>132.69999999999999</v>
      </c>
      <c r="E984">
        <v>357.5</v>
      </c>
      <c r="F984">
        <v>272.5</v>
      </c>
      <c r="G984">
        <v>285</v>
      </c>
      <c r="H984">
        <v>915</v>
      </c>
      <c r="I984">
        <v>2013</v>
      </c>
      <c r="J984" t="s">
        <v>29</v>
      </c>
      <c r="K984" t="s">
        <v>171</v>
      </c>
      <c r="L984" s="8">
        <f t="shared" si="16"/>
        <v>0.76223776223776218</v>
      </c>
    </row>
    <row r="985" spans="1:12">
      <c r="A985" t="s">
        <v>584</v>
      </c>
      <c r="B985">
        <v>1983</v>
      </c>
      <c r="C985" t="s">
        <v>125</v>
      </c>
      <c r="D985">
        <v>140.26</v>
      </c>
      <c r="E985">
        <v>350</v>
      </c>
      <c r="F985">
        <v>267.5</v>
      </c>
      <c r="G985">
        <v>332.5</v>
      </c>
      <c r="H985">
        <v>950</v>
      </c>
      <c r="I985">
        <v>2014</v>
      </c>
      <c r="J985" t="s">
        <v>29</v>
      </c>
      <c r="K985" t="s">
        <v>171</v>
      </c>
      <c r="L985" s="8">
        <f t="shared" si="16"/>
        <v>0.76428571428571423</v>
      </c>
    </row>
    <row r="986" spans="1:12">
      <c r="A986" t="s">
        <v>415</v>
      </c>
      <c r="B986">
        <v>1985</v>
      </c>
      <c r="C986" t="s">
        <v>119</v>
      </c>
      <c r="D986">
        <v>116.58</v>
      </c>
      <c r="E986">
        <v>415</v>
      </c>
      <c r="F986">
        <v>317.5</v>
      </c>
      <c r="G986">
        <v>362.5</v>
      </c>
      <c r="H986">
        <v>1095</v>
      </c>
      <c r="I986">
        <v>2015</v>
      </c>
      <c r="J986" t="s">
        <v>29</v>
      </c>
      <c r="K986" t="s">
        <v>171</v>
      </c>
      <c r="L986" s="8">
        <f t="shared" si="16"/>
        <v>0.76506024096385539</v>
      </c>
    </row>
    <row r="987" spans="1:12">
      <c r="A987" t="s">
        <v>584</v>
      </c>
      <c r="B987">
        <v>1983</v>
      </c>
      <c r="C987" t="s">
        <v>125</v>
      </c>
      <c r="D987">
        <v>143.30000000000001</v>
      </c>
      <c r="E987">
        <v>362.5</v>
      </c>
      <c r="F987">
        <v>277.5</v>
      </c>
      <c r="G987">
        <v>340</v>
      </c>
      <c r="H987">
        <v>980</v>
      </c>
      <c r="I987">
        <v>2015</v>
      </c>
      <c r="J987" t="s">
        <v>29</v>
      </c>
      <c r="K987" t="s">
        <v>171</v>
      </c>
      <c r="L987" s="8">
        <f t="shared" si="16"/>
        <v>0.76551724137931032</v>
      </c>
    </row>
    <row r="988" spans="1:12">
      <c r="A988" t="s">
        <v>690</v>
      </c>
      <c r="B988">
        <v>1980</v>
      </c>
      <c r="C988" t="s">
        <v>77</v>
      </c>
      <c r="D988">
        <v>73.19</v>
      </c>
      <c r="E988">
        <v>290</v>
      </c>
      <c r="F988">
        <v>222.5</v>
      </c>
      <c r="G988">
        <v>250</v>
      </c>
      <c r="H988">
        <v>762.5</v>
      </c>
      <c r="I988">
        <v>2015</v>
      </c>
      <c r="J988" t="s">
        <v>29</v>
      </c>
      <c r="K988" t="s">
        <v>171</v>
      </c>
      <c r="L988" s="8">
        <f t="shared" si="16"/>
        <v>0.76724137931034486</v>
      </c>
    </row>
    <row r="989" spans="1:12">
      <c r="A989" t="s">
        <v>450</v>
      </c>
      <c r="B989">
        <v>1987</v>
      </c>
      <c r="C989" t="s">
        <v>119</v>
      </c>
      <c r="D989">
        <v>104.42</v>
      </c>
      <c r="E989">
        <v>410</v>
      </c>
      <c r="F989">
        <v>315</v>
      </c>
      <c r="G989">
        <v>310</v>
      </c>
      <c r="H989">
        <v>1035</v>
      </c>
      <c r="I989">
        <v>2012</v>
      </c>
      <c r="J989" t="s">
        <v>29</v>
      </c>
      <c r="K989" t="s">
        <v>171</v>
      </c>
      <c r="L989" s="8">
        <f t="shared" si="16"/>
        <v>0.76829268292682928</v>
      </c>
    </row>
    <row r="990" spans="1:12">
      <c r="A990" t="s">
        <v>73</v>
      </c>
      <c r="B990">
        <v>1982</v>
      </c>
      <c r="C990" t="s">
        <v>74</v>
      </c>
      <c r="D990">
        <v>64.64</v>
      </c>
      <c r="E990">
        <v>270</v>
      </c>
      <c r="F990">
        <v>207.5</v>
      </c>
      <c r="G990">
        <v>275</v>
      </c>
      <c r="H990">
        <v>752.5</v>
      </c>
      <c r="I990">
        <v>2015</v>
      </c>
      <c r="J990" t="s">
        <v>29</v>
      </c>
      <c r="K990" t="s">
        <v>171</v>
      </c>
      <c r="L990" s="8">
        <f t="shared" si="16"/>
        <v>0.76851851851851849</v>
      </c>
    </row>
    <row r="991" spans="1:12">
      <c r="A991" t="s">
        <v>503</v>
      </c>
      <c r="B991">
        <v>1989</v>
      </c>
      <c r="C991" t="s">
        <v>85</v>
      </c>
      <c r="D991">
        <v>65.55</v>
      </c>
      <c r="E991">
        <v>250</v>
      </c>
      <c r="F991">
        <v>192.5</v>
      </c>
      <c r="G991">
        <v>252.5</v>
      </c>
      <c r="H991">
        <v>695</v>
      </c>
      <c r="I991">
        <v>2015</v>
      </c>
      <c r="J991" t="s">
        <v>29</v>
      </c>
      <c r="K991" t="s">
        <v>171</v>
      </c>
      <c r="L991" s="8">
        <f t="shared" si="16"/>
        <v>0.77</v>
      </c>
    </row>
    <row r="992" spans="1:12">
      <c r="A992" t="s">
        <v>540</v>
      </c>
      <c r="B992">
        <v>1987</v>
      </c>
      <c r="C992" t="s">
        <v>28</v>
      </c>
      <c r="D992">
        <v>91.7</v>
      </c>
      <c r="E992">
        <v>372.5</v>
      </c>
      <c r="F992">
        <v>287.5</v>
      </c>
      <c r="G992">
        <v>340</v>
      </c>
      <c r="H992">
        <v>1000</v>
      </c>
      <c r="I992">
        <v>2014</v>
      </c>
      <c r="J992" t="s">
        <v>29</v>
      </c>
      <c r="K992" t="s">
        <v>171</v>
      </c>
      <c r="L992" s="8">
        <f t="shared" si="16"/>
        <v>0.77181208053691275</v>
      </c>
    </row>
    <row r="993" spans="1:12">
      <c r="A993" t="s">
        <v>535</v>
      </c>
      <c r="B993">
        <v>1981</v>
      </c>
      <c r="C993" t="s">
        <v>74</v>
      </c>
      <c r="D993">
        <v>73.959999999999994</v>
      </c>
      <c r="E993">
        <v>285</v>
      </c>
      <c r="F993">
        <v>220</v>
      </c>
      <c r="G993">
        <v>0</v>
      </c>
      <c r="H993">
        <v>0</v>
      </c>
      <c r="I993">
        <v>2014</v>
      </c>
      <c r="J993" t="s">
        <v>29</v>
      </c>
      <c r="K993" t="s">
        <v>171</v>
      </c>
      <c r="L993" s="8">
        <f t="shared" si="16"/>
        <v>0.77192982456140347</v>
      </c>
    </row>
    <row r="994" spans="1:12">
      <c r="A994" t="s">
        <v>579</v>
      </c>
      <c r="B994">
        <v>1979</v>
      </c>
      <c r="C994" t="s">
        <v>45</v>
      </c>
      <c r="D994">
        <v>92.65</v>
      </c>
      <c r="E994">
        <v>330</v>
      </c>
      <c r="F994">
        <v>255</v>
      </c>
      <c r="G994">
        <v>280</v>
      </c>
      <c r="H994">
        <v>865</v>
      </c>
      <c r="I994">
        <v>2015</v>
      </c>
      <c r="J994" t="s">
        <v>29</v>
      </c>
      <c r="K994" t="s">
        <v>171</v>
      </c>
      <c r="L994" s="8">
        <f t="shared" si="16"/>
        <v>0.77272727272727271</v>
      </c>
    </row>
    <row r="995" spans="1:12">
      <c r="A995" t="s">
        <v>845</v>
      </c>
      <c r="B995">
        <v>1990</v>
      </c>
      <c r="C995" t="s">
        <v>39</v>
      </c>
      <c r="D995">
        <v>113.58</v>
      </c>
      <c r="E995">
        <v>400</v>
      </c>
      <c r="F995">
        <v>310</v>
      </c>
      <c r="G995">
        <v>360</v>
      </c>
      <c r="H995">
        <v>1070</v>
      </c>
      <c r="I995">
        <v>2015</v>
      </c>
      <c r="J995" t="s">
        <v>29</v>
      </c>
      <c r="K995" t="s">
        <v>171</v>
      </c>
      <c r="L995" s="8">
        <f t="shared" si="16"/>
        <v>0.77500000000000002</v>
      </c>
    </row>
    <row r="996" spans="1:12">
      <c r="A996" t="s">
        <v>523</v>
      </c>
      <c r="B996">
        <v>1984</v>
      </c>
      <c r="C996" t="s">
        <v>125</v>
      </c>
      <c r="D996">
        <v>92.52</v>
      </c>
      <c r="E996">
        <v>322.5</v>
      </c>
      <c r="F996">
        <v>250</v>
      </c>
      <c r="G996">
        <v>292.5</v>
      </c>
      <c r="H996">
        <v>865</v>
      </c>
      <c r="I996">
        <v>2013</v>
      </c>
      <c r="J996" t="s">
        <v>29</v>
      </c>
      <c r="K996" t="s">
        <v>171</v>
      </c>
      <c r="L996" s="8">
        <f t="shared" si="16"/>
        <v>0.77519379844961245</v>
      </c>
    </row>
    <row r="997" spans="1:12">
      <c r="A997" t="s">
        <v>664</v>
      </c>
      <c r="B997">
        <v>1984</v>
      </c>
      <c r="C997" t="s">
        <v>119</v>
      </c>
      <c r="D997">
        <v>82.4</v>
      </c>
      <c r="E997">
        <v>335</v>
      </c>
      <c r="F997">
        <v>260</v>
      </c>
      <c r="G997">
        <v>310</v>
      </c>
      <c r="H997">
        <v>905</v>
      </c>
      <c r="I997">
        <v>2014</v>
      </c>
      <c r="J997" t="s">
        <v>29</v>
      </c>
      <c r="K997" t="s">
        <v>171</v>
      </c>
      <c r="L997" s="8">
        <f t="shared" si="16"/>
        <v>0.77611940298507465</v>
      </c>
    </row>
    <row r="998" spans="1:12">
      <c r="A998" t="s">
        <v>673</v>
      </c>
      <c r="B998">
        <v>1977</v>
      </c>
      <c r="C998" t="s">
        <v>336</v>
      </c>
      <c r="D998">
        <v>130.4</v>
      </c>
      <c r="E998">
        <v>357.5</v>
      </c>
      <c r="F998">
        <v>277.5</v>
      </c>
      <c r="G998">
        <v>335</v>
      </c>
      <c r="H998">
        <v>970</v>
      </c>
      <c r="I998">
        <v>2014</v>
      </c>
      <c r="J998" t="s">
        <v>29</v>
      </c>
      <c r="K998" t="s">
        <v>171</v>
      </c>
      <c r="L998" s="8">
        <f t="shared" si="16"/>
        <v>0.77622377622377625</v>
      </c>
    </row>
    <row r="999" spans="1:12">
      <c r="A999" t="s">
        <v>370</v>
      </c>
      <c r="B999">
        <v>1974</v>
      </c>
      <c r="C999" t="s">
        <v>54</v>
      </c>
      <c r="D999">
        <v>104.27</v>
      </c>
      <c r="E999">
        <v>325</v>
      </c>
      <c r="F999">
        <v>252.5</v>
      </c>
      <c r="G999">
        <v>312.5</v>
      </c>
      <c r="H999">
        <v>890</v>
      </c>
      <c r="I999">
        <v>2013</v>
      </c>
      <c r="J999" t="s">
        <v>29</v>
      </c>
      <c r="K999" t="s">
        <v>171</v>
      </c>
      <c r="L999" s="8">
        <f t="shared" si="16"/>
        <v>0.77692307692307694</v>
      </c>
    </row>
    <row r="1000" spans="1:12">
      <c r="A1000" t="s">
        <v>654</v>
      </c>
      <c r="B1000">
        <v>1972</v>
      </c>
      <c r="C1000" t="s">
        <v>77</v>
      </c>
      <c r="D1000">
        <v>82.53</v>
      </c>
      <c r="E1000">
        <v>305</v>
      </c>
      <c r="F1000">
        <v>237.5</v>
      </c>
      <c r="G1000">
        <v>270</v>
      </c>
      <c r="H1000">
        <v>812.5</v>
      </c>
      <c r="I1000">
        <v>2012</v>
      </c>
      <c r="J1000" t="s">
        <v>29</v>
      </c>
      <c r="K1000" t="s">
        <v>171</v>
      </c>
      <c r="L1000" s="8">
        <f t="shared" si="16"/>
        <v>0.77868852459016391</v>
      </c>
    </row>
    <row r="1001" spans="1:12">
      <c r="A1001" t="s">
        <v>415</v>
      </c>
      <c r="B1001">
        <v>1985</v>
      </c>
      <c r="C1001" t="s">
        <v>119</v>
      </c>
      <c r="D1001">
        <v>111.8</v>
      </c>
      <c r="E1001">
        <v>385</v>
      </c>
      <c r="F1001">
        <v>300</v>
      </c>
      <c r="G1001">
        <v>365</v>
      </c>
      <c r="H1001">
        <v>1050</v>
      </c>
      <c r="I1001">
        <v>2014</v>
      </c>
      <c r="J1001" t="s">
        <v>29</v>
      </c>
      <c r="K1001" t="s">
        <v>171</v>
      </c>
      <c r="L1001" s="8">
        <f t="shared" si="16"/>
        <v>0.77922077922077926</v>
      </c>
    </row>
    <row r="1002" spans="1:12">
      <c r="A1002" t="s">
        <v>450</v>
      </c>
      <c r="B1002">
        <v>1987</v>
      </c>
      <c r="C1002" t="s">
        <v>119</v>
      </c>
      <c r="D1002">
        <v>104.16</v>
      </c>
      <c r="E1002">
        <v>410</v>
      </c>
      <c r="F1002">
        <v>320</v>
      </c>
      <c r="G1002">
        <v>320</v>
      </c>
      <c r="H1002">
        <v>1050</v>
      </c>
      <c r="I1002">
        <v>2014</v>
      </c>
      <c r="J1002" t="s">
        <v>29</v>
      </c>
      <c r="K1002" t="s">
        <v>171</v>
      </c>
      <c r="L1002" s="8">
        <f t="shared" si="16"/>
        <v>0.78048780487804881</v>
      </c>
    </row>
    <row r="1003" spans="1:12">
      <c r="A1003" t="s">
        <v>573</v>
      </c>
      <c r="B1003">
        <v>1985</v>
      </c>
      <c r="C1003" t="s">
        <v>380</v>
      </c>
      <c r="D1003">
        <v>101.36</v>
      </c>
      <c r="E1003">
        <v>320</v>
      </c>
      <c r="F1003">
        <v>250</v>
      </c>
      <c r="G1003">
        <v>255</v>
      </c>
      <c r="H1003">
        <v>825</v>
      </c>
      <c r="I1003">
        <v>2013</v>
      </c>
      <c r="J1003" t="s">
        <v>29</v>
      </c>
      <c r="K1003" t="s">
        <v>171</v>
      </c>
      <c r="L1003" s="8">
        <f t="shared" si="16"/>
        <v>0.78125</v>
      </c>
    </row>
    <row r="1004" spans="1:12">
      <c r="A1004" t="s">
        <v>748</v>
      </c>
      <c r="B1004">
        <v>1978</v>
      </c>
      <c r="C1004" t="s">
        <v>80</v>
      </c>
      <c r="D1004">
        <v>65.69</v>
      </c>
      <c r="E1004">
        <v>252.5</v>
      </c>
      <c r="F1004">
        <v>197.5</v>
      </c>
      <c r="G1004">
        <v>285</v>
      </c>
      <c r="H1004">
        <v>735</v>
      </c>
      <c r="I1004">
        <v>2013</v>
      </c>
      <c r="J1004" t="s">
        <v>29</v>
      </c>
      <c r="K1004" t="s">
        <v>171</v>
      </c>
      <c r="L1004" s="8">
        <f t="shared" si="16"/>
        <v>0.78217821782178221</v>
      </c>
    </row>
    <row r="1005" spans="1:12">
      <c r="A1005" t="s">
        <v>389</v>
      </c>
      <c r="B1005">
        <v>1978</v>
      </c>
      <c r="C1005" t="s">
        <v>390</v>
      </c>
      <c r="D1005">
        <v>119.83</v>
      </c>
      <c r="E1005">
        <v>420</v>
      </c>
      <c r="F1005">
        <v>330</v>
      </c>
      <c r="G1005">
        <v>327.5</v>
      </c>
      <c r="H1005">
        <v>1077.5</v>
      </c>
      <c r="I1005">
        <v>2015</v>
      </c>
      <c r="J1005" t="s">
        <v>29</v>
      </c>
      <c r="K1005" t="s">
        <v>171</v>
      </c>
      <c r="L1005" s="8">
        <f t="shared" si="16"/>
        <v>0.7857142857142857</v>
      </c>
    </row>
    <row r="1006" spans="1:12">
      <c r="A1006" t="s">
        <v>512</v>
      </c>
      <c r="B1006">
        <v>1969</v>
      </c>
      <c r="C1006" t="s">
        <v>77</v>
      </c>
      <c r="D1006">
        <v>73.099999999999994</v>
      </c>
      <c r="E1006">
        <v>280</v>
      </c>
      <c r="F1006">
        <v>220</v>
      </c>
      <c r="G1006">
        <v>265</v>
      </c>
      <c r="H1006">
        <v>765</v>
      </c>
      <c r="I1006">
        <v>2015</v>
      </c>
      <c r="J1006" t="s">
        <v>29</v>
      </c>
      <c r="K1006" t="s">
        <v>171</v>
      </c>
      <c r="L1006" s="8">
        <f t="shared" si="16"/>
        <v>0.7857142857142857</v>
      </c>
    </row>
    <row r="1007" spans="1:12">
      <c r="A1007" t="s">
        <v>543</v>
      </c>
      <c r="B1007">
        <v>1953</v>
      </c>
      <c r="C1007" t="s">
        <v>77</v>
      </c>
      <c r="D1007">
        <v>58.55</v>
      </c>
      <c r="E1007">
        <v>210</v>
      </c>
      <c r="F1007">
        <v>165</v>
      </c>
      <c r="G1007">
        <v>210</v>
      </c>
      <c r="H1007">
        <v>585</v>
      </c>
      <c r="I1007">
        <v>2013</v>
      </c>
      <c r="J1007" t="s">
        <v>29</v>
      </c>
      <c r="K1007" t="s">
        <v>171</v>
      </c>
      <c r="L1007" s="8">
        <f t="shared" si="16"/>
        <v>0.7857142857142857</v>
      </c>
    </row>
    <row r="1008" spans="1:12">
      <c r="A1008" t="s">
        <v>362</v>
      </c>
      <c r="B1008">
        <v>1978</v>
      </c>
      <c r="C1008" t="s">
        <v>77</v>
      </c>
      <c r="D1008">
        <v>90.4</v>
      </c>
      <c r="E1008">
        <v>305</v>
      </c>
      <c r="F1008">
        <v>240</v>
      </c>
      <c r="G1008">
        <v>295</v>
      </c>
      <c r="H1008">
        <v>840</v>
      </c>
      <c r="I1008">
        <v>2014</v>
      </c>
      <c r="J1008" t="s">
        <v>29</v>
      </c>
      <c r="K1008" t="s">
        <v>171</v>
      </c>
      <c r="L1008" s="8">
        <f t="shared" si="16"/>
        <v>0.78688524590163933</v>
      </c>
    </row>
    <row r="1009" spans="1:12">
      <c r="A1009" t="s">
        <v>769</v>
      </c>
      <c r="B1009">
        <v>1984</v>
      </c>
      <c r="C1009" t="s">
        <v>49</v>
      </c>
      <c r="D1009">
        <v>83</v>
      </c>
      <c r="E1009">
        <v>305</v>
      </c>
      <c r="F1009">
        <v>240</v>
      </c>
      <c r="G1009">
        <v>260</v>
      </c>
      <c r="H1009">
        <v>805</v>
      </c>
      <c r="I1009">
        <v>2012</v>
      </c>
      <c r="J1009" t="s">
        <v>29</v>
      </c>
      <c r="K1009" t="s">
        <v>171</v>
      </c>
      <c r="L1009" s="8">
        <f t="shared" si="16"/>
        <v>0.78688524590163933</v>
      </c>
    </row>
    <row r="1010" spans="1:12">
      <c r="A1010" t="s">
        <v>725</v>
      </c>
      <c r="B1010">
        <v>1986</v>
      </c>
      <c r="C1010" t="s">
        <v>45</v>
      </c>
      <c r="D1010">
        <v>73.23</v>
      </c>
      <c r="E1010">
        <v>282.5</v>
      </c>
      <c r="F1010">
        <v>222.5</v>
      </c>
      <c r="G1010">
        <v>262.5</v>
      </c>
      <c r="H1010">
        <v>767.5</v>
      </c>
      <c r="I1010">
        <v>2013</v>
      </c>
      <c r="J1010" t="s">
        <v>29</v>
      </c>
      <c r="K1010" t="s">
        <v>171</v>
      </c>
      <c r="L1010" s="8">
        <f t="shared" si="16"/>
        <v>0.78761061946902655</v>
      </c>
    </row>
    <row r="1011" spans="1:12">
      <c r="A1011" t="s">
        <v>355</v>
      </c>
      <c r="B1011">
        <v>1982</v>
      </c>
      <c r="C1011" t="s">
        <v>77</v>
      </c>
      <c r="D1011">
        <v>102.14</v>
      </c>
      <c r="E1011">
        <v>330</v>
      </c>
      <c r="F1011">
        <v>260</v>
      </c>
      <c r="G1011">
        <v>290</v>
      </c>
      <c r="H1011">
        <v>880</v>
      </c>
      <c r="I1011">
        <v>2013</v>
      </c>
      <c r="J1011" t="s">
        <v>29</v>
      </c>
      <c r="K1011" t="s">
        <v>171</v>
      </c>
      <c r="L1011" s="8">
        <f t="shared" si="16"/>
        <v>0.78787878787878785</v>
      </c>
    </row>
    <row r="1012" spans="1:12">
      <c r="A1012" t="s">
        <v>840</v>
      </c>
      <c r="B1012">
        <v>1989</v>
      </c>
      <c r="C1012" t="s">
        <v>45</v>
      </c>
      <c r="D1012">
        <v>105.32</v>
      </c>
      <c r="E1012">
        <v>330</v>
      </c>
      <c r="F1012">
        <v>260</v>
      </c>
      <c r="G1012">
        <v>310</v>
      </c>
      <c r="H1012">
        <v>900</v>
      </c>
      <c r="I1012">
        <v>2013</v>
      </c>
      <c r="J1012" t="s">
        <v>29</v>
      </c>
      <c r="K1012" t="s">
        <v>171</v>
      </c>
      <c r="L1012" s="8">
        <f t="shared" si="16"/>
        <v>0.78787878787878785</v>
      </c>
    </row>
    <row r="1013" spans="1:12">
      <c r="A1013" t="s">
        <v>647</v>
      </c>
      <c r="B1013">
        <v>1983</v>
      </c>
      <c r="C1013" t="s">
        <v>336</v>
      </c>
      <c r="D1013">
        <v>73.8</v>
      </c>
      <c r="E1013">
        <v>250</v>
      </c>
      <c r="F1013">
        <v>197.5</v>
      </c>
      <c r="G1013">
        <v>207.5</v>
      </c>
      <c r="H1013">
        <v>655</v>
      </c>
      <c r="I1013">
        <v>2013</v>
      </c>
      <c r="J1013" t="s">
        <v>29</v>
      </c>
      <c r="K1013" t="s">
        <v>171</v>
      </c>
      <c r="L1013" s="8">
        <f t="shared" si="16"/>
        <v>0.79</v>
      </c>
    </row>
    <row r="1014" spans="1:12">
      <c r="A1014" t="s">
        <v>808</v>
      </c>
      <c r="B1014">
        <v>1972</v>
      </c>
      <c r="C1014" t="s">
        <v>318</v>
      </c>
      <c r="D1014">
        <v>92.67</v>
      </c>
      <c r="E1014">
        <v>335</v>
      </c>
      <c r="F1014">
        <v>265</v>
      </c>
      <c r="G1014">
        <v>300</v>
      </c>
      <c r="H1014">
        <v>900</v>
      </c>
      <c r="I1014">
        <v>2013</v>
      </c>
      <c r="J1014" t="s">
        <v>29</v>
      </c>
      <c r="K1014" t="s">
        <v>171</v>
      </c>
      <c r="L1014" s="8">
        <f t="shared" si="16"/>
        <v>0.79104477611940294</v>
      </c>
    </row>
    <row r="1015" spans="1:12">
      <c r="A1015" t="s">
        <v>746</v>
      </c>
      <c r="B1015">
        <v>1982</v>
      </c>
      <c r="C1015" t="s">
        <v>77</v>
      </c>
      <c r="D1015">
        <v>65.42</v>
      </c>
      <c r="E1015">
        <v>265</v>
      </c>
      <c r="F1015">
        <v>210</v>
      </c>
      <c r="G1015">
        <v>247.5</v>
      </c>
      <c r="H1015">
        <v>722.5</v>
      </c>
      <c r="I1015">
        <v>2014</v>
      </c>
      <c r="J1015" t="s">
        <v>29</v>
      </c>
      <c r="K1015" t="s">
        <v>171</v>
      </c>
      <c r="L1015" s="8">
        <f t="shared" si="16"/>
        <v>0.79245283018867929</v>
      </c>
    </row>
    <row r="1016" spans="1:12">
      <c r="A1016" t="s">
        <v>378</v>
      </c>
      <c r="B1016">
        <v>1977</v>
      </c>
      <c r="C1016" t="s">
        <v>125</v>
      </c>
      <c r="D1016">
        <v>92.85</v>
      </c>
      <c r="E1016">
        <v>327.5</v>
      </c>
      <c r="F1016">
        <v>260</v>
      </c>
      <c r="G1016">
        <v>305</v>
      </c>
      <c r="H1016">
        <v>892.5</v>
      </c>
      <c r="I1016">
        <v>2013</v>
      </c>
      <c r="J1016" t="s">
        <v>29</v>
      </c>
      <c r="K1016" t="s">
        <v>171</v>
      </c>
      <c r="L1016" s="8">
        <f t="shared" si="16"/>
        <v>0.79389312977099236</v>
      </c>
    </row>
    <row r="1017" spans="1:12">
      <c r="A1017" t="s">
        <v>355</v>
      </c>
      <c r="B1017">
        <v>1982</v>
      </c>
      <c r="C1017" t="s">
        <v>77</v>
      </c>
      <c r="D1017">
        <v>102.69</v>
      </c>
      <c r="E1017">
        <v>340</v>
      </c>
      <c r="F1017">
        <v>270</v>
      </c>
      <c r="G1017">
        <v>302.5</v>
      </c>
      <c r="H1017">
        <v>912.5</v>
      </c>
      <c r="I1017">
        <v>2015</v>
      </c>
      <c r="J1017" t="s">
        <v>29</v>
      </c>
      <c r="K1017" t="s">
        <v>171</v>
      </c>
      <c r="L1017" s="8">
        <f t="shared" si="16"/>
        <v>0.79411764705882348</v>
      </c>
    </row>
    <row r="1018" spans="1:12">
      <c r="A1018" t="s">
        <v>101</v>
      </c>
      <c r="B1018">
        <v>1987</v>
      </c>
      <c r="C1018" t="s">
        <v>77</v>
      </c>
      <c r="D1018">
        <v>93</v>
      </c>
      <c r="E1018">
        <v>340</v>
      </c>
      <c r="F1018">
        <v>270</v>
      </c>
      <c r="G1018">
        <v>252.5</v>
      </c>
      <c r="H1018">
        <v>862.5</v>
      </c>
      <c r="I1018">
        <v>2015</v>
      </c>
      <c r="J1018" t="s">
        <v>29</v>
      </c>
      <c r="K1018" t="s">
        <v>171</v>
      </c>
      <c r="L1018" s="8">
        <f t="shared" si="16"/>
        <v>0.79411764705882348</v>
      </c>
    </row>
    <row r="1019" spans="1:12">
      <c r="A1019" t="s">
        <v>746</v>
      </c>
      <c r="B1019">
        <v>1982</v>
      </c>
      <c r="C1019" t="s">
        <v>77</v>
      </c>
      <c r="D1019">
        <v>65.650000000000006</v>
      </c>
      <c r="E1019">
        <v>255</v>
      </c>
      <c r="F1019">
        <v>202.5</v>
      </c>
      <c r="G1019">
        <v>235</v>
      </c>
      <c r="H1019">
        <v>692.5</v>
      </c>
      <c r="I1019">
        <v>2012</v>
      </c>
      <c r="J1019" t="s">
        <v>29</v>
      </c>
      <c r="K1019" t="s">
        <v>171</v>
      </c>
      <c r="L1019" s="8">
        <f t="shared" si="16"/>
        <v>0.79411764705882348</v>
      </c>
    </row>
    <row r="1020" spans="1:12">
      <c r="A1020" t="s">
        <v>610</v>
      </c>
      <c r="B1020">
        <v>1983</v>
      </c>
      <c r="C1020" t="s">
        <v>74</v>
      </c>
      <c r="D1020">
        <v>64.88</v>
      </c>
      <c r="E1020">
        <v>245</v>
      </c>
      <c r="F1020">
        <v>195</v>
      </c>
      <c r="G1020">
        <v>220</v>
      </c>
      <c r="H1020">
        <v>660</v>
      </c>
      <c r="I1020">
        <v>2012</v>
      </c>
      <c r="J1020" t="s">
        <v>29</v>
      </c>
      <c r="K1020" t="s">
        <v>171</v>
      </c>
      <c r="L1020" s="8">
        <f t="shared" si="16"/>
        <v>0.79591836734693877</v>
      </c>
    </row>
    <row r="1021" spans="1:12">
      <c r="A1021" t="s">
        <v>746</v>
      </c>
      <c r="B1021">
        <v>1982</v>
      </c>
      <c r="C1021" t="s">
        <v>77</v>
      </c>
      <c r="D1021">
        <v>65.25</v>
      </c>
      <c r="E1021">
        <v>270</v>
      </c>
      <c r="F1021">
        <v>215</v>
      </c>
      <c r="G1021">
        <v>247.5</v>
      </c>
      <c r="H1021">
        <v>732.5</v>
      </c>
      <c r="I1021">
        <v>2015</v>
      </c>
      <c r="J1021" t="s">
        <v>29</v>
      </c>
      <c r="K1021" t="s">
        <v>171</v>
      </c>
      <c r="L1021" s="8">
        <f t="shared" si="16"/>
        <v>0.79629629629629628</v>
      </c>
    </row>
    <row r="1022" spans="1:12">
      <c r="A1022" t="s">
        <v>762</v>
      </c>
      <c r="B1022">
        <v>1980</v>
      </c>
      <c r="C1022" t="s">
        <v>349</v>
      </c>
      <c r="D1022">
        <v>72.680000000000007</v>
      </c>
      <c r="E1022">
        <v>270</v>
      </c>
      <c r="F1022">
        <v>215</v>
      </c>
      <c r="G1022">
        <v>240</v>
      </c>
      <c r="H1022">
        <v>725</v>
      </c>
      <c r="I1022">
        <v>2013</v>
      </c>
      <c r="J1022" t="s">
        <v>29</v>
      </c>
      <c r="K1022" t="s">
        <v>171</v>
      </c>
      <c r="L1022" s="8">
        <f t="shared" si="16"/>
        <v>0.79629629629629628</v>
      </c>
    </row>
    <row r="1023" spans="1:12">
      <c r="A1023" t="s">
        <v>447</v>
      </c>
      <c r="B1023">
        <v>1988</v>
      </c>
      <c r="C1023" t="s">
        <v>62</v>
      </c>
      <c r="D1023">
        <v>82.32</v>
      </c>
      <c r="E1023">
        <v>320</v>
      </c>
      <c r="F1023">
        <v>255</v>
      </c>
      <c r="G1023">
        <v>285</v>
      </c>
      <c r="H1023">
        <v>860</v>
      </c>
      <c r="I1023">
        <v>2014</v>
      </c>
      <c r="J1023" t="s">
        <v>29</v>
      </c>
      <c r="K1023" t="s">
        <v>171</v>
      </c>
      <c r="L1023" s="8">
        <f t="shared" si="16"/>
        <v>0.796875</v>
      </c>
    </row>
    <row r="1024" spans="1:12">
      <c r="A1024" t="s">
        <v>354</v>
      </c>
      <c r="B1024">
        <v>1985</v>
      </c>
      <c r="C1024" t="s">
        <v>349</v>
      </c>
      <c r="D1024">
        <v>117.14</v>
      </c>
      <c r="E1024">
        <v>300</v>
      </c>
      <c r="F1024">
        <v>240</v>
      </c>
      <c r="G1024">
        <v>310</v>
      </c>
      <c r="H1024">
        <v>850</v>
      </c>
      <c r="I1024">
        <v>2013</v>
      </c>
      <c r="J1024" t="s">
        <v>29</v>
      </c>
      <c r="K1024" t="s">
        <v>171</v>
      </c>
      <c r="L1024" s="8">
        <f t="shared" si="16"/>
        <v>0.8</v>
      </c>
    </row>
    <row r="1025" spans="1:12">
      <c r="A1025" t="s">
        <v>154</v>
      </c>
      <c r="B1025">
        <v>1987</v>
      </c>
      <c r="C1025" t="s">
        <v>62</v>
      </c>
      <c r="D1025">
        <v>167.27</v>
      </c>
      <c r="E1025">
        <v>455</v>
      </c>
      <c r="F1025">
        <v>365</v>
      </c>
      <c r="G1025">
        <v>345</v>
      </c>
      <c r="H1025">
        <v>1165</v>
      </c>
      <c r="I1025">
        <v>2015</v>
      </c>
      <c r="J1025" t="s">
        <v>29</v>
      </c>
      <c r="K1025" t="s">
        <v>171</v>
      </c>
      <c r="L1025" s="8">
        <f t="shared" si="16"/>
        <v>0.80219780219780223</v>
      </c>
    </row>
    <row r="1026" spans="1:12">
      <c r="A1026" t="s">
        <v>368</v>
      </c>
      <c r="B1026">
        <v>1983</v>
      </c>
      <c r="C1026" t="s">
        <v>45</v>
      </c>
      <c r="D1026">
        <v>159.5</v>
      </c>
      <c r="E1026">
        <v>405</v>
      </c>
      <c r="F1026">
        <v>325</v>
      </c>
      <c r="G1026">
        <v>352.5</v>
      </c>
      <c r="H1026">
        <v>1082.5</v>
      </c>
      <c r="I1026">
        <v>2013</v>
      </c>
      <c r="J1026" t="s">
        <v>29</v>
      </c>
      <c r="K1026" t="s">
        <v>171</v>
      </c>
      <c r="L1026" s="8">
        <f t="shared" si="16"/>
        <v>0.80246913580246915</v>
      </c>
    </row>
    <row r="1027" spans="1:12">
      <c r="A1027" t="s">
        <v>450</v>
      </c>
      <c r="B1027">
        <v>1987</v>
      </c>
      <c r="C1027" t="s">
        <v>119</v>
      </c>
      <c r="D1027">
        <v>104.92</v>
      </c>
      <c r="E1027">
        <v>402.5</v>
      </c>
      <c r="F1027">
        <v>323</v>
      </c>
      <c r="G1027">
        <v>325</v>
      </c>
      <c r="H1027">
        <v>1050.5</v>
      </c>
      <c r="I1027">
        <v>2013</v>
      </c>
      <c r="J1027" t="s">
        <v>29</v>
      </c>
      <c r="K1027" t="s">
        <v>171</v>
      </c>
      <c r="L1027" s="8">
        <f t="shared" si="16"/>
        <v>0.80248447204968942</v>
      </c>
    </row>
    <row r="1028" spans="1:12">
      <c r="A1028" t="s">
        <v>547</v>
      </c>
      <c r="B1028">
        <v>1989</v>
      </c>
      <c r="C1028" t="s">
        <v>62</v>
      </c>
      <c r="D1028">
        <v>104.66</v>
      </c>
      <c r="E1028">
        <v>330</v>
      </c>
      <c r="F1028">
        <v>265</v>
      </c>
      <c r="G1028">
        <v>280</v>
      </c>
      <c r="H1028">
        <v>875</v>
      </c>
      <c r="I1028">
        <v>2012</v>
      </c>
      <c r="J1028" t="s">
        <v>29</v>
      </c>
      <c r="K1028" t="s">
        <v>171</v>
      </c>
      <c r="L1028" s="8">
        <f t="shared" si="16"/>
        <v>0.80303030303030298</v>
      </c>
    </row>
    <row r="1029" spans="1:12">
      <c r="A1029" t="s">
        <v>547</v>
      </c>
      <c r="B1029">
        <v>1989</v>
      </c>
      <c r="C1029" t="s">
        <v>62</v>
      </c>
      <c r="D1029">
        <v>92.49</v>
      </c>
      <c r="E1029">
        <v>305</v>
      </c>
      <c r="F1029">
        <v>245</v>
      </c>
      <c r="G1029">
        <v>280</v>
      </c>
      <c r="H1029">
        <v>830</v>
      </c>
      <c r="I1029">
        <v>2013</v>
      </c>
      <c r="J1029" t="s">
        <v>29</v>
      </c>
      <c r="K1029" t="s">
        <v>171</v>
      </c>
      <c r="L1029" s="8">
        <f t="shared" si="16"/>
        <v>0.80327868852459017</v>
      </c>
    </row>
    <row r="1030" spans="1:12">
      <c r="A1030" t="s">
        <v>793</v>
      </c>
      <c r="B1030">
        <v>1979</v>
      </c>
      <c r="C1030" t="s">
        <v>125</v>
      </c>
      <c r="D1030">
        <v>82.13</v>
      </c>
      <c r="E1030">
        <v>280</v>
      </c>
      <c r="F1030">
        <v>225</v>
      </c>
      <c r="G1030">
        <v>300</v>
      </c>
      <c r="H1030">
        <v>805</v>
      </c>
      <c r="I1030">
        <v>2012</v>
      </c>
      <c r="J1030" t="s">
        <v>29</v>
      </c>
      <c r="K1030" t="s">
        <v>171</v>
      </c>
      <c r="L1030" s="8">
        <f t="shared" si="16"/>
        <v>0.8035714285714286</v>
      </c>
    </row>
    <row r="1031" spans="1:12">
      <c r="A1031" t="s">
        <v>697</v>
      </c>
      <c r="B1031">
        <v>1973</v>
      </c>
      <c r="C1031" t="s">
        <v>485</v>
      </c>
      <c r="D1031">
        <v>101.77</v>
      </c>
      <c r="E1031">
        <v>307.5</v>
      </c>
      <c r="F1031">
        <v>247.5</v>
      </c>
      <c r="G1031">
        <v>270</v>
      </c>
      <c r="H1031">
        <v>825</v>
      </c>
      <c r="I1031">
        <v>2012</v>
      </c>
      <c r="J1031" t="s">
        <v>29</v>
      </c>
      <c r="K1031" t="s">
        <v>171</v>
      </c>
      <c r="L1031" s="8">
        <f t="shared" si="16"/>
        <v>0.80487804878048785</v>
      </c>
    </row>
    <row r="1032" spans="1:12">
      <c r="A1032" t="s">
        <v>830</v>
      </c>
      <c r="B1032">
        <v>1965</v>
      </c>
      <c r="C1032" t="s">
        <v>85</v>
      </c>
      <c r="D1032">
        <v>91.48</v>
      </c>
      <c r="E1032">
        <v>360</v>
      </c>
      <c r="F1032">
        <v>290</v>
      </c>
      <c r="G1032">
        <v>292.5</v>
      </c>
      <c r="H1032">
        <v>942.5</v>
      </c>
      <c r="I1032">
        <v>2014</v>
      </c>
      <c r="J1032" t="s">
        <v>29</v>
      </c>
      <c r="K1032" t="s">
        <v>171</v>
      </c>
      <c r="L1032" s="8">
        <f t="shared" si="16"/>
        <v>0.80555555555555558</v>
      </c>
    </row>
    <row r="1033" spans="1:12">
      <c r="A1033" t="s">
        <v>775</v>
      </c>
      <c r="B1033">
        <v>1986</v>
      </c>
      <c r="C1033" t="s">
        <v>318</v>
      </c>
      <c r="D1033">
        <v>119.63</v>
      </c>
      <c r="E1033">
        <v>335</v>
      </c>
      <c r="F1033">
        <v>270</v>
      </c>
      <c r="G1033">
        <v>295</v>
      </c>
      <c r="H1033">
        <v>900</v>
      </c>
      <c r="I1033">
        <v>2013</v>
      </c>
      <c r="J1033" t="s">
        <v>29</v>
      </c>
      <c r="K1033" t="s">
        <v>171</v>
      </c>
      <c r="L1033" s="8">
        <f t="shared" si="16"/>
        <v>0.80597014925373134</v>
      </c>
    </row>
    <row r="1034" spans="1:12">
      <c r="A1034" t="s">
        <v>459</v>
      </c>
      <c r="B1034">
        <v>1989</v>
      </c>
      <c r="C1034" t="s">
        <v>45</v>
      </c>
      <c r="D1034">
        <v>104.02</v>
      </c>
      <c r="E1034">
        <v>350</v>
      </c>
      <c r="F1034">
        <v>282.5</v>
      </c>
      <c r="G1034">
        <v>337.5</v>
      </c>
      <c r="H1034">
        <v>970</v>
      </c>
      <c r="I1034">
        <v>2014</v>
      </c>
      <c r="J1034" t="s">
        <v>29</v>
      </c>
      <c r="K1034" t="s">
        <v>171</v>
      </c>
      <c r="L1034" s="8">
        <f t="shared" si="16"/>
        <v>0.80714285714285716</v>
      </c>
    </row>
    <row r="1035" spans="1:12">
      <c r="A1035" t="s">
        <v>459</v>
      </c>
      <c r="B1035">
        <v>1989</v>
      </c>
      <c r="C1035" t="s">
        <v>45</v>
      </c>
      <c r="D1035">
        <v>104.49</v>
      </c>
      <c r="E1035">
        <v>352.5</v>
      </c>
      <c r="F1035">
        <v>285</v>
      </c>
      <c r="G1035">
        <v>322.5</v>
      </c>
      <c r="H1035">
        <v>960</v>
      </c>
      <c r="I1035">
        <v>2015</v>
      </c>
      <c r="J1035" t="s">
        <v>29</v>
      </c>
      <c r="K1035" t="s">
        <v>171</v>
      </c>
      <c r="L1035" s="8">
        <f t="shared" si="16"/>
        <v>0.80851063829787229</v>
      </c>
    </row>
    <row r="1036" spans="1:12">
      <c r="A1036" t="s">
        <v>592</v>
      </c>
      <c r="B1036">
        <v>1974</v>
      </c>
      <c r="C1036" t="s">
        <v>72</v>
      </c>
      <c r="D1036">
        <v>118.86</v>
      </c>
      <c r="E1036">
        <v>340</v>
      </c>
      <c r="F1036">
        <v>275</v>
      </c>
      <c r="G1036">
        <v>285</v>
      </c>
      <c r="H1036">
        <v>900</v>
      </c>
      <c r="I1036">
        <v>2012</v>
      </c>
      <c r="J1036" t="s">
        <v>29</v>
      </c>
      <c r="K1036" t="s">
        <v>171</v>
      </c>
      <c r="L1036" s="8">
        <f t="shared" si="16"/>
        <v>0.80882352941176472</v>
      </c>
    </row>
    <row r="1037" spans="1:12">
      <c r="A1037" t="s">
        <v>378</v>
      </c>
      <c r="B1037">
        <v>1977</v>
      </c>
      <c r="C1037" t="s">
        <v>125</v>
      </c>
      <c r="D1037">
        <v>92.58</v>
      </c>
      <c r="E1037">
        <v>327.5</v>
      </c>
      <c r="F1037">
        <v>265</v>
      </c>
      <c r="G1037">
        <v>307.5</v>
      </c>
      <c r="H1037">
        <v>900</v>
      </c>
      <c r="I1037">
        <v>2014</v>
      </c>
      <c r="J1037" t="s">
        <v>29</v>
      </c>
      <c r="K1037" t="s">
        <v>171</v>
      </c>
      <c r="L1037" s="8">
        <f t="shared" si="16"/>
        <v>0.80916030534351147</v>
      </c>
    </row>
    <row r="1038" spans="1:12">
      <c r="A1038" t="s">
        <v>355</v>
      </c>
      <c r="B1038">
        <v>1982</v>
      </c>
      <c r="C1038" t="s">
        <v>77</v>
      </c>
      <c r="D1038">
        <v>102.02</v>
      </c>
      <c r="E1038">
        <v>315</v>
      </c>
      <c r="F1038">
        <v>255</v>
      </c>
      <c r="G1038">
        <v>285</v>
      </c>
      <c r="H1038">
        <v>855</v>
      </c>
      <c r="I1038">
        <v>2014</v>
      </c>
      <c r="J1038" t="s">
        <v>29</v>
      </c>
      <c r="K1038" t="s">
        <v>171</v>
      </c>
      <c r="L1038" s="8">
        <f t="shared" si="16"/>
        <v>0.80952380952380953</v>
      </c>
    </row>
    <row r="1039" spans="1:12">
      <c r="A1039" t="s">
        <v>808</v>
      </c>
      <c r="B1039">
        <v>1972</v>
      </c>
      <c r="C1039" t="s">
        <v>318</v>
      </c>
      <c r="D1039">
        <v>103.38</v>
      </c>
      <c r="E1039">
        <v>355</v>
      </c>
      <c r="F1039">
        <v>287.5</v>
      </c>
      <c r="G1039">
        <v>307.5</v>
      </c>
      <c r="H1039">
        <v>950</v>
      </c>
      <c r="I1039">
        <v>2015</v>
      </c>
      <c r="J1039" t="s">
        <v>29</v>
      </c>
      <c r="K1039" t="s">
        <v>171</v>
      </c>
      <c r="L1039" s="8">
        <f t="shared" si="16"/>
        <v>0.8098591549295775</v>
      </c>
    </row>
    <row r="1040" spans="1:12">
      <c r="A1040" t="s">
        <v>374</v>
      </c>
      <c r="B1040">
        <v>1984</v>
      </c>
      <c r="C1040" t="s">
        <v>51</v>
      </c>
      <c r="D1040">
        <v>117.11</v>
      </c>
      <c r="E1040">
        <v>320</v>
      </c>
      <c r="F1040">
        <v>260</v>
      </c>
      <c r="G1040">
        <v>327.5</v>
      </c>
      <c r="H1040">
        <v>907.5</v>
      </c>
      <c r="I1040">
        <v>2012</v>
      </c>
      <c r="J1040" t="s">
        <v>29</v>
      </c>
      <c r="K1040" t="s">
        <v>171</v>
      </c>
      <c r="L1040" s="8">
        <f t="shared" si="16"/>
        <v>0.8125</v>
      </c>
    </row>
    <row r="1041" spans="1:12">
      <c r="A1041" t="s">
        <v>554</v>
      </c>
      <c r="B1041">
        <v>1994</v>
      </c>
      <c r="C1041" t="s">
        <v>74</v>
      </c>
      <c r="D1041">
        <v>82.1</v>
      </c>
      <c r="E1041">
        <v>215</v>
      </c>
      <c r="F1041">
        <v>175</v>
      </c>
      <c r="G1041">
        <v>332.5</v>
      </c>
      <c r="H1041">
        <v>722.5</v>
      </c>
      <c r="I1041">
        <v>2015</v>
      </c>
      <c r="J1041" t="s">
        <v>29</v>
      </c>
      <c r="K1041" t="s">
        <v>171</v>
      </c>
      <c r="L1041" s="8">
        <f t="shared" si="16"/>
        <v>0.81395348837209303</v>
      </c>
    </row>
    <row r="1042" spans="1:12">
      <c r="A1042" t="s">
        <v>769</v>
      </c>
      <c r="B1042">
        <v>1984</v>
      </c>
      <c r="C1042" t="s">
        <v>49</v>
      </c>
      <c r="D1042">
        <v>82.7</v>
      </c>
      <c r="E1042">
        <v>310</v>
      </c>
      <c r="F1042">
        <v>252.5</v>
      </c>
      <c r="G1042">
        <v>275</v>
      </c>
      <c r="H1042">
        <v>837.5</v>
      </c>
      <c r="I1042">
        <v>2014</v>
      </c>
      <c r="J1042" t="s">
        <v>29</v>
      </c>
      <c r="K1042" t="s">
        <v>171</v>
      </c>
      <c r="L1042" s="8">
        <f t="shared" si="16"/>
        <v>0.81451612903225812</v>
      </c>
    </row>
    <row r="1043" spans="1:12">
      <c r="A1043" t="s">
        <v>378</v>
      </c>
      <c r="B1043">
        <v>1977</v>
      </c>
      <c r="C1043" t="s">
        <v>125</v>
      </c>
      <c r="D1043">
        <v>92.26</v>
      </c>
      <c r="E1043">
        <v>325</v>
      </c>
      <c r="F1043">
        <v>265</v>
      </c>
      <c r="G1043">
        <v>297.5</v>
      </c>
      <c r="H1043">
        <v>887.5</v>
      </c>
      <c r="I1043">
        <v>2012</v>
      </c>
      <c r="J1043" t="s">
        <v>29</v>
      </c>
      <c r="K1043" t="s">
        <v>171</v>
      </c>
      <c r="L1043" s="8">
        <f t="shared" si="16"/>
        <v>0.81538461538461537</v>
      </c>
    </row>
    <row r="1044" spans="1:12">
      <c r="A1044" t="s">
        <v>420</v>
      </c>
      <c r="B1044">
        <v>1988</v>
      </c>
      <c r="C1044" t="s">
        <v>62</v>
      </c>
      <c r="D1044">
        <v>163.5</v>
      </c>
      <c r="E1044">
        <v>407.5</v>
      </c>
      <c r="F1044">
        <v>332.5</v>
      </c>
      <c r="G1044">
        <v>352.5</v>
      </c>
      <c r="H1044">
        <v>1092.5</v>
      </c>
      <c r="I1044">
        <v>2013</v>
      </c>
      <c r="J1044" t="s">
        <v>29</v>
      </c>
      <c r="K1044" t="s">
        <v>171</v>
      </c>
      <c r="L1044" s="8">
        <f t="shared" si="16"/>
        <v>0.81595092024539873</v>
      </c>
    </row>
    <row r="1045" spans="1:12">
      <c r="A1045" t="s">
        <v>782</v>
      </c>
      <c r="B1045">
        <v>1981</v>
      </c>
      <c r="C1045" t="s">
        <v>113</v>
      </c>
      <c r="D1045">
        <v>131.96</v>
      </c>
      <c r="E1045">
        <v>327.5</v>
      </c>
      <c r="F1045">
        <v>267.5</v>
      </c>
      <c r="G1045">
        <v>295</v>
      </c>
      <c r="H1045">
        <v>890</v>
      </c>
      <c r="I1045">
        <v>2012</v>
      </c>
      <c r="J1045" t="s">
        <v>29</v>
      </c>
      <c r="K1045" t="s">
        <v>171</v>
      </c>
      <c r="L1045" s="8">
        <f t="shared" si="16"/>
        <v>0.81679389312977102</v>
      </c>
    </row>
    <row r="1046" spans="1:12">
      <c r="A1046" t="s">
        <v>434</v>
      </c>
      <c r="B1046">
        <v>1989</v>
      </c>
      <c r="C1046" t="s">
        <v>62</v>
      </c>
      <c r="D1046">
        <v>102.45</v>
      </c>
      <c r="E1046">
        <v>372.5</v>
      </c>
      <c r="F1046">
        <v>305</v>
      </c>
      <c r="G1046">
        <v>282.5</v>
      </c>
      <c r="H1046">
        <v>960</v>
      </c>
      <c r="I1046">
        <v>2015</v>
      </c>
      <c r="J1046" t="s">
        <v>29</v>
      </c>
      <c r="K1046" t="s">
        <v>171</v>
      </c>
      <c r="L1046" s="8">
        <f t="shared" si="16"/>
        <v>0.81879194630872487</v>
      </c>
    </row>
    <row r="1047" spans="1:12">
      <c r="A1047" t="s">
        <v>425</v>
      </c>
      <c r="B1047">
        <v>1992</v>
      </c>
      <c r="C1047" t="s">
        <v>51</v>
      </c>
      <c r="D1047">
        <v>72.349999999999994</v>
      </c>
      <c r="E1047">
        <v>250</v>
      </c>
      <c r="F1047">
        <v>205</v>
      </c>
      <c r="G1047">
        <v>250</v>
      </c>
      <c r="H1047">
        <v>705</v>
      </c>
      <c r="I1047">
        <v>2015</v>
      </c>
      <c r="J1047" t="s">
        <v>29</v>
      </c>
      <c r="K1047" t="s">
        <v>171</v>
      </c>
      <c r="L1047" s="8">
        <f t="shared" ref="L1047:L1088" si="17">IF(AND(F1047&lt;&gt;0,E1047&lt;&gt;0),F1047/E1047,"")</f>
        <v>0.82</v>
      </c>
    </row>
    <row r="1048" spans="1:12">
      <c r="A1048" t="s">
        <v>812</v>
      </c>
      <c r="B1048">
        <v>1990</v>
      </c>
      <c r="C1048" t="s">
        <v>390</v>
      </c>
      <c r="D1048">
        <v>73.36</v>
      </c>
      <c r="E1048">
        <v>237.5</v>
      </c>
      <c r="F1048">
        <v>195</v>
      </c>
      <c r="G1048">
        <v>255</v>
      </c>
      <c r="H1048">
        <v>687.5</v>
      </c>
      <c r="I1048">
        <v>2015</v>
      </c>
      <c r="J1048" t="s">
        <v>29</v>
      </c>
      <c r="K1048" t="s">
        <v>171</v>
      </c>
      <c r="L1048" s="8">
        <f t="shared" si="17"/>
        <v>0.82105263157894737</v>
      </c>
    </row>
    <row r="1049" spans="1:12">
      <c r="A1049" t="s">
        <v>725</v>
      </c>
      <c r="B1049">
        <v>1986</v>
      </c>
      <c r="C1049" t="s">
        <v>45</v>
      </c>
      <c r="D1049">
        <v>74</v>
      </c>
      <c r="E1049">
        <v>280</v>
      </c>
      <c r="F1049">
        <v>230</v>
      </c>
      <c r="G1049">
        <v>265</v>
      </c>
      <c r="H1049">
        <v>775</v>
      </c>
      <c r="I1049">
        <v>2012</v>
      </c>
      <c r="J1049" t="s">
        <v>29</v>
      </c>
      <c r="K1049" t="s">
        <v>171</v>
      </c>
      <c r="L1049" s="8">
        <f t="shared" si="17"/>
        <v>0.8214285714285714</v>
      </c>
    </row>
    <row r="1050" spans="1:12">
      <c r="A1050" t="s">
        <v>794</v>
      </c>
      <c r="B1050">
        <v>1989</v>
      </c>
      <c r="C1050" t="s">
        <v>119</v>
      </c>
      <c r="D1050">
        <v>137.94</v>
      </c>
      <c r="E1050">
        <v>435</v>
      </c>
      <c r="F1050">
        <v>357.5</v>
      </c>
      <c r="G1050">
        <v>355</v>
      </c>
      <c r="H1050">
        <v>1147.5</v>
      </c>
      <c r="I1050">
        <v>2012</v>
      </c>
      <c r="J1050" t="s">
        <v>29</v>
      </c>
      <c r="K1050" t="s">
        <v>171</v>
      </c>
      <c r="L1050" s="8">
        <f t="shared" si="17"/>
        <v>0.82183908045977017</v>
      </c>
    </row>
    <row r="1051" spans="1:12">
      <c r="A1051" t="s">
        <v>369</v>
      </c>
      <c r="B1051">
        <v>1983</v>
      </c>
      <c r="C1051" t="s">
        <v>45</v>
      </c>
      <c r="D1051">
        <v>168.7</v>
      </c>
      <c r="E1051">
        <v>410</v>
      </c>
      <c r="F1051">
        <v>337.5</v>
      </c>
      <c r="G1051">
        <v>362.5</v>
      </c>
      <c r="H1051">
        <v>1110</v>
      </c>
      <c r="I1051">
        <v>2015</v>
      </c>
      <c r="J1051" t="s">
        <v>29</v>
      </c>
      <c r="K1051" t="s">
        <v>171</v>
      </c>
      <c r="L1051" s="8">
        <f t="shared" si="17"/>
        <v>0.82317073170731703</v>
      </c>
    </row>
    <row r="1052" spans="1:12">
      <c r="A1052" t="s">
        <v>459</v>
      </c>
      <c r="B1052">
        <v>1989</v>
      </c>
      <c r="C1052" t="s">
        <v>45</v>
      </c>
      <c r="D1052">
        <v>103.69</v>
      </c>
      <c r="E1052">
        <v>332.5</v>
      </c>
      <c r="F1052">
        <v>275</v>
      </c>
      <c r="G1052">
        <v>330</v>
      </c>
      <c r="H1052">
        <v>937.5</v>
      </c>
      <c r="I1052">
        <v>2013</v>
      </c>
      <c r="J1052" t="s">
        <v>29</v>
      </c>
      <c r="K1052" t="s">
        <v>171</v>
      </c>
      <c r="L1052" s="8">
        <f t="shared" si="17"/>
        <v>0.82706766917293228</v>
      </c>
    </row>
    <row r="1053" spans="1:12">
      <c r="A1053" t="s">
        <v>121</v>
      </c>
      <c r="B1053">
        <v>1967</v>
      </c>
      <c r="C1053" t="s">
        <v>77</v>
      </c>
      <c r="D1053">
        <v>58.89</v>
      </c>
      <c r="E1053">
        <v>205</v>
      </c>
      <c r="F1053">
        <v>170</v>
      </c>
      <c r="G1053">
        <v>210</v>
      </c>
      <c r="H1053">
        <v>585</v>
      </c>
      <c r="I1053">
        <v>2015</v>
      </c>
      <c r="J1053" t="s">
        <v>29</v>
      </c>
      <c r="K1053" t="s">
        <v>171</v>
      </c>
      <c r="L1053" s="8">
        <f t="shared" si="17"/>
        <v>0.82926829268292679</v>
      </c>
    </row>
    <row r="1054" spans="1:12">
      <c r="A1054" t="s">
        <v>482</v>
      </c>
      <c r="B1054">
        <v>1982</v>
      </c>
      <c r="C1054" t="s">
        <v>49</v>
      </c>
      <c r="D1054">
        <v>73.040000000000006</v>
      </c>
      <c r="E1054">
        <v>265</v>
      </c>
      <c r="F1054">
        <v>220</v>
      </c>
      <c r="G1054">
        <v>250</v>
      </c>
      <c r="H1054">
        <v>735</v>
      </c>
      <c r="I1054">
        <v>2014</v>
      </c>
      <c r="J1054" t="s">
        <v>29</v>
      </c>
      <c r="K1054" t="s">
        <v>171</v>
      </c>
      <c r="L1054" s="8">
        <f t="shared" si="17"/>
        <v>0.83018867924528306</v>
      </c>
    </row>
    <row r="1055" spans="1:12">
      <c r="A1055" t="s">
        <v>742</v>
      </c>
      <c r="B1055">
        <v>1975</v>
      </c>
      <c r="C1055" t="s">
        <v>80</v>
      </c>
      <c r="D1055">
        <v>140.22</v>
      </c>
      <c r="E1055">
        <v>412.5</v>
      </c>
      <c r="F1055">
        <v>342.5</v>
      </c>
      <c r="G1055">
        <v>310</v>
      </c>
      <c r="H1055">
        <v>1065</v>
      </c>
      <c r="I1055">
        <v>2012</v>
      </c>
      <c r="J1055" t="s">
        <v>29</v>
      </c>
      <c r="K1055" t="s">
        <v>171</v>
      </c>
      <c r="L1055" s="8">
        <f t="shared" si="17"/>
        <v>0.83030303030303032</v>
      </c>
    </row>
    <row r="1056" spans="1:12">
      <c r="A1056" t="s">
        <v>742</v>
      </c>
      <c r="B1056">
        <v>1975</v>
      </c>
      <c r="C1056" t="s">
        <v>80</v>
      </c>
      <c r="D1056">
        <v>141.6</v>
      </c>
      <c r="E1056">
        <v>412.5</v>
      </c>
      <c r="F1056">
        <v>342.5</v>
      </c>
      <c r="G1056">
        <v>320</v>
      </c>
      <c r="H1056">
        <v>1075</v>
      </c>
      <c r="I1056">
        <v>2013</v>
      </c>
      <c r="J1056" t="s">
        <v>29</v>
      </c>
      <c r="K1056" t="s">
        <v>171</v>
      </c>
      <c r="L1056" s="8">
        <f t="shared" si="17"/>
        <v>0.83030303030303032</v>
      </c>
    </row>
    <row r="1057" spans="1:12">
      <c r="A1057" t="s">
        <v>742</v>
      </c>
      <c r="B1057">
        <v>1975</v>
      </c>
      <c r="C1057" t="s">
        <v>80</v>
      </c>
      <c r="D1057">
        <v>141.80000000000001</v>
      </c>
      <c r="E1057">
        <v>415</v>
      </c>
      <c r="F1057">
        <v>345</v>
      </c>
      <c r="G1057">
        <v>312.5</v>
      </c>
      <c r="H1057">
        <v>1072.5</v>
      </c>
      <c r="I1057">
        <v>2014</v>
      </c>
      <c r="J1057" t="s">
        <v>29</v>
      </c>
      <c r="K1057" t="s">
        <v>171</v>
      </c>
      <c r="L1057" s="8">
        <f t="shared" si="17"/>
        <v>0.83132530120481929</v>
      </c>
    </row>
    <row r="1058" spans="1:12">
      <c r="A1058" t="s">
        <v>794</v>
      </c>
      <c r="B1058">
        <v>1989</v>
      </c>
      <c r="C1058" t="s">
        <v>119</v>
      </c>
      <c r="D1058">
        <v>143.19999999999999</v>
      </c>
      <c r="E1058">
        <v>445</v>
      </c>
      <c r="F1058">
        <v>370</v>
      </c>
      <c r="G1058">
        <v>355</v>
      </c>
      <c r="H1058">
        <v>1170</v>
      </c>
      <c r="I1058">
        <v>2013</v>
      </c>
      <c r="J1058" t="s">
        <v>29</v>
      </c>
      <c r="K1058" t="s">
        <v>171</v>
      </c>
      <c r="L1058" s="8">
        <f t="shared" si="17"/>
        <v>0.8314606741573034</v>
      </c>
    </row>
    <row r="1059" spans="1:12">
      <c r="A1059" t="s">
        <v>821</v>
      </c>
      <c r="B1059">
        <v>1982</v>
      </c>
      <c r="C1059" t="s">
        <v>252</v>
      </c>
      <c r="D1059">
        <v>84.07</v>
      </c>
      <c r="E1059">
        <v>120</v>
      </c>
      <c r="F1059">
        <v>100</v>
      </c>
      <c r="G1059">
        <v>165</v>
      </c>
      <c r="H1059">
        <v>385</v>
      </c>
      <c r="I1059">
        <v>2015</v>
      </c>
      <c r="J1059" t="s">
        <v>29</v>
      </c>
      <c r="K1059" t="s">
        <v>171</v>
      </c>
      <c r="L1059" s="8">
        <f t="shared" si="17"/>
        <v>0.83333333333333337</v>
      </c>
    </row>
    <row r="1060" spans="1:12">
      <c r="A1060" t="s">
        <v>708</v>
      </c>
      <c r="B1060">
        <v>1983</v>
      </c>
      <c r="C1060" t="s">
        <v>80</v>
      </c>
      <c r="D1060">
        <v>119.9</v>
      </c>
      <c r="E1060">
        <v>340</v>
      </c>
      <c r="F1060">
        <v>285</v>
      </c>
      <c r="G1060">
        <v>295</v>
      </c>
      <c r="H1060">
        <v>920</v>
      </c>
      <c r="I1060">
        <v>2012</v>
      </c>
      <c r="J1060" t="s">
        <v>29</v>
      </c>
      <c r="K1060" t="s">
        <v>171</v>
      </c>
      <c r="L1060" s="8">
        <f t="shared" si="17"/>
        <v>0.83823529411764708</v>
      </c>
    </row>
    <row r="1061" spans="1:12">
      <c r="A1061" t="s">
        <v>830</v>
      </c>
      <c r="B1061">
        <v>1965</v>
      </c>
      <c r="C1061" t="s">
        <v>85</v>
      </c>
      <c r="D1061">
        <v>89.96</v>
      </c>
      <c r="E1061">
        <v>345</v>
      </c>
      <c r="F1061">
        <v>290</v>
      </c>
      <c r="G1061">
        <v>280</v>
      </c>
      <c r="H1061">
        <v>915</v>
      </c>
      <c r="I1061">
        <v>2013</v>
      </c>
      <c r="J1061" t="s">
        <v>29</v>
      </c>
      <c r="K1061" t="s">
        <v>171</v>
      </c>
      <c r="L1061" s="8">
        <f t="shared" si="17"/>
        <v>0.84057971014492749</v>
      </c>
    </row>
    <row r="1062" spans="1:12">
      <c r="A1062" t="s">
        <v>381</v>
      </c>
      <c r="B1062">
        <v>1991</v>
      </c>
      <c r="C1062" t="s">
        <v>380</v>
      </c>
      <c r="D1062">
        <v>65.59</v>
      </c>
      <c r="E1062">
        <v>240</v>
      </c>
      <c r="F1062">
        <v>202.5</v>
      </c>
      <c r="G1062">
        <v>215</v>
      </c>
      <c r="H1062">
        <v>657.5</v>
      </c>
      <c r="I1062">
        <v>2015</v>
      </c>
      <c r="J1062" t="s">
        <v>29</v>
      </c>
      <c r="K1062" t="s">
        <v>171</v>
      </c>
      <c r="L1062" s="8">
        <f t="shared" si="17"/>
        <v>0.84375</v>
      </c>
    </row>
    <row r="1063" spans="1:12">
      <c r="A1063" t="s">
        <v>793</v>
      </c>
      <c r="B1063">
        <v>1977</v>
      </c>
      <c r="C1063" t="s">
        <v>125</v>
      </c>
      <c r="D1063">
        <v>82.32</v>
      </c>
      <c r="E1063">
        <v>260</v>
      </c>
      <c r="F1063">
        <v>220</v>
      </c>
      <c r="G1063">
        <v>295</v>
      </c>
      <c r="H1063">
        <v>775</v>
      </c>
      <c r="I1063">
        <v>2014</v>
      </c>
      <c r="J1063" t="s">
        <v>29</v>
      </c>
      <c r="K1063" t="s">
        <v>171</v>
      </c>
      <c r="L1063" s="8">
        <f t="shared" si="17"/>
        <v>0.84615384615384615</v>
      </c>
    </row>
    <row r="1064" spans="1:12">
      <c r="A1064" t="s">
        <v>434</v>
      </c>
      <c r="B1064">
        <v>1989</v>
      </c>
      <c r="C1064" t="s">
        <v>62</v>
      </c>
      <c r="D1064">
        <v>92.5</v>
      </c>
      <c r="E1064">
        <v>330</v>
      </c>
      <c r="F1064">
        <v>280</v>
      </c>
      <c r="G1064">
        <v>280</v>
      </c>
      <c r="H1064">
        <v>890</v>
      </c>
      <c r="I1064">
        <v>2013</v>
      </c>
      <c r="J1064" t="s">
        <v>29</v>
      </c>
      <c r="K1064" t="s">
        <v>171</v>
      </c>
      <c r="L1064" s="8">
        <f t="shared" si="17"/>
        <v>0.84848484848484851</v>
      </c>
    </row>
    <row r="1065" spans="1:12">
      <c r="A1065" t="s">
        <v>769</v>
      </c>
      <c r="B1065">
        <v>1984</v>
      </c>
      <c r="C1065" t="s">
        <v>49</v>
      </c>
      <c r="D1065">
        <v>82.65</v>
      </c>
      <c r="E1065">
        <v>285</v>
      </c>
      <c r="F1065">
        <v>242.5</v>
      </c>
      <c r="G1065">
        <v>275</v>
      </c>
      <c r="H1065">
        <v>802.5</v>
      </c>
      <c r="I1065">
        <v>2015</v>
      </c>
      <c r="J1065" t="s">
        <v>29</v>
      </c>
      <c r="K1065" t="s">
        <v>171</v>
      </c>
      <c r="L1065" s="8">
        <f t="shared" si="17"/>
        <v>0.85087719298245612</v>
      </c>
    </row>
    <row r="1066" spans="1:12">
      <c r="A1066" t="s">
        <v>565</v>
      </c>
      <c r="B1066">
        <v>1988</v>
      </c>
      <c r="C1066" t="s">
        <v>125</v>
      </c>
      <c r="D1066">
        <v>119.05</v>
      </c>
      <c r="E1066">
        <v>290</v>
      </c>
      <c r="F1066">
        <v>247.5</v>
      </c>
      <c r="G1066">
        <v>315</v>
      </c>
      <c r="H1066">
        <v>852.5</v>
      </c>
      <c r="I1066">
        <v>2013</v>
      </c>
      <c r="J1066" t="s">
        <v>29</v>
      </c>
      <c r="K1066" t="s">
        <v>171</v>
      </c>
      <c r="L1066" s="8">
        <f t="shared" si="17"/>
        <v>0.85344827586206895</v>
      </c>
    </row>
    <row r="1067" spans="1:12">
      <c r="A1067" t="s">
        <v>456</v>
      </c>
      <c r="B1067">
        <v>1988</v>
      </c>
      <c r="C1067" t="s">
        <v>349</v>
      </c>
      <c r="D1067">
        <v>159</v>
      </c>
      <c r="E1067">
        <v>250</v>
      </c>
      <c r="F1067">
        <v>215</v>
      </c>
      <c r="G1067">
        <v>352.5</v>
      </c>
      <c r="H1067">
        <v>817.5</v>
      </c>
      <c r="I1067">
        <v>2013</v>
      </c>
      <c r="J1067" t="s">
        <v>29</v>
      </c>
      <c r="K1067" t="s">
        <v>171</v>
      </c>
      <c r="L1067" s="8">
        <f t="shared" si="17"/>
        <v>0.86</v>
      </c>
    </row>
    <row r="1068" spans="1:12">
      <c r="A1068" t="s">
        <v>830</v>
      </c>
      <c r="B1068">
        <v>1965</v>
      </c>
      <c r="C1068" t="s">
        <v>85</v>
      </c>
      <c r="D1068">
        <v>92.92</v>
      </c>
      <c r="E1068">
        <v>340</v>
      </c>
      <c r="F1068">
        <v>295</v>
      </c>
      <c r="G1068">
        <v>290</v>
      </c>
      <c r="H1068">
        <v>925</v>
      </c>
      <c r="I1068">
        <v>2015</v>
      </c>
      <c r="J1068" t="s">
        <v>29</v>
      </c>
      <c r="K1068" t="s">
        <v>171</v>
      </c>
      <c r="L1068" s="8">
        <f t="shared" si="17"/>
        <v>0.86764705882352944</v>
      </c>
    </row>
    <row r="1069" spans="1:12">
      <c r="A1069" t="s">
        <v>726</v>
      </c>
      <c r="B1069">
        <v>1984</v>
      </c>
      <c r="C1069" t="s">
        <v>45</v>
      </c>
      <c r="D1069">
        <v>164.33</v>
      </c>
      <c r="E1069">
        <v>405</v>
      </c>
      <c r="F1069">
        <v>352.5</v>
      </c>
      <c r="G1069">
        <v>310</v>
      </c>
      <c r="H1069">
        <v>1067.5</v>
      </c>
      <c r="I1069">
        <v>2015</v>
      </c>
      <c r="J1069" t="s">
        <v>29</v>
      </c>
      <c r="K1069" t="s">
        <v>171</v>
      </c>
      <c r="L1069" s="8">
        <f t="shared" si="17"/>
        <v>0.87037037037037035</v>
      </c>
    </row>
    <row r="1070" spans="1:12">
      <c r="A1070" t="s">
        <v>374</v>
      </c>
      <c r="B1070">
        <v>1984</v>
      </c>
      <c r="C1070" t="s">
        <v>51</v>
      </c>
      <c r="D1070">
        <v>112.25</v>
      </c>
      <c r="E1070">
        <v>290</v>
      </c>
      <c r="F1070">
        <v>252.5</v>
      </c>
      <c r="G1070">
        <v>305</v>
      </c>
      <c r="H1070">
        <v>847.5</v>
      </c>
      <c r="I1070">
        <v>2013</v>
      </c>
      <c r="J1070" t="s">
        <v>29</v>
      </c>
      <c r="K1070" t="s">
        <v>171</v>
      </c>
      <c r="L1070" s="8">
        <f t="shared" si="17"/>
        <v>0.87068965517241381</v>
      </c>
    </row>
    <row r="1071" spans="1:12">
      <c r="A1071" t="s">
        <v>775</v>
      </c>
      <c r="B1071">
        <v>1986</v>
      </c>
      <c r="C1071" t="s">
        <v>318</v>
      </c>
      <c r="D1071">
        <v>119.1</v>
      </c>
      <c r="E1071">
        <v>355</v>
      </c>
      <c r="F1071">
        <v>310</v>
      </c>
      <c r="G1071">
        <v>310</v>
      </c>
      <c r="H1071">
        <v>975</v>
      </c>
      <c r="I1071">
        <v>2015</v>
      </c>
      <c r="J1071" t="s">
        <v>29</v>
      </c>
      <c r="K1071" t="s">
        <v>171</v>
      </c>
      <c r="L1071" s="8">
        <f t="shared" si="17"/>
        <v>0.87323943661971826</v>
      </c>
    </row>
    <row r="1072" spans="1:12">
      <c r="A1072" t="s">
        <v>73</v>
      </c>
      <c r="B1072">
        <v>1982</v>
      </c>
      <c r="C1072" t="s">
        <v>74</v>
      </c>
      <c r="D1072">
        <v>64.88</v>
      </c>
      <c r="E1072">
        <v>240</v>
      </c>
      <c r="F1072">
        <v>210</v>
      </c>
      <c r="G1072">
        <v>255</v>
      </c>
      <c r="H1072">
        <v>705</v>
      </c>
      <c r="I1072">
        <v>2012</v>
      </c>
      <c r="J1072" t="s">
        <v>29</v>
      </c>
      <c r="K1072" t="s">
        <v>171</v>
      </c>
      <c r="L1072" s="8">
        <f t="shared" si="17"/>
        <v>0.875</v>
      </c>
    </row>
    <row r="1073" spans="1:12">
      <c r="A1073" t="s">
        <v>830</v>
      </c>
      <c r="B1073">
        <v>1965</v>
      </c>
      <c r="C1073" t="s">
        <v>85</v>
      </c>
      <c r="D1073">
        <v>92.36</v>
      </c>
      <c r="E1073">
        <v>340</v>
      </c>
      <c r="F1073">
        <v>300</v>
      </c>
      <c r="G1073">
        <v>270</v>
      </c>
      <c r="H1073">
        <v>910</v>
      </c>
      <c r="I1073">
        <v>2012</v>
      </c>
      <c r="J1073" t="s">
        <v>29</v>
      </c>
      <c r="K1073" t="s">
        <v>171</v>
      </c>
      <c r="L1073" s="8">
        <f t="shared" si="17"/>
        <v>0.88235294117647056</v>
      </c>
    </row>
    <row r="1074" spans="1:12">
      <c r="A1074" t="s">
        <v>742</v>
      </c>
      <c r="B1074">
        <v>1975</v>
      </c>
      <c r="C1074" t="s">
        <v>80</v>
      </c>
      <c r="D1074">
        <v>143.56</v>
      </c>
      <c r="E1074">
        <v>402.5</v>
      </c>
      <c r="F1074">
        <v>357.5</v>
      </c>
      <c r="G1074">
        <v>302.5</v>
      </c>
      <c r="H1074">
        <v>1062.5</v>
      </c>
      <c r="I1074">
        <v>2015</v>
      </c>
      <c r="J1074" t="s">
        <v>29</v>
      </c>
      <c r="K1074" t="s">
        <v>171</v>
      </c>
      <c r="L1074" s="8">
        <f t="shared" si="17"/>
        <v>0.88819875776397517</v>
      </c>
    </row>
    <row r="1075" spans="1:12">
      <c r="A1075" t="s">
        <v>614</v>
      </c>
      <c r="B1075">
        <v>1990</v>
      </c>
      <c r="C1075" t="s">
        <v>380</v>
      </c>
      <c r="D1075">
        <v>72.8</v>
      </c>
      <c r="E1075">
        <v>230</v>
      </c>
      <c r="F1075">
        <v>205</v>
      </c>
      <c r="G1075">
        <v>230</v>
      </c>
      <c r="H1075">
        <v>665</v>
      </c>
      <c r="I1075">
        <v>2015</v>
      </c>
      <c r="J1075" t="s">
        <v>29</v>
      </c>
      <c r="K1075" t="s">
        <v>171</v>
      </c>
      <c r="L1075" s="8">
        <f t="shared" si="17"/>
        <v>0.89130434782608692</v>
      </c>
    </row>
    <row r="1076" spans="1:12">
      <c r="A1076" t="s">
        <v>777</v>
      </c>
      <c r="B1076">
        <v>1972</v>
      </c>
      <c r="C1076" t="s">
        <v>72</v>
      </c>
      <c r="D1076">
        <v>166.25</v>
      </c>
      <c r="E1076">
        <v>385</v>
      </c>
      <c r="F1076">
        <v>345</v>
      </c>
      <c r="G1076">
        <v>285</v>
      </c>
      <c r="H1076">
        <v>1015</v>
      </c>
      <c r="I1076">
        <v>2015</v>
      </c>
      <c r="J1076" t="s">
        <v>29</v>
      </c>
      <c r="K1076" t="s">
        <v>171</v>
      </c>
      <c r="L1076" s="8">
        <f t="shared" si="17"/>
        <v>0.89610389610389607</v>
      </c>
    </row>
    <row r="1077" spans="1:12">
      <c r="A1077" t="s">
        <v>592</v>
      </c>
      <c r="B1077">
        <v>1974</v>
      </c>
      <c r="C1077" t="s">
        <v>72</v>
      </c>
      <c r="D1077">
        <v>119.33</v>
      </c>
      <c r="E1077">
        <v>330</v>
      </c>
      <c r="F1077">
        <v>297.5</v>
      </c>
      <c r="G1077">
        <v>280</v>
      </c>
      <c r="H1077">
        <v>907.5</v>
      </c>
      <c r="I1077">
        <v>2013</v>
      </c>
      <c r="J1077" t="s">
        <v>29</v>
      </c>
      <c r="K1077" t="s">
        <v>171</v>
      </c>
      <c r="L1077" s="8">
        <f t="shared" si="17"/>
        <v>0.90151515151515149</v>
      </c>
    </row>
    <row r="1078" spans="1:12">
      <c r="A1078" t="s">
        <v>571</v>
      </c>
      <c r="B1078">
        <v>1975</v>
      </c>
      <c r="C1078" t="s">
        <v>109</v>
      </c>
      <c r="D1078">
        <v>119.38</v>
      </c>
      <c r="E1078">
        <v>330</v>
      </c>
      <c r="F1078">
        <v>300</v>
      </c>
      <c r="G1078">
        <v>285</v>
      </c>
      <c r="H1078">
        <v>915</v>
      </c>
      <c r="I1078">
        <v>2015</v>
      </c>
      <c r="J1078" t="s">
        <v>29</v>
      </c>
      <c r="K1078" t="s">
        <v>171</v>
      </c>
      <c r="L1078" s="8">
        <f t="shared" si="17"/>
        <v>0.90909090909090906</v>
      </c>
    </row>
    <row r="1079" spans="1:12">
      <c r="A1079" t="s">
        <v>475</v>
      </c>
      <c r="B1079">
        <v>1983</v>
      </c>
      <c r="C1079" t="s">
        <v>228</v>
      </c>
      <c r="D1079">
        <v>169.7</v>
      </c>
      <c r="E1079">
        <v>360</v>
      </c>
      <c r="F1079">
        <v>330</v>
      </c>
      <c r="G1079">
        <v>310</v>
      </c>
      <c r="H1079">
        <v>1000</v>
      </c>
      <c r="I1079">
        <v>2014</v>
      </c>
      <c r="J1079" t="s">
        <v>29</v>
      </c>
      <c r="K1079" t="s">
        <v>171</v>
      </c>
      <c r="L1079" s="8">
        <f t="shared" si="17"/>
        <v>0.91666666666666663</v>
      </c>
    </row>
    <row r="1080" spans="1:12">
      <c r="A1080" t="s">
        <v>528</v>
      </c>
      <c r="B1080">
        <v>1993</v>
      </c>
      <c r="C1080" t="s">
        <v>77</v>
      </c>
      <c r="D1080">
        <v>92.39</v>
      </c>
      <c r="E1080">
        <v>300</v>
      </c>
      <c r="F1080">
        <v>280</v>
      </c>
      <c r="G1080">
        <v>270</v>
      </c>
      <c r="H1080">
        <v>850</v>
      </c>
      <c r="I1080">
        <v>2015</v>
      </c>
      <c r="J1080" t="s">
        <v>29</v>
      </c>
      <c r="K1080" t="s">
        <v>171</v>
      </c>
      <c r="L1080" s="8">
        <f t="shared" si="17"/>
        <v>0.93333333333333335</v>
      </c>
    </row>
    <row r="1081" spans="1:12">
      <c r="A1081" t="s">
        <v>581</v>
      </c>
      <c r="B1081">
        <v>1979</v>
      </c>
      <c r="C1081" t="s">
        <v>125</v>
      </c>
      <c r="D1081">
        <v>160.80000000000001</v>
      </c>
      <c r="E1081">
        <v>370</v>
      </c>
      <c r="F1081">
        <v>352.5</v>
      </c>
      <c r="G1081">
        <v>290</v>
      </c>
      <c r="H1081">
        <v>1012.5</v>
      </c>
      <c r="I1081">
        <v>2015</v>
      </c>
      <c r="J1081" t="s">
        <v>29</v>
      </c>
      <c r="K1081" t="s">
        <v>171</v>
      </c>
      <c r="L1081" s="8">
        <f t="shared" si="17"/>
        <v>0.95270270270270274</v>
      </c>
    </row>
    <row r="1082" spans="1:12">
      <c r="A1082" t="s">
        <v>787</v>
      </c>
      <c r="B1082">
        <v>1979</v>
      </c>
      <c r="C1082" t="s">
        <v>35</v>
      </c>
      <c r="D1082">
        <v>147.30000000000001</v>
      </c>
      <c r="E1082">
        <v>372.5</v>
      </c>
      <c r="F1082">
        <v>355</v>
      </c>
      <c r="G1082">
        <v>322.5</v>
      </c>
      <c r="H1082">
        <v>1050</v>
      </c>
      <c r="I1082">
        <v>2013</v>
      </c>
      <c r="J1082" t="s">
        <v>29</v>
      </c>
      <c r="K1082" t="s">
        <v>171</v>
      </c>
      <c r="L1082" s="8">
        <f t="shared" si="17"/>
        <v>0.95302013422818788</v>
      </c>
    </row>
    <row r="1083" spans="1:12">
      <c r="A1083" t="s">
        <v>427</v>
      </c>
      <c r="B1083">
        <v>1980</v>
      </c>
      <c r="C1083" t="s">
        <v>252</v>
      </c>
      <c r="D1083">
        <v>86.53</v>
      </c>
      <c r="E1083">
        <v>120</v>
      </c>
      <c r="F1083">
        <v>115</v>
      </c>
      <c r="G1083">
        <v>160</v>
      </c>
      <c r="H1083">
        <v>395</v>
      </c>
      <c r="I1083">
        <v>2015</v>
      </c>
      <c r="J1083" t="s">
        <v>29</v>
      </c>
      <c r="K1083" t="s">
        <v>171</v>
      </c>
      <c r="L1083" s="8">
        <f t="shared" si="17"/>
        <v>0.95833333333333337</v>
      </c>
    </row>
    <row r="1084" spans="1:12">
      <c r="A1084" t="s">
        <v>787</v>
      </c>
      <c r="B1084">
        <v>1979</v>
      </c>
      <c r="C1084" t="s">
        <v>35</v>
      </c>
      <c r="D1084">
        <v>150.9</v>
      </c>
      <c r="E1084">
        <v>370</v>
      </c>
      <c r="F1084">
        <v>360</v>
      </c>
      <c r="G1084">
        <v>305</v>
      </c>
      <c r="H1084">
        <v>1035</v>
      </c>
      <c r="I1084">
        <v>2014</v>
      </c>
      <c r="J1084" t="s">
        <v>29</v>
      </c>
      <c r="K1084" t="s">
        <v>171</v>
      </c>
      <c r="L1084" s="8">
        <f t="shared" si="17"/>
        <v>0.97297297297297303</v>
      </c>
    </row>
    <row r="1085" spans="1:12">
      <c r="A1085" t="s">
        <v>550</v>
      </c>
      <c r="B1085">
        <v>1990</v>
      </c>
      <c r="C1085" t="s">
        <v>252</v>
      </c>
      <c r="D1085">
        <v>64.5</v>
      </c>
      <c r="E1085">
        <v>100</v>
      </c>
      <c r="F1085">
        <v>105</v>
      </c>
      <c r="G1085">
        <v>130</v>
      </c>
      <c r="H1085">
        <v>335</v>
      </c>
      <c r="I1085">
        <v>2015</v>
      </c>
      <c r="J1085" t="s">
        <v>29</v>
      </c>
      <c r="K1085" t="s">
        <v>171</v>
      </c>
      <c r="L1085" s="8">
        <f t="shared" si="17"/>
        <v>1.05</v>
      </c>
    </row>
    <row r="1086" spans="1:12">
      <c r="A1086" t="s">
        <v>379</v>
      </c>
      <c r="B1086">
        <v>1981</v>
      </c>
      <c r="C1086" t="s">
        <v>380</v>
      </c>
      <c r="D1086">
        <v>119.47</v>
      </c>
      <c r="E1086">
        <v>300</v>
      </c>
      <c r="F1086">
        <v>317.5</v>
      </c>
      <c r="G1086">
        <v>250</v>
      </c>
      <c r="H1086">
        <v>867.5</v>
      </c>
      <c r="I1086">
        <v>2015</v>
      </c>
      <c r="J1086" t="s">
        <v>29</v>
      </c>
      <c r="K1086" t="s">
        <v>171</v>
      </c>
      <c r="L1086" s="8">
        <f t="shared" si="17"/>
        <v>1.0583333333333333</v>
      </c>
    </row>
    <row r="1087" spans="1:12">
      <c r="A1087" t="s">
        <v>679</v>
      </c>
      <c r="B1087">
        <v>1976</v>
      </c>
      <c r="C1087" t="s">
        <v>480</v>
      </c>
      <c r="D1087">
        <v>73.349999999999994</v>
      </c>
      <c r="E1087">
        <v>200</v>
      </c>
      <c r="F1087">
        <v>222.5</v>
      </c>
      <c r="G1087">
        <v>240</v>
      </c>
      <c r="H1087">
        <v>662.5</v>
      </c>
      <c r="I1087">
        <v>2012</v>
      </c>
      <c r="J1087" t="s">
        <v>29</v>
      </c>
      <c r="K1087" t="s">
        <v>171</v>
      </c>
      <c r="L1087" s="8">
        <f t="shared" si="17"/>
        <v>1.1125</v>
      </c>
    </row>
    <row r="1088" spans="1:12">
      <c r="A1088" t="s">
        <v>634</v>
      </c>
      <c r="B1088">
        <v>1978</v>
      </c>
      <c r="C1088" t="s">
        <v>243</v>
      </c>
      <c r="D1088">
        <v>92.53</v>
      </c>
      <c r="E1088">
        <v>220</v>
      </c>
      <c r="F1088">
        <v>270</v>
      </c>
      <c r="G1088">
        <v>215</v>
      </c>
      <c r="H1088">
        <v>705</v>
      </c>
      <c r="I1088">
        <v>2015</v>
      </c>
      <c r="J1088" t="s">
        <v>29</v>
      </c>
      <c r="K1088" t="s">
        <v>171</v>
      </c>
      <c r="L1088" s="8">
        <f t="shared" si="17"/>
        <v>1.2272727272727273</v>
      </c>
    </row>
    <row r="1090" spans="1:12">
      <c r="A1090" t="s">
        <v>267</v>
      </c>
      <c r="B1090">
        <v>1998</v>
      </c>
      <c r="C1090" t="s">
        <v>252</v>
      </c>
      <c r="D1090">
        <v>91.87</v>
      </c>
      <c r="E1090">
        <v>185</v>
      </c>
      <c r="F1090">
        <v>55</v>
      </c>
      <c r="G1090">
        <v>160</v>
      </c>
      <c r="H1090">
        <v>400</v>
      </c>
      <c r="I1090">
        <v>2015</v>
      </c>
      <c r="J1090" t="s">
        <v>852</v>
      </c>
      <c r="K1090" t="s">
        <v>171</v>
      </c>
      <c r="L1090" s="8">
        <f t="shared" ref="L1090:L1153" si="18">IF(AND(F1090&lt;&gt;0,E1090&lt;&gt;0),F1090/E1090,"")</f>
        <v>0.29729729729729731</v>
      </c>
    </row>
    <row r="1091" spans="1:12">
      <c r="A1091" t="s">
        <v>902</v>
      </c>
      <c r="B1091">
        <v>1985</v>
      </c>
      <c r="C1091" t="s">
        <v>336</v>
      </c>
      <c r="D1091">
        <v>60.99</v>
      </c>
      <c r="E1091">
        <v>152.5</v>
      </c>
      <c r="F1091">
        <v>52.5</v>
      </c>
      <c r="G1091">
        <v>137.5</v>
      </c>
      <c r="H1091">
        <v>342.5</v>
      </c>
      <c r="I1091">
        <v>2012</v>
      </c>
      <c r="J1091" t="s">
        <v>852</v>
      </c>
      <c r="K1091" t="s">
        <v>171</v>
      </c>
      <c r="L1091" s="8">
        <f t="shared" si="18"/>
        <v>0.34426229508196721</v>
      </c>
    </row>
    <row r="1092" spans="1:12">
      <c r="A1092" t="s">
        <v>969</v>
      </c>
      <c r="B1092">
        <v>1989</v>
      </c>
      <c r="C1092" t="s">
        <v>970</v>
      </c>
      <c r="D1092">
        <v>72.59</v>
      </c>
      <c r="E1092">
        <v>195</v>
      </c>
      <c r="F1092">
        <v>70</v>
      </c>
      <c r="G1092">
        <v>190</v>
      </c>
      <c r="H1092">
        <v>455</v>
      </c>
      <c r="I1092">
        <v>2013</v>
      </c>
      <c r="J1092" t="s">
        <v>852</v>
      </c>
      <c r="K1092" t="s">
        <v>171</v>
      </c>
      <c r="L1092" s="8">
        <f t="shared" si="18"/>
        <v>0.35897435897435898</v>
      </c>
    </row>
    <row r="1093" spans="1:12">
      <c r="A1093" t="s">
        <v>853</v>
      </c>
      <c r="B1093">
        <v>1981</v>
      </c>
      <c r="C1093" t="s">
        <v>418</v>
      </c>
      <c r="D1093">
        <v>75.73</v>
      </c>
      <c r="E1093">
        <v>150</v>
      </c>
      <c r="F1093">
        <v>60</v>
      </c>
      <c r="G1093">
        <v>160</v>
      </c>
      <c r="H1093">
        <v>370</v>
      </c>
      <c r="I1093">
        <v>2012</v>
      </c>
      <c r="J1093" t="s">
        <v>852</v>
      </c>
      <c r="K1093" t="s">
        <v>171</v>
      </c>
      <c r="L1093" s="8">
        <f t="shared" si="18"/>
        <v>0.4</v>
      </c>
    </row>
    <row r="1094" spans="1:12">
      <c r="A1094" t="s">
        <v>869</v>
      </c>
      <c r="B1094">
        <v>1987</v>
      </c>
      <c r="C1094" t="s">
        <v>62</v>
      </c>
      <c r="D1094">
        <v>56</v>
      </c>
      <c r="E1094">
        <v>185</v>
      </c>
      <c r="F1094">
        <v>80</v>
      </c>
      <c r="G1094">
        <v>165</v>
      </c>
      <c r="H1094">
        <v>430</v>
      </c>
      <c r="I1094">
        <v>2012</v>
      </c>
      <c r="J1094" t="s">
        <v>852</v>
      </c>
      <c r="K1094" t="s">
        <v>171</v>
      </c>
      <c r="L1094" s="8">
        <f t="shared" si="18"/>
        <v>0.43243243243243246</v>
      </c>
    </row>
    <row r="1095" spans="1:12">
      <c r="A1095" t="s">
        <v>955</v>
      </c>
      <c r="B1095">
        <v>1986</v>
      </c>
      <c r="C1095" t="s">
        <v>35</v>
      </c>
      <c r="D1095">
        <v>50.79</v>
      </c>
      <c r="E1095">
        <v>182.5</v>
      </c>
      <c r="F1095">
        <v>80</v>
      </c>
      <c r="G1095">
        <v>155</v>
      </c>
      <c r="H1095">
        <v>417.5</v>
      </c>
      <c r="I1095">
        <v>2012</v>
      </c>
      <c r="J1095" t="s">
        <v>852</v>
      </c>
      <c r="K1095" t="s">
        <v>171</v>
      </c>
      <c r="L1095" s="8">
        <f t="shared" si="18"/>
        <v>0.43835616438356162</v>
      </c>
    </row>
    <row r="1096" spans="1:12">
      <c r="A1096" t="s">
        <v>226</v>
      </c>
      <c r="B1096">
        <v>1986</v>
      </c>
      <c r="C1096" t="s">
        <v>35</v>
      </c>
      <c r="D1096">
        <v>50.38</v>
      </c>
      <c r="E1096">
        <v>175</v>
      </c>
      <c r="F1096">
        <v>77.5</v>
      </c>
      <c r="G1096">
        <v>175</v>
      </c>
      <c r="H1096">
        <v>427.5</v>
      </c>
      <c r="I1096">
        <v>2013</v>
      </c>
      <c r="J1096" t="s">
        <v>852</v>
      </c>
      <c r="K1096" t="s">
        <v>171</v>
      </c>
      <c r="L1096" s="8">
        <f t="shared" si="18"/>
        <v>0.44285714285714284</v>
      </c>
    </row>
    <row r="1097" spans="1:12">
      <c r="A1097" t="s">
        <v>198</v>
      </c>
      <c r="B1097">
        <v>1982</v>
      </c>
      <c r="C1097" t="s">
        <v>74</v>
      </c>
      <c r="D1097">
        <v>46.29</v>
      </c>
      <c r="E1097">
        <v>190</v>
      </c>
      <c r="F1097">
        <v>85</v>
      </c>
      <c r="G1097">
        <v>180</v>
      </c>
      <c r="H1097">
        <v>455</v>
      </c>
      <c r="I1097">
        <v>2012</v>
      </c>
      <c r="J1097" t="s">
        <v>852</v>
      </c>
      <c r="K1097" t="s">
        <v>171</v>
      </c>
      <c r="L1097" s="8">
        <f t="shared" si="18"/>
        <v>0.44736842105263158</v>
      </c>
    </row>
    <row r="1098" spans="1:12">
      <c r="A1098" t="s">
        <v>226</v>
      </c>
      <c r="B1098">
        <v>1986</v>
      </c>
      <c r="C1098" t="s">
        <v>920</v>
      </c>
      <c r="D1098">
        <v>51.4</v>
      </c>
      <c r="E1098">
        <v>190</v>
      </c>
      <c r="F1098">
        <v>85</v>
      </c>
      <c r="G1098">
        <v>170</v>
      </c>
      <c r="H1098">
        <v>445</v>
      </c>
      <c r="I1098">
        <v>2014</v>
      </c>
      <c r="J1098" t="s">
        <v>852</v>
      </c>
      <c r="K1098" t="s">
        <v>171</v>
      </c>
      <c r="L1098" s="8">
        <f t="shared" si="18"/>
        <v>0.44736842105263158</v>
      </c>
    </row>
    <row r="1099" spans="1:12">
      <c r="A1099" t="s">
        <v>940</v>
      </c>
      <c r="B1099">
        <v>1992</v>
      </c>
      <c r="C1099" t="s">
        <v>85</v>
      </c>
      <c r="D1099">
        <v>73.97</v>
      </c>
      <c r="E1099">
        <v>172.5</v>
      </c>
      <c r="F1099">
        <v>77.5</v>
      </c>
      <c r="G1099">
        <v>150</v>
      </c>
      <c r="H1099">
        <v>400</v>
      </c>
      <c r="I1099">
        <v>2013</v>
      </c>
      <c r="J1099" t="s">
        <v>852</v>
      </c>
      <c r="K1099" t="s">
        <v>171</v>
      </c>
      <c r="L1099" s="8">
        <f t="shared" si="18"/>
        <v>0.44927536231884058</v>
      </c>
    </row>
    <row r="1100" spans="1:12">
      <c r="A1100" t="s">
        <v>218</v>
      </c>
      <c r="B1100">
        <v>1976</v>
      </c>
      <c r="C1100" t="s">
        <v>903</v>
      </c>
      <c r="D1100">
        <v>56.54</v>
      </c>
      <c r="E1100">
        <v>222.5</v>
      </c>
      <c r="F1100">
        <v>100</v>
      </c>
      <c r="G1100">
        <v>195</v>
      </c>
      <c r="H1100">
        <v>517.5</v>
      </c>
      <c r="I1100">
        <v>2014</v>
      </c>
      <c r="J1100" t="s">
        <v>852</v>
      </c>
      <c r="K1100" t="s">
        <v>171</v>
      </c>
      <c r="L1100" s="8">
        <f t="shared" si="18"/>
        <v>0.449438202247191</v>
      </c>
    </row>
    <row r="1101" spans="1:12">
      <c r="A1101" t="s">
        <v>215</v>
      </c>
      <c r="B1101">
        <v>1947</v>
      </c>
      <c r="C1101" t="s">
        <v>62</v>
      </c>
      <c r="D1101">
        <v>45.96</v>
      </c>
      <c r="E1101">
        <v>100</v>
      </c>
      <c r="F1101">
        <v>45</v>
      </c>
      <c r="G1101">
        <v>127.5</v>
      </c>
      <c r="H1101">
        <v>272.5</v>
      </c>
      <c r="I1101">
        <v>2015</v>
      </c>
      <c r="J1101" t="s">
        <v>852</v>
      </c>
      <c r="K1101" t="s">
        <v>171</v>
      </c>
      <c r="L1101" s="8">
        <f t="shared" si="18"/>
        <v>0.45</v>
      </c>
    </row>
    <row r="1102" spans="1:12">
      <c r="A1102" t="s">
        <v>281</v>
      </c>
      <c r="B1102">
        <v>1980</v>
      </c>
      <c r="C1102" t="s">
        <v>282</v>
      </c>
      <c r="D1102">
        <v>51.88</v>
      </c>
      <c r="E1102">
        <v>215</v>
      </c>
      <c r="F1102">
        <v>97.5</v>
      </c>
      <c r="G1102">
        <v>177.5</v>
      </c>
      <c r="H1102">
        <v>490</v>
      </c>
      <c r="I1102">
        <v>2012</v>
      </c>
      <c r="J1102" t="s">
        <v>852</v>
      </c>
      <c r="K1102" t="s">
        <v>171</v>
      </c>
      <c r="L1102" s="8">
        <f t="shared" si="18"/>
        <v>0.45348837209302323</v>
      </c>
    </row>
    <row r="1103" spans="1:12">
      <c r="A1103" t="s">
        <v>205</v>
      </c>
      <c r="B1103">
        <v>1983</v>
      </c>
      <c r="C1103" t="s">
        <v>137</v>
      </c>
      <c r="D1103">
        <v>56.52</v>
      </c>
      <c r="E1103">
        <v>162.5</v>
      </c>
      <c r="F1103">
        <v>75</v>
      </c>
      <c r="G1103">
        <v>155</v>
      </c>
      <c r="H1103">
        <v>392.5</v>
      </c>
      <c r="I1103">
        <v>2015</v>
      </c>
      <c r="J1103" t="s">
        <v>852</v>
      </c>
      <c r="K1103" t="s">
        <v>171</v>
      </c>
      <c r="L1103" s="8">
        <f t="shared" si="18"/>
        <v>0.46153846153846156</v>
      </c>
    </row>
    <row r="1104" spans="1:12">
      <c r="A1104" t="s">
        <v>215</v>
      </c>
      <c r="B1104">
        <v>1947</v>
      </c>
      <c r="C1104" t="s">
        <v>62</v>
      </c>
      <c r="D1104">
        <v>45.69</v>
      </c>
      <c r="E1104">
        <v>97.5</v>
      </c>
      <c r="F1104">
        <v>45</v>
      </c>
      <c r="G1104">
        <v>122.5</v>
      </c>
      <c r="H1104">
        <v>265</v>
      </c>
      <c r="I1104">
        <v>2013</v>
      </c>
      <c r="J1104" t="s">
        <v>852</v>
      </c>
      <c r="K1104" t="s">
        <v>171</v>
      </c>
      <c r="L1104" s="8">
        <f t="shared" si="18"/>
        <v>0.46153846153846156</v>
      </c>
    </row>
    <row r="1105" spans="1:12">
      <c r="A1105" t="s">
        <v>202</v>
      </c>
      <c r="B1105">
        <v>1980</v>
      </c>
      <c r="C1105" t="s">
        <v>74</v>
      </c>
      <c r="D1105">
        <v>50.52</v>
      </c>
      <c r="E1105">
        <v>165</v>
      </c>
      <c r="F1105">
        <v>77.5</v>
      </c>
      <c r="G1105">
        <v>185</v>
      </c>
      <c r="H1105">
        <v>427.5</v>
      </c>
      <c r="I1105">
        <v>2015</v>
      </c>
      <c r="J1105" t="s">
        <v>852</v>
      </c>
      <c r="K1105" t="s">
        <v>171</v>
      </c>
      <c r="L1105" s="8">
        <f t="shared" si="18"/>
        <v>0.46969696969696972</v>
      </c>
    </row>
    <row r="1106" spans="1:12">
      <c r="A1106" t="s">
        <v>900</v>
      </c>
      <c r="B1106">
        <v>1986</v>
      </c>
      <c r="C1106" t="s">
        <v>464</v>
      </c>
      <c r="D1106">
        <v>56.9</v>
      </c>
      <c r="E1106">
        <v>190</v>
      </c>
      <c r="F1106">
        <v>90</v>
      </c>
      <c r="G1106">
        <v>195</v>
      </c>
      <c r="H1106">
        <v>475</v>
      </c>
      <c r="I1106">
        <v>2012</v>
      </c>
      <c r="J1106" t="s">
        <v>852</v>
      </c>
      <c r="K1106" t="s">
        <v>171</v>
      </c>
      <c r="L1106" s="8">
        <f t="shared" si="18"/>
        <v>0.47368421052631576</v>
      </c>
    </row>
    <row r="1107" spans="1:12">
      <c r="A1107" t="s">
        <v>968</v>
      </c>
      <c r="B1107">
        <v>1991</v>
      </c>
      <c r="C1107" t="s">
        <v>859</v>
      </c>
      <c r="D1107">
        <v>55.78</v>
      </c>
      <c r="E1107">
        <v>195</v>
      </c>
      <c r="F1107">
        <v>92.5</v>
      </c>
      <c r="G1107">
        <v>172.5</v>
      </c>
      <c r="H1107">
        <v>460</v>
      </c>
      <c r="I1107">
        <v>2014</v>
      </c>
      <c r="J1107" t="s">
        <v>852</v>
      </c>
      <c r="K1107" t="s">
        <v>171</v>
      </c>
      <c r="L1107" s="8">
        <f t="shared" si="18"/>
        <v>0.47435897435897434</v>
      </c>
    </row>
    <row r="1108" spans="1:12">
      <c r="A1108" t="s">
        <v>218</v>
      </c>
      <c r="B1108">
        <v>1976</v>
      </c>
      <c r="C1108" t="s">
        <v>28</v>
      </c>
      <c r="D1108">
        <v>56.66</v>
      </c>
      <c r="E1108">
        <v>220</v>
      </c>
      <c r="F1108">
        <v>105</v>
      </c>
      <c r="G1108">
        <v>192.5</v>
      </c>
      <c r="H1108">
        <v>517.5</v>
      </c>
      <c r="I1108">
        <v>2015</v>
      </c>
      <c r="J1108" t="s">
        <v>852</v>
      </c>
      <c r="K1108" t="s">
        <v>171</v>
      </c>
      <c r="L1108" s="8">
        <f t="shared" si="18"/>
        <v>0.47727272727272729</v>
      </c>
    </row>
    <row r="1109" spans="1:12">
      <c r="A1109" t="s">
        <v>924</v>
      </c>
      <c r="B1109">
        <v>1975</v>
      </c>
      <c r="C1109" t="s">
        <v>711</v>
      </c>
      <c r="D1109">
        <v>55.79</v>
      </c>
      <c r="E1109">
        <v>187.5</v>
      </c>
      <c r="F1109">
        <v>90</v>
      </c>
      <c r="G1109">
        <v>177.5</v>
      </c>
      <c r="H1109">
        <v>455</v>
      </c>
      <c r="I1109">
        <v>2012</v>
      </c>
      <c r="J1109" t="s">
        <v>852</v>
      </c>
      <c r="K1109" t="s">
        <v>171</v>
      </c>
      <c r="L1109" s="8">
        <f t="shared" si="18"/>
        <v>0.48</v>
      </c>
    </row>
    <row r="1110" spans="1:12">
      <c r="A1110" t="s">
        <v>281</v>
      </c>
      <c r="B1110">
        <v>1980</v>
      </c>
      <c r="C1110" t="s">
        <v>859</v>
      </c>
      <c r="D1110">
        <v>51.7</v>
      </c>
      <c r="E1110">
        <v>212.5</v>
      </c>
      <c r="F1110">
        <v>102.5</v>
      </c>
      <c r="G1110">
        <v>180</v>
      </c>
      <c r="H1110">
        <v>495</v>
      </c>
      <c r="I1110">
        <v>2014</v>
      </c>
      <c r="J1110" t="s">
        <v>852</v>
      </c>
      <c r="K1110" t="s">
        <v>171</v>
      </c>
      <c r="L1110" s="8">
        <f t="shared" si="18"/>
        <v>0.4823529411764706</v>
      </c>
    </row>
    <row r="1111" spans="1:12">
      <c r="A1111" t="s">
        <v>202</v>
      </c>
      <c r="B1111">
        <v>1980</v>
      </c>
      <c r="C1111" t="s">
        <v>888</v>
      </c>
      <c r="D1111">
        <v>49.78</v>
      </c>
      <c r="E1111">
        <v>155</v>
      </c>
      <c r="F1111">
        <v>75</v>
      </c>
      <c r="G1111">
        <v>192.5</v>
      </c>
      <c r="H1111">
        <v>422.5</v>
      </c>
      <c r="I1111">
        <v>2014</v>
      </c>
      <c r="J1111" t="s">
        <v>852</v>
      </c>
      <c r="K1111" t="s">
        <v>171</v>
      </c>
      <c r="L1111" s="8">
        <f t="shared" si="18"/>
        <v>0.4838709677419355</v>
      </c>
    </row>
    <row r="1112" spans="1:12">
      <c r="A1112" t="s">
        <v>226</v>
      </c>
      <c r="B1112">
        <v>1986</v>
      </c>
      <c r="C1112" t="s">
        <v>35</v>
      </c>
      <c r="D1112">
        <v>50.73</v>
      </c>
      <c r="E1112">
        <v>175</v>
      </c>
      <c r="F1112">
        <v>85</v>
      </c>
      <c r="G1112">
        <v>175</v>
      </c>
      <c r="H1112">
        <v>435</v>
      </c>
      <c r="I1112">
        <v>2015</v>
      </c>
      <c r="J1112" t="s">
        <v>852</v>
      </c>
      <c r="K1112" t="s">
        <v>171</v>
      </c>
      <c r="L1112" s="8">
        <f t="shared" si="18"/>
        <v>0.48571428571428571</v>
      </c>
    </row>
    <row r="1113" spans="1:12">
      <c r="A1113" t="s">
        <v>198</v>
      </c>
      <c r="B1113">
        <v>1982</v>
      </c>
      <c r="C1113" t="s">
        <v>888</v>
      </c>
      <c r="D1113">
        <v>45.6</v>
      </c>
      <c r="E1113">
        <v>200</v>
      </c>
      <c r="F1113">
        <v>97.5</v>
      </c>
      <c r="G1113">
        <v>186</v>
      </c>
      <c r="H1113">
        <v>483.5</v>
      </c>
      <c r="I1113">
        <v>2014</v>
      </c>
      <c r="J1113" t="s">
        <v>852</v>
      </c>
      <c r="K1113" t="s">
        <v>171</v>
      </c>
      <c r="L1113" s="8">
        <f t="shared" si="18"/>
        <v>0.48749999999999999</v>
      </c>
    </row>
    <row r="1114" spans="1:12">
      <c r="A1114" t="s">
        <v>281</v>
      </c>
      <c r="B1114">
        <v>1980</v>
      </c>
      <c r="C1114" t="s">
        <v>282</v>
      </c>
      <c r="D1114">
        <v>51.81</v>
      </c>
      <c r="E1114">
        <v>205</v>
      </c>
      <c r="F1114">
        <v>100</v>
      </c>
      <c r="G1114">
        <v>177.5</v>
      </c>
      <c r="H1114">
        <v>482.5</v>
      </c>
      <c r="I1114">
        <v>2013</v>
      </c>
      <c r="J1114" t="s">
        <v>852</v>
      </c>
      <c r="K1114" t="s">
        <v>171</v>
      </c>
      <c r="L1114" s="8">
        <f t="shared" si="18"/>
        <v>0.48780487804878048</v>
      </c>
    </row>
    <row r="1115" spans="1:12">
      <c r="A1115" t="s">
        <v>213</v>
      </c>
      <c r="B1115">
        <v>1978</v>
      </c>
      <c r="C1115" t="s">
        <v>51</v>
      </c>
      <c r="D1115">
        <v>51.18</v>
      </c>
      <c r="E1115">
        <v>132.5</v>
      </c>
      <c r="F1115">
        <v>65</v>
      </c>
      <c r="G1115">
        <v>150</v>
      </c>
      <c r="H1115">
        <v>347.5</v>
      </c>
      <c r="I1115">
        <v>2013</v>
      </c>
      <c r="J1115" t="s">
        <v>852</v>
      </c>
      <c r="K1115" t="s">
        <v>171</v>
      </c>
      <c r="L1115" s="8">
        <f t="shared" si="18"/>
        <v>0.49056603773584906</v>
      </c>
    </row>
    <row r="1116" spans="1:12">
      <c r="A1116" t="s">
        <v>1033</v>
      </c>
      <c r="B1116">
        <v>1994</v>
      </c>
      <c r="C1116" t="s">
        <v>336</v>
      </c>
      <c r="D1116">
        <v>55.84</v>
      </c>
      <c r="E1116">
        <v>132.5</v>
      </c>
      <c r="F1116">
        <v>65</v>
      </c>
      <c r="G1116">
        <v>140</v>
      </c>
      <c r="H1116">
        <v>337.5</v>
      </c>
      <c r="I1116">
        <v>2012</v>
      </c>
      <c r="J1116" t="s">
        <v>852</v>
      </c>
      <c r="K1116" t="s">
        <v>171</v>
      </c>
      <c r="L1116" s="8">
        <f t="shared" si="18"/>
        <v>0.49056603773584906</v>
      </c>
    </row>
    <row r="1117" spans="1:12">
      <c r="A1117" t="s">
        <v>1039</v>
      </c>
      <c r="B1117">
        <v>1980</v>
      </c>
      <c r="C1117" t="s">
        <v>911</v>
      </c>
      <c r="D1117">
        <v>56.04</v>
      </c>
      <c r="E1117">
        <v>142.5</v>
      </c>
      <c r="F1117">
        <v>70</v>
      </c>
      <c r="G1117">
        <v>120</v>
      </c>
      <c r="H1117">
        <v>332.5</v>
      </c>
      <c r="I1117">
        <v>2014</v>
      </c>
      <c r="J1117" t="s">
        <v>852</v>
      </c>
      <c r="K1117" t="s">
        <v>171</v>
      </c>
      <c r="L1117" s="8">
        <f t="shared" si="18"/>
        <v>0.49122807017543857</v>
      </c>
    </row>
    <row r="1118" spans="1:12">
      <c r="A1118" t="s">
        <v>1038</v>
      </c>
      <c r="B1118">
        <v>1991</v>
      </c>
      <c r="C1118" t="s">
        <v>480</v>
      </c>
      <c r="D1118">
        <v>62.01</v>
      </c>
      <c r="E1118">
        <v>162.5</v>
      </c>
      <c r="F1118">
        <v>80</v>
      </c>
      <c r="G1118">
        <v>140</v>
      </c>
      <c r="H1118">
        <v>382.5</v>
      </c>
      <c r="I1118">
        <v>2012</v>
      </c>
      <c r="J1118" t="s">
        <v>852</v>
      </c>
      <c r="K1118" t="s">
        <v>171</v>
      </c>
      <c r="L1118" s="8">
        <f t="shared" si="18"/>
        <v>0.49230769230769234</v>
      </c>
    </row>
    <row r="1119" spans="1:12">
      <c r="A1119" t="s">
        <v>232</v>
      </c>
      <c r="B1119">
        <v>1968</v>
      </c>
      <c r="C1119" t="s">
        <v>876</v>
      </c>
      <c r="D1119">
        <v>51.56</v>
      </c>
      <c r="E1119">
        <v>182.5</v>
      </c>
      <c r="F1119">
        <v>90</v>
      </c>
      <c r="G1119">
        <v>165</v>
      </c>
      <c r="H1119">
        <v>437.5</v>
      </c>
      <c r="I1119">
        <v>2014</v>
      </c>
      <c r="J1119" t="s">
        <v>852</v>
      </c>
      <c r="K1119" t="s">
        <v>171</v>
      </c>
      <c r="L1119" s="8">
        <f t="shared" si="18"/>
        <v>0.49315068493150682</v>
      </c>
    </row>
    <row r="1120" spans="1:12">
      <c r="A1120" t="s">
        <v>198</v>
      </c>
      <c r="B1120">
        <v>1982</v>
      </c>
      <c r="C1120" t="s">
        <v>74</v>
      </c>
      <c r="D1120">
        <v>46.56</v>
      </c>
      <c r="E1120">
        <v>197.5</v>
      </c>
      <c r="F1120">
        <v>97.5</v>
      </c>
      <c r="G1120">
        <v>185.5</v>
      </c>
      <c r="H1120">
        <v>480.5</v>
      </c>
      <c r="I1120">
        <v>2013</v>
      </c>
      <c r="J1120" t="s">
        <v>852</v>
      </c>
      <c r="K1120" t="s">
        <v>171</v>
      </c>
      <c r="L1120" s="8">
        <f t="shared" si="18"/>
        <v>0.49367088607594939</v>
      </c>
    </row>
    <row r="1121" spans="1:12">
      <c r="A1121" t="s">
        <v>324</v>
      </c>
      <c r="B1121">
        <v>1976</v>
      </c>
      <c r="C1121" t="s">
        <v>49</v>
      </c>
      <c r="D1121">
        <v>62.3</v>
      </c>
      <c r="E1121">
        <v>222.5</v>
      </c>
      <c r="F1121">
        <v>110</v>
      </c>
      <c r="G1121">
        <v>210</v>
      </c>
      <c r="H1121">
        <v>542.5</v>
      </c>
      <c r="I1121">
        <v>2013</v>
      </c>
      <c r="J1121" t="s">
        <v>852</v>
      </c>
      <c r="K1121" t="s">
        <v>171</v>
      </c>
      <c r="L1121" s="8">
        <f t="shared" si="18"/>
        <v>0.4943820224719101</v>
      </c>
    </row>
    <row r="1122" spans="1:12">
      <c r="A1122" t="s">
        <v>324</v>
      </c>
      <c r="B1122">
        <v>1976</v>
      </c>
      <c r="C1122" t="s">
        <v>867</v>
      </c>
      <c r="D1122">
        <v>61.68</v>
      </c>
      <c r="E1122">
        <v>232.5</v>
      </c>
      <c r="F1122">
        <v>115</v>
      </c>
      <c r="G1122">
        <v>210</v>
      </c>
      <c r="H1122">
        <v>557.5</v>
      </c>
      <c r="I1122">
        <v>2014</v>
      </c>
      <c r="J1122" t="s">
        <v>852</v>
      </c>
      <c r="K1122" t="s">
        <v>171</v>
      </c>
      <c r="L1122" s="8">
        <f t="shared" si="18"/>
        <v>0.4946236559139785</v>
      </c>
    </row>
    <row r="1123" spans="1:12">
      <c r="A1123" t="s">
        <v>183</v>
      </c>
      <c r="B1123">
        <v>1991</v>
      </c>
      <c r="C1123" t="s">
        <v>45</v>
      </c>
      <c r="D1123">
        <v>56.8</v>
      </c>
      <c r="E1123">
        <v>185</v>
      </c>
      <c r="F1123">
        <v>92.5</v>
      </c>
      <c r="G1123">
        <v>167.5</v>
      </c>
      <c r="H1123">
        <v>445</v>
      </c>
      <c r="I1123">
        <v>2015</v>
      </c>
      <c r="J1123" t="s">
        <v>852</v>
      </c>
      <c r="K1123" t="s">
        <v>171</v>
      </c>
      <c r="L1123" s="8">
        <f t="shared" si="18"/>
        <v>0.5</v>
      </c>
    </row>
    <row r="1124" spans="1:12">
      <c r="A1124" t="s">
        <v>203</v>
      </c>
      <c r="B1124">
        <v>1987</v>
      </c>
      <c r="C1124" t="s">
        <v>125</v>
      </c>
      <c r="D1124">
        <v>56.52</v>
      </c>
      <c r="E1124">
        <v>165</v>
      </c>
      <c r="F1124">
        <v>82.5</v>
      </c>
      <c r="G1124">
        <v>160</v>
      </c>
      <c r="H1124">
        <v>407.5</v>
      </c>
      <c r="I1124">
        <v>2015</v>
      </c>
      <c r="J1124" t="s">
        <v>852</v>
      </c>
      <c r="K1124" t="s">
        <v>171</v>
      </c>
      <c r="L1124" s="8">
        <f t="shared" si="18"/>
        <v>0.5</v>
      </c>
    </row>
    <row r="1125" spans="1:12">
      <c r="A1125" t="s">
        <v>202</v>
      </c>
      <c r="B1125">
        <v>1980</v>
      </c>
      <c r="C1125" t="s">
        <v>74</v>
      </c>
      <c r="D1125">
        <v>50.82</v>
      </c>
      <c r="E1125">
        <v>165</v>
      </c>
      <c r="F1125">
        <v>82.5</v>
      </c>
      <c r="G1125">
        <v>187.5</v>
      </c>
      <c r="H1125">
        <v>435</v>
      </c>
      <c r="I1125">
        <v>2012</v>
      </c>
      <c r="J1125" t="s">
        <v>852</v>
      </c>
      <c r="K1125" t="s">
        <v>171</v>
      </c>
      <c r="L1125" s="8">
        <f t="shared" si="18"/>
        <v>0.5</v>
      </c>
    </row>
    <row r="1126" spans="1:12">
      <c r="A1126" t="s">
        <v>213</v>
      </c>
      <c r="B1126">
        <v>1978</v>
      </c>
      <c r="C1126" t="s">
        <v>51</v>
      </c>
      <c r="D1126">
        <v>50.76</v>
      </c>
      <c r="E1126">
        <v>135</v>
      </c>
      <c r="F1126">
        <v>67.5</v>
      </c>
      <c r="G1126">
        <v>152.5</v>
      </c>
      <c r="H1126">
        <v>355</v>
      </c>
      <c r="I1126">
        <v>2012</v>
      </c>
      <c r="J1126" t="s">
        <v>852</v>
      </c>
      <c r="K1126" t="s">
        <v>171</v>
      </c>
      <c r="L1126" s="8">
        <f t="shared" si="18"/>
        <v>0.5</v>
      </c>
    </row>
    <row r="1127" spans="1:12">
      <c r="A1127" t="s">
        <v>873</v>
      </c>
      <c r="B1127">
        <v>1991</v>
      </c>
      <c r="C1127" t="s">
        <v>85</v>
      </c>
      <c r="D1127">
        <v>82.9</v>
      </c>
      <c r="E1127">
        <v>227.5</v>
      </c>
      <c r="F1127">
        <v>115</v>
      </c>
      <c r="G1127">
        <v>202.5</v>
      </c>
      <c r="H1127">
        <v>545</v>
      </c>
      <c r="I1127">
        <v>2013</v>
      </c>
      <c r="J1127" t="s">
        <v>852</v>
      </c>
      <c r="K1127" t="s">
        <v>171</v>
      </c>
      <c r="L1127" s="8">
        <f t="shared" si="18"/>
        <v>0.50549450549450547</v>
      </c>
    </row>
    <row r="1128" spans="1:12">
      <c r="A1128" t="s">
        <v>932</v>
      </c>
      <c r="B1128">
        <v>1992</v>
      </c>
      <c r="C1128" t="s">
        <v>859</v>
      </c>
      <c r="D1128">
        <v>63.5</v>
      </c>
      <c r="E1128">
        <v>192.5</v>
      </c>
      <c r="F1128">
        <v>97.5</v>
      </c>
      <c r="G1128">
        <v>160</v>
      </c>
      <c r="H1128">
        <v>450</v>
      </c>
      <c r="I1128">
        <v>2014</v>
      </c>
      <c r="J1128" t="s">
        <v>852</v>
      </c>
      <c r="K1128" t="s">
        <v>171</v>
      </c>
      <c r="L1128" s="8">
        <f t="shared" si="18"/>
        <v>0.50649350649350644</v>
      </c>
    </row>
    <row r="1129" spans="1:12">
      <c r="A1129" t="s">
        <v>1051</v>
      </c>
      <c r="B1129">
        <v>1986</v>
      </c>
      <c r="C1129" t="s">
        <v>62</v>
      </c>
      <c r="D1129">
        <v>98.3</v>
      </c>
      <c r="E1129">
        <v>240</v>
      </c>
      <c r="F1129">
        <v>122.5</v>
      </c>
      <c r="G1129">
        <v>200</v>
      </c>
      <c r="H1129">
        <v>562.5</v>
      </c>
      <c r="I1129">
        <v>2012</v>
      </c>
      <c r="J1129" t="s">
        <v>852</v>
      </c>
      <c r="K1129" t="s">
        <v>171</v>
      </c>
      <c r="L1129" s="8">
        <f t="shared" si="18"/>
        <v>0.51041666666666663</v>
      </c>
    </row>
    <row r="1130" spans="1:12">
      <c r="A1130" t="s">
        <v>268</v>
      </c>
      <c r="B1130">
        <v>1975</v>
      </c>
      <c r="C1130" t="s">
        <v>62</v>
      </c>
      <c r="D1130">
        <v>113.15</v>
      </c>
      <c r="E1130">
        <v>235</v>
      </c>
      <c r="F1130">
        <v>120</v>
      </c>
      <c r="G1130">
        <v>205</v>
      </c>
      <c r="H1130">
        <v>560</v>
      </c>
      <c r="I1130">
        <v>2015</v>
      </c>
      <c r="J1130" t="s">
        <v>852</v>
      </c>
      <c r="K1130" t="s">
        <v>171</v>
      </c>
      <c r="L1130" s="8">
        <f t="shared" si="18"/>
        <v>0.51063829787234039</v>
      </c>
    </row>
    <row r="1131" spans="1:12">
      <c r="A1131" t="s">
        <v>281</v>
      </c>
      <c r="B1131">
        <v>1980</v>
      </c>
      <c r="C1131" t="s">
        <v>282</v>
      </c>
      <c r="D1131">
        <v>54.81</v>
      </c>
      <c r="E1131">
        <v>220</v>
      </c>
      <c r="F1131">
        <v>112.5</v>
      </c>
      <c r="G1131">
        <v>177.5</v>
      </c>
      <c r="H1131">
        <v>510</v>
      </c>
      <c r="I1131">
        <v>2015</v>
      </c>
      <c r="J1131" t="s">
        <v>852</v>
      </c>
      <c r="K1131" t="s">
        <v>171</v>
      </c>
      <c r="L1131" s="8">
        <f t="shared" si="18"/>
        <v>0.51136363636363635</v>
      </c>
    </row>
    <row r="1132" spans="1:12">
      <c r="A1132" t="s">
        <v>958</v>
      </c>
      <c r="B1132">
        <v>1994</v>
      </c>
      <c r="C1132" t="s">
        <v>359</v>
      </c>
      <c r="D1132">
        <v>66.48</v>
      </c>
      <c r="E1132">
        <v>180</v>
      </c>
      <c r="F1132">
        <v>92.5</v>
      </c>
      <c r="G1132">
        <v>140</v>
      </c>
      <c r="H1132">
        <v>412.5</v>
      </c>
      <c r="I1132">
        <v>2013</v>
      </c>
      <c r="J1132" t="s">
        <v>852</v>
      </c>
      <c r="K1132" t="s">
        <v>171</v>
      </c>
      <c r="L1132" s="8">
        <f t="shared" si="18"/>
        <v>0.51388888888888884</v>
      </c>
    </row>
    <row r="1133" spans="1:12">
      <c r="A1133" t="s">
        <v>928</v>
      </c>
      <c r="B1133">
        <v>1979</v>
      </c>
      <c r="C1133" t="s">
        <v>45</v>
      </c>
      <c r="D1133">
        <v>61.11</v>
      </c>
      <c r="E1133">
        <v>175</v>
      </c>
      <c r="F1133">
        <v>90</v>
      </c>
      <c r="G1133">
        <v>185</v>
      </c>
      <c r="H1133">
        <v>450</v>
      </c>
      <c r="I1133">
        <v>2012</v>
      </c>
      <c r="J1133" t="s">
        <v>852</v>
      </c>
      <c r="K1133" t="s">
        <v>171</v>
      </c>
      <c r="L1133" s="8">
        <f t="shared" si="18"/>
        <v>0.51428571428571423</v>
      </c>
    </row>
    <row r="1134" spans="1:12">
      <c r="A1134" t="s">
        <v>1059</v>
      </c>
      <c r="B1134">
        <v>1984</v>
      </c>
      <c r="C1134" t="s">
        <v>85</v>
      </c>
      <c r="D1134">
        <v>61.73</v>
      </c>
      <c r="E1134">
        <v>165</v>
      </c>
      <c r="F1134">
        <v>85</v>
      </c>
      <c r="G1134">
        <v>190</v>
      </c>
      <c r="H1134">
        <v>440</v>
      </c>
      <c r="I1134">
        <v>2013</v>
      </c>
      <c r="J1134" t="s">
        <v>852</v>
      </c>
      <c r="K1134" t="s">
        <v>171</v>
      </c>
      <c r="L1134" s="8">
        <f t="shared" si="18"/>
        <v>0.51515151515151514</v>
      </c>
    </row>
    <row r="1135" spans="1:12">
      <c r="A1135" t="s">
        <v>185</v>
      </c>
      <c r="B1135">
        <v>1983</v>
      </c>
      <c r="C1135" t="s">
        <v>142</v>
      </c>
      <c r="D1135">
        <v>56.05</v>
      </c>
      <c r="E1135">
        <v>150</v>
      </c>
      <c r="F1135">
        <v>77.5</v>
      </c>
      <c r="G1135">
        <v>0</v>
      </c>
      <c r="H1135">
        <v>0</v>
      </c>
      <c r="I1135">
        <v>2013</v>
      </c>
      <c r="J1135" t="s">
        <v>852</v>
      </c>
      <c r="K1135" t="s">
        <v>171</v>
      </c>
      <c r="L1135" s="8">
        <f t="shared" si="18"/>
        <v>0.51666666666666672</v>
      </c>
    </row>
    <row r="1136" spans="1:12">
      <c r="A1136" t="s">
        <v>202</v>
      </c>
      <c r="B1136">
        <v>1980</v>
      </c>
      <c r="C1136" t="s">
        <v>74</v>
      </c>
      <c r="D1136">
        <v>51.07</v>
      </c>
      <c r="E1136">
        <v>150</v>
      </c>
      <c r="F1136">
        <v>77.5</v>
      </c>
      <c r="G1136">
        <v>185</v>
      </c>
      <c r="H1136">
        <v>412.5</v>
      </c>
      <c r="I1136">
        <v>2013</v>
      </c>
      <c r="J1136" t="s">
        <v>852</v>
      </c>
      <c r="K1136" t="s">
        <v>171</v>
      </c>
      <c r="L1136" s="8">
        <f t="shared" si="18"/>
        <v>0.51666666666666672</v>
      </c>
    </row>
    <row r="1137" spans="1:12">
      <c r="A1137" t="s">
        <v>213</v>
      </c>
      <c r="B1137">
        <v>1978</v>
      </c>
      <c r="C1137" t="s">
        <v>905</v>
      </c>
      <c r="D1137">
        <v>50.92</v>
      </c>
      <c r="E1137">
        <v>140</v>
      </c>
      <c r="F1137">
        <v>72.5</v>
      </c>
      <c r="G1137">
        <v>155</v>
      </c>
      <c r="H1137">
        <v>367.5</v>
      </c>
      <c r="I1137">
        <v>2014</v>
      </c>
      <c r="J1137" t="s">
        <v>852</v>
      </c>
      <c r="K1137" t="s">
        <v>171</v>
      </c>
      <c r="L1137" s="8">
        <f t="shared" si="18"/>
        <v>0.5178571428571429</v>
      </c>
    </row>
    <row r="1138" spans="1:12">
      <c r="A1138" t="s">
        <v>324</v>
      </c>
      <c r="B1138">
        <v>1976</v>
      </c>
      <c r="C1138" t="s">
        <v>49</v>
      </c>
      <c r="D1138">
        <v>61.97</v>
      </c>
      <c r="E1138">
        <v>197.5</v>
      </c>
      <c r="F1138">
        <v>102.5</v>
      </c>
      <c r="G1138">
        <v>205</v>
      </c>
      <c r="H1138">
        <v>505</v>
      </c>
      <c r="I1138">
        <v>2012</v>
      </c>
      <c r="J1138" t="s">
        <v>852</v>
      </c>
      <c r="K1138" t="s">
        <v>171</v>
      </c>
      <c r="L1138" s="8">
        <f t="shared" si="18"/>
        <v>0.51898734177215189</v>
      </c>
    </row>
    <row r="1139" spans="1:12">
      <c r="A1139" t="s">
        <v>865</v>
      </c>
      <c r="B1139">
        <v>1988</v>
      </c>
      <c r="C1139" t="s">
        <v>336</v>
      </c>
      <c r="D1139">
        <v>51.71</v>
      </c>
      <c r="E1139">
        <v>125</v>
      </c>
      <c r="F1139">
        <v>65</v>
      </c>
      <c r="G1139">
        <v>130</v>
      </c>
      <c r="H1139">
        <v>320</v>
      </c>
      <c r="I1139">
        <v>2012</v>
      </c>
      <c r="J1139" t="s">
        <v>852</v>
      </c>
      <c r="K1139" t="s">
        <v>171</v>
      </c>
      <c r="L1139" s="8">
        <f t="shared" si="18"/>
        <v>0.52</v>
      </c>
    </row>
    <row r="1140" spans="1:12">
      <c r="A1140" t="s">
        <v>981</v>
      </c>
      <c r="B1140">
        <v>1987</v>
      </c>
      <c r="C1140" t="s">
        <v>464</v>
      </c>
      <c r="D1140">
        <v>51.84</v>
      </c>
      <c r="E1140">
        <v>182.5</v>
      </c>
      <c r="F1140">
        <v>95</v>
      </c>
      <c r="G1140">
        <v>175</v>
      </c>
      <c r="H1140">
        <v>452.5</v>
      </c>
      <c r="I1140">
        <v>2012</v>
      </c>
      <c r="J1140" t="s">
        <v>852</v>
      </c>
      <c r="K1140" t="s">
        <v>171</v>
      </c>
      <c r="L1140" s="8">
        <f t="shared" si="18"/>
        <v>0.52054794520547942</v>
      </c>
    </row>
    <row r="1141" spans="1:12">
      <c r="A1141" t="s">
        <v>881</v>
      </c>
      <c r="B1141">
        <v>1989</v>
      </c>
      <c r="C1141" t="s">
        <v>336</v>
      </c>
      <c r="D1141">
        <v>72</v>
      </c>
      <c r="E1141">
        <v>177.5</v>
      </c>
      <c r="F1141">
        <v>92.5</v>
      </c>
      <c r="G1141">
        <v>182.5</v>
      </c>
      <c r="H1141">
        <v>452.5</v>
      </c>
      <c r="I1141">
        <v>2012</v>
      </c>
      <c r="J1141" t="s">
        <v>852</v>
      </c>
      <c r="K1141" t="s">
        <v>171</v>
      </c>
      <c r="L1141" s="8">
        <f t="shared" si="18"/>
        <v>0.52112676056338025</v>
      </c>
    </row>
    <row r="1142" spans="1:12">
      <c r="A1142" t="s">
        <v>324</v>
      </c>
      <c r="B1142">
        <v>1976</v>
      </c>
      <c r="C1142" t="s">
        <v>49</v>
      </c>
      <c r="D1142">
        <v>62.78</v>
      </c>
      <c r="E1142">
        <v>230</v>
      </c>
      <c r="F1142">
        <v>120</v>
      </c>
      <c r="G1142">
        <v>212.5</v>
      </c>
      <c r="H1142">
        <v>562.5</v>
      </c>
      <c r="I1142">
        <v>2015</v>
      </c>
      <c r="J1142" t="s">
        <v>852</v>
      </c>
      <c r="K1142" t="s">
        <v>171</v>
      </c>
      <c r="L1142" s="8">
        <f t="shared" si="18"/>
        <v>0.52173913043478259</v>
      </c>
    </row>
    <row r="1143" spans="1:12">
      <c r="A1143" t="s">
        <v>203</v>
      </c>
      <c r="B1143">
        <v>1987</v>
      </c>
      <c r="C1143" t="s">
        <v>893</v>
      </c>
      <c r="D1143">
        <v>57.68</v>
      </c>
      <c r="E1143">
        <v>162.5</v>
      </c>
      <c r="F1143">
        <v>85</v>
      </c>
      <c r="G1143">
        <v>162.5</v>
      </c>
      <c r="H1143">
        <v>410</v>
      </c>
      <c r="I1143">
        <v>2014</v>
      </c>
      <c r="J1143" t="s">
        <v>852</v>
      </c>
      <c r="K1143" t="s">
        <v>171</v>
      </c>
      <c r="L1143" s="8">
        <f t="shared" si="18"/>
        <v>0.52307692307692311</v>
      </c>
    </row>
    <row r="1144" spans="1:12">
      <c r="A1144" t="s">
        <v>214</v>
      </c>
      <c r="B1144">
        <v>1990</v>
      </c>
      <c r="C1144" t="s">
        <v>45</v>
      </c>
      <c r="D1144">
        <v>71.06</v>
      </c>
      <c r="E1144">
        <v>232.5</v>
      </c>
      <c r="F1144">
        <v>122.5</v>
      </c>
      <c r="G1144">
        <v>210</v>
      </c>
      <c r="H1144">
        <v>565</v>
      </c>
      <c r="I1144">
        <v>2013</v>
      </c>
      <c r="J1144" t="s">
        <v>852</v>
      </c>
      <c r="K1144" t="s">
        <v>171</v>
      </c>
      <c r="L1144" s="8">
        <f t="shared" si="18"/>
        <v>0.5268817204301075</v>
      </c>
    </row>
    <row r="1145" spans="1:12">
      <c r="A1145" t="s">
        <v>886</v>
      </c>
      <c r="B1145">
        <v>1979</v>
      </c>
      <c r="C1145" t="s">
        <v>859</v>
      </c>
      <c r="D1145">
        <v>55.74</v>
      </c>
      <c r="E1145">
        <v>180</v>
      </c>
      <c r="F1145">
        <v>95</v>
      </c>
      <c r="G1145">
        <v>0</v>
      </c>
      <c r="H1145">
        <v>0</v>
      </c>
      <c r="I1145">
        <v>2014</v>
      </c>
      <c r="J1145" t="s">
        <v>852</v>
      </c>
      <c r="K1145" t="s">
        <v>171</v>
      </c>
      <c r="L1145" s="8">
        <f t="shared" si="18"/>
        <v>0.52777777777777779</v>
      </c>
    </row>
    <row r="1146" spans="1:12">
      <c r="A1146" t="s">
        <v>201</v>
      </c>
      <c r="B1146">
        <v>1982</v>
      </c>
      <c r="C1146" t="s">
        <v>74</v>
      </c>
      <c r="D1146">
        <v>56.47</v>
      </c>
      <c r="E1146">
        <v>170</v>
      </c>
      <c r="F1146">
        <v>90</v>
      </c>
      <c r="G1146">
        <v>197.5</v>
      </c>
      <c r="H1146">
        <v>457.5</v>
      </c>
      <c r="I1146">
        <v>2015</v>
      </c>
      <c r="J1146" t="s">
        <v>852</v>
      </c>
      <c r="K1146" t="s">
        <v>171</v>
      </c>
      <c r="L1146" s="8">
        <f t="shared" si="18"/>
        <v>0.52941176470588236</v>
      </c>
    </row>
    <row r="1147" spans="1:12">
      <c r="A1147" t="s">
        <v>273</v>
      </c>
      <c r="B1147">
        <v>1975</v>
      </c>
      <c r="C1147" t="s">
        <v>274</v>
      </c>
      <c r="D1147">
        <v>51.71</v>
      </c>
      <c r="E1147">
        <v>155</v>
      </c>
      <c r="F1147">
        <v>82.5</v>
      </c>
      <c r="G1147">
        <v>155</v>
      </c>
      <c r="H1147">
        <v>392.5</v>
      </c>
      <c r="I1147">
        <v>2015</v>
      </c>
      <c r="J1147" t="s">
        <v>852</v>
      </c>
      <c r="K1147" t="s">
        <v>171</v>
      </c>
      <c r="L1147" s="8">
        <f t="shared" si="18"/>
        <v>0.532258064516129</v>
      </c>
    </row>
    <row r="1148" spans="1:12">
      <c r="A1148" t="s">
        <v>877</v>
      </c>
      <c r="B1148">
        <v>1980</v>
      </c>
      <c r="C1148" t="s">
        <v>878</v>
      </c>
      <c r="D1148">
        <v>51.26</v>
      </c>
      <c r="E1148">
        <v>155</v>
      </c>
      <c r="F1148">
        <v>82.5</v>
      </c>
      <c r="G1148">
        <v>142.5</v>
      </c>
      <c r="H1148">
        <v>380</v>
      </c>
      <c r="I1148">
        <v>2014</v>
      </c>
      <c r="J1148" t="s">
        <v>852</v>
      </c>
      <c r="K1148" t="s">
        <v>171</v>
      </c>
      <c r="L1148" s="8">
        <f t="shared" si="18"/>
        <v>0.532258064516129</v>
      </c>
    </row>
    <row r="1149" spans="1:12">
      <c r="A1149" t="s">
        <v>175</v>
      </c>
      <c r="B1149">
        <v>1981</v>
      </c>
      <c r="C1149" t="s">
        <v>80</v>
      </c>
      <c r="D1149">
        <v>46.67</v>
      </c>
      <c r="E1149">
        <v>150</v>
      </c>
      <c r="F1149">
        <v>80</v>
      </c>
      <c r="G1149">
        <v>160</v>
      </c>
      <c r="H1149">
        <v>390</v>
      </c>
      <c r="I1149">
        <v>2015</v>
      </c>
      <c r="J1149" t="s">
        <v>852</v>
      </c>
      <c r="K1149" t="s">
        <v>171</v>
      </c>
      <c r="L1149" s="8">
        <f t="shared" si="18"/>
        <v>0.53333333333333333</v>
      </c>
    </row>
    <row r="1150" spans="1:12">
      <c r="A1150" t="s">
        <v>331</v>
      </c>
      <c r="B1150">
        <v>1989</v>
      </c>
      <c r="C1150" t="s">
        <v>119</v>
      </c>
      <c r="D1150">
        <v>80.11</v>
      </c>
      <c r="E1150">
        <v>252.5</v>
      </c>
      <c r="F1150">
        <v>135</v>
      </c>
      <c r="G1150">
        <v>220</v>
      </c>
      <c r="H1150">
        <v>607.5</v>
      </c>
      <c r="I1150">
        <v>2015</v>
      </c>
      <c r="J1150" t="s">
        <v>852</v>
      </c>
      <c r="K1150" t="s">
        <v>171</v>
      </c>
      <c r="L1150" s="8">
        <f t="shared" si="18"/>
        <v>0.53465346534653468</v>
      </c>
    </row>
    <row r="1151" spans="1:12">
      <c r="A1151" t="s">
        <v>1045</v>
      </c>
      <c r="B1151">
        <v>1986</v>
      </c>
      <c r="C1151" t="s">
        <v>28</v>
      </c>
      <c r="D1151">
        <v>46.83</v>
      </c>
      <c r="E1151">
        <v>177.5</v>
      </c>
      <c r="F1151">
        <v>95</v>
      </c>
      <c r="G1151">
        <v>175</v>
      </c>
      <c r="H1151">
        <v>447.5</v>
      </c>
      <c r="I1151">
        <v>2013</v>
      </c>
      <c r="J1151" t="s">
        <v>852</v>
      </c>
      <c r="K1151" t="s">
        <v>171</v>
      </c>
      <c r="L1151" s="8">
        <f t="shared" si="18"/>
        <v>0.53521126760563376</v>
      </c>
    </row>
    <row r="1152" spans="1:12">
      <c r="A1152" t="s">
        <v>861</v>
      </c>
      <c r="B1152">
        <v>1980</v>
      </c>
      <c r="C1152" t="s">
        <v>464</v>
      </c>
      <c r="D1152">
        <v>62.06</v>
      </c>
      <c r="E1152">
        <v>210</v>
      </c>
      <c r="F1152">
        <v>112.5</v>
      </c>
      <c r="G1152">
        <v>210</v>
      </c>
      <c r="H1152">
        <v>532.5</v>
      </c>
      <c r="I1152">
        <v>2012</v>
      </c>
      <c r="J1152" t="s">
        <v>852</v>
      </c>
      <c r="K1152" t="s">
        <v>171</v>
      </c>
      <c r="L1152" s="8">
        <f t="shared" si="18"/>
        <v>0.5357142857142857</v>
      </c>
    </row>
    <row r="1153" spans="1:12">
      <c r="A1153" t="s">
        <v>335</v>
      </c>
      <c r="B1153">
        <v>1985</v>
      </c>
      <c r="C1153" t="s">
        <v>336</v>
      </c>
      <c r="D1153">
        <v>46.14</v>
      </c>
      <c r="E1153">
        <v>167.5</v>
      </c>
      <c r="F1153">
        <v>90</v>
      </c>
      <c r="G1153">
        <v>152.5</v>
      </c>
      <c r="H1153">
        <v>410</v>
      </c>
      <c r="I1153">
        <v>2012</v>
      </c>
      <c r="J1153" t="s">
        <v>852</v>
      </c>
      <c r="K1153" t="s">
        <v>171</v>
      </c>
      <c r="L1153" s="8">
        <f t="shared" si="18"/>
        <v>0.53731343283582089</v>
      </c>
    </row>
    <row r="1154" spans="1:12">
      <c r="A1154" t="s">
        <v>927</v>
      </c>
      <c r="B1154">
        <v>1984</v>
      </c>
      <c r="C1154" t="s">
        <v>62</v>
      </c>
      <c r="D1154">
        <v>62.74</v>
      </c>
      <c r="E1154">
        <v>200</v>
      </c>
      <c r="F1154">
        <v>107.5</v>
      </c>
      <c r="G1154">
        <v>212.5</v>
      </c>
      <c r="H1154">
        <v>520</v>
      </c>
      <c r="I1154">
        <v>2013</v>
      </c>
      <c r="J1154" t="s">
        <v>852</v>
      </c>
      <c r="K1154" t="s">
        <v>171</v>
      </c>
      <c r="L1154" s="8">
        <f t="shared" ref="L1154:L1217" si="19">IF(AND(F1154&lt;&gt;0,E1154&lt;&gt;0),F1154/E1154,"")</f>
        <v>0.53749999999999998</v>
      </c>
    </row>
    <row r="1155" spans="1:12">
      <c r="A1155" t="s">
        <v>175</v>
      </c>
      <c r="B1155">
        <v>1981</v>
      </c>
      <c r="C1155" t="s">
        <v>80</v>
      </c>
      <c r="D1155">
        <v>50.78</v>
      </c>
      <c r="E1155">
        <v>162.5</v>
      </c>
      <c r="F1155">
        <v>87.5</v>
      </c>
      <c r="G1155">
        <v>167.5</v>
      </c>
      <c r="H1155">
        <v>417.5</v>
      </c>
      <c r="I1155">
        <v>2012</v>
      </c>
      <c r="J1155" t="s">
        <v>852</v>
      </c>
      <c r="K1155" t="s">
        <v>171</v>
      </c>
      <c r="L1155" s="8">
        <f t="shared" si="19"/>
        <v>0.53846153846153844</v>
      </c>
    </row>
    <row r="1156" spans="1:12">
      <c r="A1156" t="s">
        <v>175</v>
      </c>
      <c r="B1156">
        <v>1981</v>
      </c>
      <c r="C1156" t="s">
        <v>80</v>
      </c>
      <c r="D1156">
        <v>50.38</v>
      </c>
      <c r="E1156">
        <v>162.5</v>
      </c>
      <c r="F1156">
        <v>87.5</v>
      </c>
      <c r="G1156">
        <v>172.5</v>
      </c>
      <c r="H1156">
        <v>422.5</v>
      </c>
      <c r="I1156">
        <v>2013</v>
      </c>
      <c r="J1156" t="s">
        <v>852</v>
      </c>
      <c r="K1156" t="s">
        <v>171</v>
      </c>
      <c r="L1156" s="8">
        <f t="shared" si="19"/>
        <v>0.53846153846153844</v>
      </c>
    </row>
    <row r="1157" spans="1:12">
      <c r="A1157" t="s">
        <v>335</v>
      </c>
      <c r="B1157">
        <v>1983</v>
      </c>
      <c r="C1157" t="s">
        <v>977</v>
      </c>
      <c r="D1157">
        <v>46.42</v>
      </c>
      <c r="E1157">
        <v>185</v>
      </c>
      <c r="F1157">
        <v>100</v>
      </c>
      <c r="G1157">
        <v>155</v>
      </c>
      <c r="H1157">
        <v>440</v>
      </c>
      <c r="I1157">
        <v>2014</v>
      </c>
      <c r="J1157" t="s">
        <v>852</v>
      </c>
      <c r="K1157" t="s">
        <v>171</v>
      </c>
      <c r="L1157" s="8">
        <f t="shared" si="19"/>
        <v>0.54054054054054057</v>
      </c>
    </row>
    <row r="1158" spans="1:12">
      <c r="A1158" t="s">
        <v>309</v>
      </c>
      <c r="B1158">
        <v>1985</v>
      </c>
      <c r="C1158" t="s">
        <v>252</v>
      </c>
      <c r="D1158">
        <v>50.62</v>
      </c>
      <c r="E1158">
        <v>120</v>
      </c>
      <c r="F1158">
        <v>65</v>
      </c>
      <c r="G1158">
        <v>115</v>
      </c>
      <c r="H1158">
        <v>300</v>
      </c>
      <c r="I1158">
        <v>2015</v>
      </c>
      <c r="J1158" t="s">
        <v>852</v>
      </c>
      <c r="K1158" t="s">
        <v>171</v>
      </c>
      <c r="L1158" s="8">
        <f t="shared" si="19"/>
        <v>0.54166666666666663</v>
      </c>
    </row>
    <row r="1159" spans="1:12">
      <c r="A1159" t="s">
        <v>950</v>
      </c>
      <c r="B1159">
        <v>1999</v>
      </c>
      <c r="C1159" t="s">
        <v>876</v>
      </c>
      <c r="D1159">
        <v>45.96</v>
      </c>
      <c r="E1159">
        <v>142.5</v>
      </c>
      <c r="F1159">
        <v>77.5</v>
      </c>
      <c r="G1159">
        <v>147.5</v>
      </c>
      <c r="H1159">
        <v>367.5</v>
      </c>
      <c r="I1159">
        <v>2014</v>
      </c>
      <c r="J1159" t="s">
        <v>852</v>
      </c>
      <c r="K1159" t="s">
        <v>171</v>
      </c>
      <c r="L1159" s="8">
        <f t="shared" si="19"/>
        <v>0.54385964912280704</v>
      </c>
    </row>
    <row r="1160" spans="1:12">
      <c r="A1160" t="s">
        <v>213</v>
      </c>
      <c r="B1160">
        <v>1978</v>
      </c>
      <c r="C1160" t="s">
        <v>51</v>
      </c>
      <c r="D1160">
        <v>51.42</v>
      </c>
      <c r="E1160">
        <v>137.5</v>
      </c>
      <c r="F1160">
        <v>75</v>
      </c>
      <c r="G1160">
        <v>157.5</v>
      </c>
      <c r="H1160">
        <v>370</v>
      </c>
      <c r="I1160">
        <v>2015</v>
      </c>
      <c r="J1160" t="s">
        <v>852</v>
      </c>
      <c r="K1160" t="s">
        <v>171</v>
      </c>
      <c r="L1160" s="8">
        <f t="shared" si="19"/>
        <v>0.54545454545454541</v>
      </c>
    </row>
    <row r="1161" spans="1:12">
      <c r="A1161" t="s">
        <v>335</v>
      </c>
      <c r="B1161">
        <v>1983</v>
      </c>
      <c r="C1161" t="s">
        <v>336</v>
      </c>
      <c r="D1161">
        <v>46.35</v>
      </c>
      <c r="E1161">
        <v>182.5</v>
      </c>
      <c r="F1161">
        <v>100</v>
      </c>
      <c r="G1161">
        <v>160</v>
      </c>
      <c r="H1161">
        <v>442.5</v>
      </c>
      <c r="I1161">
        <v>2015</v>
      </c>
      <c r="J1161" t="s">
        <v>852</v>
      </c>
      <c r="K1161" t="s">
        <v>171</v>
      </c>
      <c r="L1161" s="8">
        <f t="shared" si="19"/>
        <v>0.54794520547945202</v>
      </c>
    </row>
    <row r="1162" spans="1:12">
      <c r="A1162" t="s">
        <v>927</v>
      </c>
      <c r="B1162">
        <v>1984</v>
      </c>
      <c r="C1162" t="s">
        <v>62</v>
      </c>
      <c r="D1162">
        <v>62.12</v>
      </c>
      <c r="E1162">
        <v>205</v>
      </c>
      <c r="F1162">
        <v>112.5</v>
      </c>
      <c r="G1162">
        <v>220</v>
      </c>
      <c r="H1162">
        <v>537.5</v>
      </c>
      <c r="I1162">
        <v>2012</v>
      </c>
      <c r="J1162" t="s">
        <v>852</v>
      </c>
      <c r="K1162" t="s">
        <v>171</v>
      </c>
      <c r="L1162" s="8">
        <f t="shared" si="19"/>
        <v>0.54878048780487809</v>
      </c>
    </row>
    <row r="1163" spans="1:12">
      <c r="A1163" t="s">
        <v>956</v>
      </c>
      <c r="B1163">
        <v>1977</v>
      </c>
      <c r="C1163" t="s">
        <v>51</v>
      </c>
      <c r="D1163">
        <v>56.75</v>
      </c>
      <c r="E1163">
        <v>172.5</v>
      </c>
      <c r="F1163">
        <v>95</v>
      </c>
      <c r="G1163">
        <v>182.5</v>
      </c>
      <c r="H1163">
        <v>450</v>
      </c>
      <c r="I1163">
        <v>2013</v>
      </c>
      <c r="J1163" t="s">
        <v>852</v>
      </c>
      <c r="K1163" t="s">
        <v>171</v>
      </c>
      <c r="L1163" s="8">
        <f t="shared" si="19"/>
        <v>0.55072463768115942</v>
      </c>
    </row>
    <row r="1164" spans="1:12">
      <c r="A1164" t="s">
        <v>980</v>
      </c>
      <c r="B1164">
        <v>1985</v>
      </c>
      <c r="C1164" t="s">
        <v>45</v>
      </c>
      <c r="D1164">
        <v>71.61</v>
      </c>
      <c r="E1164">
        <v>195</v>
      </c>
      <c r="F1164">
        <v>107.5</v>
      </c>
      <c r="G1164">
        <v>187.5</v>
      </c>
      <c r="H1164">
        <v>490</v>
      </c>
      <c r="I1164">
        <v>2012</v>
      </c>
      <c r="J1164" t="s">
        <v>852</v>
      </c>
      <c r="K1164" t="s">
        <v>171</v>
      </c>
      <c r="L1164" s="8">
        <f t="shared" si="19"/>
        <v>0.55128205128205132</v>
      </c>
    </row>
    <row r="1165" spans="1:12">
      <c r="A1165" t="s">
        <v>232</v>
      </c>
      <c r="B1165">
        <v>1968</v>
      </c>
      <c r="C1165" t="s">
        <v>62</v>
      </c>
      <c r="D1165">
        <v>51.49</v>
      </c>
      <c r="E1165">
        <v>167.5</v>
      </c>
      <c r="F1165">
        <v>92.5</v>
      </c>
      <c r="G1165">
        <v>167.5</v>
      </c>
      <c r="H1165">
        <v>427.5</v>
      </c>
      <c r="I1165">
        <v>2012</v>
      </c>
      <c r="J1165" t="s">
        <v>852</v>
      </c>
      <c r="K1165" t="s">
        <v>171</v>
      </c>
      <c r="L1165" s="8">
        <f t="shared" si="19"/>
        <v>0.55223880597014929</v>
      </c>
    </row>
    <row r="1166" spans="1:12">
      <c r="A1166" t="s">
        <v>265</v>
      </c>
      <c r="B1166">
        <v>1976</v>
      </c>
      <c r="C1166" t="s">
        <v>137</v>
      </c>
      <c r="D1166">
        <v>51.29</v>
      </c>
      <c r="E1166">
        <v>167.5</v>
      </c>
      <c r="F1166">
        <v>92.5</v>
      </c>
      <c r="G1166">
        <v>157.5</v>
      </c>
      <c r="H1166">
        <v>417.5</v>
      </c>
      <c r="I1166">
        <v>2013</v>
      </c>
      <c r="J1166" t="s">
        <v>852</v>
      </c>
      <c r="K1166" t="s">
        <v>171</v>
      </c>
      <c r="L1166" s="8">
        <f t="shared" si="19"/>
        <v>0.55223880597014929</v>
      </c>
    </row>
    <row r="1167" spans="1:12">
      <c r="A1167" t="s">
        <v>275</v>
      </c>
      <c r="B1167">
        <v>1988</v>
      </c>
      <c r="C1167" t="s">
        <v>905</v>
      </c>
      <c r="D1167">
        <v>54.74</v>
      </c>
      <c r="E1167">
        <v>167.5</v>
      </c>
      <c r="F1167">
        <v>92.5</v>
      </c>
      <c r="G1167">
        <v>157.5</v>
      </c>
      <c r="H1167">
        <v>417.5</v>
      </c>
      <c r="I1167">
        <v>2014</v>
      </c>
      <c r="J1167" t="s">
        <v>852</v>
      </c>
      <c r="K1167" t="s">
        <v>171</v>
      </c>
      <c r="L1167" s="8">
        <f t="shared" si="19"/>
        <v>0.55223880597014929</v>
      </c>
    </row>
    <row r="1168" spans="1:12">
      <c r="A1168" t="s">
        <v>181</v>
      </c>
      <c r="B1168">
        <v>1986</v>
      </c>
      <c r="C1168" t="s">
        <v>49</v>
      </c>
      <c r="D1168">
        <v>56.16</v>
      </c>
      <c r="E1168">
        <v>185</v>
      </c>
      <c r="F1168">
        <v>102.5</v>
      </c>
      <c r="G1168">
        <v>170</v>
      </c>
      <c r="H1168">
        <v>457.5</v>
      </c>
      <c r="I1168">
        <v>2015</v>
      </c>
      <c r="J1168" t="s">
        <v>852</v>
      </c>
      <c r="K1168" t="s">
        <v>171</v>
      </c>
      <c r="L1168" s="8">
        <f t="shared" si="19"/>
        <v>0.55405405405405406</v>
      </c>
    </row>
    <row r="1169" spans="1:12">
      <c r="A1169" t="s">
        <v>192</v>
      </c>
      <c r="B1169">
        <v>1969</v>
      </c>
      <c r="C1169" t="s">
        <v>54</v>
      </c>
      <c r="D1169">
        <v>56.39</v>
      </c>
      <c r="E1169">
        <v>157.5</v>
      </c>
      <c r="F1169">
        <v>87.5</v>
      </c>
      <c r="G1169">
        <v>170</v>
      </c>
      <c r="H1169">
        <v>415</v>
      </c>
      <c r="I1169">
        <v>2015</v>
      </c>
      <c r="J1169" t="s">
        <v>852</v>
      </c>
      <c r="K1169" t="s">
        <v>171</v>
      </c>
      <c r="L1169" s="8">
        <f t="shared" si="19"/>
        <v>0.55555555555555558</v>
      </c>
    </row>
    <row r="1170" spans="1:12">
      <c r="A1170" t="s">
        <v>301</v>
      </c>
      <c r="B1170">
        <v>1972</v>
      </c>
      <c r="C1170" t="s">
        <v>62</v>
      </c>
      <c r="D1170">
        <v>71.19</v>
      </c>
      <c r="E1170">
        <v>225</v>
      </c>
      <c r="F1170">
        <v>125</v>
      </c>
      <c r="G1170">
        <v>247.5</v>
      </c>
      <c r="H1170">
        <v>597.5</v>
      </c>
      <c r="I1170">
        <v>2012</v>
      </c>
      <c r="J1170" t="s">
        <v>852</v>
      </c>
      <c r="K1170" t="s">
        <v>171</v>
      </c>
      <c r="L1170" s="8">
        <f t="shared" si="19"/>
        <v>0.55555555555555558</v>
      </c>
    </row>
    <row r="1171" spans="1:12">
      <c r="A1171" t="s">
        <v>881</v>
      </c>
      <c r="B1171">
        <v>1989</v>
      </c>
      <c r="C1171" t="s">
        <v>336</v>
      </c>
      <c r="D1171">
        <v>71.400000000000006</v>
      </c>
      <c r="E1171">
        <v>175</v>
      </c>
      <c r="F1171">
        <v>97.5</v>
      </c>
      <c r="G1171">
        <v>175</v>
      </c>
      <c r="H1171">
        <v>447.5</v>
      </c>
      <c r="I1171">
        <v>2013</v>
      </c>
      <c r="J1171" t="s">
        <v>852</v>
      </c>
      <c r="K1171" t="s">
        <v>171</v>
      </c>
      <c r="L1171" s="8">
        <f t="shared" si="19"/>
        <v>0.55714285714285716</v>
      </c>
    </row>
    <row r="1172" spans="1:12">
      <c r="A1172" t="s">
        <v>201</v>
      </c>
      <c r="B1172">
        <v>1982</v>
      </c>
      <c r="C1172" t="s">
        <v>74</v>
      </c>
      <c r="D1172">
        <v>56.33</v>
      </c>
      <c r="E1172">
        <v>175</v>
      </c>
      <c r="F1172">
        <v>97.5</v>
      </c>
      <c r="G1172">
        <v>185</v>
      </c>
      <c r="H1172">
        <v>457.5</v>
      </c>
      <c r="I1172">
        <v>2012</v>
      </c>
      <c r="J1172" t="s">
        <v>852</v>
      </c>
      <c r="K1172" t="s">
        <v>171</v>
      </c>
      <c r="L1172" s="8">
        <f t="shared" si="19"/>
        <v>0.55714285714285716</v>
      </c>
    </row>
    <row r="1173" spans="1:12">
      <c r="A1173" t="s">
        <v>936</v>
      </c>
      <c r="B1173">
        <v>1963</v>
      </c>
      <c r="C1173" t="s">
        <v>80</v>
      </c>
      <c r="D1173">
        <v>46.52</v>
      </c>
      <c r="E1173">
        <v>170</v>
      </c>
      <c r="F1173">
        <v>95</v>
      </c>
      <c r="G1173">
        <v>157.5</v>
      </c>
      <c r="H1173">
        <v>422.5</v>
      </c>
      <c r="I1173">
        <v>2012</v>
      </c>
      <c r="J1173" t="s">
        <v>852</v>
      </c>
      <c r="K1173" t="s">
        <v>171</v>
      </c>
      <c r="L1173" s="8">
        <f t="shared" si="19"/>
        <v>0.55882352941176472</v>
      </c>
    </row>
    <row r="1174" spans="1:12">
      <c r="A1174" t="s">
        <v>1032</v>
      </c>
      <c r="B1174">
        <v>1979</v>
      </c>
      <c r="C1174" t="s">
        <v>878</v>
      </c>
      <c r="D1174">
        <v>62.18</v>
      </c>
      <c r="E1174">
        <v>170</v>
      </c>
      <c r="F1174">
        <v>95</v>
      </c>
      <c r="G1174">
        <v>180</v>
      </c>
      <c r="H1174">
        <v>445</v>
      </c>
      <c r="I1174">
        <v>2014</v>
      </c>
      <c r="J1174" t="s">
        <v>852</v>
      </c>
      <c r="K1174" t="s">
        <v>171</v>
      </c>
      <c r="L1174" s="8">
        <f t="shared" si="19"/>
        <v>0.55882352941176472</v>
      </c>
    </row>
    <row r="1175" spans="1:12">
      <c r="A1175" t="s">
        <v>277</v>
      </c>
      <c r="B1175">
        <v>1981</v>
      </c>
      <c r="C1175" t="s">
        <v>62</v>
      </c>
      <c r="D1175">
        <v>51.12</v>
      </c>
      <c r="E1175">
        <v>165</v>
      </c>
      <c r="F1175">
        <v>92.5</v>
      </c>
      <c r="G1175">
        <v>150</v>
      </c>
      <c r="H1175">
        <v>407.5</v>
      </c>
      <c r="I1175">
        <v>2015</v>
      </c>
      <c r="J1175" t="s">
        <v>852</v>
      </c>
      <c r="K1175" t="s">
        <v>171</v>
      </c>
      <c r="L1175" s="8">
        <f t="shared" si="19"/>
        <v>0.56060606060606055</v>
      </c>
    </row>
    <row r="1176" spans="1:12">
      <c r="A1176" t="s">
        <v>201</v>
      </c>
      <c r="B1176">
        <v>1982</v>
      </c>
      <c r="C1176" t="s">
        <v>888</v>
      </c>
      <c r="D1176">
        <v>56.16</v>
      </c>
      <c r="E1176">
        <v>165</v>
      </c>
      <c r="F1176">
        <v>92.5</v>
      </c>
      <c r="G1176">
        <v>190</v>
      </c>
      <c r="H1176">
        <v>447.5</v>
      </c>
      <c r="I1176">
        <v>2014</v>
      </c>
      <c r="J1176" t="s">
        <v>852</v>
      </c>
      <c r="K1176" t="s">
        <v>171</v>
      </c>
      <c r="L1176" s="8">
        <f t="shared" si="19"/>
        <v>0.56060606060606055</v>
      </c>
    </row>
    <row r="1177" spans="1:12">
      <c r="A1177" t="s">
        <v>299</v>
      </c>
      <c r="B1177">
        <v>1967</v>
      </c>
      <c r="C1177" t="s">
        <v>300</v>
      </c>
      <c r="D1177">
        <v>86.78</v>
      </c>
      <c r="E1177">
        <v>222.5</v>
      </c>
      <c r="F1177">
        <v>125</v>
      </c>
      <c r="G1177">
        <v>180</v>
      </c>
      <c r="H1177">
        <v>527.5</v>
      </c>
      <c r="I1177">
        <v>2012</v>
      </c>
      <c r="J1177" t="s">
        <v>852</v>
      </c>
      <c r="K1177" t="s">
        <v>171</v>
      </c>
      <c r="L1177" s="8">
        <f t="shared" si="19"/>
        <v>0.5617977528089888</v>
      </c>
    </row>
    <row r="1178" spans="1:12">
      <c r="A1178" t="s">
        <v>325</v>
      </c>
      <c r="B1178">
        <v>1974</v>
      </c>
      <c r="C1178" t="s">
        <v>77</v>
      </c>
      <c r="D1178">
        <v>56.91</v>
      </c>
      <c r="E1178">
        <v>160</v>
      </c>
      <c r="F1178">
        <v>90</v>
      </c>
      <c r="G1178">
        <v>175</v>
      </c>
      <c r="H1178">
        <v>425</v>
      </c>
      <c r="I1178">
        <v>2012</v>
      </c>
      <c r="J1178" t="s">
        <v>852</v>
      </c>
      <c r="K1178" t="s">
        <v>171</v>
      </c>
      <c r="L1178" s="8">
        <f t="shared" si="19"/>
        <v>0.5625</v>
      </c>
    </row>
    <row r="1179" spans="1:12">
      <c r="A1179" t="s">
        <v>325</v>
      </c>
      <c r="B1179">
        <v>1974</v>
      </c>
      <c r="C1179" t="s">
        <v>911</v>
      </c>
      <c r="D1179">
        <v>56.6</v>
      </c>
      <c r="E1179">
        <v>160</v>
      </c>
      <c r="F1179">
        <v>90</v>
      </c>
      <c r="G1179">
        <v>167.5</v>
      </c>
      <c r="H1179">
        <v>417.5</v>
      </c>
      <c r="I1179">
        <v>2014</v>
      </c>
      <c r="J1179" t="s">
        <v>852</v>
      </c>
      <c r="K1179" t="s">
        <v>171</v>
      </c>
      <c r="L1179" s="8">
        <f t="shared" si="19"/>
        <v>0.5625</v>
      </c>
    </row>
    <row r="1180" spans="1:12">
      <c r="A1180" t="s">
        <v>196</v>
      </c>
      <c r="B1180">
        <v>1984</v>
      </c>
      <c r="C1180" t="s">
        <v>74</v>
      </c>
      <c r="D1180">
        <v>90.05</v>
      </c>
      <c r="E1180">
        <v>275</v>
      </c>
      <c r="F1180">
        <v>155</v>
      </c>
      <c r="G1180">
        <v>227.5</v>
      </c>
      <c r="H1180">
        <v>657.5</v>
      </c>
      <c r="I1180">
        <v>2013</v>
      </c>
      <c r="J1180" t="s">
        <v>852</v>
      </c>
      <c r="K1180" t="s">
        <v>171</v>
      </c>
      <c r="L1180" s="8">
        <f t="shared" si="19"/>
        <v>0.5636363636363636</v>
      </c>
    </row>
    <row r="1181" spans="1:12">
      <c r="A1181" t="s">
        <v>181</v>
      </c>
      <c r="B1181">
        <v>1986</v>
      </c>
      <c r="C1181" t="s">
        <v>49</v>
      </c>
      <c r="D1181">
        <v>51.63</v>
      </c>
      <c r="E1181">
        <v>172.5</v>
      </c>
      <c r="F1181">
        <v>97.5</v>
      </c>
      <c r="G1181">
        <v>167.5</v>
      </c>
      <c r="H1181">
        <v>437.5</v>
      </c>
      <c r="I1181">
        <v>2012</v>
      </c>
      <c r="J1181" t="s">
        <v>852</v>
      </c>
      <c r="K1181" t="s">
        <v>171</v>
      </c>
      <c r="L1181" s="8">
        <f t="shared" si="19"/>
        <v>0.56521739130434778</v>
      </c>
    </row>
    <row r="1182" spans="1:12">
      <c r="A1182" t="s">
        <v>229</v>
      </c>
      <c r="B1182">
        <v>1970</v>
      </c>
      <c r="C1182" t="s">
        <v>228</v>
      </c>
      <c r="D1182">
        <v>62.8</v>
      </c>
      <c r="E1182">
        <v>172.5</v>
      </c>
      <c r="F1182">
        <v>97.5</v>
      </c>
      <c r="G1182">
        <v>180</v>
      </c>
      <c r="H1182">
        <v>450</v>
      </c>
      <c r="I1182">
        <v>2012</v>
      </c>
      <c r="J1182" t="s">
        <v>852</v>
      </c>
      <c r="K1182" t="s">
        <v>171</v>
      </c>
      <c r="L1182" s="8">
        <f t="shared" si="19"/>
        <v>0.56521739130434778</v>
      </c>
    </row>
    <row r="1183" spans="1:12">
      <c r="A1183" t="s">
        <v>1020</v>
      </c>
      <c r="B1183">
        <v>1981</v>
      </c>
      <c r="C1183" t="s">
        <v>125</v>
      </c>
      <c r="D1183">
        <v>68.760000000000005</v>
      </c>
      <c r="E1183">
        <v>190</v>
      </c>
      <c r="F1183">
        <v>107.5</v>
      </c>
      <c r="G1183">
        <v>207.5</v>
      </c>
      <c r="H1183">
        <v>505</v>
      </c>
      <c r="I1183">
        <v>2012</v>
      </c>
      <c r="J1183" t="s">
        <v>852</v>
      </c>
      <c r="K1183" t="s">
        <v>171</v>
      </c>
      <c r="L1183" s="8">
        <f t="shared" si="19"/>
        <v>0.56578947368421051</v>
      </c>
    </row>
    <row r="1184" spans="1:12">
      <c r="A1184" t="s">
        <v>984</v>
      </c>
      <c r="B1184">
        <v>1968</v>
      </c>
      <c r="C1184" t="s">
        <v>851</v>
      </c>
      <c r="D1184">
        <v>71.56</v>
      </c>
      <c r="E1184">
        <v>207.5</v>
      </c>
      <c r="F1184">
        <v>117.5</v>
      </c>
      <c r="G1184">
        <v>195</v>
      </c>
      <c r="H1184">
        <v>520</v>
      </c>
      <c r="I1184">
        <v>2014</v>
      </c>
      <c r="J1184" t="s">
        <v>852</v>
      </c>
      <c r="K1184" t="s">
        <v>171</v>
      </c>
      <c r="L1184" s="8">
        <f t="shared" si="19"/>
        <v>0.5662650602409639</v>
      </c>
    </row>
    <row r="1185" spans="1:12">
      <c r="A1185" t="s">
        <v>203</v>
      </c>
      <c r="B1185">
        <v>1987</v>
      </c>
      <c r="C1185" t="s">
        <v>125</v>
      </c>
      <c r="D1185">
        <v>56.94</v>
      </c>
      <c r="E1185">
        <v>150</v>
      </c>
      <c r="F1185">
        <v>85</v>
      </c>
      <c r="G1185">
        <v>160</v>
      </c>
      <c r="H1185">
        <v>395</v>
      </c>
      <c r="I1185">
        <v>2013</v>
      </c>
      <c r="J1185" t="s">
        <v>852</v>
      </c>
      <c r="K1185" t="s">
        <v>171</v>
      </c>
      <c r="L1185" s="8">
        <f t="shared" si="19"/>
        <v>0.56666666666666665</v>
      </c>
    </row>
    <row r="1186" spans="1:12">
      <c r="A1186" t="s">
        <v>956</v>
      </c>
      <c r="B1186">
        <v>1977</v>
      </c>
      <c r="C1186" t="s">
        <v>905</v>
      </c>
      <c r="D1186">
        <v>56.56</v>
      </c>
      <c r="E1186">
        <v>167.5</v>
      </c>
      <c r="F1186">
        <v>95</v>
      </c>
      <c r="G1186">
        <v>187.5</v>
      </c>
      <c r="H1186">
        <v>450</v>
      </c>
      <c r="I1186">
        <v>2014</v>
      </c>
      <c r="J1186" t="s">
        <v>852</v>
      </c>
      <c r="K1186" t="s">
        <v>171</v>
      </c>
      <c r="L1186" s="8">
        <f t="shared" si="19"/>
        <v>0.56716417910447758</v>
      </c>
    </row>
    <row r="1187" spans="1:12">
      <c r="A1187" t="s">
        <v>943</v>
      </c>
      <c r="B1187">
        <v>1989</v>
      </c>
      <c r="C1187" t="s">
        <v>119</v>
      </c>
      <c r="D1187">
        <v>71.010000000000005</v>
      </c>
      <c r="E1187">
        <v>255</v>
      </c>
      <c r="F1187">
        <v>145</v>
      </c>
      <c r="G1187">
        <v>190</v>
      </c>
      <c r="H1187">
        <v>590</v>
      </c>
      <c r="I1187">
        <v>2013</v>
      </c>
      <c r="J1187" t="s">
        <v>852</v>
      </c>
      <c r="K1187" t="s">
        <v>171</v>
      </c>
      <c r="L1187" s="8">
        <f t="shared" si="19"/>
        <v>0.56862745098039214</v>
      </c>
    </row>
    <row r="1188" spans="1:12">
      <c r="A1188" t="s">
        <v>962</v>
      </c>
      <c r="B1188">
        <v>1988</v>
      </c>
      <c r="C1188" t="s">
        <v>859</v>
      </c>
      <c r="D1188">
        <v>59.82</v>
      </c>
      <c r="E1188">
        <v>197.5</v>
      </c>
      <c r="F1188">
        <v>112.5</v>
      </c>
      <c r="G1188">
        <v>195</v>
      </c>
      <c r="H1188">
        <v>505</v>
      </c>
      <c r="I1188">
        <v>2014</v>
      </c>
      <c r="J1188" t="s">
        <v>852</v>
      </c>
      <c r="K1188" t="s">
        <v>171</v>
      </c>
      <c r="L1188" s="8">
        <f t="shared" si="19"/>
        <v>0.569620253164557</v>
      </c>
    </row>
    <row r="1189" spans="1:12">
      <c r="A1189" t="s">
        <v>251</v>
      </c>
      <c r="B1189">
        <v>1984</v>
      </c>
      <c r="C1189" t="s">
        <v>252</v>
      </c>
      <c r="D1189">
        <v>67.17</v>
      </c>
      <c r="E1189">
        <v>70</v>
      </c>
      <c r="F1189">
        <v>40</v>
      </c>
      <c r="G1189">
        <v>80</v>
      </c>
      <c r="H1189">
        <v>190</v>
      </c>
      <c r="I1189">
        <v>2015</v>
      </c>
      <c r="J1189" t="s">
        <v>852</v>
      </c>
      <c r="K1189" t="s">
        <v>171</v>
      </c>
      <c r="L1189" s="8">
        <f t="shared" si="19"/>
        <v>0.5714285714285714</v>
      </c>
    </row>
    <row r="1190" spans="1:12">
      <c r="A1190" t="s">
        <v>908</v>
      </c>
      <c r="B1190">
        <v>1984</v>
      </c>
      <c r="C1190" t="s">
        <v>464</v>
      </c>
      <c r="D1190">
        <v>71.040000000000006</v>
      </c>
      <c r="E1190">
        <v>222.5</v>
      </c>
      <c r="F1190">
        <v>127.5</v>
      </c>
      <c r="G1190">
        <v>200</v>
      </c>
      <c r="H1190">
        <v>550</v>
      </c>
      <c r="I1190">
        <v>2012</v>
      </c>
      <c r="J1190" t="s">
        <v>852</v>
      </c>
      <c r="K1190" t="s">
        <v>171</v>
      </c>
      <c r="L1190" s="8">
        <f t="shared" si="19"/>
        <v>0.5730337078651685</v>
      </c>
    </row>
    <row r="1191" spans="1:12">
      <c r="A1191" t="s">
        <v>995</v>
      </c>
      <c r="B1191">
        <v>1974</v>
      </c>
      <c r="C1191" t="s">
        <v>80</v>
      </c>
      <c r="D1191">
        <v>56.88</v>
      </c>
      <c r="E1191">
        <v>205</v>
      </c>
      <c r="F1191">
        <v>117.5</v>
      </c>
      <c r="G1191">
        <v>180</v>
      </c>
      <c r="H1191">
        <v>502.5</v>
      </c>
      <c r="I1191">
        <v>2012</v>
      </c>
      <c r="J1191" t="s">
        <v>852</v>
      </c>
      <c r="K1191" t="s">
        <v>171</v>
      </c>
      <c r="L1191" s="8">
        <f t="shared" si="19"/>
        <v>0.57317073170731703</v>
      </c>
    </row>
    <row r="1192" spans="1:12">
      <c r="A1192" t="s">
        <v>335</v>
      </c>
      <c r="B1192">
        <v>1983</v>
      </c>
      <c r="C1192" t="s">
        <v>336</v>
      </c>
      <c r="D1192">
        <v>46.44</v>
      </c>
      <c r="E1192">
        <v>170</v>
      </c>
      <c r="F1192">
        <v>97.5</v>
      </c>
      <c r="G1192">
        <v>147.5</v>
      </c>
      <c r="H1192">
        <v>415</v>
      </c>
      <c r="I1192">
        <v>2013</v>
      </c>
      <c r="J1192" t="s">
        <v>852</v>
      </c>
      <c r="K1192" t="s">
        <v>171</v>
      </c>
      <c r="L1192" s="8">
        <f t="shared" si="19"/>
        <v>0.57352941176470584</v>
      </c>
    </row>
    <row r="1193" spans="1:12">
      <c r="A1193" t="s">
        <v>980</v>
      </c>
      <c r="B1193">
        <v>1985</v>
      </c>
      <c r="C1193" t="s">
        <v>45</v>
      </c>
      <c r="D1193">
        <v>69.36</v>
      </c>
      <c r="E1193">
        <v>200</v>
      </c>
      <c r="F1193">
        <v>115</v>
      </c>
      <c r="G1193">
        <v>175</v>
      </c>
      <c r="H1193">
        <v>490</v>
      </c>
      <c r="I1193">
        <v>2013</v>
      </c>
      <c r="J1193" t="s">
        <v>852</v>
      </c>
      <c r="K1193" t="s">
        <v>171</v>
      </c>
      <c r="L1193" s="8">
        <f t="shared" si="19"/>
        <v>0.57499999999999996</v>
      </c>
    </row>
    <row r="1194" spans="1:12">
      <c r="A1194" t="s">
        <v>325</v>
      </c>
      <c r="B1194">
        <v>1974</v>
      </c>
      <c r="C1194" t="s">
        <v>77</v>
      </c>
      <c r="D1194">
        <v>56.43</v>
      </c>
      <c r="E1194">
        <v>165</v>
      </c>
      <c r="F1194">
        <v>95</v>
      </c>
      <c r="G1194">
        <v>180</v>
      </c>
      <c r="H1194">
        <v>440</v>
      </c>
      <c r="I1194">
        <v>2015</v>
      </c>
      <c r="J1194" t="s">
        <v>852</v>
      </c>
      <c r="K1194" t="s">
        <v>171</v>
      </c>
      <c r="L1194" s="8">
        <f t="shared" si="19"/>
        <v>0.5757575757575758</v>
      </c>
    </row>
    <row r="1195" spans="1:12">
      <c r="A1195" t="s">
        <v>945</v>
      </c>
      <c r="B1195">
        <v>1990</v>
      </c>
      <c r="C1195" t="s">
        <v>119</v>
      </c>
      <c r="D1195">
        <v>78.89</v>
      </c>
      <c r="E1195">
        <v>260</v>
      </c>
      <c r="F1195">
        <v>150</v>
      </c>
      <c r="G1195">
        <v>250.5</v>
      </c>
      <c r="H1195">
        <v>660.5</v>
      </c>
      <c r="I1195">
        <v>2012</v>
      </c>
      <c r="J1195" t="s">
        <v>852</v>
      </c>
      <c r="K1195" t="s">
        <v>171</v>
      </c>
      <c r="L1195" s="8">
        <f t="shared" si="19"/>
        <v>0.57692307692307687</v>
      </c>
    </row>
    <row r="1196" spans="1:12">
      <c r="A1196" t="s">
        <v>279</v>
      </c>
      <c r="B1196">
        <v>1984</v>
      </c>
      <c r="C1196" t="s">
        <v>280</v>
      </c>
      <c r="D1196">
        <v>60.5</v>
      </c>
      <c r="E1196">
        <v>225</v>
      </c>
      <c r="F1196">
        <v>130</v>
      </c>
      <c r="G1196">
        <v>215</v>
      </c>
      <c r="H1196">
        <v>570</v>
      </c>
      <c r="I1196">
        <v>2015</v>
      </c>
      <c r="J1196" t="s">
        <v>852</v>
      </c>
      <c r="K1196" t="s">
        <v>171</v>
      </c>
      <c r="L1196" s="8">
        <f t="shared" si="19"/>
        <v>0.57777777777777772</v>
      </c>
    </row>
    <row r="1197" spans="1:12">
      <c r="A1197" t="s">
        <v>265</v>
      </c>
      <c r="B1197">
        <v>1976</v>
      </c>
      <c r="C1197" t="s">
        <v>137</v>
      </c>
      <c r="D1197">
        <v>51.45</v>
      </c>
      <c r="E1197">
        <v>160</v>
      </c>
      <c r="F1197">
        <v>92.5</v>
      </c>
      <c r="G1197">
        <v>152.5</v>
      </c>
      <c r="H1197">
        <v>405</v>
      </c>
      <c r="I1197">
        <v>2012</v>
      </c>
      <c r="J1197" t="s">
        <v>852</v>
      </c>
      <c r="K1197" t="s">
        <v>171</v>
      </c>
      <c r="L1197" s="8">
        <f t="shared" si="19"/>
        <v>0.578125</v>
      </c>
    </row>
    <row r="1198" spans="1:12">
      <c r="A1198" t="s">
        <v>953</v>
      </c>
      <c r="B1198">
        <v>1979</v>
      </c>
      <c r="C1198" t="s">
        <v>113</v>
      </c>
      <c r="D1198">
        <v>70.88</v>
      </c>
      <c r="E1198">
        <v>207.5</v>
      </c>
      <c r="F1198">
        <v>120</v>
      </c>
      <c r="G1198">
        <v>187.5</v>
      </c>
      <c r="H1198">
        <v>515</v>
      </c>
      <c r="I1198">
        <v>2012</v>
      </c>
      <c r="J1198" t="s">
        <v>852</v>
      </c>
      <c r="K1198" t="s">
        <v>171</v>
      </c>
      <c r="L1198" s="8">
        <f t="shared" si="19"/>
        <v>0.57831325301204817</v>
      </c>
    </row>
    <row r="1199" spans="1:12">
      <c r="A1199" t="s">
        <v>196</v>
      </c>
      <c r="B1199">
        <v>1984</v>
      </c>
      <c r="C1199" t="s">
        <v>74</v>
      </c>
      <c r="D1199">
        <v>88.17</v>
      </c>
      <c r="E1199">
        <v>255</v>
      </c>
      <c r="F1199">
        <v>147.5</v>
      </c>
      <c r="G1199">
        <v>235</v>
      </c>
      <c r="H1199">
        <v>637.5</v>
      </c>
      <c r="I1199">
        <v>2012</v>
      </c>
      <c r="J1199" t="s">
        <v>852</v>
      </c>
      <c r="K1199" t="s">
        <v>171</v>
      </c>
      <c r="L1199" s="8">
        <f t="shared" si="19"/>
        <v>0.57843137254901966</v>
      </c>
    </row>
    <row r="1200" spans="1:12">
      <c r="A1200" t="s">
        <v>169</v>
      </c>
      <c r="B1200">
        <v>1981</v>
      </c>
      <c r="C1200" t="s">
        <v>54</v>
      </c>
      <c r="D1200">
        <v>83.47</v>
      </c>
      <c r="E1200">
        <v>190</v>
      </c>
      <c r="F1200">
        <v>110</v>
      </c>
      <c r="G1200">
        <v>222.5</v>
      </c>
      <c r="H1200">
        <v>522.5</v>
      </c>
      <c r="I1200">
        <v>2015</v>
      </c>
      <c r="J1200" t="s">
        <v>852</v>
      </c>
      <c r="K1200" t="s">
        <v>171</v>
      </c>
      <c r="L1200" s="8">
        <f t="shared" si="19"/>
        <v>0.57894736842105265</v>
      </c>
    </row>
    <row r="1201" spans="1:12">
      <c r="A1201" t="s">
        <v>201</v>
      </c>
      <c r="B1201">
        <v>1982</v>
      </c>
      <c r="C1201" t="s">
        <v>74</v>
      </c>
      <c r="D1201">
        <v>56.76</v>
      </c>
      <c r="E1201">
        <v>172.5</v>
      </c>
      <c r="F1201">
        <v>100</v>
      </c>
      <c r="G1201">
        <v>200</v>
      </c>
      <c r="H1201">
        <v>472.5</v>
      </c>
      <c r="I1201">
        <v>2013</v>
      </c>
      <c r="J1201" t="s">
        <v>852</v>
      </c>
      <c r="K1201" t="s">
        <v>171</v>
      </c>
      <c r="L1201" s="8">
        <f t="shared" si="19"/>
        <v>0.57971014492753625</v>
      </c>
    </row>
    <row r="1202" spans="1:12">
      <c r="A1202" t="s">
        <v>1012</v>
      </c>
      <c r="B1202">
        <v>1972</v>
      </c>
      <c r="C1202" t="s">
        <v>80</v>
      </c>
      <c r="D1202">
        <v>51.84</v>
      </c>
      <c r="E1202">
        <v>155</v>
      </c>
      <c r="F1202">
        <v>90</v>
      </c>
      <c r="G1202">
        <v>160</v>
      </c>
      <c r="H1202">
        <v>405</v>
      </c>
      <c r="I1202">
        <v>2012</v>
      </c>
      <c r="J1202" t="s">
        <v>852</v>
      </c>
      <c r="K1202" t="s">
        <v>171</v>
      </c>
      <c r="L1202" s="8">
        <f t="shared" si="19"/>
        <v>0.58064516129032262</v>
      </c>
    </row>
    <row r="1203" spans="1:12">
      <c r="A1203" t="s">
        <v>197</v>
      </c>
      <c r="B1203">
        <v>1990</v>
      </c>
      <c r="C1203" t="s">
        <v>74</v>
      </c>
      <c r="D1203">
        <v>125.41</v>
      </c>
      <c r="E1203">
        <v>262.5</v>
      </c>
      <c r="F1203">
        <v>152.5</v>
      </c>
      <c r="G1203">
        <v>182.5</v>
      </c>
      <c r="H1203">
        <v>597.5</v>
      </c>
      <c r="I1203">
        <v>2015</v>
      </c>
      <c r="J1203" t="s">
        <v>852</v>
      </c>
      <c r="K1203" t="s">
        <v>171</v>
      </c>
      <c r="L1203" s="8">
        <f t="shared" si="19"/>
        <v>0.580952380952381</v>
      </c>
    </row>
    <row r="1204" spans="1:12">
      <c r="A1204" t="s">
        <v>169</v>
      </c>
      <c r="B1204">
        <v>1981</v>
      </c>
      <c r="C1204" t="s">
        <v>851</v>
      </c>
      <c r="D1204">
        <v>93.1</v>
      </c>
      <c r="E1204">
        <v>215</v>
      </c>
      <c r="F1204">
        <v>125</v>
      </c>
      <c r="G1204">
        <v>217.5</v>
      </c>
      <c r="H1204">
        <v>557.5</v>
      </c>
      <c r="I1204">
        <v>2014</v>
      </c>
      <c r="J1204" t="s">
        <v>852</v>
      </c>
      <c r="K1204" t="s">
        <v>171</v>
      </c>
      <c r="L1204" s="8">
        <f t="shared" si="19"/>
        <v>0.58139534883720934</v>
      </c>
    </row>
    <row r="1205" spans="1:12">
      <c r="A1205" t="s">
        <v>229</v>
      </c>
      <c r="B1205">
        <v>1970</v>
      </c>
      <c r="C1205" t="s">
        <v>922</v>
      </c>
      <c r="D1205">
        <v>70.8</v>
      </c>
      <c r="E1205">
        <v>180</v>
      </c>
      <c r="F1205">
        <v>105</v>
      </c>
      <c r="G1205">
        <v>182.5</v>
      </c>
      <c r="H1205">
        <v>467.5</v>
      </c>
      <c r="I1205">
        <v>2014</v>
      </c>
      <c r="J1205" t="s">
        <v>852</v>
      </c>
      <c r="K1205" t="s">
        <v>171</v>
      </c>
      <c r="L1205" s="8">
        <f t="shared" si="19"/>
        <v>0.58333333333333337</v>
      </c>
    </row>
    <row r="1206" spans="1:12">
      <c r="A1206" t="s">
        <v>214</v>
      </c>
      <c r="B1206">
        <v>1990</v>
      </c>
      <c r="C1206" t="s">
        <v>45</v>
      </c>
      <c r="D1206">
        <v>71.17</v>
      </c>
      <c r="E1206">
        <v>235</v>
      </c>
      <c r="F1206">
        <v>137.5</v>
      </c>
      <c r="G1206">
        <v>222.5</v>
      </c>
      <c r="H1206">
        <v>595</v>
      </c>
      <c r="I1206">
        <v>2015</v>
      </c>
      <c r="J1206" t="s">
        <v>852</v>
      </c>
      <c r="K1206" t="s">
        <v>171</v>
      </c>
      <c r="L1206" s="8">
        <f t="shared" si="19"/>
        <v>0.58510638297872342</v>
      </c>
    </row>
    <row r="1207" spans="1:12">
      <c r="A1207" t="s">
        <v>196</v>
      </c>
      <c r="B1207">
        <v>1984</v>
      </c>
      <c r="C1207" t="s">
        <v>888</v>
      </c>
      <c r="D1207">
        <v>93.02</v>
      </c>
      <c r="E1207">
        <v>277.5</v>
      </c>
      <c r="F1207">
        <v>162.5</v>
      </c>
      <c r="G1207">
        <v>0</v>
      </c>
      <c r="H1207">
        <v>0</v>
      </c>
      <c r="I1207">
        <v>2014</v>
      </c>
      <c r="J1207" t="s">
        <v>852</v>
      </c>
      <c r="K1207" t="s">
        <v>171</v>
      </c>
      <c r="L1207" s="8">
        <f t="shared" si="19"/>
        <v>0.5855855855855856</v>
      </c>
    </row>
    <row r="1208" spans="1:12">
      <c r="A1208" t="s">
        <v>275</v>
      </c>
      <c r="B1208">
        <v>1988</v>
      </c>
      <c r="C1208" t="s">
        <v>51</v>
      </c>
      <c r="D1208">
        <v>56.91</v>
      </c>
      <c r="E1208">
        <v>175</v>
      </c>
      <c r="F1208">
        <v>102.5</v>
      </c>
      <c r="G1208">
        <v>170</v>
      </c>
      <c r="H1208">
        <v>447.5</v>
      </c>
      <c r="I1208">
        <v>2015</v>
      </c>
      <c r="J1208" t="s">
        <v>852</v>
      </c>
      <c r="K1208" t="s">
        <v>171</v>
      </c>
      <c r="L1208" s="8">
        <f t="shared" si="19"/>
        <v>0.58571428571428574</v>
      </c>
    </row>
    <row r="1209" spans="1:12">
      <c r="A1209" t="s">
        <v>176</v>
      </c>
      <c r="B1209">
        <v>1970</v>
      </c>
      <c r="C1209" t="s">
        <v>45</v>
      </c>
      <c r="D1209">
        <v>83.18</v>
      </c>
      <c r="E1209">
        <v>247.5</v>
      </c>
      <c r="F1209">
        <v>145</v>
      </c>
      <c r="G1209">
        <v>210</v>
      </c>
      <c r="H1209">
        <v>602.5</v>
      </c>
      <c r="I1209">
        <v>2015</v>
      </c>
      <c r="J1209" t="s">
        <v>852</v>
      </c>
      <c r="K1209" t="s">
        <v>171</v>
      </c>
      <c r="L1209" s="8">
        <f t="shared" si="19"/>
        <v>0.58585858585858586</v>
      </c>
    </row>
    <row r="1210" spans="1:12">
      <c r="A1210" t="s">
        <v>972</v>
      </c>
      <c r="B1210">
        <v>1988</v>
      </c>
      <c r="C1210" t="s">
        <v>51</v>
      </c>
      <c r="D1210">
        <v>54.92</v>
      </c>
      <c r="E1210">
        <v>145</v>
      </c>
      <c r="F1210">
        <v>85</v>
      </c>
      <c r="G1210">
        <v>152.5</v>
      </c>
      <c r="H1210">
        <v>382.5</v>
      </c>
      <c r="I1210">
        <v>2013</v>
      </c>
      <c r="J1210" t="s">
        <v>852</v>
      </c>
      <c r="K1210" t="s">
        <v>171</v>
      </c>
      <c r="L1210" s="8">
        <f t="shared" si="19"/>
        <v>0.58620689655172409</v>
      </c>
    </row>
    <row r="1211" spans="1:12">
      <c r="A1211" t="s">
        <v>953</v>
      </c>
      <c r="B1211">
        <v>1979</v>
      </c>
      <c r="C1211" t="s">
        <v>878</v>
      </c>
      <c r="D1211">
        <v>70.58</v>
      </c>
      <c r="E1211">
        <v>212.5</v>
      </c>
      <c r="F1211">
        <v>125</v>
      </c>
      <c r="G1211">
        <v>190</v>
      </c>
      <c r="H1211">
        <v>527.5</v>
      </c>
      <c r="I1211">
        <v>2014</v>
      </c>
      <c r="J1211" t="s">
        <v>852</v>
      </c>
      <c r="K1211" t="s">
        <v>171</v>
      </c>
      <c r="L1211" s="8">
        <f t="shared" si="19"/>
        <v>0.58823529411764708</v>
      </c>
    </row>
    <row r="1212" spans="1:12">
      <c r="A1212" t="s">
        <v>176</v>
      </c>
      <c r="B1212">
        <v>1970</v>
      </c>
      <c r="C1212" t="s">
        <v>862</v>
      </c>
      <c r="D1212">
        <v>82.02</v>
      </c>
      <c r="E1212">
        <v>237.5</v>
      </c>
      <c r="F1212">
        <v>140</v>
      </c>
      <c r="G1212">
        <v>197.5</v>
      </c>
      <c r="H1212">
        <v>575</v>
      </c>
      <c r="I1212">
        <v>2014</v>
      </c>
      <c r="J1212" t="s">
        <v>852</v>
      </c>
      <c r="K1212" t="s">
        <v>171</v>
      </c>
      <c r="L1212" s="8">
        <f t="shared" si="19"/>
        <v>0.58947368421052626</v>
      </c>
    </row>
    <row r="1213" spans="1:12">
      <c r="A1213" t="s">
        <v>277</v>
      </c>
      <c r="B1213">
        <v>1981</v>
      </c>
      <c r="C1213" t="s">
        <v>62</v>
      </c>
      <c r="D1213">
        <v>51.65</v>
      </c>
      <c r="E1213">
        <v>152.5</v>
      </c>
      <c r="F1213">
        <v>90</v>
      </c>
      <c r="G1213">
        <v>167.5</v>
      </c>
      <c r="H1213">
        <v>410</v>
      </c>
      <c r="I1213">
        <v>2013</v>
      </c>
      <c r="J1213" t="s">
        <v>852</v>
      </c>
      <c r="K1213" t="s">
        <v>171</v>
      </c>
      <c r="L1213" s="8">
        <f t="shared" si="19"/>
        <v>0.5901639344262295</v>
      </c>
    </row>
    <row r="1214" spans="1:12">
      <c r="A1214" t="s">
        <v>984</v>
      </c>
      <c r="B1214">
        <v>1968</v>
      </c>
      <c r="C1214" t="s">
        <v>54</v>
      </c>
      <c r="D1214">
        <v>71.73</v>
      </c>
      <c r="E1214">
        <v>207.5</v>
      </c>
      <c r="F1214">
        <v>122.5</v>
      </c>
      <c r="G1214">
        <v>210</v>
      </c>
      <c r="H1214">
        <v>540</v>
      </c>
      <c r="I1214">
        <v>2012</v>
      </c>
      <c r="J1214" t="s">
        <v>852</v>
      </c>
      <c r="K1214" t="s">
        <v>171</v>
      </c>
      <c r="L1214" s="8">
        <f t="shared" si="19"/>
        <v>0.59036144578313254</v>
      </c>
    </row>
    <row r="1215" spans="1:12">
      <c r="A1215" t="s">
        <v>192</v>
      </c>
      <c r="B1215">
        <v>1969</v>
      </c>
      <c r="C1215" t="s">
        <v>851</v>
      </c>
      <c r="D1215">
        <v>56.48</v>
      </c>
      <c r="E1215">
        <v>160</v>
      </c>
      <c r="F1215">
        <v>95</v>
      </c>
      <c r="G1215">
        <v>180</v>
      </c>
      <c r="H1215">
        <v>435</v>
      </c>
      <c r="I1215">
        <v>2014</v>
      </c>
      <c r="J1215" t="s">
        <v>852</v>
      </c>
      <c r="K1215" t="s">
        <v>171</v>
      </c>
      <c r="L1215" s="8">
        <f t="shared" si="19"/>
        <v>0.59375</v>
      </c>
    </row>
    <row r="1216" spans="1:12">
      <c r="A1216" t="s">
        <v>325</v>
      </c>
      <c r="B1216">
        <v>1974</v>
      </c>
      <c r="C1216" t="s">
        <v>77</v>
      </c>
      <c r="D1216">
        <v>56.67</v>
      </c>
      <c r="E1216">
        <v>160</v>
      </c>
      <c r="F1216">
        <v>95</v>
      </c>
      <c r="G1216">
        <v>165</v>
      </c>
      <c r="H1216">
        <v>420</v>
      </c>
      <c r="I1216">
        <v>2013</v>
      </c>
      <c r="J1216" t="s">
        <v>852</v>
      </c>
      <c r="K1216" t="s">
        <v>171</v>
      </c>
      <c r="L1216" s="8">
        <f t="shared" si="19"/>
        <v>0.59375</v>
      </c>
    </row>
    <row r="1217" spans="1:12">
      <c r="A1217" t="s">
        <v>197</v>
      </c>
      <c r="B1217">
        <v>1990</v>
      </c>
      <c r="C1217" t="s">
        <v>74</v>
      </c>
      <c r="D1217">
        <v>123.95</v>
      </c>
      <c r="E1217">
        <v>265</v>
      </c>
      <c r="F1217">
        <v>157.5</v>
      </c>
      <c r="G1217">
        <v>190</v>
      </c>
      <c r="H1217">
        <v>612.5</v>
      </c>
      <c r="I1217">
        <v>2013</v>
      </c>
      <c r="J1217" t="s">
        <v>852</v>
      </c>
      <c r="K1217" t="s">
        <v>171</v>
      </c>
      <c r="L1217" s="8">
        <f t="shared" si="19"/>
        <v>0.59433962264150941</v>
      </c>
    </row>
    <row r="1218" spans="1:12">
      <c r="A1218" t="s">
        <v>954</v>
      </c>
      <c r="B1218">
        <v>1978</v>
      </c>
      <c r="C1218" t="s">
        <v>137</v>
      </c>
      <c r="D1218">
        <v>46.03</v>
      </c>
      <c r="E1218">
        <v>155</v>
      </c>
      <c r="F1218">
        <v>92.5</v>
      </c>
      <c r="G1218">
        <v>157.5</v>
      </c>
      <c r="H1218">
        <v>405</v>
      </c>
      <c r="I1218">
        <v>2012</v>
      </c>
      <c r="J1218" t="s">
        <v>852</v>
      </c>
      <c r="K1218" t="s">
        <v>171</v>
      </c>
      <c r="L1218" s="8">
        <f t="shared" ref="L1218:L1281" si="20">IF(AND(F1218&lt;&gt;0,E1218&lt;&gt;0),F1218/E1218,"")</f>
        <v>0.59677419354838712</v>
      </c>
    </row>
    <row r="1219" spans="1:12">
      <c r="A1219" t="s">
        <v>945</v>
      </c>
      <c r="B1219">
        <v>1990</v>
      </c>
      <c r="C1219" t="s">
        <v>901</v>
      </c>
      <c r="D1219">
        <v>78.62</v>
      </c>
      <c r="E1219">
        <v>268</v>
      </c>
      <c r="F1219">
        <v>160</v>
      </c>
      <c r="G1219">
        <v>242.5</v>
      </c>
      <c r="H1219">
        <v>670.5</v>
      </c>
      <c r="I1219">
        <v>2014</v>
      </c>
      <c r="J1219" t="s">
        <v>852</v>
      </c>
      <c r="K1219" t="s">
        <v>171</v>
      </c>
      <c r="L1219" s="8">
        <f t="shared" si="20"/>
        <v>0.59701492537313428</v>
      </c>
    </row>
    <row r="1220" spans="1:12">
      <c r="A1220" t="s">
        <v>1057</v>
      </c>
      <c r="B1220">
        <v>1983</v>
      </c>
      <c r="C1220" t="s">
        <v>878</v>
      </c>
      <c r="D1220">
        <v>56.76</v>
      </c>
      <c r="E1220">
        <v>167.5</v>
      </c>
      <c r="F1220">
        <v>100</v>
      </c>
      <c r="G1220">
        <v>170</v>
      </c>
      <c r="H1220">
        <v>437.5</v>
      </c>
      <c r="I1220">
        <v>2014</v>
      </c>
      <c r="J1220" t="s">
        <v>852</v>
      </c>
      <c r="K1220" t="s">
        <v>171</v>
      </c>
      <c r="L1220" s="8">
        <f t="shared" si="20"/>
        <v>0.59701492537313428</v>
      </c>
    </row>
    <row r="1221" spans="1:12">
      <c r="A1221" t="s">
        <v>196</v>
      </c>
      <c r="B1221">
        <v>1984</v>
      </c>
      <c r="C1221" t="s">
        <v>74</v>
      </c>
      <c r="D1221">
        <v>89.89</v>
      </c>
      <c r="E1221">
        <v>255</v>
      </c>
      <c r="F1221">
        <v>152.5</v>
      </c>
      <c r="G1221">
        <v>220</v>
      </c>
      <c r="H1221">
        <v>627.5</v>
      </c>
      <c r="I1221">
        <v>2015</v>
      </c>
      <c r="J1221" t="s">
        <v>852</v>
      </c>
      <c r="K1221" t="s">
        <v>171</v>
      </c>
      <c r="L1221" s="8">
        <f t="shared" si="20"/>
        <v>0.59803921568627449</v>
      </c>
    </row>
    <row r="1222" spans="1:12">
      <c r="A1222" t="s">
        <v>286</v>
      </c>
      <c r="B1222">
        <v>1986</v>
      </c>
      <c r="C1222" t="s">
        <v>252</v>
      </c>
      <c r="D1222">
        <v>65.42</v>
      </c>
      <c r="E1222">
        <v>50</v>
      </c>
      <c r="F1222">
        <v>30</v>
      </c>
      <c r="G1222">
        <v>55</v>
      </c>
      <c r="H1222">
        <v>135</v>
      </c>
      <c r="I1222">
        <v>2015</v>
      </c>
      <c r="J1222" t="s">
        <v>852</v>
      </c>
      <c r="K1222" t="s">
        <v>171</v>
      </c>
      <c r="L1222" s="8">
        <f t="shared" si="20"/>
        <v>0.6</v>
      </c>
    </row>
    <row r="1223" spans="1:12">
      <c r="A1223" t="s">
        <v>330</v>
      </c>
      <c r="B1223">
        <v>1988</v>
      </c>
      <c r="C1223" t="s">
        <v>903</v>
      </c>
      <c r="D1223">
        <v>80.400000000000006</v>
      </c>
      <c r="E1223">
        <v>262.5</v>
      </c>
      <c r="F1223">
        <v>157.5</v>
      </c>
      <c r="G1223">
        <v>210</v>
      </c>
      <c r="H1223">
        <v>630</v>
      </c>
      <c r="I1223">
        <v>2014</v>
      </c>
      <c r="J1223" t="s">
        <v>852</v>
      </c>
      <c r="K1223" t="s">
        <v>171</v>
      </c>
      <c r="L1223" s="8">
        <f t="shared" si="20"/>
        <v>0.6</v>
      </c>
    </row>
    <row r="1224" spans="1:12">
      <c r="A1224" t="s">
        <v>887</v>
      </c>
      <c r="B1224">
        <v>1988</v>
      </c>
      <c r="C1224" t="s">
        <v>282</v>
      </c>
      <c r="D1224">
        <v>55.91</v>
      </c>
      <c r="E1224">
        <v>170</v>
      </c>
      <c r="F1224">
        <v>102.5</v>
      </c>
      <c r="G1224">
        <v>175</v>
      </c>
      <c r="H1224">
        <v>447.5</v>
      </c>
      <c r="I1224">
        <v>2013</v>
      </c>
      <c r="J1224" t="s">
        <v>852</v>
      </c>
      <c r="K1224" t="s">
        <v>171</v>
      </c>
      <c r="L1224" s="8">
        <f t="shared" si="20"/>
        <v>0.6029411764705882</v>
      </c>
    </row>
    <row r="1225" spans="1:12">
      <c r="A1225" t="s">
        <v>937</v>
      </c>
      <c r="B1225">
        <v>1976</v>
      </c>
      <c r="C1225" t="s">
        <v>113</v>
      </c>
      <c r="D1225">
        <v>62.91</v>
      </c>
      <c r="E1225">
        <v>170</v>
      </c>
      <c r="F1225">
        <v>102.5</v>
      </c>
      <c r="G1225">
        <v>170</v>
      </c>
      <c r="H1225">
        <v>442.5</v>
      </c>
      <c r="I1225">
        <v>2012</v>
      </c>
      <c r="J1225" t="s">
        <v>852</v>
      </c>
      <c r="K1225" t="s">
        <v>171</v>
      </c>
      <c r="L1225" s="8">
        <f t="shared" si="20"/>
        <v>0.6029411764705882</v>
      </c>
    </row>
    <row r="1226" spans="1:12">
      <c r="A1226" t="s">
        <v>957</v>
      </c>
      <c r="B1226">
        <v>1973</v>
      </c>
      <c r="C1226" t="s">
        <v>80</v>
      </c>
      <c r="D1226">
        <v>56.2</v>
      </c>
      <c r="E1226">
        <v>170</v>
      </c>
      <c r="F1226">
        <v>102.5</v>
      </c>
      <c r="G1226">
        <v>170</v>
      </c>
      <c r="H1226">
        <v>442.5</v>
      </c>
      <c r="I1226">
        <v>2012</v>
      </c>
      <c r="J1226" t="s">
        <v>852</v>
      </c>
      <c r="K1226" t="s">
        <v>171</v>
      </c>
      <c r="L1226" s="8">
        <f t="shared" si="20"/>
        <v>0.6029411764705882</v>
      </c>
    </row>
    <row r="1227" spans="1:12">
      <c r="A1227" t="s">
        <v>343</v>
      </c>
      <c r="B1227">
        <v>1979</v>
      </c>
      <c r="C1227" t="s">
        <v>318</v>
      </c>
      <c r="D1227">
        <v>56.78</v>
      </c>
      <c r="E1227">
        <v>145</v>
      </c>
      <c r="F1227">
        <v>87.5</v>
      </c>
      <c r="G1227">
        <v>130</v>
      </c>
      <c r="H1227">
        <v>362.5</v>
      </c>
      <c r="I1227">
        <v>2012</v>
      </c>
      <c r="J1227" t="s">
        <v>852</v>
      </c>
      <c r="K1227" t="s">
        <v>171</v>
      </c>
      <c r="L1227" s="8">
        <f t="shared" si="20"/>
        <v>0.60344827586206895</v>
      </c>
    </row>
    <row r="1228" spans="1:12">
      <c r="A1228" t="s">
        <v>176</v>
      </c>
      <c r="B1228">
        <v>1970</v>
      </c>
      <c r="C1228" t="s">
        <v>45</v>
      </c>
      <c r="D1228">
        <v>81.78</v>
      </c>
      <c r="E1228">
        <v>240</v>
      </c>
      <c r="F1228">
        <v>145</v>
      </c>
      <c r="G1228">
        <v>220</v>
      </c>
      <c r="H1228">
        <v>605</v>
      </c>
      <c r="I1228">
        <v>2012</v>
      </c>
      <c r="J1228" t="s">
        <v>852</v>
      </c>
      <c r="K1228" t="s">
        <v>171</v>
      </c>
      <c r="L1228" s="8">
        <f t="shared" si="20"/>
        <v>0.60416666666666663</v>
      </c>
    </row>
    <row r="1229" spans="1:12">
      <c r="A1229" t="s">
        <v>984</v>
      </c>
      <c r="B1229">
        <v>1968</v>
      </c>
      <c r="C1229" t="s">
        <v>54</v>
      </c>
      <c r="D1229">
        <v>70.5</v>
      </c>
      <c r="E1229">
        <v>202.5</v>
      </c>
      <c r="F1229">
        <v>122.5</v>
      </c>
      <c r="G1229">
        <v>202.5</v>
      </c>
      <c r="H1229">
        <v>527.5</v>
      </c>
      <c r="I1229">
        <v>2013</v>
      </c>
      <c r="J1229" t="s">
        <v>852</v>
      </c>
      <c r="K1229" t="s">
        <v>171</v>
      </c>
      <c r="L1229" s="8">
        <f t="shared" si="20"/>
        <v>0.60493827160493829</v>
      </c>
    </row>
    <row r="1230" spans="1:12">
      <c r="A1230" t="s">
        <v>311</v>
      </c>
      <c r="B1230">
        <v>1983</v>
      </c>
      <c r="C1230" t="s">
        <v>51</v>
      </c>
      <c r="D1230">
        <v>83.63</v>
      </c>
      <c r="E1230">
        <v>202.5</v>
      </c>
      <c r="F1230">
        <v>122.5</v>
      </c>
      <c r="G1230">
        <v>185</v>
      </c>
      <c r="H1230">
        <v>510</v>
      </c>
      <c r="I1230">
        <v>2013</v>
      </c>
      <c r="J1230" t="s">
        <v>852</v>
      </c>
      <c r="K1230" t="s">
        <v>171</v>
      </c>
      <c r="L1230" s="8">
        <f t="shared" si="20"/>
        <v>0.60493827160493829</v>
      </c>
    </row>
    <row r="1231" spans="1:12">
      <c r="A1231" t="s">
        <v>176</v>
      </c>
      <c r="B1231">
        <v>1970</v>
      </c>
      <c r="C1231" t="s">
        <v>45</v>
      </c>
      <c r="D1231">
        <v>82.14</v>
      </c>
      <c r="E1231">
        <v>235</v>
      </c>
      <c r="F1231">
        <v>142.5</v>
      </c>
      <c r="G1231">
        <v>210</v>
      </c>
      <c r="H1231">
        <v>587.5</v>
      </c>
      <c r="I1231">
        <v>2013</v>
      </c>
      <c r="J1231" t="s">
        <v>852</v>
      </c>
      <c r="K1231" t="s">
        <v>171</v>
      </c>
      <c r="L1231" s="8">
        <f t="shared" si="20"/>
        <v>0.6063829787234043</v>
      </c>
    </row>
    <row r="1232" spans="1:12">
      <c r="A1232" t="s">
        <v>345</v>
      </c>
      <c r="B1232">
        <v>1986</v>
      </c>
      <c r="C1232" t="s">
        <v>888</v>
      </c>
      <c r="D1232">
        <v>56.38</v>
      </c>
      <c r="E1232">
        <v>197.5</v>
      </c>
      <c r="F1232">
        <v>120</v>
      </c>
      <c r="G1232">
        <v>197.5</v>
      </c>
      <c r="H1232">
        <v>515</v>
      </c>
      <c r="I1232">
        <v>2014</v>
      </c>
      <c r="J1232" t="s">
        <v>852</v>
      </c>
      <c r="K1232" t="s">
        <v>171</v>
      </c>
      <c r="L1232" s="8">
        <f t="shared" si="20"/>
        <v>0.60759493670886078</v>
      </c>
    </row>
    <row r="1233" spans="1:12">
      <c r="A1233" t="s">
        <v>208</v>
      </c>
      <c r="B1233">
        <v>1987</v>
      </c>
      <c r="C1233" t="s">
        <v>119</v>
      </c>
      <c r="D1233">
        <v>51.28</v>
      </c>
      <c r="E1233">
        <v>185</v>
      </c>
      <c r="F1233">
        <v>112.5</v>
      </c>
      <c r="G1233">
        <v>185</v>
      </c>
      <c r="H1233">
        <v>482.5</v>
      </c>
      <c r="I1233">
        <v>2013</v>
      </c>
      <c r="J1233" t="s">
        <v>852</v>
      </c>
      <c r="K1233" t="s">
        <v>171</v>
      </c>
      <c r="L1233" s="8">
        <f t="shared" si="20"/>
        <v>0.60810810810810811</v>
      </c>
    </row>
    <row r="1234" spans="1:12">
      <c r="A1234" t="s">
        <v>222</v>
      </c>
      <c r="B1234">
        <v>1986</v>
      </c>
      <c r="C1234" t="s">
        <v>28</v>
      </c>
      <c r="D1234">
        <v>120.95</v>
      </c>
      <c r="E1234">
        <v>300</v>
      </c>
      <c r="F1234">
        <v>182.5</v>
      </c>
      <c r="G1234">
        <v>270.5</v>
      </c>
      <c r="H1234">
        <v>753</v>
      </c>
      <c r="I1234">
        <v>2013</v>
      </c>
      <c r="J1234" t="s">
        <v>852</v>
      </c>
      <c r="K1234" t="s">
        <v>171</v>
      </c>
      <c r="L1234" s="8">
        <f t="shared" si="20"/>
        <v>0.60833333333333328</v>
      </c>
    </row>
    <row r="1235" spans="1:12">
      <c r="A1235" t="s">
        <v>343</v>
      </c>
      <c r="B1235">
        <v>1979</v>
      </c>
      <c r="C1235" t="s">
        <v>318</v>
      </c>
      <c r="D1235">
        <v>56.65</v>
      </c>
      <c r="E1235">
        <v>167.5</v>
      </c>
      <c r="F1235">
        <v>102.5</v>
      </c>
      <c r="G1235">
        <v>152.5</v>
      </c>
      <c r="H1235">
        <v>422.5</v>
      </c>
      <c r="I1235">
        <v>2015</v>
      </c>
      <c r="J1235" t="s">
        <v>852</v>
      </c>
      <c r="K1235" t="s">
        <v>171</v>
      </c>
      <c r="L1235" s="8">
        <f t="shared" si="20"/>
        <v>0.61194029850746268</v>
      </c>
    </row>
    <row r="1236" spans="1:12">
      <c r="A1236" t="s">
        <v>287</v>
      </c>
      <c r="B1236">
        <v>1976</v>
      </c>
      <c r="C1236" t="s">
        <v>274</v>
      </c>
      <c r="D1236">
        <v>45.99</v>
      </c>
      <c r="E1236">
        <v>122.5</v>
      </c>
      <c r="F1236">
        <v>75</v>
      </c>
      <c r="G1236">
        <v>140</v>
      </c>
      <c r="H1236">
        <v>337.5</v>
      </c>
      <c r="I1236">
        <v>2015</v>
      </c>
      <c r="J1236" t="s">
        <v>852</v>
      </c>
      <c r="K1236" t="s">
        <v>171</v>
      </c>
      <c r="L1236" s="8">
        <f t="shared" si="20"/>
        <v>0.61224489795918369</v>
      </c>
    </row>
    <row r="1237" spans="1:12">
      <c r="A1237" t="s">
        <v>1007</v>
      </c>
      <c r="B1237">
        <v>1984</v>
      </c>
      <c r="C1237" t="s">
        <v>280</v>
      </c>
      <c r="D1237">
        <v>60.52</v>
      </c>
      <c r="E1237">
        <v>220</v>
      </c>
      <c r="F1237">
        <v>135</v>
      </c>
      <c r="G1237">
        <v>220</v>
      </c>
      <c r="H1237">
        <v>575</v>
      </c>
      <c r="I1237">
        <v>2013</v>
      </c>
      <c r="J1237" t="s">
        <v>852</v>
      </c>
      <c r="K1237" t="s">
        <v>171</v>
      </c>
      <c r="L1237" s="8">
        <f t="shared" si="20"/>
        <v>0.61363636363636365</v>
      </c>
    </row>
    <row r="1238" spans="1:12">
      <c r="A1238" t="s">
        <v>311</v>
      </c>
      <c r="B1238">
        <v>1983</v>
      </c>
      <c r="C1238" t="s">
        <v>905</v>
      </c>
      <c r="D1238">
        <v>83.82</v>
      </c>
      <c r="E1238">
        <v>207.5</v>
      </c>
      <c r="F1238">
        <v>127.5</v>
      </c>
      <c r="G1238">
        <v>195</v>
      </c>
      <c r="H1238">
        <v>530</v>
      </c>
      <c r="I1238">
        <v>2014</v>
      </c>
      <c r="J1238" t="s">
        <v>852</v>
      </c>
      <c r="K1238" t="s">
        <v>171</v>
      </c>
      <c r="L1238" s="8">
        <f t="shared" si="20"/>
        <v>0.61445783132530118</v>
      </c>
    </row>
    <row r="1239" spans="1:12">
      <c r="A1239" t="s">
        <v>265</v>
      </c>
      <c r="B1239">
        <v>1976</v>
      </c>
      <c r="C1239" t="s">
        <v>951</v>
      </c>
      <c r="D1239">
        <v>50.98</v>
      </c>
      <c r="E1239">
        <v>162.5</v>
      </c>
      <c r="F1239">
        <v>100</v>
      </c>
      <c r="G1239">
        <v>160</v>
      </c>
      <c r="H1239">
        <v>422.5</v>
      </c>
      <c r="I1239">
        <v>2014</v>
      </c>
      <c r="J1239" t="s">
        <v>852</v>
      </c>
      <c r="K1239" t="s">
        <v>171</v>
      </c>
      <c r="L1239" s="8">
        <f t="shared" si="20"/>
        <v>0.61538461538461542</v>
      </c>
    </row>
    <row r="1240" spans="1:12">
      <c r="A1240" t="s">
        <v>1046</v>
      </c>
      <c r="B1240">
        <v>1990</v>
      </c>
      <c r="C1240" t="s">
        <v>282</v>
      </c>
      <c r="D1240">
        <v>109.98</v>
      </c>
      <c r="E1240">
        <v>215</v>
      </c>
      <c r="F1240">
        <v>132.5</v>
      </c>
      <c r="G1240">
        <v>215</v>
      </c>
      <c r="H1240">
        <v>562.5</v>
      </c>
      <c r="I1240">
        <v>2013</v>
      </c>
      <c r="J1240" t="s">
        <v>852</v>
      </c>
      <c r="K1240" t="s">
        <v>171</v>
      </c>
      <c r="L1240" s="8">
        <f t="shared" si="20"/>
        <v>0.61627906976744184</v>
      </c>
    </row>
    <row r="1241" spans="1:12">
      <c r="A1241" t="s">
        <v>307</v>
      </c>
      <c r="B1241">
        <v>1990</v>
      </c>
      <c r="C1241" t="s">
        <v>911</v>
      </c>
      <c r="D1241">
        <v>50.5</v>
      </c>
      <c r="E1241">
        <v>150</v>
      </c>
      <c r="F1241">
        <v>92.5</v>
      </c>
      <c r="G1241">
        <v>150</v>
      </c>
      <c r="H1241">
        <v>392.5</v>
      </c>
      <c r="I1241">
        <v>2014</v>
      </c>
      <c r="J1241" t="s">
        <v>852</v>
      </c>
      <c r="K1241" t="s">
        <v>171</v>
      </c>
      <c r="L1241" s="8">
        <f t="shared" si="20"/>
        <v>0.6166666666666667</v>
      </c>
    </row>
    <row r="1242" spans="1:12">
      <c r="A1242" t="s">
        <v>941</v>
      </c>
      <c r="B1242">
        <v>1987</v>
      </c>
      <c r="C1242" t="s">
        <v>39</v>
      </c>
      <c r="D1242">
        <v>56.93</v>
      </c>
      <c r="E1242">
        <v>190</v>
      </c>
      <c r="F1242">
        <v>117.5</v>
      </c>
      <c r="G1242">
        <v>0</v>
      </c>
      <c r="H1242">
        <v>0</v>
      </c>
      <c r="I1242">
        <v>2012</v>
      </c>
      <c r="J1242" t="s">
        <v>852</v>
      </c>
      <c r="K1242" t="s">
        <v>171</v>
      </c>
      <c r="L1242" s="8">
        <f t="shared" si="20"/>
        <v>0.61842105263157898</v>
      </c>
    </row>
    <row r="1243" spans="1:12">
      <c r="A1243" t="s">
        <v>311</v>
      </c>
      <c r="B1243">
        <v>1983</v>
      </c>
      <c r="C1243" t="s">
        <v>51</v>
      </c>
      <c r="D1243">
        <v>83.58</v>
      </c>
      <c r="E1243">
        <v>210</v>
      </c>
      <c r="F1243">
        <v>130</v>
      </c>
      <c r="G1243">
        <v>200</v>
      </c>
      <c r="H1243">
        <v>540</v>
      </c>
      <c r="I1243">
        <v>2015</v>
      </c>
      <c r="J1243" t="s">
        <v>852</v>
      </c>
      <c r="K1243" t="s">
        <v>171</v>
      </c>
      <c r="L1243" s="8">
        <f t="shared" si="20"/>
        <v>0.61904761904761907</v>
      </c>
    </row>
    <row r="1244" spans="1:12">
      <c r="A1244" t="s">
        <v>1046</v>
      </c>
      <c r="B1244">
        <v>1990</v>
      </c>
      <c r="C1244" t="s">
        <v>859</v>
      </c>
      <c r="D1244">
        <v>103.4</v>
      </c>
      <c r="E1244">
        <v>210</v>
      </c>
      <c r="F1244">
        <v>130</v>
      </c>
      <c r="G1244">
        <v>207.5</v>
      </c>
      <c r="H1244">
        <v>547.5</v>
      </c>
      <c r="I1244">
        <v>2014</v>
      </c>
      <c r="J1244" t="s">
        <v>852</v>
      </c>
      <c r="K1244" t="s">
        <v>171</v>
      </c>
      <c r="L1244" s="8">
        <f t="shared" si="20"/>
        <v>0.61904761904761907</v>
      </c>
    </row>
    <row r="1245" spans="1:12">
      <c r="A1245" t="s">
        <v>998</v>
      </c>
      <c r="B1245">
        <v>1986</v>
      </c>
      <c r="C1245" t="s">
        <v>28</v>
      </c>
      <c r="D1245">
        <v>56.86</v>
      </c>
      <c r="E1245">
        <v>217.5</v>
      </c>
      <c r="F1245">
        <v>135</v>
      </c>
      <c r="G1245">
        <v>190</v>
      </c>
      <c r="H1245">
        <v>542.5</v>
      </c>
      <c r="I1245">
        <v>2013</v>
      </c>
      <c r="J1245" t="s">
        <v>852</v>
      </c>
      <c r="K1245" t="s">
        <v>171</v>
      </c>
      <c r="L1245" s="8">
        <f t="shared" si="20"/>
        <v>0.62068965517241381</v>
      </c>
    </row>
    <row r="1246" spans="1:12">
      <c r="A1246" t="s">
        <v>343</v>
      </c>
      <c r="B1246">
        <v>1979</v>
      </c>
      <c r="C1246" t="s">
        <v>318</v>
      </c>
      <c r="D1246">
        <v>56.49</v>
      </c>
      <c r="E1246">
        <v>152.5</v>
      </c>
      <c r="F1246">
        <v>95</v>
      </c>
      <c r="G1246">
        <v>145</v>
      </c>
      <c r="H1246">
        <v>392.5</v>
      </c>
      <c r="I1246">
        <v>2013</v>
      </c>
      <c r="J1246" t="s">
        <v>852</v>
      </c>
      <c r="K1246" t="s">
        <v>171</v>
      </c>
      <c r="L1246" s="8">
        <f t="shared" si="20"/>
        <v>0.62295081967213117</v>
      </c>
    </row>
    <row r="1247" spans="1:12">
      <c r="A1247" t="s">
        <v>249</v>
      </c>
      <c r="B1247">
        <v>1985</v>
      </c>
      <c r="C1247" t="s">
        <v>119</v>
      </c>
      <c r="D1247">
        <v>51.98</v>
      </c>
      <c r="E1247">
        <v>192.5</v>
      </c>
      <c r="F1247">
        <v>120</v>
      </c>
      <c r="G1247">
        <v>170</v>
      </c>
      <c r="H1247">
        <v>482.5</v>
      </c>
      <c r="I1247">
        <v>2013</v>
      </c>
      <c r="J1247" t="s">
        <v>852</v>
      </c>
      <c r="K1247" t="s">
        <v>171</v>
      </c>
      <c r="L1247" s="8">
        <f t="shared" si="20"/>
        <v>0.62337662337662336</v>
      </c>
    </row>
    <row r="1248" spans="1:12">
      <c r="A1248" t="s">
        <v>1036</v>
      </c>
      <c r="B1248">
        <v>1980</v>
      </c>
      <c r="C1248" t="s">
        <v>28</v>
      </c>
      <c r="D1248">
        <v>78.22</v>
      </c>
      <c r="E1248">
        <v>232.5</v>
      </c>
      <c r="F1248">
        <v>145</v>
      </c>
      <c r="G1248">
        <v>215</v>
      </c>
      <c r="H1248">
        <v>592.5</v>
      </c>
      <c r="I1248">
        <v>2012</v>
      </c>
      <c r="J1248" t="s">
        <v>852</v>
      </c>
      <c r="K1248" t="s">
        <v>171</v>
      </c>
      <c r="L1248" s="8">
        <f t="shared" si="20"/>
        <v>0.62365591397849462</v>
      </c>
    </row>
    <row r="1249" spans="1:12">
      <c r="A1249" t="s">
        <v>210</v>
      </c>
      <c r="B1249">
        <v>1989</v>
      </c>
      <c r="C1249" t="s">
        <v>72</v>
      </c>
      <c r="D1249">
        <v>70.48</v>
      </c>
      <c r="E1249">
        <v>180</v>
      </c>
      <c r="F1249">
        <v>112.5</v>
      </c>
      <c r="G1249">
        <v>150</v>
      </c>
      <c r="H1249">
        <v>442.5</v>
      </c>
      <c r="I1249">
        <v>2015</v>
      </c>
      <c r="J1249" t="s">
        <v>852</v>
      </c>
      <c r="K1249" t="s">
        <v>171</v>
      </c>
      <c r="L1249" s="8">
        <f t="shared" si="20"/>
        <v>0.625</v>
      </c>
    </row>
    <row r="1250" spans="1:12">
      <c r="A1250" t="s">
        <v>229</v>
      </c>
      <c r="B1250">
        <v>1970</v>
      </c>
      <c r="C1250" t="s">
        <v>228</v>
      </c>
      <c r="D1250">
        <v>71.52</v>
      </c>
      <c r="E1250">
        <v>180</v>
      </c>
      <c r="F1250">
        <v>112.5</v>
      </c>
      <c r="G1250">
        <v>180</v>
      </c>
      <c r="H1250">
        <v>472.5</v>
      </c>
      <c r="I1250">
        <v>2013</v>
      </c>
      <c r="J1250" t="s">
        <v>852</v>
      </c>
      <c r="K1250" t="s">
        <v>171</v>
      </c>
      <c r="L1250" s="8">
        <f t="shared" si="20"/>
        <v>0.625</v>
      </c>
    </row>
    <row r="1251" spans="1:12">
      <c r="A1251" t="s">
        <v>308</v>
      </c>
      <c r="B1251">
        <v>1986</v>
      </c>
      <c r="C1251" t="s">
        <v>28</v>
      </c>
      <c r="D1251">
        <v>51.24</v>
      </c>
      <c r="E1251">
        <v>200</v>
      </c>
      <c r="F1251">
        <v>125</v>
      </c>
      <c r="G1251">
        <v>180</v>
      </c>
      <c r="H1251">
        <v>505</v>
      </c>
      <c r="I1251">
        <v>2012</v>
      </c>
      <c r="J1251" t="s">
        <v>852</v>
      </c>
      <c r="K1251" t="s">
        <v>171</v>
      </c>
      <c r="L1251" s="8">
        <f t="shared" si="20"/>
        <v>0.625</v>
      </c>
    </row>
    <row r="1252" spans="1:12">
      <c r="A1252" t="s">
        <v>1056</v>
      </c>
      <c r="B1252">
        <v>1988</v>
      </c>
      <c r="C1252" t="s">
        <v>480</v>
      </c>
      <c r="D1252">
        <v>70.400000000000006</v>
      </c>
      <c r="E1252">
        <v>160</v>
      </c>
      <c r="F1252">
        <v>100</v>
      </c>
      <c r="G1252">
        <v>130</v>
      </c>
      <c r="H1252">
        <v>390</v>
      </c>
      <c r="I1252">
        <v>2012</v>
      </c>
      <c r="J1252" t="s">
        <v>852</v>
      </c>
      <c r="K1252" t="s">
        <v>171</v>
      </c>
      <c r="L1252" s="8">
        <f t="shared" si="20"/>
        <v>0.625</v>
      </c>
    </row>
    <row r="1253" spans="1:12">
      <c r="A1253" t="s">
        <v>320</v>
      </c>
      <c r="B1253">
        <v>1978</v>
      </c>
      <c r="C1253" t="s">
        <v>125</v>
      </c>
      <c r="D1253">
        <v>66.64</v>
      </c>
      <c r="E1253">
        <v>167.5</v>
      </c>
      <c r="F1253">
        <v>105</v>
      </c>
      <c r="G1253">
        <v>185</v>
      </c>
      <c r="H1253">
        <v>457.5</v>
      </c>
      <c r="I1253">
        <v>2015</v>
      </c>
      <c r="J1253" t="s">
        <v>852</v>
      </c>
      <c r="K1253" t="s">
        <v>171</v>
      </c>
      <c r="L1253" s="8">
        <f t="shared" si="20"/>
        <v>0.62686567164179108</v>
      </c>
    </row>
    <row r="1254" spans="1:12">
      <c r="A1254" t="s">
        <v>306</v>
      </c>
      <c r="B1254">
        <v>1991</v>
      </c>
      <c r="C1254" t="s">
        <v>45</v>
      </c>
      <c r="D1254">
        <v>83.33</v>
      </c>
      <c r="E1254">
        <v>235</v>
      </c>
      <c r="F1254">
        <v>147.5</v>
      </c>
      <c r="G1254">
        <v>202.5</v>
      </c>
      <c r="H1254">
        <v>585</v>
      </c>
      <c r="I1254">
        <v>2015</v>
      </c>
      <c r="J1254" t="s">
        <v>852</v>
      </c>
      <c r="K1254" t="s">
        <v>171</v>
      </c>
      <c r="L1254" s="8">
        <f t="shared" si="20"/>
        <v>0.62765957446808507</v>
      </c>
    </row>
    <row r="1255" spans="1:12">
      <c r="A1255" t="s">
        <v>875</v>
      </c>
      <c r="B1255">
        <v>1961</v>
      </c>
      <c r="C1255" t="s">
        <v>45</v>
      </c>
      <c r="D1255">
        <v>71.73</v>
      </c>
      <c r="E1255">
        <v>215</v>
      </c>
      <c r="F1255">
        <v>135</v>
      </c>
      <c r="G1255">
        <v>205</v>
      </c>
      <c r="H1255">
        <v>555</v>
      </c>
      <c r="I1255">
        <v>2012</v>
      </c>
      <c r="J1255" t="s">
        <v>852</v>
      </c>
      <c r="K1255" t="s">
        <v>171</v>
      </c>
      <c r="L1255" s="8">
        <f t="shared" si="20"/>
        <v>0.62790697674418605</v>
      </c>
    </row>
    <row r="1256" spans="1:12">
      <c r="A1256" t="s">
        <v>1018</v>
      </c>
      <c r="B1256">
        <v>1984</v>
      </c>
      <c r="C1256" t="s">
        <v>280</v>
      </c>
      <c r="D1256">
        <v>56.38</v>
      </c>
      <c r="E1256">
        <v>215</v>
      </c>
      <c r="F1256">
        <v>135</v>
      </c>
      <c r="G1256">
        <v>195</v>
      </c>
      <c r="H1256">
        <v>545</v>
      </c>
      <c r="I1256">
        <v>2012</v>
      </c>
      <c r="J1256" t="s">
        <v>852</v>
      </c>
      <c r="K1256" t="s">
        <v>171</v>
      </c>
      <c r="L1256" s="8">
        <f t="shared" si="20"/>
        <v>0.62790697674418605</v>
      </c>
    </row>
    <row r="1257" spans="1:12">
      <c r="A1257" t="s">
        <v>208</v>
      </c>
      <c r="B1257">
        <v>1987</v>
      </c>
      <c r="C1257" t="s">
        <v>901</v>
      </c>
      <c r="D1257">
        <v>50.7</v>
      </c>
      <c r="E1257">
        <v>182.5</v>
      </c>
      <c r="F1257">
        <v>115</v>
      </c>
      <c r="G1257">
        <v>185</v>
      </c>
      <c r="H1257">
        <v>482.5</v>
      </c>
      <c r="I1257">
        <v>2014</v>
      </c>
      <c r="J1257" t="s">
        <v>852</v>
      </c>
      <c r="K1257" t="s">
        <v>171</v>
      </c>
      <c r="L1257" s="8">
        <f t="shared" si="20"/>
        <v>0.63013698630136983</v>
      </c>
    </row>
    <row r="1258" spans="1:12">
      <c r="A1258" t="s">
        <v>879</v>
      </c>
      <c r="B1258">
        <v>1987</v>
      </c>
      <c r="C1258" t="s">
        <v>35</v>
      </c>
      <c r="D1258">
        <v>51.91</v>
      </c>
      <c r="E1258">
        <v>162.5</v>
      </c>
      <c r="F1258">
        <v>102.5</v>
      </c>
      <c r="G1258">
        <v>167.5</v>
      </c>
      <c r="H1258">
        <v>432.5</v>
      </c>
      <c r="I1258">
        <v>2013</v>
      </c>
      <c r="J1258" t="s">
        <v>852</v>
      </c>
      <c r="K1258" t="s">
        <v>171</v>
      </c>
      <c r="L1258" s="8">
        <f t="shared" si="20"/>
        <v>0.63076923076923075</v>
      </c>
    </row>
    <row r="1259" spans="1:12">
      <c r="A1259" t="s">
        <v>222</v>
      </c>
      <c r="B1259">
        <v>1986</v>
      </c>
      <c r="C1259" t="s">
        <v>28</v>
      </c>
      <c r="D1259">
        <v>115.39</v>
      </c>
      <c r="E1259">
        <v>285</v>
      </c>
      <c r="F1259">
        <v>180</v>
      </c>
      <c r="G1259">
        <v>240</v>
      </c>
      <c r="H1259">
        <v>705</v>
      </c>
      <c r="I1259">
        <v>2015</v>
      </c>
      <c r="J1259" t="s">
        <v>852</v>
      </c>
      <c r="K1259" t="s">
        <v>171</v>
      </c>
      <c r="L1259" s="8">
        <f t="shared" si="20"/>
        <v>0.63157894736842102</v>
      </c>
    </row>
    <row r="1260" spans="1:12">
      <c r="A1260" t="s">
        <v>222</v>
      </c>
      <c r="B1260">
        <v>1986</v>
      </c>
      <c r="C1260" t="s">
        <v>903</v>
      </c>
      <c r="D1260">
        <v>115.94</v>
      </c>
      <c r="E1260">
        <v>285</v>
      </c>
      <c r="F1260">
        <v>180</v>
      </c>
      <c r="G1260">
        <v>250</v>
      </c>
      <c r="H1260">
        <v>715</v>
      </c>
      <c r="I1260">
        <v>2014</v>
      </c>
      <c r="J1260" t="s">
        <v>852</v>
      </c>
      <c r="K1260" t="s">
        <v>171</v>
      </c>
      <c r="L1260" s="8">
        <f t="shared" si="20"/>
        <v>0.63157894736842102</v>
      </c>
    </row>
    <row r="1261" spans="1:12">
      <c r="A1261" t="s">
        <v>229</v>
      </c>
      <c r="B1261">
        <v>1970</v>
      </c>
      <c r="C1261" t="s">
        <v>228</v>
      </c>
      <c r="D1261">
        <v>71.08</v>
      </c>
      <c r="E1261">
        <v>177.5</v>
      </c>
      <c r="F1261">
        <v>112.5</v>
      </c>
      <c r="G1261">
        <v>182.5</v>
      </c>
      <c r="H1261">
        <v>472.5</v>
      </c>
      <c r="I1261">
        <v>2015</v>
      </c>
      <c r="J1261" t="s">
        <v>852</v>
      </c>
      <c r="K1261" t="s">
        <v>171</v>
      </c>
      <c r="L1261" s="8">
        <f t="shared" si="20"/>
        <v>0.63380281690140849</v>
      </c>
    </row>
    <row r="1262" spans="1:12">
      <c r="A1262" t="s">
        <v>345</v>
      </c>
      <c r="B1262">
        <v>1986</v>
      </c>
      <c r="C1262" t="s">
        <v>74</v>
      </c>
      <c r="D1262">
        <v>56.15</v>
      </c>
      <c r="E1262">
        <v>205</v>
      </c>
      <c r="F1262">
        <v>130</v>
      </c>
      <c r="G1262">
        <v>195</v>
      </c>
      <c r="H1262">
        <v>530</v>
      </c>
      <c r="I1262">
        <v>2015</v>
      </c>
      <c r="J1262" t="s">
        <v>852</v>
      </c>
      <c r="K1262" t="s">
        <v>171</v>
      </c>
      <c r="L1262" s="8">
        <f t="shared" si="20"/>
        <v>0.63414634146341464</v>
      </c>
    </row>
    <row r="1263" spans="1:12">
      <c r="A1263" t="s">
        <v>195</v>
      </c>
      <c r="B1263">
        <v>1985</v>
      </c>
      <c r="C1263" t="s">
        <v>49</v>
      </c>
      <c r="D1263">
        <v>70.989999999999995</v>
      </c>
      <c r="E1263">
        <v>248</v>
      </c>
      <c r="F1263">
        <v>157.5</v>
      </c>
      <c r="G1263">
        <v>210</v>
      </c>
      <c r="H1263">
        <v>615.5</v>
      </c>
      <c r="I1263">
        <v>2012</v>
      </c>
      <c r="J1263" t="s">
        <v>852</v>
      </c>
      <c r="K1263" t="s">
        <v>171</v>
      </c>
      <c r="L1263" s="8">
        <f t="shared" si="20"/>
        <v>0.63508064516129037</v>
      </c>
    </row>
    <row r="1264" spans="1:12">
      <c r="A1264" t="s">
        <v>872</v>
      </c>
      <c r="B1264">
        <v>1982</v>
      </c>
      <c r="C1264" t="s">
        <v>45</v>
      </c>
      <c r="D1264">
        <v>62.46</v>
      </c>
      <c r="E1264">
        <v>192.5</v>
      </c>
      <c r="F1264">
        <v>122.5</v>
      </c>
      <c r="G1264">
        <v>185</v>
      </c>
      <c r="H1264">
        <v>500</v>
      </c>
      <c r="I1264">
        <v>2013</v>
      </c>
      <c r="J1264" t="s">
        <v>852</v>
      </c>
      <c r="K1264" t="s">
        <v>171</v>
      </c>
      <c r="L1264" s="8">
        <f t="shared" si="20"/>
        <v>0.63636363636363635</v>
      </c>
    </row>
    <row r="1265" spans="1:12">
      <c r="A1265" t="s">
        <v>993</v>
      </c>
      <c r="B1265">
        <v>1972</v>
      </c>
      <c r="C1265" t="s">
        <v>119</v>
      </c>
      <c r="D1265">
        <v>56.94</v>
      </c>
      <c r="E1265">
        <v>200</v>
      </c>
      <c r="F1265">
        <v>127.5</v>
      </c>
      <c r="G1265">
        <v>175</v>
      </c>
      <c r="H1265">
        <v>502.5</v>
      </c>
      <c r="I1265">
        <v>2012</v>
      </c>
      <c r="J1265" t="s">
        <v>852</v>
      </c>
      <c r="K1265" t="s">
        <v>171</v>
      </c>
      <c r="L1265" s="8">
        <f t="shared" si="20"/>
        <v>0.63749999999999996</v>
      </c>
    </row>
    <row r="1266" spans="1:12">
      <c r="A1266" t="s">
        <v>266</v>
      </c>
      <c r="B1266">
        <v>1982</v>
      </c>
      <c r="C1266" t="s">
        <v>137</v>
      </c>
      <c r="D1266">
        <v>46.62</v>
      </c>
      <c r="E1266">
        <v>145</v>
      </c>
      <c r="F1266">
        <v>92.5</v>
      </c>
      <c r="G1266">
        <v>125</v>
      </c>
      <c r="H1266">
        <v>362.5</v>
      </c>
      <c r="I1266">
        <v>2015</v>
      </c>
      <c r="J1266" t="s">
        <v>852</v>
      </c>
      <c r="K1266" t="s">
        <v>171</v>
      </c>
      <c r="L1266" s="8">
        <f t="shared" si="20"/>
        <v>0.63793103448275867</v>
      </c>
    </row>
    <row r="1267" spans="1:12">
      <c r="A1267" t="s">
        <v>1027</v>
      </c>
      <c r="B1267">
        <v>1986</v>
      </c>
      <c r="C1267" t="s">
        <v>903</v>
      </c>
      <c r="D1267">
        <v>46.86</v>
      </c>
      <c r="E1267">
        <v>180</v>
      </c>
      <c r="F1267">
        <v>115</v>
      </c>
      <c r="G1267">
        <v>162.5</v>
      </c>
      <c r="H1267">
        <v>457.5</v>
      </c>
      <c r="I1267">
        <v>2014</v>
      </c>
      <c r="J1267" t="s">
        <v>852</v>
      </c>
      <c r="K1267" t="s">
        <v>171</v>
      </c>
      <c r="L1267" s="8">
        <f t="shared" si="20"/>
        <v>0.63888888888888884</v>
      </c>
    </row>
    <row r="1268" spans="1:12">
      <c r="A1268" t="s">
        <v>208</v>
      </c>
      <c r="B1268">
        <v>1987</v>
      </c>
      <c r="C1268" t="s">
        <v>119</v>
      </c>
      <c r="D1268">
        <v>51.03</v>
      </c>
      <c r="E1268">
        <v>187.5</v>
      </c>
      <c r="F1268">
        <v>120</v>
      </c>
      <c r="G1268">
        <v>190</v>
      </c>
      <c r="H1268">
        <v>497.5</v>
      </c>
      <c r="I1268">
        <v>2015</v>
      </c>
      <c r="J1268" t="s">
        <v>852</v>
      </c>
      <c r="K1268" t="s">
        <v>171</v>
      </c>
      <c r="L1268" s="8">
        <f t="shared" si="20"/>
        <v>0.64</v>
      </c>
    </row>
    <row r="1269" spans="1:12">
      <c r="A1269" t="s">
        <v>345</v>
      </c>
      <c r="B1269">
        <v>1986</v>
      </c>
      <c r="C1269" t="s">
        <v>74</v>
      </c>
      <c r="D1269">
        <v>56.21</v>
      </c>
      <c r="E1269">
        <v>187.5</v>
      </c>
      <c r="F1269">
        <v>120</v>
      </c>
      <c r="G1269">
        <v>195</v>
      </c>
      <c r="H1269">
        <v>502.5</v>
      </c>
      <c r="I1269">
        <v>2012</v>
      </c>
      <c r="J1269" t="s">
        <v>852</v>
      </c>
      <c r="K1269" t="s">
        <v>171</v>
      </c>
      <c r="L1269" s="8">
        <f t="shared" si="20"/>
        <v>0.64</v>
      </c>
    </row>
    <row r="1270" spans="1:12">
      <c r="A1270" t="s">
        <v>1019</v>
      </c>
      <c r="B1270">
        <v>1991</v>
      </c>
      <c r="C1270" t="s">
        <v>905</v>
      </c>
      <c r="D1270">
        <v>57.86</v>
      </c>
      <c r="E1270">
        <v>167.5</v>
      </c>
      <c r="F1270">
        <v>107.5</v>
      </c>
      <c r="G1270">
        <v>167.5</v>
      </c>
      <c r="H1270">
        <v>442.5</v>
      </c>
      <c r="I1270">
        <v>2014</v>
      </c>
      <c r="J1270" t="s">
        <v>852</v>
      </c>
      <c r="K1270" t="s">
        <v>171</v>
      </c>
      <c r="L1270" s="8">
        <f t="shared" si="20"/>
        <v>0.64179104477611937</v>
      </c>
    </row>
    <row r="1271" spans="1:12">
      <c r="A1271" t="s">
        <v>308</v>
      </c>
      <c r="B1271">
        <v>1986</v>
      </c>
      <c r="C1271" t="s">
        <v>28</v>
      </c>
      <c r="D1271">
        <v>50.75</v>
      </c>
      <c r="E1271">
        <v>202.5</v>
      </c>
      <c r="F1271">
        <v>130</v>
      </c>
      <c r="G1271">
        <v>190</v>
      </c>
      <c r="H1271">
        <v>522.5</v>
      </c>
      <c r="I1271">
        <v>2013</v>
      </c>
      <c r="J1271" t="s">
        <v>852</v>
      </c>
      <c r="K1271" t="s">
        <v>171</v>
      </c>
      <c r="L1271" s="8">
        <f t="shared" si="20"/>
        <v>0.64197530864197527</v>
      </c>
    </row>
    <row r="1272" spans="1:12">
      <c r="A1272" t="s">
        <v>308</v>
      </c>
      <c r="B1272">
        <v>1986</v>
      </c>
      <c r="C1272" t="s">
        <v>28</v>
      </c>
      <c r="D1272">
        <v>50.96</v>
      </c>
      <c r="E1272">
        <v>210</v>
      </c>
      <c r="F1272">
        <v>135</v>
      </c>
      <c r="G1272">
        <v>180</v>
      </c>
      <c r="H1272">
        <v>525</v>
      </c>
      <c r="I1272">
        <v>2015</v>
      </c>
      <c r="J1272" t="s">
        <v>852</v>
      </c>
      <c r="K1272" t="s">
        <v>171</v>
      </c>
      <c r="L1272" s="8">
        <f t="shared" si="20"/>
        <v>0.6428571428571429</v>
      </c>
    </row>
    <row r="1273" spans="1:12">
      <c r="A1273" t="s">
        <v>314</v>
      </c>
      <c r="B1273">
        <v>1984</v>
      </c>
      <c r="C1273" t="s">
        <v>280</v>
      </c>
      <c r="D1273">
        <v>56.34</v>
      </c>
      <c r="E1273">
        <v>210</v>
      </c>
      <c r="F1273">
        <v>135</v>
      </c>
      <c r="G1273">
        <v>192.5</v>
      </c>
      <c r="H1273">
        <v>537.5</v>
      </c>
      <c r="I1273">
        <v>2015</v>
      </c>
      <c r="J1273" t="s">
        <v>852</v>
      </c>
      <c r="K1273" t="s">
        <v>171</v>
      </c>
      <c r="L1273" s="8">
        <f t="shared" si="20"/>
        <v>0.6428571428571429</v>
      </c>
    </row>
    <row r="1274" spans="1:12">
      <c r="A1274" t="s">
        <v>208</v>
      </c>
      <c r="B1274">
        <v>1987</v>
      </c>
      <c r="C1274" t="s">
        <v>119</v>
      </c>
      <c r="D1274">
        <v>51.39</v>
      </c>
      <c r="E1274">
        <v>175</v>
      </c>
      <c r="F1274">
        <v>112.5</v>
      </c>
      <c r="G1274">
        <v>177.5</v>
      </c>
      <c r="H1274">
        <v>465</v>
      </c>
      <c r="I1274">
        <v>2012</v>
      </c>
      <c r="J1274" t="s">
        <v>852</v>
      </c>
      <c r="K1274" t="s">
        <v>171</v>
      </c>
      <c r="L1274" s="8">
        <f t="shared" si="20"/>
        <v>0.6428571428571429</v>
      </c>
    </row>
    <row r="1275" spans="1:12">
      <c r="A1275" t="s">
        <v>246</v>
      </c>
      <c r="B1275">
        <v>1984</v>
      </c>
      <c r="C1275" t="s">
        <v>80</v>
      </c>
      <c r="D1275">
        <v>71.37</v>
      </c>
      <c r="E1275">
        <v>225</v>
      </c>
      <c r="F1275">
        <v>145</v>
      </c>
      <c r="G1275">
        <v>0</v>
      </c>
      <c r="H1275">
        <v>0</v>
      </c>
      <c r="I1275">
        <v>2012</v>
      </c>
      <c r="J1275" t="s">
        <v>852</v>
      </c>
      <c r="K1275" t="s">
        <v>171</v>
      </c>
      <c r="L1275" s="8">
        <f t="shared" si="20"/>
        <v>0.64444444444444449</v>
      </c>
    </row>
    <row r="1276" spans="1:12">
      <c r="A1276" t="s">
        <v>328</v>
      </c>
      <c r="B1276">
        <v>1990</v>
      </c>
      <c r="C1276" t="s">
        <v>109</v>
      </c>
      <c r="D1276">
        <v>82.45</v>
      </c>
      <c r="E1276">
        <v>190</v>
      </c>
      <c r="F1276">
        <v>122.5</v>
      </c>
      <c r="G1276">
        <v>177.5</v>
      </c>
      <c r="H1276">
        <v>490</v>
      </c>
      <c r="I1276">
        <v>2015</v>
      </c>
      <c r="J1276" t="s">
        <v>852</v>
      </c>
      <c r="K1276" t="s">
        <v>171</v>
      </c>
      <c r="L1276" s="8">
        <f t="shared" si="20"/>
        <v>0.64473684210526316</v>
      </c>
    </row>
    <row r="1277" spans="1:12">
      <c r="A1277" t="s">
        <v>254</v>
      </c>
      <c r="B1277">
        <v>1977</v>
      </c>
      <c r="C1277" t="s">
        <v>862</v>
      </c>
      <c r="D1277">
        <v>71.92</v>
      </c>
      <c r="E1277">
        <v>197.5</v>
      </c>
      <c r="F1277">
        <v>127.5</v>
      </c>
      <c r="G1277">
        <v>175</v>
      </c>
      <c r="H1277">
        <v>500</v>
      </c>
      <c r="I1277">
        <v>2014</v>
      </c>
      <c r="J1277" t="s">
        <v>852</v>
      </c>
      <c r="K1277" t="s">
        <v>171</v>
      </c>
      <c r="L1277" s="8">
        <f t="shared" si="20"/>
        <v>0.64556962025316456</v>
      </c>
    </row>
    <row r="1278" spans="1:12">
      <c r="A1278" t="s">
        <v>1007</v>
      </c>
      <c r="B1278">
        <v>1984</v>
      </c>
      <c r="C1278" t="s">
        <v>280</v>
      </c>
      <c r="D1278">
        <v>60.4</v>
      </c>
      <c r="E1278">
        <v>220</v>
      </c>
      <c r="F1278">
        <v>142.5</v>
      </c>
      <c r="G1278">
        <v>225</v>
      </c>
      <c r="H1278">
        <v>587.5</v>
      </c>
      <c r="I1278">
        <v>2012</v>
      </c>
      <c r="J1278" t="s">
        <v>852</v>
      </c>
      <c r="K1278" t="s">
        <v>171</v>
      </c>
      <c r="L1278" s="8">
        <f t="shared" si="20"/>
        <v>0.64772727272727271</v>
      </c>
    </row>
    <row r="1279" spans="1:12">
      <c r="A1279" t="s">
        <v>872</v>
      </c>
      <c r="B1279">
        <v>1982</v>
      </c>
      <c r="C1279" t="s">
        <v>45</v>
      </c>
      <c r="D1279">
        <v>62.87</v>
      </c>
      <c r="E1279">
        <v>177.5</v>
      </c>
      <c r="F1279">
        <v>115</v>
      </c>
      <c r="G1279">
        <v>177.5</v>
      </c>
      <c r="H1279">
        <v>470</v>
      </c>
      <c r="I1279">
        <v>2012</v>
      </c>
      <c r="J1279" t="s">
        <v>852</v>
      </c>
      <c r="K1279" t="s">
        <v>171</v>
      </c>
      <c r="L1279" s="8">
        <f t="shared" si="20"/>
        <v>0.647887323943662</v>
      </c>
    </row>
    <row r="1280" spans="1:12">
      <c r="A1280" t="s">
        <v>301</v>
      </c>
      <c r="B1280">
        <v>1972</v>
      </c>
      <c r="C1280" t="s">
        <v>876</v>
      </c>
      <c r="D1280">
        <v>71.7</v>
      </c>
      <c r="E1280">
        <v>230</v>
      </c>
      <c r="F1280">
        <v>150</v>
      </c>
      <c r="G1280">
        <v>247.5</v>
      </c>
      <c r="H1280">
        <v>627.5</v>
      </c>
      <c r="I1280">
        <v>2014</v>
      </c>
      <c r="J1280" t="s">
        <v>852</v>
      </c>
      <c r="K1280" t="s">
        <v>171</v>
      </c>
      <c r="L1280" s="8">
        <f t="shared" si="20"/>
        <v>0.65217391304347827</v>
      </c>
    </row>
    <row r="1281" spans="1:12">
      <c r="A1281" t="s">
        <v>314</v>
      </c>
      <c r="B1281">
        <v>1984</v>
      </c>
      <c r="C1281" t="s">
        <v>280</v>
      </c>
      <c r="D1281">
        <v>56.03</v>
      </c>
      <c r="E1281">
        <v>216</v>
      </c>
      <c r="F1281">
        <v>141</v>
      </c>
      <c r="G1281">
        <v>190</v>
      </c>
      <c r="H1281">
        <v>547</v>
      </c>
      <c r="I1281">
        <v>2013</v>
      </c>
      <c r="J1281" t="s">
        <v>852</v>
      </c>
      <c r="K1281" t="s">
        <v>171</v>
      </c>
      <c r="L1281" s="8">
        <f t="shared" si="20"/>
        <v>0.65277777777777779</v>
      </c>
    </row>
    <row r="1282" spans="1:12">
      <c r="A1282" t="s">
        <v>257</v>
      </c>
      <c r="B1282">
        <v>1992</v>
      </c>
      <c r="C1282" t="s">
        <v>28</v>
      </c>
      <c r="D1282">
        <v>104.03</v>
      </c>
      <c r="E1282">
        <v>260</v>
      </c>
      <c r="F1282">
        <v>170</v>
      </c>
      <c r="G1282">
        <v>225</v>
      </c>
      <c r="H1282">
        <v>655</v>
      </c>
      <c r="I1282">
        <v>2015</v>
      </c>
      <c r="J1282" t="s">
        <v>852</v>
      </c>
      <c r="K1282" t="s">
        <v>171</v>
      </c>
      <c r="L1282" s="8">
        <f t="shared" ref="L1282:L1345" si="21">IF(AND(F1282&lt;&gt;0,E1282&lt;&gt;0),F1282/E1282,"")</f>
        <v>0.65384615384615385</v>
      </c>
    </row>
    <row r="1283" spans="1:12">
      <c r="A1283" t="s">
        <v>330</v>
      </c>
      <c r="B1283">
        <v>1988</v>
      </c>
      <c r="C1283" t="s">
        <v>28</v>
      </c>
      <c r="D1283">
        <v>81.14</v>
      </c>
      <c r="E1283">
        <v>260</v>
      </c>
      <c r="F1283">
        <v>170</v>
      </c>
      <c r="G1283">
        <v>212.5</v>
      </c>
      <c r="H1283">
        <v>642.5</v>
      </c>
      <c r="I1283">
        <v>2015</v>
      </c>
      <c r="J1283" t="s">
        <v>852</v>
      </c>
      <c r="K1283" t="s">
        <v>171</v>
      </c>
      <c r="L1283" s="8">
        <f t="shared" si="21"/>
        <v>0.65384615384615385</v>
      </c>
    </row>
    <row r="1284" spans="1:12">
      <c r="A1284" t="s">
        <v>258</v>
      </c>
      <c r="B1284">
        <v>1978</v>
      </c>
      <c r="C1284" t="s">
        <v>951</v>
      </c>
      <c r="D1284">
        <v>46.1</v>
      </c>
      <c r="E1284">
        <v>145</v>
      </c>
      <c r="F1284">
        <v>95</v>
      </c>
      <c r="G1284">
        <v>0</v>
      </c>
      <c r="H1284">
        <v>0</v>
      </c>
      <c r="I1284">
        <v>2014</v>
      </c>
      <c r="J1284" t="s">
        <v>852</v>
      </c>
      <c r="K1284" t="s">
        <v>171</v>
      </c>
      <c r="L1284" s="8">
        <f t="shared" si="21"/>
        <v>0.65517241379310343</v>
      </c>
    </row>
    <row r="1285" spans="1:12">
      <c r="A1285" t="s">
        <v>860</v>
      </c>
      <c r="B1285">
        <v>1985</v>
      </c>
      <c r="C1285" t="s">
        <v>119</v>
      </c>
      <c r="D1285">
        <v>62.8</v>
      </c>
      <c r="E1285">
        <v>227.5</v>
      </c>
      <c r="F1285">
        <v>150</v>
      </c>
      <c r="G1285">
        <v>202.5</v>
      </c>
      <c r="H1285">
        <v>580</v>
      </c>
      <c r="I1285">
        <v>2013</v>
      </c>
      <c r="J1285" t="s">
        <v>852</v>
      </c>
      <c r="K1285" t="s">
        <v>171</v>
      </c>
      <c r="L1285" s="8">
        <f t="shared" si="21"/>
        <v>0.65934065934065933</v>
      </c>
    </row>
    <row r="1286" spans="1:12">
      <c r="A1286" t="s">
        <v>261</v>
      </c>
      <c r="B1286">
        <v>1977</v>
      </c>
      <c r="C1286" t="s">
        <v>62</v>
      </c>
      <c r="D1286">
        <v>56.68</v>
      </c>
      <c r="E1286">
        <v>170</v>
      </c>
      <c r="F1286">
        <v>112.5</v>
      </c>
      <c r="G1286">
        <v>185</v>
      </c>
      <c r="H1286">
        <v>467.5</v>
      </c>
      <c r="I1286">
        <v>2013</v>
      </c>
      <c r="J1286" t="s">
        <v>852</v>
      </c>
      <c r="K1286" t="s">
        <v>171</v>
      </c>
      <c r="L1286" s="8">
        <f t="shared" si="21"/>
        <v>0.66176470588235292</v>
      </c>
    </row>
    <row r="1287" spans="1:12">
      <c r="A1287" t="s">
        <v>249</v>
      </c>
      <c r="B1287">
        <v>1985</v>
      </c>
      <c r="C1287" t="s">
        <v>901</v>
      </c>
      <c r="D1287">
        <v>51.52</v>
      </c>
      <c r="E1287">
        <v>185</v>
      </c>
      <c r="F1287">
        <v>122.5</v>
      </c>
      <c r="G1287">
        <v>180</v>
      </c>
      <c r="H1287">
        <v>487.5</v>
      </c>
      <c r="I1287">
        <v>2014</v>
      </c>
      <c r="J1287" t="s">
        <v>852</v>
      </c>
      <c r="K1287" t="s">
        <v>171</v>
      </c>
      <c r="L1287" s="8">
        <f t="shared" si="21"/>
        <v>0.66216216216216217</v>
      </c>
    </row>
    <row r="1288" spans="1:12">
      <c r="A1288" t="s">
        <v>254</v>
      </c>
      <c r="B1288">
        <v>1977</v>
      </c>
      <c r="C1288" t="s">
        <v>45</v>
      </c>
      <c r="D1288">
        <v>71.349999999999994</v>
      </c>
      <c r="E1288">
        <v>207.5</v>
      </c>
      <c r="F1288">
        <v>137.5</v>
      </c>
      <c r="G1288">
        <v>177.5</v>
      </c>
      <c r="H1288">
        <v>522.5</v>
      </c>
      <c r="I1288">
        <v>2015</v>
      </c>
      <c r="J1288" t="s">
        <v>852</v>
      </c>
      <c r="K1288" t="s">
        <v>171</v>
      </c>
      <c r="L1288" s="8">
        <f t="shared" si="21"/>
        <v>0.66265060240963858</v>
      </c>
    </row>
    <row r="1289" spans="1:12">
      <c r="A1289" t="s">
        <v>184</v>
      </c>
      <c r="B1289">
        <v>1972</v>
      </c>
      <c r="C1289" t="s">
        <v>62</v>
      </c>
      <c r="D1289">
        <v>81.709999999999994</v>
      </c>
      <c r="E1289">
        <v>237.5</v>
      </c>
      <c r="F1289">
        <v>157.5</v>
      </c>
      <c r="G1289">
        <v>220</v>
      </c>
      <c r="H1289">
        <v>615</v>
      </c>
      <c r="I1289">
        <v>2012</v>
      </c>
      <c r="J1289" t="s">
        <v>852</v>
      </c>
      <c r="K1289" t="s">
        <v>171</v>
      </c>
      <c r="L1289" s="8">
        <f t="shared" si="21"/>
        <v>0.66315789473684206</v>
      </c>
    </row>
    <row r="1290" spans="1:12">
      <c r="A1290" t="s">
        <v>227</v>
      </c>
      <c r="B1290">
        <v>1974</v>
      </c>
      <c r="C1290" t="s">
        <v>228</v>
      </c>
      <c r="D1290">
        <v>62.72</v>
      </c>
      <c r="E1290">
        <v>180</v>
      </c>
      <c r="F1290">
        <v>120</v>
      </c>
      <c r="G1290">
        <v>172.5</v>
      </c>
      <c r="H1290">
        <v>472.5</v>
      </c>
      <c r="I1290">
        <v>2015</v>
      </c>
      <c r="J1290" t="s">
        <v>852</v>
      </c>
      <c r="K1290" t="s">
        <v>171</v>
      </c>
      <c r="L1290" s="8">
        <f t="shared" si="21"/>
        <v>0.66666666666666663</v>
      </c>
    </row>
    <row r="1291" spans="1:12">
      <c r="A1291" t="s">
        <v>231</v>
      </c>
      <c r="B1291">
        <v>1990</v>
      </c>
      <c r="C1291" t="s">
        <v>62</v>
      </c>
      <c r="D1291">
        <v>82.89</v>
      </c>
      <c r="E1291">
        <v>240</v>
      </c>
      <c r="F1291">
        <v>160</v>
      </c>
      <c r="G1291">
        <v>207.5</v>
      </c>
      <c r="H1291">
        <v>607.5</v>
      </c>
      <c r="I1291">
        <v>2015</v>
      </c>
      <c r="J1291" t="s">
        <v>852</v>
      </c>
      <c r="K1291" t="s">
        <v>171</v>
      </c>
      <c r="L1291" s="8">
        <f t="shared" si="21"/>
        <v>0.66666666666666663</v>
      </c>
    </row>
    <row r="1292" spans="1:12">
      <c r="A1292" t="s">
        <v>898</v>
      </c>
      <c r="B1292">
        <v>1980</v>
      </c>
      <c r="C1292" t="s">
        <v>336</v>
      </c>
      <c r="D1292">
        <v>99.6</v>
      </c>
      <c r="E1292">
        <v>210</v>
      </c>
      <c r="F1292">
        <v>140</v>
      </c>
      <c r="G1292">
        <v>212.5</v>
      </c>
      <c r="H1292">
        <v>562.5</v>
      </c>
      <c r="I1292">
        <v>2012</v>
      </c>
      <c r="J1292" t="s">
        <v>852</v>
      </c>
      <c r="K1292" t="s">
        <v>171</v>
      </c>
      <c r="L1292" s="8">
        <f t="shared" si="21"/>
        <v>0.66666666666666663</v>
      </c>
    </row>
    <row r="1293" spans="1:12">
      <c r="A1293" t="s">
        <v>934</v>
      </c>
      <c r="B1293">
        <v>1985</v>
      </c>
      <c r="C1293" t="s">
        <v>464</v>
      </c>
      <c r="D1293">
        <v>73.11</v>
      </c>
      <c r="E1293">
        <v>210</v>
      </c>
      <c r="F1293">
        <v>140</v>
      </c>
      <c r="G1293">
        <v>205</v>
      </c>
      <c r="H1293">
        <v>555</v>
      </c>
      <c r="I1293">
        <v>2012</v>
      </c>
      <c r="J1293" t="s">
        <v>852</v>
      </c>
      <c r="K1293" t="s">
        <v>171</v>
      </c>
      <c r="L1293" s="8">
        <f t="shared" si="21"/>
        <v>0.66666666666666663</v>
      </c>
    </row>
    <row r="1294" spans="1:12">
      <c r="A1294" t="s">
        <v>1023</v>
      </c>
      <c r="B1294">
        <v>1988</v>
      </c>
      <c r="C1294" t="s">
        <v>113</v>
      </c>
      <c r="D1294">
        <v>71.510000000000005</v>
      </c>
      <c r="E1294">
        <v>217.5</v>
      </c>
      <c r="F1294">
        <v>145</v>
      </c>
      <c r="G1294">
        <v>190</v>
      </c>
      <c r="H1294">
        <v>552.5</v>
      </c>
      <c r="I1294">
        <v>2012</v>
      </c>
      <c r="J1294" t="s">
        <v>852</v>
      </c>
      <c r="K1294" t="s">
        <v>171</v>
      </c>
      <c r="L1294" s="8">
        <f t="shared" si="21"/>
        <v>0.66666666666666663</v>
      </c>
    </row>
    <row r="1295" spans="1:12">
      <c r="A1295" t="s">
        <v>1034</v>
      </c>
      <c r="B1295">
        <v>1962</v>
      </c>
      <c r="C1295" t="s">
        <v>77</v>
      </c>
      <c r="D1295">
        <v>51.83</v>
      </c>
      <c r="E1295">
        <v>142.5</v>
      </c>
      <c r="F1295">
        <v>95</v>
      </c>
      <c r="G1295">
        <v>150</v>
      </c>
      <c r="H1295">
        <v>387.5</v>
      </c>
      <c r="I1295">
        <v>2012</v>
      </c>
      <c r="J1295" t="s">
        <v>852</v>
      </c>
      <c r="K1295" t="s">
        <v>171</v>
      </c>
      <c r="L1295" s="8">
        <f t="shared" si="21"/>
        <v>0.66666666666666663</v>
      </c>
    </row>
    <row r="1296" spans="1:12">
      <c r="A1296" t="s">
        <v>1034</v>
      </c>
      <c r="B1296">
        <v>1962</v>
      </c>
      <c r="C1296" t="s">
        <v>911</v>
      </c>
      <c r="D1296">
        <v>51.7</v>
      </c>
      <c r="E1296">
        <v>135</v>
      </c>
      <c r="F1296">
        <v>90</v>
      </c>
      <c r="G1296">
        <v>145</v>
      </c>
      <c r="H1296">
        <v>370</v>
      </c>
      <c r="I1296">
        <v>2014</v>
      </c>
      <c r="J1296" t="s">
        <v>852</v>
      </c>
      <c r="K1296" t="s">
        <v>171</v>
      </c>
      <c r="L1296" s="8">
        <f t="shared" si="21"/>
        <v>0.66666666666666663</v>
      </c>
    </row>
    <row r="1297" spans="1:12">
      <c r="A1297" t="s">
        <v>1040</v>
      </c>
      <c r="B1297">
        <v>1988</v>
      </c>
      <c r="C1297" t="s">
        <v>62</v>
      </c>
      <c r="D1297">
        <v>70.209999999999994</v>
      </c>
      <c r="E1297">
        <v>210</v>
      </c>
      <c r="F1297">
        <v>140</v>
      </c>
      <c r="G1297">
        <v>185</v>
      </c>
      <c r="H1297">
        <v>535</v>
      </c>
      <c r="I1297">
        <v>2013</v>
      </c>
      <c r="J1297" t="s">
        <v>852</v>
      </c>
      <c r="K1297" t="s">
        <v>171</v>
      </c>
      <c r="L1297" s="8">
        <f t="shared" si="21"/>
        <v>0.66666666666666663</v>
      </c>
    </row>
    <row r="1298" spans="1:12">
      <c r="A1298" t="s">
        <v>308</v>
      </c>
      <c r="B1298">
        <v>1986</v>
      </c>
      <c r="C1298" t="s">
        <v>903</v>
      </c>
      <c r="D1298">
        <v>51.36</v>
      </c>
      <c r="E1298">
        <v>205</v>
      </c>
      <c r="F1298">
        <v>137.5</v>
      </c>
      <c r="G1298">
        <v>187.5</v>
      </c>
      <c r="H1298">
        <v>530</v>
      </c>
      <c r="I1298">
        <v>2014</v>
      </c>
      <c r="J1298" t="s">
        <v>852</v>
      </c>
      <c r="K1298" t="s">
        <v>171</v>
      </c>
      <c r="L1298" s="8">
        <f t="shared" si="21"/>
        <v>0.67073170731707321</v>
      </c>
    </row>
    <row r="1299" spans="1:12">
      <c r="A1299" t="s">
        <v>220</v>
      </c>
      <c r="B1299">
        <v>1970</v>
      </c>
      <c r="C1299" t="s">
        <v>77</v>
      </c>
      <c r="D1299">
        <v>45.67</v>
      </c>
      <c r="E1299">
        <v>175</v>
      </c>
      <c r="F1299">
        <v>117.5</v>
      </c>
      <c r="G1299">
        <v>157.5</v>
      </c>
      <c r="H1299">
        <v>450</v>
      </c>
      <c r="I1299">
        <v>2012</v>
      </c>
      <c r="J1299" t="s">
        <v>852</v>
      </c>
      <c r="K1299" t="s">
        <v>171</v>
      </c>
      <c r="L1299" s="8">
        <f t="shared" si="21"/>
        <v>0.67142857142857137</v>
      </c>
    </row>
    <row r="1300" spans="1:12">
      <c r="A1300" t="s">
        <v>178</v>
      </c>
      <c r="B1300">
        <v>1986</v>
      </c>
      <c r="C1300" t="s">
        <v>54</v>
      </c>
      <c r="D1300">
        <v>51.77</v>
      </c>
      <c r="E1300">
        <v>145</v>
      </c>
      <c r="F1300">
        <v>97.5</v>
      </c>
      <c r="G1300">
        <v>170</v>
      </c>
      <c r="H1300">
        <v>412.5</v>
      </c>
      <c r="I1300">
        <v>2015</v>
      </c>
      <c r="J1300" t="s">
        <v>852</v>
      </c>
      <c r="K1300" t="s">
        <v>171</v>
      </c>
      <c r="L1300" s="8">
        <f t="shared" si="21"/>
        <v>0.67241379310344829</v>
      </c>
    </row>
    <row r="1301" spans="1:12">
      <c r="A1301" t="s">
        <v>262</v>
      </c>
      <c r="B1301">
        <v>1988</v>
      </c>
      <c r="C1301" t="s">
        <v>876</v>
      </c>
      <c r="D1301">
        <v>129.94</v>
      </c>
      <c r="E1301">
        <v>282.5</v>
      </c>
      <c r="F1301">
        <v>190</v>
      </c>
      <c r="G1301">
        <v>222.5</v>
      </c>
      <c r="H1301">
        <v>695</v>
      </c>
      <c r="I1301">
        <v>2014</v>
      </c>
      <c r="J1301" t="s">
        <v>852</v>
      </c>
      <c r="K1301" t="s">
        <v>171</v>
      </c>
      <c r="L1301" s="8">
        <f t="shared" si="21"/>
        <v>0.67256637168141598</v>
      </c>
    </row>
    <row r="1302" spans="1:12">
      <c r="A1302" t="s">
        <v>307</v>
      </c>
      <c r="B1302">
        <v>1990</v>
      </c>
      <c r="C1302" t="s">
        <v>77</v>
      </c>
      <c r="D1302">
        <v>51.95</v>
      </c>
      <c r="E1302">
        <v>130</v>
      </c>
      <c r="F1302">
        <v>87.5</v>
      </c>
      <c r="G1302">
        <v>157.5</v>
      </c>
      <c r="H1302">
        <v>375</v>
      </c>
      <c r="I1302">
        <v>2013</v>
      </c>
      <c r="J1302" t="s">
        <v>852</v>
      </c>
      <c r="K1302" t="s">
        <v>171</v>
      </c>
      <c r="L1302" s="8">
        <f t="shared" si="21"/>
        <v>0.67307692307692313</v>
      </c>
    </row>
    <row r="1303" spans="1:12">
      <c r="A1303" t="s">
        <v>249</v>
      </c>
      <c r="B1303">
        <v>1985</v>
      </c>
      <c r="C1303" t="s">
        <v>119</v>
      </c>
      <c r="D1303">
        <v>51.69</v>
      </c>
      <c r="E1303">
        <v>185</v>
      </c>
      <c r="F1303">
        <v>125</v>
      </c>
      <c r="G1303">
        <v>185</v>
      </c>
      <c r="H1303">
        <v>495</v>
      </c>
      <c r="I1303">
        <v>2015</v>
      </c>
      <c r="J1303" t="s">
        <v>852</v>
      </c>
      <c r="K1303" t="s">
        <v>171</v>
      </c>
      <c r="L1303" s="8">
        <f t="shared" si="21"/>
        <v>0.67567567567567566</v>
      </c>
    </row>
    <row r="1304" spans="1:12">
      <c r="A1304" t="s">
        <v>261</v>
      </c>
      <c r="B1304">
        <v>1977</v>
      </c>
      <c r="C1304" t="s">
        <v>62</v>
      </c>
      <c r="D1304">
        <v>56.66</v>
      </c>
      <c r="E1304">
        <v>185</v>
      </c>
      <c r="F1304">
        <v>125</v>
      </c>
      <c r="G1304">
        <v>175</v>
      </c>
      <c r="H1304">
        <v>485</v>
      </c>
      <c r="I1304">
        <v>2015</v>
      </c>
      <c r="J1304" t="s">
        <v>852</v>
      </c>
      <c r="K1304" t="s">
        <v>171</v>
      </c>
      <c r="L1304" s="8">
        <f t="shared" si="21"/>
        <v>0.67567567567567566</v>
      </c>
    </row>
    <row r="1305" spans="1:12">
      <c r="A1305" t="s">
        <v>292</v>
      </c>
      <c r="B1305">
        <v>1992</v>
      </c>
      <c r="C1305" t="s">
        <v>119</v>
      </c>
      <c r="D1305">
        <v>62.94</v>
      </c>
      <c r="E1305">
        <v>170</v>
      </c>
      <c r="F1305">
        <v>115</v>
      </c>
      <c r="G1305">
        <v>175</v>
      </c>
      <c r="H1305">
        <v>460</v>
      </c>
      <c r="I1305">
        <v>2015</v>
      </c>
      <c r="J1305" t="s">
        <v>852</v>
      </c>
      <c r="K1305" t="s">
        <v>171</v>
      </c>
      <c r="L1305" s="8">
        <f t="shared" si="21"/>
        <v>0.67647058823529416</v>
      </c>
    </row>
    <row r="1306" spans="1:12">
      <c r="A1306" t="s">
        <v>195</v>
      </c>
      <c r="B1306">
        <v>1985</v>
      </c>
      <c r="C1306" t="s">
        <v>49</v>
      </c>
      <c r="D1306">
        <v>69.25</v>
      </c>
      <c r="E1306">
        <v>255</v>
      </c>
      <c r="F1306">
        <v>172.5</v>
      </c>
      <c r="G1306">
        <v>215</v>
      </c>
      <c r="H1306">
        <v>642.5</v>
      </c>
      <c r="I1306">
        <v>2013</v>
      </c>
      <c r="J1306" t="s">
        <v>852</v>
      </c>
      <c r="K1306" t="s">
        <v>171</v>
      </c>
      <c r="L1306" s="8">
        <f t="shared" si="21"/>
        <v>0.67647058823529416</v>
      </c>
    </row>
    <row r="1307" spans="1:12">
      <c r="A1307" t="s">
        <v>883</v>
      </c>
      <c r="B1307">
        <v>1988</v>
      </c>
      <c r="C1307" t="s">
        <v>119</v>
      </c>
      <c r="D1307">
        <v>72</v>
      </c>
      <c r="E1307">
        <v>232.5</v>
      </c>
      <c r="F1307">
        <v>157.5</v>
      </c>
      <c r="G1307">
        <v>207.5</v>
      </c>
      <c r="H1307">
        <v>597.5</v>
      </c>
      <c r="I1307">
        <v>2012</v>
      </c>
      <c r="J1307" t="s">
        <v>852</v>
      </c>
      <c r="K1307" t="s">
        <v>171</v>
      </c>
      <c r="L1307" s="8">
        <f t="shared" si="21"/>
        <v>0.67741935483870963</v>
      </c>
    </row>
    <row r="1308" spans="1:12">
      <c r="A1308" t="s">
        <v>256</v>
      </c>
      <c r="B1308">
        <v>1985</v>
      </c>
      <c r="C1308" t="s">
        <v>39</v>
      </c>
      <c r="D1308">
        <v>71.349999999999994</v>
      </c>
      <c r="E1308">
        <v>210</v>
      </c>
      <c r="F1308">
        <v>142.5</v>
      </c>
      <c r="G1308">
        <v>190</v>
      </c>
      <c r="H1308">
        <v>542.5</v>
      </c>
      <c r="I1308">
        <v>2015</v>
      </c>
      <c r="J1308" t="s">
        <v>852</v>
      </c>
      <c r="K1308" t="s">
        <v>171</v>
      </c>
      <c r="L1308" s="8">
        <f t="shared" si="21"/>
        <v>0.6785714285714286</v>
      </c>
    </row>
    <row r="1309" spans="1:12">
      <c r="A1309" t="s">
        <v>976</v>
      </c>
      <c r="B1309">
        <v>1970</v>
      </c>
      <c r="C1309" t="s">
        <v>977</v>
      </c>
      <c r="D1309">
        <v>79.34</v>
      </c>
      <c r="E1309">
        <v>195</v>
      </c>
      <c r="F1309">
        <v>132.5</v>
      </c>
      <c r="G1309">
        <v>195</v>
      </c>
      <c r="H1309">
        <v>522.5</v>
      </c>
      <c r="I1309">
        <v>2014</v>
      </c>
      <c r="J1309" t="s">
        <v>852</v>
      </c>
      <c r="K1309" t="s">
        <v>171</v>
      </c>
      <c r="L1309" s="8">
        <f t="shared" si="21"/>
        <v>0.67948717948717952</v>
      </c>
    </row>
    <row r="1310" spans="1:12">
      <c r="A1310" t="s">
        <v>329</v>
      </c>
      <c r="B1310">
        <v>1986</v>
      </c>
      <c r="C1310" t="s">
        <v>318</v>
      </c>
      <c r="D1310">
        <v>71.77</v>
      </c>
      <c r="E1310">
        <v>195</v>
      </c>
      <c r="F1310">
        <v>132.5</v>
      </c>
      <c r="G1310">
        <v>212.5</v>
      </c>
      <c r="H1310">
        <v>540</v>
      </c>
      <c r="I1310">
        <v>2012</v>
      </c>
      <c r="J1310" t="s">
        <v>852</v>
      </c>
      <c r="K1310" t="s">
        <v>171</v>
      </c>
      <c r="L1310" s="8">
        <f t="shared" si="21"/>
        <v>0.67948717948717952</v>
      </c>
    </row>
    <row r="1311" spans="1:12">
      <c r="A1311" t="s">
        <v>317</v>
      </c>
      <c r="B1311">
        <v>1973</v>
      </c>
      <c r="C1311" t="s">
        <v>1026</v>
      </c>
      <c r="D1311">
        <v>83.6</v>
      </c>
      <c r="E1311">
        <v>257.5</v>
      </c>
      <c r="F1311">
        <v>175</v>
      </c>
      <c r="G1311">
        <v>210</v>
      </c>
      <c r="H1311">
        <v>642.5</v>
      </c>
      <c r="I1311">
        <v>2014</v>
      </c>
      <c r="J1311" t="s">
        <v>852</v>
      </c>
      <c r="K1311" t="s">
        <v>171</v>
      </c>
      <c r="L1311" s="8">
        <f t="shared" si="21"/>
        <v>0.67961165048543692</v>
      </c>
    </row>
    <row r="1312" spans="1:12">
      <c r="A1312" t="s">
        <v>345</v>
      </c>
      <c r="B1312">
        <v>1986</v>
      </c>
      <c r="C1312" t="s">
        <v>74</v>
      </c>
      <c r="D1312">
        <v>56.13</v>
      </c>
      <c r="E1312">
        <v>190</v>
      </c>
      <c r="F1312">
        <v>130</v>
      </c>
      <c r="G1312">
        <v>195</v>
      </c>
      <c r="H1312">
        <v>515</v>
      </c>
      <c r="I1312">
        <v>2013</v>
      </c>
      <c r="J1312" t="s">
        <v>852</v>
      </c>
      <c r="K1312" t="s">
        <v>171</v>
      </c>
      <c r="L1312" s="8">
        <f t="shared" si="21"/>
        <v>0.68421052631578949</v>
      </c>
    </row>
    <row r="1313" spans="1:12">
      <c r="A1313" t="s">
        <v>872</v>
      </c>
      <c r="B1313">
        <v>1982</v>
      </c>
      <c r="C1313" t="s">
        <v>862</v>
      </c>
      <c r="D1313">
        <v>62.2</v>
      </c>
      <c r="E1313">
        <v>182.5</v>
      </c>
      <c r="F1313">
        <v>125</v>
      </c>
      <c r="G1313">
        <v>182.5</v>
      </c>
      <c r="H1313">
        <v>490</v>
      </c>
      <c r="I1313">
        <v>2014</v>
      </c>
      <c r="J1313" t="s">
        <v>852</v>
      </c>
      <c r="K1313" t="s">
        <v>171</v>
      </c>
      <c r="L1313" s="8">
        <f t="shared" si="21"/>
        <v>0.68493150684931503</v>
      </c>
    </row>
    <row r="1314" spans="1:12">
      <c r="A1314" t="s">
        <v>316</v>
      </c>
      <c r="B1314">
        <v>1988</v>
      </c>
      <c r="C1314" t="s">
        <v>878</v>
      </c>
      <c r="D1314">
        <v>71.400000000000006</v>
      </c>
      <c r="E1314">
        <v>222.5</v>
      </c>
      <c r="F1314">
        <v>152.5</v>
      </c>
      <c r="G1314">
        <v>212.5</v>
      </c>
      <c r="H1314">
        <v>587.5</v>
      </c>
      <c r="I1314">
        <v>2014</v>
      </c>
      <c r="J1314" t="s">
        <v>852</v>
      </c>
      <c r="K1314" t="s">
        <v>171</v>
      </c>
      <c r="L1314" s="8">
        <f t="shared" si="21"/>
        <v>0.6853932584269663</v>
      </c>
    </row>
    <row r="1315" spans="1:12">
      <c r="A1315" t="s">
        <v>195</v>
      </c>
      <c r="B1315">
        <v>1985</v>
      </c>
      <c r="C1315" t="s">
        <v>867</v>
      </c>
      <c r="D1315">
        <v>69.459999999999994</v>
      </c>
      <c r="E1315">
        <v>247.5</v>
      </c>
      <c r="F1315">
        <v>170</v>
      </c>
      <c r="G1315">
        <v>207.5</v>
      </c>
      <c r="H1315">
        <v>625</v>
      </c>
      <c r="I1315">
        <v>2014</v>
      </c>
      <c r="J1315" t="s">
        <v>852</v>
      </c>
      <c r="K1315" t="s">
        <v>171</v>
      </c>
      <c r="L1315" s="8">
        <f t="shared" si="21"/>
        <v>0.68686868686868685</v>
      </c>
    </row>
    <row r="1316" spans="1:12">
      <c r="A1316" t="s">
        <v>291</v>
      </c>
      <c r="B1316">
        <v>1976</v>
      </c>
      <c r="C1316" t="s">
        <v>51</v>
      </c>
      <c r="D1316">
        <v>117.39</v>
      </c>
      <c r="E1316">
        <v>200</v>
      </c>
      <c r="F1316">
        <v>137.5</v>
      </c>
      <c r="G1316">
        <v>160</v>
      </c>
      <c r="H1316">
        <v>497.5</v>
      </c>
      <c r="I1316">
        <v>2015</v>
      </c>
      <c r="J1316" t="s">
        <v>852</v>
      </c>
      <c r="K1316" t="s">
        <v>171</v>
      </c>
      <c r="L1316" s="8">
        <f t="shared" si="21"/>
        <v>0.6875</v>
      </c>
    </row>
    <row r="1317" spans="1:12">
      <c r="A1317" t="s">
        <v>866</v>
      </c>
      <c r="B1317">
        <v>1986</v>
      </c>
      <c r="C1317" t="s">
        <v>336</v>
      </c>
      <c r="D1317">
        <v>78.97</v>
      </c>
      <c r="E1317">
        <v>160</v>
      </c>
      <c r="F1317">
        <v>110</v>
      </c>
      <c r="G1317">
        <v>155</v>
      </c>
      <c r="H1317">
        <v>425</v>
      </c>
      <c r="I1317">
        <v>2012</v>
      </c>
      <c r="J1317" t="s">
        <v>852</v>
      </c>
      <c r="K1317" t="s">
        <v>171</v>
      </c>
      <c r="L1317" s="8">
        <f t="shared" si="21"/>
        <v>0.6875</v>
      </c>
    </row>
    <row r="1318" spans="1:12">
      <c r="A1318" t="s">
        <v>317</v>
      </c>
      <c r="B1318">
        <v>1973</v>
      </c>
      <c r="C1318" t="s">
        <v>318</v>
      </c>
      <c r="D1318">
        <v>83.55</v>
      </c>
      <c r="E1318">
        <v>250</v>
      </c>
      <c r="F1318">
        <v>172.5</v>
      </c>
      <c r="G1318">
        <v>215</v>
      </c>
      <c r="H1318">
        <v>637.5</v>
      </c>
      <c r="I1318">
        <v>2012</v>
      </c>
      <c r="J1318" t="s">
        <v>852</v>
      </c>
      <c r="K1318" t="s">
        <v>171</v>
      </c>
      <c r="L1318" s="8">
        <f t="shared" si="21"/>
        <v>0.69</v>
      </c>
    </row>
    <row r="1319" spans="1:12">
      <c r="A1319" t="s">
        <v>313</v>
      </c>
      <c r="B1319">
        <v>1978</v>
      </c>
      <c r="C1319" t="s">
        <v>119</v>
      </c>
      <c r="D1319">
        <v>62.84</v>
      </c>
      <c r="E1319">
        <v>235.5</v>
      </c>
      <c r="F1319">
        <v>162.5</v>
      </c>
      <c r="G1319">
        <v>240</v>
      </c>
      <c r="H1319">
        <v>638</v>
      </c>
      <c r="I1319">
        <v>2013</v>
      </c>
      <c r="J1319" t="s">
        <v>852</v>
      </c>
      <c r="K1319" t="s">
        <v>171</v>
      </c>
      <c r="L1319" s="8">
        <f t="shared" si="21"/>
        <v>0.69002123142250527</v>
      </c>
    </row>
    <row r="1320" spans="1:12">
      <c r="A1320" t="s">
        <v>195</v>
      </c>
      <c r="B1320">
        <v>1985</v>
      </c>
      <c r="C1320" t="s">
        <v>49</v>
      </c>
      <c r="D1320">
        <v>70.319999999999993</v>
      </c>
      <c r="E1320">
        <v>242.5</v>
      </c>
      <c r="F1320">
        <v>167.5</v>
      </c>
      <c r="G1320">
        <v>210</v>
      </c>
      <c r="H1320">
        <v>620</v>
      </c>
      <c r="I1320">
        <v>2015</v>
      </c>
      <c r="J1320" t="s">
        <v>852</v>
      </c>
      <c r="K1320" t="s">
        <v>171</v>
      </c>
      <c r="L1320" s="8">
        <f t="shared" si="21"/>
        <v>0.69072164948453607</v>
      </c>
    </row>
    <row r="1321" spans="1:12">
      <c r="A1321" t="s">
        <v>866</v>
      </c>
      <c r="B1321">
        <v>1986</v>
      </c>
      <c r="C1321" t="s">
        <v>336</v>
      </c>
      <c r="D1321">
        <v>83.91</v>
      </c>
      <c r="E1321">
        <v>170</v>
      </c>
      <c r="F1321">
        <v>117.5</v>
      </c>
      <c r="G1321">
        <v>150</v>
      </c>
      <c r="H1321">
        <v>437.5</v>
      </c>
      <c r="I1321">
        <v>2013</v>
      </c>
      <c r="J1321" t="s">
        <v>852</v>
      </c>
      <c r="K1321" t="s">
        <v>171</v>
      </c>
      <c r="L1321" s="8">
        <f t="shared" si="21"/>
        <v>0.69117647058823528</v>
      </c>
    </row>
    <row r="1322" spans="1:12">
      <c r="A1322" t="s">
        <v>313</v>
      </c>
      <c r="B1322">
        <v>1978</v>
      </c>
      <c r="C1322" t="s">
        <v>119</v>
      </c>
      <c r="D1322">
        <v>63</v>
      </c>
      <c r="E1322">
        <v>235</v>
      </c>
      <c r="F1322">
        <v>162.5</v>
      </c>
      <c r="G1322">
        <v>220</v>
      </c>
      <c r="H1322">
        <v>617.5</v>
      </c>
      <c r="I1322">
        <v>2015</v>
      </c>
      <c r="J1322" t="s">
        <v>852</v>
      </c>
      <c r="K1322" t="s">
        <v>171</v>
      </c>
      <c r="L1322" s="8">
        <f t="shared" si="21"/>
        <v>0.69148936170212771</v>
      </c>
    </row>
    <row r="1323" spans="1:12">
      <c r="A1323" t="s">
        <v>860</v>
      </c>
      <c r="B1323">
        <v>1985</v>
      </c>
      <c r="C1323" t="s">
        <v>119</v>
      </c>
      <c r="D1323">
        <v>62.8</v>
      </c>
      <c r="E1323">
        <v>220</v>
      </c>
      <c r="F1323">
        <v>152.5</v>
      </c>
      <c r="G1323">
        <v>197.5</v>
      </c>
      <c r="H1323">
        <v>570</v>
      </c>
      <c r="I1323">
        <v>2012</v>
      </c>
      <c r="J1323" t="s">
        <v>852</v>
      </c>
      <c r="K1323" t="s">
        <v>171</v>
      </c>
      <c r="L1323" s="8">
        <f t="shared" si="21"/>
        <v>0.69318181818181823</v>
      </c>
    </row>
    <row r="1324" spans="1:12">
      <c r="A1324" t="s">
        <v>313</v>
      </c>
      <c r="B1324">
        <v>1978</v>
      </c>
      <c r="C1324" t="s">
        <v>901</v>
      </c>
      <c r="D1324">
        <v>62.62</v>
      </c>
      <c r="E1324">
        <v>240.5</v>
      </c>
      <c r="F1324">
        <v>168</v>
      </c>
      <c r="G1324">
        <v>230</v>
      </c>
      <c r="H1324">
        <v>638.5</v>
      </c>
      <c r="I1324">
        <v>2014</v>
      </c>
      <c r="J1324" t="s">
        <v>852</v>
      </c>
      <c r="K1324" t="s">
        <v>171</v>
      </c>
      <c r="L1324" s="8">
        <f t="shared" si="21"/>
        <v>0.69854469854469858</v>
      </c>
    </row>
    <row r="1325" spans="1:12">
      <c r="A1325" t="s">
        <v>220</v>
      </c>
      <c r="B1325">
        <v>1970</v>
      </c>
      <c r="C1325" t="s">
        <v>77</v>
      </c>
      <c r="D1325">
        <v>46.09</v>
      </c>
      <c r="E1325">
        <v>187.5</v>
      </c>
      <c r="F1325">
        <v>131.5</v>
      </c>
      <c r="G1325">
        <v>165</v>
      </c>
      <c r="H1325">
        <v>484</v>
      </c>
      <c r="I1325">
        <v>2015</v>
      </c>
      <c r="J1325" t="s">
        <v>852</v>
      </c>
      <c r="K1325" t="s">
        <v>171</v>
      </c>
      <c r="L1325" s="8">
        <f t="shared" si="21"/>
        <v>0.70133333333333336</v>
      </c>
    </row>
    <row r="1326" spans="1:12">
      <c r="A1326" t="s">
        <v>311</v>
      </c>
      <c r="B1326">
        <v>1983</v>
      </c>
      <c r="C1326" t="s">
        <v>51</v>
      </c>
      <c r="D1326">
        <v>83.82</v>
      </c>
      <c r="E1326">
        <v>185</v>
      </c>
      <c r="F1326">
        <v>130</v>
      </c>
      <c r="G1326">
        <v>192.5</v>
      </c>
      <c r="H1326">
        <v>507.5</v>
      </c>
      <c r="I1326">
        <v>2012</v>
      </c>
      <c r="J1326" t="s">
        <v>852</v>
      </c>
      <c r="K1326" t="s">
        <v>171</v>
      </c>
      <c r="L1326" s="8">
        <f t="shared" si="21"/>
        <v>0.70270270270270274</v>
      </c>
    </row>
    <row r="1327" spans="1:12">
      <c r="A1327" t="s">
        <v>301</v>
      </c>
      <c r="B1327">
        <v>1972</v>
      </c>
      <c r="C1327" t="s">
        <v>62</v>
      </c>
      <c r="D1327">
        <v>71.55</v>
      </c>
      <c r="E1327">
        <v>220</v>
      </c>
      <c r="F1327">
        <v>155</v>
      </c>
      <c r="G1327">
        <v>247.5</v>
      </c>
      <c r="H1327">
        <v>622.5</v>
      </c>
      <c r="I1327">
        <v>2015</v>
      </c>
      <c r="J1327" t="s">
        <v>852</v>
      </c>
      <c r="K1327" t="s">
        <v>171</v>
      </c>
      <c r="L1327" s="8">
        <f t="shared" si="21"/>
        <v>0.70454545454545459</v>
      </c>
    </row>
    <row r="1328" spans="1:12">
      <c r="A1328" t="s">
        <v>211</v>
      </c>
      <c r="B1328">
        <v>1988</v>
      </c>
      <c r="C1328" t="s">
        <v>903</v>
      </c>
      <c r="D1328">
        <v>62.28</v>
      </c>
      <c r="E1328">
        <v>212.5</v>
      </c>
      <c r="F1328">
        <v>150</v>
      </c>
      <c r="G1328">
        <v>192.5</v>
      </c>
      <c r="H1328">
        <v>555</v>
      </c>
      <c r="I1328">
        <v>2014</v>
      </c>
      <c r="J1328" t="s">
        <v>852</v>
      </c>
      <c r="K1328" t="s">
        <v>171</v>
      </c>
      <c r="L1328" s="8">
        <f t="shared" si="21"/>
        <v>0.70588235294117652</v>
      </c>
    </row>
    <row r="1329" spans="1:12">
      <c r="A1329" t="s">
        <v>317</v>
      </c>
      <c r="B1329">
        <v>1973</v>
      </c>
      <c r="C1329" t="s">
        <v>318</v>
      </c>
      <c r="D1329">
        <v>83.07</v>
      </c>
      <c r="E1329">
        <v>255</v>
      </c>
      <c r="F1329">
        <v>180</v>
      </c>
      <c r="G1329">
        <v>210</v>
      </c>
      <c r="H1329">
        <v>645</v>
      </c>
      <c r="I1329">
        <v>2013</v>
      </c>
      <c r="J1329" t="s">
        <v>852</v>
      </c>
      <c r="K1329" t="s">
        <v>171</v>
      </c>
      <c r="L1329" s="8">
        <f t="shared" si="21"/>
        <v>0.70588235294117652</v>
      </c>
    </row>
    <row r="1330" spans="1:12">
      <c r="A1330" t="s">
        <v>1034</v>
      </c>
      <c r="B1330">
        <v>1962</v>
      </c>
      <c r="C1330" t="s">
        <v>77</v>
      </c>
      <c r="D1330">
        <v>51.59</v>
      </c>
      <c r="E1330">
        <v>137.5</v>
      </c>
      <c r="F1330">
        <v>97.5</v>
      </c>
      <c r="G1330">
        <v>150</v>
      </c>
      <c r="H1330">
        <v>385</v>
      </c>
      <c r="I1330">
        <v>2013</v>
      </c>
      <c r="J1330" t="s">
        <v>852</v>
      </c>
      <c r="K1330" t="s">
        <v>171</v>
      </c>
      <c r="L1330" s="8">
        <f t="shared" si="21"/>
        <v>0.70909090909090911</v>
      </c>
    </row>
    <row r="1331" spans="1:12">
      <c r="A1331" t="s">
        <v>1023</v>
      </c>
      <c r="B1331">
        <v>1988</v>
      </c>
      <c r="C1331" t="s">
        <v>113</v>
      </c>
      <c r="D1331">
        <v>71.64</v>
      </c>
      <c r="E1331">
        <v>215</v>
      </c>
      <c r="F1331">
        <v>152.5</v>
      </c>
      <c r="G1331">
        <v>192.5</v>
      </c>
      <c r="H1331">
        <v>560</v>
      </c>
      <c r="I1331">
        <v>2013</v>
      </c>
      <c r="J1331" t="s">
        <v>852</v>
      </c>
      <c r="K1331" t="s">
        <v>171</v>
      </c>
      <c r="L1331" s="8">
        <f t="shared" si="21"/>
        <v>0.70930232558139539</v>
      </c>
    </row>
    <row r="1332" spans="1:12">
      <c r="A1332" t="s">
        <v>858</v>
      </c>
      <c r="B1332">
        <v>1993</v>
      </c>
      <c r="C1332" t="s">
        <v>859</v>
      </c>
      <c r="D1332">
        <v>62.94</v>
      </c>
      <c r="E1332">
        <v>190</v>
      </c>
      <c r="F1332">
        <v>135</v>
      </c>
      <c r="G1332">
        <v>182.5</v>
      </c>
      <c r="H1332">
        <v>507.5</v>
      </c>
      <c r="I1332">
        <v>2014</v>
      </c>
      <c r="J1332" t="s">
        <v>852</v>
      </c>
      <c r="K1332" t="s">
        <v>171</v>
      </c>
      <c r="L1332" s="8">
        <f t="shared" si="21"/>
        <v>0.71052631578947367</v>
      </c>
    </row>
    <row r="1333" spans="1:12">
      <c r="A1333" t="s">
        <v>991</v>
      </c>
      <c r="B1333">
        <v>1980</v>
      </c>
      <c r="C1333" t="s">
        <v>28</v>
      </c>
      <c r="D1333">
        <v>69.16</v>
      </c>
      <c r="E1333">
        <v>230</v>
      </c>
      <c r="F1333">
        <v>165</v>
      </c>
      <c r="G1333">
        <v>190</v>
      </c>
      <c r="H1333">
        <v>585</v>
      </c>
      <c r="I1333">
        <v>2012</v>
      </c>
      <c r="J1333" t="s">
        <v>852</v>
      </c>
      <c r="K1333" t="s">
        <v>171</v>
      </c>
      <c r="L1333" s="8">
        <f t="shared" si="21"/>
        <v>0.71739130434782605</v>
      </c>
    </row>
    <row r="1334" spans="1:12">
      <c r="A1334" t="s">
        <v>242</v>
      </c>
      <c r="B1334">
        <v>1961</v>
      </c>
      <c r="C1334" t="s">
        <v>243</v>
      </c>
      <c r="D1334">
        <v>61.25</v>
      </c>
      <c r="E1334">
        <v>107.5</v>
      </c>
      <c r="F1334">
        <v>77.5</v>
      </c>
      <c r="G1334">
        <v>120</v>
      </c>
      <c r="H1334">
        <v>305</v>
      </c>
      <c r="I1334">
        <v>2015</v>
      </c>
      <c r="J1334" t="s">
        <v>852</v>
      </c>
      <c r="K1334" t="s">
        <v>171</v>
      </c>
      <c r="L1334" s="8">
        <f t="shared" si="21"/>
        <v>0.72093023255813948</v>
      </c>
    </row>
    <row r="1335" spans="1:12">
      <c r="A1335" t="s">
        <v>329</v>
      </c>
      <c r="B1335">
        <v>1986</v>
      </c>
      <c r="C1335" t="s">
        <v>318</v>
      </c>
      <c r="D1335">
        <v>70.540000000000006</v>
      </c>
      <c r="E1335">
        <v>197.5</v>
      </c>
      <c r="F1335">
        <v>142.5</v>
      </c>
      <c r="G1335">
        <v>207.5</v>
      </c>
      <c r="H1335">
        <v>547.5</v>
      </c>
      <c r="I1335">
        <v>2013</v>
      </c>
      <c r="J1335" t="s">
        <v>852</v>
      </c>
      <c r="K1335" t="s">
        <v>171</v>
      </c>
      <c r="L1335" s="8">
        <f t="shared" si="21"/>
        <v>0.72151898734177211</v>
      </c>
    </row>
    <row r="1336" spans="1:12">
      <c r="A1336" t="s">
        <v>283</v>
      </c>
      <c r="B1336">
        <v>1971</v>
      </c>
      <c r="C1336" t="s">
        <v>119</v>
      </c>
      <c r="D1336">
        <v>105.77</v>
      </c>
      <c r="E1336">
        <v>252.5</v>
      </c>
      <c r="F1336">
        <v>182.5</v>
      </c>
      <c r="G1336">
        <v>212.5</v>
      </c>
      <c r="H1336">
        <v>647.5</v>
      </c>
      <c r="I1336">
        <v>2013</v>
      </c>
      <c r="J1336" t="s">
        <v>852</v>
      </c>
      <c r="K1336" t="s">
        <v>171</v>
      </c>
      <c r="L1336" s="8">
        <f t="shared" si="21"/>
        <v>0.72277227722772275</v>
      </c>
    </row>
    <row r="1337" spans="1:12">
      <c r="A1337" t="s">
        <v>190</v>
      </c>
      <c r="B1337">
        <v>1980</v>
      </c>
      <c r="C1337" t="s">
        <v>867</v>
      </c>
      <c r="D1337">
        <v>62.24</v>
      </c>
      <c r="E1337">
        <v>207.5</v>
      </c>
      <c r="F1337">
        <v>150</v>
      </c>
      <c r="G1337">
        <v>185</v>
      </c>
      <c r="H1337">
        <v>542.5</v>
      </c>
      <c r="I1337">
        <v>2014</v>
      </c>
      <c r="J1337" t="s">
        <v>852</v>
      </c>
      <c r="K1337" t="s">
        <v>171</v>
      </c>
      <c r="L1337" s="8">
        <f t="shared" si="21"/>
        <v>0.72289156626506024</v>
      </c>
    </row>
    <row r="1338" spans="1:12">
      <c r="A1338" t="s">
        <v>310</v>
      </c>
      <c r="B1338">
        <v>1965</v>
      </c>
      <c r="C1338" t="s">
        <v>109</v>
      </c>
      <c r="D1338">
        <v>46.68</v>
      </c>
      <c r="E1338">
        <v>145</v>
      </c>
      <c r="F1338">
        <v>105</v>
      </c>
      <c r="G1338">
        <v>145</v>
      </c>
      <c r="H1338">
        <v>395</v>
      </c>
      <c r="I1338">
        <v>2015</v>
      </c>
      <c r="J1338" t="s">
        <v>852</v>
      </c>
      <c r="K1338" t="s">
        <v>171</v>
      </c>
      <c r="L1338" s="8">
        <f t="shared" si="21"/>
        <v>0.72413793103448276</v>
      </c>
    </row>
    <row r="1339" spans="1:12">
      <c r="A1339" t="s">
        <v>190</v>
      </c>
      <c r="B1339">
        <v>1980</v>
      </c>
      <c r="C1339" t="s">
        <v>49</v>
      </c>
      <c r="D1339">
        <v>61.1</v>
      </c>
      <c r="E1339">
        <v>192.5</v>
      </c>
      <c r="F1339">
        <v>140</v>
      </c>
      <c r="G1339">
        <v>185</v>
      </c>
      <c r="H1339">
        <v>517.5</v>
      </c>
      <c r="I1339">
        <v>2015</v>
      </c>
      <c r="J1339" t="s">
        <v>852</v>
      </c>
      <c r="K1339" t="s">
        <v>171</v>
      </c>
      <c r="L1339" s="8">
        <f t="shared" si="21"/>
        <v>0.72727272727272729</v>
      </c>
    </row>
    <row r="1340" spans="1:12">
      <c r="A1340" t="s">
        <v>313</v>
      </c>
      <c r="B1340">
        <v>1978</v>
      </c>
      <c r="C1340" t="s">
        <v>119</v>
      </c>
      <c r="D1340">
        <v>62.87</v>
      </c>
      <c r="E1340">
        <v>227.5</v>
      </c>
      <c r="F1340">
        <v>165.5</v>
      </c>
      <c r="G1340">
        <v>240</v>
      </c>
      <c r="H1340">
        <v>633</v>
      </c>
      <c r="I1340">
        <v>2012</v>
      </c>
      <c r="J1340" t="s">
        <v>852</v>
      </c>
      <c r="K1340" t="s">
        <v>171</v>
      </c>
      <c r="L1340" s="8">
        <f t="shared" si="21"/>
        <v>0.72747252747252744</v>
      </c>
    </row>
    <row r="1341" spans="1:12">
      <c r="A1341" t="s">
        <v>925</v>
      </c>
      <c r="B1341">
        <v>1989</v>
      </c>
      <c r="C1341" t="s">
        <v>45</v>
      </c>
      <c r="D1341">
        <v>61.02</v>
      </c>
      <c r="E1341">
        <v>195</v>
      </c>
      <c r="F1341">
        <v>142.5</v>
      </c>
      <c r="G1341">
        <v>190</v>
      </c>
      <c r="H1341">
        <v>527.5</v>
      </c>
      <c r="I1341">
        <v>2013</v>
      </c>
      <c r="J1341" t="s">
        <v>852</v>
      </c>
      <c r="K1341" t="s">
        <v>171</v>
      </c>
      <c r="L1341" s="8">
        <f t="shared" si="21"/>
        <v>0.73076923076923073</v>
      </c>
    </row>
    <row r="1342" spans="1:12">
      <c r="A1342" t="s">
        <v>283</v>
      </c>
      <c r="B1342">
        <v>1971</v>
      </c>
      <c r="C1342" t="s">
        <v>119</v>
      </c>
      <c r="D1342">
        <v>106.72</v>
      </c>
      <c r="E1342">
        <v>242.5</v>
      </c>
      <c r="F1342">
        <v>177.5</v>
      </c>
      <c r="G1342">
        <v>217.5</v>
      </c>
      <c r="H1342">
        <v>637.5</v>
      </c>
      <c r="I1342">
        <v>2012</v>
      </c>
      <c r="J1342" t="s">
        <v>852</v>
      </c>
      <c r="K1342" t="s">
        <v>171</v>
      </c>
      <c r="L1342" s="8">
        <f t="shared" si="21"/>
        <v>0.73195876288659789</v>
      </c>
    </row>
    <row r="1343" spans="1:12">
      <c r="A1343" t="s">
        <v>989</v>
      </c>
      <c r="B1343">
        <v>1982</v>
      </c>
      <c r="C1343" t="s">
        <v>28</v>
      </c>
      <c r="D1343">
        <v>62.49</v>
      </c>
      <c r="E1343">
        <v>215</v>
      </c>
      <c r="F1343">
        <v>157.5</v>
      </c>
      <c r="G1343">
        <v>200</v>
      </c>
      <c r="H1343">
        <v>572.5</v>
      </c>
      <c r="I1343">
        <v>2012</v>
      </c>
      <c r="J1343" t="s">
        <v>852</v>
      </c>
      <c r="K1343" t="s">
        <v>171</v>
      </c>
      <c r="L1343" s="8">
        <f t="shared" si="21"/>
        <v>0.73255813953488369</v>
      </c>
    </row>
    <row r="1344" spans="1:12">
      <c r="A1344" t="s">
        <v>269</v>
      </c>
      <c r="B1344">
        <v>1986</v>
      </c>
      <c r="C1344" t="s">
        <v>28</v>
      </c>
      <c r="D1344">
        <v>66.12</v>
      </c>
      <c r="E1344">
        <v>230</v>
      </c>
      <c r="F1344">
        <v>170</v>
      </c>
      <c r="G1344">
        <v>200</v>
      </c>
      <c r="H1344">
        <v>600</v>
      </c>
      <c r="I1344">
        <v>2013</v>
      </c>
      <c r="J1344" t="s">
        <v>852</v>
      </c>
      <c r="K1344" t="s">
        <v>171</v>
      </c>
      <c r="L1344" s="8">
        <f t="shared" si="21"/>
        <v>0.73913043478260865</v>
      </c>
    </row>
    <row r="1345" spans="1:12">
      <c r="A1345" t="s">
        <v>329</v>
      </c>
      <c r="B1345">
        <v>1986</v>
      </c>
      <c r="C1345" t="s">
        <v>318</v>
      </c>
      <c r="D1345">
        <v>71.61</v>
      </c>
      <c r="E1345">
        <v>215</v>
      </c>
      <c r="F1345">
        <v>160</v>
      </c>
      <c r="G1345">
        <v>212.5</v>
      </c>
      <c r="H1345">
        <v>587.5</v>
      </c>
      <c r="I1345">
        <v>2015</v>
      </c>
      <c r="J1345" t="s">
        <v>852</v>
      </c>
      <c r="K1345" t="s">
        <v>171</v>
      </c>
      <c r="L1345" s="8">
        <f t="shared" si="21"/>
        <v>0.7441860465116279</v>
      </c>
    </row>
    <row r="1346" spans="1:12">
      <c r="A1346" t="s">
        <v>174</v>
      </c>
      <c r="B1346">
        <v>1988</v>
      </c>
      <c r="C1346" t="s">
        <v>137</v>
      </c>
      <c r="D1346">
        <v>56.58</v>
      </c>
      <c r="E1346">
        <v>160</v>
      </c>
      <c r="F1346">
        <v>120</v>
      </c>
      <c r="G1346">
        <v>135</v>
      </c>
      <c r="H1346">
        <v>415</v>
      </c>
      <c r="I1346">
        <v>2015</v>
      </c>
      <c r="J1346" t="s">
        <v>852</v>
      </c>
      <c r="K1346" t="s">
        <v>171</v>
      </c>
      <c r="L1346" s="8">
        <f t="shared" ref="L1346:L1373" si="22">IF(AND(F1346&lt;&gt;0,E1346&lt;&gt;0),F1346/E1346,"")</f>
        <v>0.75</v>
      </c>
    </row>
    <row r="1347" spans="1:12">
      <c r="A1347" t="s">
        <v>211</v>
      </c>
      <c r="B1347">
        <v>1988</v>
      </c>
      <c r="C1347" t="s">
        <v>28</v>
      </c>
      <c r="D1347">
        <v>62.53</v>
      </c>
      <c r="E1347">
        <v>227.5</v>
      </c>
      <c r="F1347">
        <v>171.5</v>
      </c>
      <c r="G1347">
        <v>185</v>
      </c>
      <c r="H1347">
        <v>584</v>
      </c>
      <c r="I1347">
        <v>2015</v>
      </c>
      <c r="J1347" t="s">
        <v>852</v>
      </c>
      <c r="K1347" t="s">
        <v>171</v>
      </c>
      <c r="L1347" s="8">
        <f t="shared" si="22"/>
        <v>0.75384615384615383</v>
      </c>
    </row>
    <row r="1348" spans="1:12">
      <c r="A1348" t="s">
        <v>184</v>
      </c>
      <c r="B1348">
        <v>1972</v>
      </c>
      <c r="C1348" t="s">
        <v>876</v>
      </c>
      <c r="D1348">
        <v>82.26</v>
      </c>
      <c r="E1348">
        <v>240</v>
      </c>
      <c r="F1348">
        <v>181</v>
      </c>
      <c r="G1348">
        <v>222.5</v>
      </c>
      <c r="H1348">
        <v>643.5</v>
      </c>
      <c r="I1348">
        <v>2014</v>
      </c>
      <c r="J1348" t="s">
        <v>852</v>
      </c>
      <c r="K1348" t="s">
        <v>171</v>
      </c>
      <c r="L1348" s="8">
        <f t="shared" si="22"/>
        <v>0.75416666666666665</v>
      </c>
    </row>
    <row r="1349" spans="1:12">
      <c r="A1349" t="s">
        <v>248</v>
      </c>
      <c r="B1349">
        <v>1967</v>
      </c>
      <c r="C1349" t="s">
        <v>77</v>
      </c>
      <c r="D1349">
        <v>62.72</v>
      </c>
      <c r="E1349">
        <v>207.5</v>
      </c>
      <c r="F1349">
        <v>157.5</v>
      </c>
      <c r="G1349">
        <v>192.5</v>
      </c>
      <c r="H1349">
        <v>557.5</v>
      </c>
      <c r="I1349">
        <v>2012</v>
      </c>
      <c r="J1349" t="s">
        <v>852</v>
      </c>
      <c r="K1349" t="s">
        <v>171</v>
      </c>
      <c r="L1349" s="8">
        <f t="shared" si="22"/>
        <v>0.75903614457831325</v>
      </c>
    </row>
    <row r="1350" spans="1:12">
      <c r="A1350" t="s">
        <v>1031</v>
      </c>
      <c r="B1350">
        <v>1988</v>
      </c>
      <c r="C1350" t="s">
        <v>289</v>
      </c>
      <c r="D1350">
        <v>108.23</v>
      </c>
      <c r="E1350">
        <v>230</v>
      </c>
      <c r="F1350">
        <v>175</v>
      </c>
      <c r="G1350">
        <v>175</v>
      </c>
      <c r="H1350">
        <v>580</v>
      </c>
      <c r="I1350">
        <v>2012</v>
      </c>
      <c r="J1350" t="s">
        <v>852</v>
      </c>
      <c r="K1350" t="s">
        <v>171</v>
      </c>
      <c r="L1350" s="8">
        <f t="shared" si="22"/>
        <v>0.76086956521739135</v>
      </c>
    </row>
    <row r="1351" spans="1:12">
      <c r="A1351" t="s">
        <v>898</v>
      </c>
      <c r="B1351">
        <v>1980</v>
      </c>
      <c r="C1351" t="s">
        <v>336</v>
      </c>
      <c r="D1351">
        <v>96.31</v>
      </c>
      <c r="E1351">
        <v>200</v>
      </c>
      <c r="F1351">
        <v>152.5</v>
      </c>
      <c r="G1351">
        <v>177.5</v>
      </c>
      <c r="H1351">
        <v>530</v>
      </c>
      <c r="I1351">
        <v>2013</v>
      </c>
      <c r="J1351" t="s">
        <v>852</v>
      </c>
      <c r="K1351" t="s">
        <v>171</v>
      </c>
      <c r="L1351" s="8">
        <f t="shared" si="22"/>
        <v>0.76249999999999996</v>
      </c>
    </row>
    <row r="1352" spans="1:12">
      <c r="A1352" t="s">
        <v>184</v>
      </c>
      <c r="B1352">
        <v>1972</v>
      </c>
      <c r="C1352" t="s">
        <v>62</v>
      </c>
      <c r="D1352">
        <v>81.94</v>
      </c>
      <c r="E1352">
        <v>232.5</v>
      </c>
      <c r="F1352">
        <v>177.5</v>
      </c>
      <c r="G1352">
        <v>212.5</v>
      </c>
      <c r="H1352">
        <v>622.5</v>
      </c>
      <c r="I1352">
        <v>2013</v>
      </c>
      <c r="J1352" t="s">
        <v>852</v>
      </c>
      <c r="K1352" t="s">
        <v>171</v>
      </c>
      <c r="L1352" s="8">
        <f t="shared" si="22"/>
        <v>0.76344086021505375</v>
      </c>
    </row>
    <row r="1353" spans="1:12">
      <c r="A1353" t="s">
        <v>989</v>
      </c>
      <c r="B1353">
        <v>1982</v>
      </c>
      <c r="C1353" t="s">
        <v>28</v>
      </c>
      <c r="D1353">
        <v>62.23</v>
      </c>
      <c r="E1353">
        <v>212.5</v>
      </c>
      <c r="F1353">
        <v>162.5</v>
      </c>
      <c r="G1353">
        <v>192.5</v>
      </c>
      <c r="H1353">
        <v>567.5</v>
      </c>
      <c r="I1353">
        <v>2013</v>
      </c>
      <c r="J1353" t="s">
        <v>852</v>
      </c>
      <c r="K1353" t="s">
        <v>171</v>
      </c>
      <c r="L1353" s="8">
        <f t="shared" si="22"/>
        <v>0.76470588235294112</v>
      </c>
    </row>
    <row r="1354" spans="1:12">
      <c r="A1354" t="s">
        <v>220</v>
      </c>
      <c r="B1354">
        <v>1970</v>
      </c>
      <c r="C1354" t="s">
        <v>911</v>
      </c>
      <c r="D1354">
        <v>46.42</v>
      </c>
      <c r="E1354">
        <v>170</v>
      </c>
      <c r="F1354">
        <v>130.5</v>
      </c>
      <c r="G1354">
        <v>167.5</v>
      </c>
      <c r="H1354">
        <v>468</v>
      </c>
      <c r="I1354">
        <v>2014</v>
      </c>
      <c r="J1354" t="s">
        <v>852</v>
      </c>
      <c r="K1354" t="s">
        <v>171</v>
      </c>
      <c r="L1354" s="8">
        <f t="shared" si="22"/>
        <v>0.76764705882352946</v>
      </c>
    </row>
    <row r="1355" spans="1:12">
      <c r="A1355" t="s">
        <v>307</v>
      </c>
      <c r="B1355">
        <v>1990</v>
      </c>
      <c r="C1355" t="s">
        <v>77</v>
      </c>
      <c r="D1355">
        <v>50.94</v>
      </c>
      <c r="E1355">
        <v>140</v>
      </c>
      <c r="F1355">
        <v>107.5</v>
      </c>
      <c r="G1355">
        <v>150</v>
      </c>
      <c r="H1355">
        <v>397.5</v>
      </c>
      <c r="I1355">
        <v>2015</v>
      </c>
      <c r="J1355" t="s">
        <v>852</v>
      </c>
      <c r="K1355" t="s">
        <v>171</v>
      </c>
      <c r="L1355" s="8">
        <f t="shared" si="22"/>
        <v>0.7678571428571429</v>
      </c>
    </row>
    <row r="1356" spans="1:12">
      <c r="A1356" t="s">
        <v>283</v>
      </c>
      <c r="B1356">
        <v>1971</v>
      </c>
      <c r="C1356" t="s">
        <v>119</v>
      </c>
      <c r="D1356">
        <v>107.88</v>
      </c>
      <c r="E1356">
        <v>250</v>
      </c>
      <c r="F1356">
        <v>192.5</v>
      </c>
      <c r="G1356">
        <v>212.5</v>
      </c>
      <c r="H1356">
        <v>655</v>
      </c>
      <c r="I1356">
        <v>2015</v>
      </c>
      <c r="J1356" t="s">
        <v>852</v>
      </c>
      <c r="K1356" t="s">
        <v>171</v>
      </c>
      <c r="L1356" s="8">
        <f t="shared" si="22"/>
        <v>0.77</v>
      </c>
    </row>
    <row r="1357" spans="1:12">
      <c r="A1357" t="s">
        <v>248</v>
      </c>
      <c r="B1357">
        <v>1967</v>
      </c>
      <c r="C1357" t="s">
        <v>77</v>
      </c>
      <c r="D1357">
        <v>62.72</v>
      </c>
      <c r="E1357">
        <v>205</v>
      </c>
      <c r="F1357">
        <v>160</v>
      </c>
      <c r="G1357">
        <v>185</v>
      </c>
      <c r="H1357">
        <v>550</v>
      </c>
      <c r="I1357">
        <v>2015</v>
      </c>
      <c r="J1357" t="s">
        <v>852</v>
      </c>
      <c r="K1357" t="s">
        <v>171</v>
      </c>
      <c r="L1357" s="8">
        <f t="shared" si="22"/>
        <v>0.78048780487804881</v>
      </c>
    </row>
    <row r="1358" spans="1:12">
      <c r="A1358" t="s">
        <v>184</v>
      </c>
      <c r="B1358">
        <v>1972</v>
      </c>
      <c r="C1358" t="s">
        <v>62</v>
      </c>
      <c r="D1358">
        <v>82.59</v>
      </c>
      <c r="E1358">
        <v>240</v>
      </c>
      <c r="F1358">
        <v>188</v>
      </c>
      <c r="G1358">
        <v>212.5</v>
      </c>
      <c r="H1358">
        <v>640.5</v>
      </c>
      <c r="I1358">
        <v>2015</v>
      </c>
      <c r="J1358" t="s">
        <v>852</v>
      </c>
      <c r="K1358" t="s">
        <v>171</v>
      </c>
      <c r="L1358" s="8">
        <f t="shared" si="22"/>
        <v>0.78333333333333333</v>
      </c>
    </row>
    <row r="1359" spans="1:12">
      <c r="A1359" t="s">
        <v>333</v>
      </c>
      <c r="B1359">
        <v>1978</v>
      </c>
      <c r="C1359" t="s">
        <v>318</v>
      </c>
      <c r="D1359">
        <v>112.31</v>
      </c>
      <c r="E1359">
        <v>227.5</v>
      </c>
      <c r="F1359">
        <v>180</v>
      </c>
      <c r="G1359">
        <v>190</v>
      </c>
      <c r="H1359">
        <v>597.5</v>
      </c>
      <c r="I1359">
        <v>2012</v>
      </c>
      <c r="J1359" t="s">
        <v>852</v>
      </c>
      <c r="K1359" t="s">
        <v>171</v>
      </c>
      <c r="L1359" s="8">
        <f t="shared" si="22"/>
        <v>0.79120879120879117</v>
      </c>
    </row>
    <row r="1360" spans="1:12">
      <c r="A1360" t="s">
        <v>283</v>
      </c>
      <c r="B1360">
        <v>1971</v>
      </c>
      <c r="C1360" t="s">
        <v>901</v>
      </c>
      <c r="D1360">
        <v>108.66</v>
      </c>
      <c r="E1360">
        <v>240</v>
      </c>
      <c r="F1360">
        <v>190</v>
      </c>
      <c r="G1360">
        <v>205</v>
      </c>
      <c r="H1360">
        <v>635</v>
      </c>
      <c r="I1360">
        <v>2014</v>
      </c>
      <c r="J1360" t="s">
        <v>852</v>
      </c>
      <c r="K1360" t="s">
        <v>171</v>
      </c>
      <c r="L1360" s="8">
        <f t="shared" si="22"/>
        <v>0.79166666666666663</v>
      </c>
    </row>
    <row r="1361" spans="1:12">
      <c r="A1361" t="s">
        <v>269</v>
      </c>
      <c r="B1361">
        <v>1986</v>
      </c>
      <c r="C1361" t="s">
        <v>28</v>
      </c>
      <c r="D1361">
        <v>66.86</v>
      </c>
      <c r="E1361">
        <v>220</v>
      </c>
      <c r="F1361">
        <v>175</v>
      </c>
      <c r="G1361">
        <v>222.5</v>
      </c>
      <c r="H1361">
        <v>617.5</v>
      </c>
      <c r="I1361">
        <v>2012</v>
      </c>
      <c r="J1361" t="s">
        <v>852</v>
      </c>
      <c r="K1361" t="s">
        <v>171</v>
      </c>
      <c r="L1361" s="8">
        <f t="shared" si="22"/>
        <v>0.79545454545454541</v>
      </c>
    </row>
    <row r="1362" spans="1:12">
      <c r="A1362" t="s">
        <v>965</v>
      </c>
      <c r="B1362">
        <v>1989</v>
      </c>
      <c r="C1362" t="s">
        <v>62</v>
      </c>
      <c r="D1362">
        <v>93.83</v>
      </c>
      <c r="E1362">
        <v>232.5</v>
      </c>
      <c r="F1362">
        <v>190</v>
      </c>
      <c r="G1362">
        <v>200</v>
      </c>
      <c r="H1362">
        <v>622.5</v>
      </c>
      <c r="I1362">
        <v>2013</v>
      </c>
      <c r="J1362" t="s">
        <v>852</v>
      </c>
      <c r="K1362" t="s">
        <v>171</v>
      </c>
      <c r="L1362" s="8">
        <f t="shared" si="22"/>
        <v>0.81720430107526887</v>
      </c>
    </row>
    <row r="1363" spans="1:12">
      <c r="A1363" t="s">
        <v>269</v>
      </c>
      <c r="B1363">
        <v>1986</v>
      </c>
      <c r="C1363" t="s">
        <v>28</v>
      </c>
      <c r="D1363">
        <v>66.680000000000007</v>
      </c>
      <c r="E1363">
        <v>215</v>
      </c>
      <c r="F1363">
        <v>177.5</v>
      </c>
      <c r="G1363">
        <v>200</v>
      </c>
      <c r="H1363">
        <v>592.5</v>
      </c>
      <c r="I1363">
        <v>2015</v>
      </c>
      <c r="J1363" t="s">
        <v>852</v>
      </c>
      <c r="K1363" t="s">
        <v>171</v>
      </c>
      <c r="L1363" s="8">
        <f t="shared" si="22"/>
        <v>0.82558139534883723</v>
      </c>
    </row>
    <row r="1364" spans="1:12">
      <c r="A1364" t="s">
        <v>333</v>
      </c>
      <c r="B1364">
        <v>1978</v>
      </c>
      <c r="C1364" t="s">
        <v>318</v>
      </c>
      <c r="D1364">
        <v>110.55</v>
      </c>
      <c r="E1364">
        <v>230</v>
      </c>
      <c r="F1364">
        <v>192.5</v>
      </c>
      <c r="G1364">
        <v>187.5</v>
      </c>
      <c r="H1364">
        <v>610</v>
      </c>
      <c r="I1364">
        <v>2015</v>
      </c>
      <c r="J1364" t="s">
        <v>852</v>
      </c>
      <c r="K1364" t="s">
        <v>171</v>
      </c>
      <c r="L1364" s="8">
        <f t="shared" si="22"/>
        <v>0.83695652173913049</v>
      </c>
    </row>
    <row r="1365" spans="1:12">
      <c r="A1365" t="s">
        <v>929</v>
      </c>
      <c r="B1365">
        <v>1983</v>
      </c>
      <c r="C1365" t="s">
        <v>45</v>
      </c>
      <c r="D1365">
        <v>127.05</v>
      </c>
      <c r="E1365">
        <v>260</v>
      </c>
      <c r="F1365">
        <v>218</v>
      </c>
      <c r="G1365">
        <v>190</v>
      </c>
      <c r="H1365">
        <v>668</v>
      </c>
      <c r="I1365">
        <v>2013</v>
      </c>
      <c r="J1365" t="s">
        <v>852</v>
      </c>
      <c r="K1365" t="s">
        <v>171</v>
      </c>
      <c r="L1365" s="8">
        <f t="shared" si="22"/>
        <v>0.83846153846153848</v>
      </c>
    </row>
    <row r="1366" spans="1:12">
      <c r="A1366" t="s">
        <v>965</v>
      </c>
      <c r="B1366">
        <v>1989</v>
      </c>
      <c r="C1366" t="s">
        <v>876</v>
      </c>
      <c r="D1366">
        <v>100.16</v>
      </c>
      <c r="E1366">
        <v>240</v>
      </c>
      <c r="F1366">
        <v>205</v>
      </c>
      <c r="G1366">
        <v>202.5</v>
      </c>
      <c r="H1366">
        <v>647.5</v>
      </c>
      <c r="I1366">
        <v>2014</v>
      </c>
      <c r="J1366" t="s">
        <v>852</v>
      </c>
      <c r="K1366" t="s">
        <v>171</v>
      </c>
      <c r="L1366" s="8">
        <f t="shared" si="22"/>
        <v>0.85416666666666663</v>
      </c>
    </row>
    <row r="1367" spans="1:12">
      <c r="A1367" t="s">
        <v>929</v>
      </c>
      <c r="B1367">
        <v>1983</v>
      </c>
      <c r="C1367" t="s">
        <v>862</v>
      </c>
      <c r="D1367">
        <v>128.94</v>
      </c>
      <c r="E1367">
        <v>265</v>
      </c>
      <c r="F1367">
        <v>227</v>
      </c>
      <c r="G1367">
        <v>202.5</v>
      </c>
      <c r="H1367">
        <v>694.5</v>
      </c>
      <c r="I1367">
        <v>2014</v>
      </c>
      <c r="J1367" t="s">
        <v>852</v>
      </c>
      <c r="K1367" t="s">
        <v>171</v>
      </c>
      <c r="L1367" s="8">
        <f t="shared" si="22"/>
        <v>0.85660377358490569</v>
      </c>
    </row>
    <row r="1368" spans="1:12">
      <c r="A1368" t="s">
        <v>305</v>
      </c>
      <c r="B1368">
        <v>1988</v>
      </c>
      <c r="C1368" t="s">
        <v>125</v>
      </c>
      <c r="D1368">
        <v>71.16</v>
      </c>
      <c r="E1368">
        <v>162.5</v>
      </c>
      <c r="F1368">
        <v>142.5</v>
      </c>
      <c r="G1368">
        <v>152.5</v>
      </c>
      <c r="H1368">
        <v>457.5</v>
      </c>
      <c r="I1368">
        <v>2015</v>
      </c>
      <c r="J1368" t="s">
        <v>852</v>
      </c>
      <c r="K1368" t="s">
        <v>171</v>
      </c>
      <c r="L1368" s="8">
        <f t="shared" si="22"/>
        <v>0.87692307692307692</v>
      </c>
    </row>
    <row r="1369" spans="1:12">
      <c r="A1369" t="s">
        <v>1013</v>
      </c>
      <c r="B1369">
        <v>1993</v>
      </c>
      <c r="C1369" t="s">
        <v>359</v>
      </c>
      <c r="D1369">
        <v>50.98</v>
      </c>
      <c r="E1369">
        <v>100</v>
      </c>
      <c r="F1369">
        <v>92.5</v>
      </c>
      <c r="G1369">
        <v>120</v>
      </c>
      <c r="H1369">
        <v>312.5</v>
      </c>
      <c r="I1369">
        <v>2013</v>
      </c>
      <c r="J1369" t="s">
        <v>852</v>
      </c>
      <c r="K1369" t="s">
        <v>171</v>
      </c>
      <c r="L1369" s="8">
        <f t="shared" si="22"/>
        <v>0.92500000000000004</v>
      </c>
    </row>
    <row r="1370" spans="1:12">
      <c r="A1370" t="s">
        <v>241</v>
      </c>
      <c r="B1370">
        <v>1983</v>
      </c>
      <c r="C1370" t="s">
        <v>74</v>
      </c>
      <c r="D1370">
        <v>83.75</v>
      </c>
      <c r="E1370">
        <v>175</v>
      </c>
      <c r="F1370">
        <v>170</v>
      </c>
      <c r="G1370">
        <v>130</v>
      </c>
      <c r="H1370">
        <v>475</v>
      </c>
      <c r="I1370">
        <v>2012</v>
      </c>
      <c r="J1370" t="s">
        <v>852</v>
      </c>
      <c r="K1370" t="s">
        <v>171</v>
      </c>
      <c r="L1370" s="8">
        <f t="shared" si="22"/>
        <v>0.97142857142857142</v>
      </c>
    </row>
    <row r="1371" spans="1:12">
      <c r="A1371" t="s">
        <v>241</v>
      </c>
      <c r="B1371">
        <v>1983</v>
      </c>
      <c r="C1371" t="s">
        <v>74</v>
      </c>
      <c r="D1371">
        <v>83.36</v>
      </c>
      <c r="E1371">
        <v>175</v>
      </c>
      <c r="F1371">
        <v>172.5</v>
      </c>
      <c r="G1371">
        <v>135</v>
      </c>
      <c r="H1371">
        <v>482.5</v>
      </c>
      <c r="I1371">
        <v>2013</v>
      </c>
      <c r="J1371" t="s">
        <v>852</v>
      </c>
      <c r="K1371" t="s">
        <v>171</v>
      </c>
      <c r="L1371" s="8">
        <f t="shared" si="22"/>
        <v>0.98571428571428577</v>
      </c>
    </row>
    <row r="1372" spans="1:12">
      <c r="A1372" t="s">
        <v>241</v>
      </c>
      <c r="B1372">
        <v>1983</v>
      </c>
      <c r="C1372" t="s">
        <v>74</v>
      </c>
      <c r="D1372">
        <v>83.34</v>
      </c>
      <c r="E1372">
        <v>170</v>
      </c>
      <c r="F1372">
        <v>172.5</v>
      </c>
      <c r="G1372">
        <v>140</v>
      </c>
      <c r="H1372">
        <v>482.5</v>
      </c>
      <c r="I1372">
        <v>2015</v>
      </c>
      <c r="J1372" t="s">
        <v>852</v>
      </c>
      <c r="K1372" t="s">
        <v>171</v>
      </c>
      <c r="L1372" s="8">
        <f t="shared" si="22"/>
        <v>1.0147058823529411</v>
      </c>
    </row>
    <row r="1373" spans="1:12">
      <c r="A1373" t="s">
        <v>241</v>
      </c>
      <c r="B1373">
        <v>1983</v>
      </c>
      <c r="C1373" t="s">
        <v>888</v>
      </c>
      <c r="D1373">
        <v>83.5</v>
      </c>
      <c r="E1373">
        <v>175</v>
      </c>
      <c r="F1373">
        <v>181.5</v>
      </c>
      <c r="G1373">
        <v>150</v>
      </c>
      <c r="H1373">
        <v>506.5</v>
      </c>
      <c r="I1373">
        <v>2014</v>
      </c>
      <c r="J1373" t="s">
        <v>852</v>
      </c>
      <c r="K1373" t="s">
        <v>171</v>
      </c>
      <c r="L1373" s="8">
        <f t="shared" si="22"/>
        <v>1.0371428571428571</v>
      </c>
    </row>
    <row r="1375" spans="1:12">
      <c r="A1375" t="s">
        <v>38</v>
      </c>
      <c r="B1375">
        <v>1974</v>
      </c>
      <c r="C1375" t="s">
        <v>39</v>
      </c>
      <c r="D1375">
        <v>90.3</v>
      </c>
      <c r="E1375">
        <v>240</v>
      </c>
      <c r="F1375">
        <v>0</v>
      </c>
      <c r="G1375">
        <v>245</v>
      </c>
      <c r="H1375">
        <v>0</v>
      </c>
      <c r="I1375">
        <v>2012</v>
      </c>
      <c r="J1375" t="s">
        <v>29</v>
      </c>
      <c r="K1375" t="s">
        <v>30</v>
      </c>
      <c r="L1375" s="8" t="str">
        <f t="shared" ref="L1375:L1406" si="23">IF(AND(F1375&lt;&gt;0,E1375&lt;&gt;0),F1375/E1375,"")</f>
        <v/>
      </c>
    </row>
    <row r="1376" spans="1:12">
      <c r="A1376" t="s">
        <v>156</v>
      </c>
      <c r="B1376">
        <v>1986</v>
      </c>
      <c r="C1376" t="s">
        <v>32</v>
      </c>
      <c r="D1376">
        <v>115.35</v>
      </c>
      <c r="E1376">
        <v>0</v>
      </c>
      <c r="F1376">
        <v>180</v>
      </c>
      <c r="G1376">
        <v>252.5</v>
      </c>
      <c r="H1376">
        <v>0</v>
      </c>
      <c r="I1376">
        <v>2012</v>
      </c>
      <c r="J1376" t="s">
        <v>29</v>
      </c>
      <c r="K1376" t="s">
        <v>30</v>
      </c>
      <c r="L1376" s="8" t="str">
        <f t="shared" si="23"/>
        <v/>
      </c>
    </row>
    <row r="1377" spans="1:12">
      <c r="A1377" t="s">
        <v>162</v>
      </c>
      <c r="B1377">
        <v>1975</v>
      </c>
      <c r="C1377" t="s">
        <v>163</v>
      </c>
      <c r="D1377">
        <v>104.9</v>
      </c>
      <c r="E1377">
        <v>0</v>
      </c>
      <c r="F1377">
        <v>175</v>
      </c>
      <c r="G1377">
        <v>280</v>
      </c>
      <c r="H1377">
        <v>0</v>
      </c>
      <c r="I1377">
        <v>2012</v>
      </c>
      <c r="J1377" t="s">
        <v>29</v>
      </c>
      <c r="K1377" t="s">
        <v>30</v>
      </c>
      <c r="L1377" s="8" t="str">
        <f t="shared" si="23"/>
        <v/>
      </c>
    </row>
    <row r="1378" spans="1:12">
      <c r="A1378" t="s">
        <v>36</v>
      </c>
      <c r="B1378">
        <v>1967</v>
      </c>
      <c r="C1378" t="s">
        <v>35</v>
      </c>
      <c r="D1378">
        <v>73.08</v>
      </c>
      <c r="E1378">
        <v>0</v>
      </c>
      <c r="F1378">
        <v>0</v>
      </c>
      <c r="G1378">
        <v>0</v>
      </c>
      <c r="H1378">
        <v>0</v>
      </c>
      <c r="I1378">
        <v>2015</v>
      </c>
      <c r="J1378" t="s">
        <v>29</v>
      </c>
      <c r="K1378" t="s">
        <v>30</v>
      </c>
      <c r="L1378" s="8" t="str">
        <f t="shared" si="23"/>
        <v/>
      </c>
    </row>
    <row r="1379" spans="1:12">
      <c r="A1379" t="s">
        <v>444</v>
      </c>
      <c r="B1379">
        <v>1984</v>
      </c>
      <c r="C1379" t="s">
        <v>445</v>
      </c>
      <c r="D1379">
        <v>119.26</v>
      </c>
      <c r="E1379">
        <v>280</v>
      </c>
      <c r="F1379">
        <v>0</v>
      </c>
      <c r="G1379">
        <v>0</v>
      </c>
      <c r="H1379">
        <v>0</v>
      </c>
      <c r="I1379">
        <v>2015</v>
      </c>
      <c r="J1379" t="s">
        <v>29</v>
      </c>
      <c r="K1379" t="s">
        <v>30</v>
      </c>
      <c r="L1379" s="8" t="str">
        <f t="shared" si="23"/>
        <v/>
      </c>
    </row>
    <row r="1380" spans="1:12">
      <c r="A1380" t="s">
        <v>521</v>
      </c>
      <c r="B1380">
        <v>1984</v>
      </c>
      <c r="C1380" t="s">
        <v>80</v>
      </c>
      <c r="D1380">
        <v>81.45</v>
      </c>
      <c r="E1380">
        <v>242.5</v>
      </c>
      <c r="F1380">
        <v>0</v>
      </c>
      <c r="G1380">
        <v>0</v>
      </c>
      <c r="H1380">
        <v>0</v>
      </c>
      <c r="I1380">
        <v>2014</v>
      </c>
      <c r="J1380" t="s">
        <v>29</v>
      </c>
      <c r="K1380" t="s">
        <v>30</v>
      </c>
      <c r="L1380" s="8" t="str">
        <f t="shared" si="23"/>
        <v/>
      </c>
    </row>
    <row r="1381" spans="1:12">
      <c r="A1381" t="s">
        <v>82</v>
      </c>
      <c r="B1381">
        <v>1984</v>
      </c>
      <c r="C1381" t="s">
        <v>83</v>
      </c>
      <c r="D1381">
        <v>104.45</v>
      </c>
      <c r="E1381">
        <v>282.5</v>
      </c>
      <c r="F1381">
        <v>0</v>
      </c>
      <c r="G1381">
        <v>0</v>
      </c>
      <c r="H1381">
        <v>0</v>
      </c>
      <c r="I1381">
        <v>2013</v>
      </c>
      <c r="J1381" t="s">
        <v>29</v>
      </c>
      <c r="K1381" t="s">
        <v>30</v>
      </c>
      <c r="L1381" s="8" t="str">
        <f t="shared" si="23"/>
        <v/>
      </c>
    </row>
    <row r="1382" spans="1:12">
      <c r="A1382" t="s">
        <v>564</v>
      </c>
      <c r="B1382">
        <v>1988</v>
      </c>
      <c r="C1382" t="s">
        <v>42</v>
      </c>
      <c r="D1382">
        <v>91.89</v>
      </c>
      <c r="E1382">
        <v>0</v>
      </c>
      <c r="F1382">
        <v>155</v>
      </c>
      <c r="G1382">
        <v>290</v>
      </c>
      <c r="H1382">
        <v>0</v>
      </c>
      <c r="I1382">
        <v>2015</v>
      </c>
      <c r="J1382" t="s">
        <v>29</v>
      </c>
      <c r="K1382" t="s">
        <v>30</v>
      </c>
      <c r="L1382" s="8" t="str">
        <f t="shared" si="23"/>
        <v/>
      </c>
    </row>
    <row r="1383" spans="1:12">
      <c r="A1383" t="s">
        <v>105</v>
      </c>
      <c r="B1383">
        <v>1982</v>
      </c>
      <c r="C1383" t="s">
        <v>28</v>
      </c>
      <c r="D1383">
        <v>82.04</v>
      </c>
      <c r="E1383">
        <v>0</v>
      </c>
      <c r="F1383">
        <v>177.5</v>
      </c>
      <c r="G1383">
        <v>302.5</v>
      </c>
      <c r="H1383">
        <v>0</v>
      </c>
      <c r="I1383">
        <v>2015</v>
      </c>
      <c r="J1383" t="s">
        <v>29</v>
      </c>
      <c r="K1383" t="s">
        <v>30</v>
      </c>
      <c r="L1383" s="8" t="str">
        <f t="shared" si="23"/>
        <v/>
      </c>
    </row>
    <row r="1384" spans="1:12">
      <c r="A1384" t="s">
        <v>107</v>
      </c>
      <c r="B1384">
        <v>1982</v>
      </c>
      <c r="C1384" t="s">
        <v>42</v>
      </c>
      <c r="D1384">
        <v>58.85</v>
      </c>
      <c r="E1384">
        <v>220</v>
      </c>
      <c r="F1384">
        <v>0</v>
      </c>
      <c r="G1384">
        <v>225</v>
      </c>
      <c r="H1384">
        <v>0</v>
      </c>
      <c r="I1384">
        <v>2015</v>
      </c>
      <c r="J1384" t="s">
        <v>29</v>
      </c>
      <c r="K1384" t="s">
        <v>30</v>
      </c>
      <c r="L1384" s="8" t="str">
        <f t="shared" si="23"/>
        <v/>
      </c>
    </row>
    <row r="1385" spans="1:12">
      <c r="A1385" t="s">
        <v>693</v>
      </c>
      <c r="B1385">
        <v>1970</v>
      </c>
      <c r="C1385" t="s">
        <v>56</v>
      </c>
      <c r="D1385">
        <v>90.85</v>
      </c>
      <c r="E1385">
        <v>220</v>
      </c>
      <c r="F1385">
        <v>0</v>
      </c>
      <c r="G1385">
        <v>230</v>
      </c>
      <c r="H1385">
        <v>0</v>
      </c>
      <c r="I1385">
        <v>2013</v>
      </c>
      <c r="J1385" t="s">
        <v>29</v>
      </c>
      <c r="K1385" t="s">
        <v>30</v>
      </c>
      <c r="L1385" s="8" t="str">
        <f t="shared" si="23"/>
        <v/>
      </c>
    </row>
    <row r="1386" spans="1:12">
      <c r="A1386" t="s">
        <v>882</v>
      </c>
      <c r="B1386">
        <v>1986</v>
      </c>
      <c r="C1386" t="s">
        <v>39</v>
      </c>
      <c r="D1386">
        <v>69.8</v>
      </c>
      <c r="E1386">
        <v>0</v>
      </c>
      <c r="F1386">
        <v>85</v>
      </c>
      <c r="G1386">
        <v>185</v>
      </c>
      <c r="H1386">
        <v>0</v>
      </c>
      <c r="I1386">
        <v>2012</v>
      </c>
      <c r="J1386" t="s">
        <v>852</v>
      </c>
      <c r="K1386" t="s">
        <v>30</v>
      </c>
      <c r="L1386" s="8" t="str">
        <f t="shared" si="23"/>
        <v/>
      </c>
    </row>
    <row r="1387" spans="1:12">
      <c r="A1387" t="s">
        <v>1042</v>
      </c>
      <c r="B1387">
        <v>1977</v>
      </c>
      <c r="C1387" t="s">
        <v>194</v>
      </c>
      <c r="D1387">
        <v>61.35</v>
      </c>
      <c r="E1387">
        <v>0</v>
      </c>
      <c r="F1387">
        <v>62.5</v>
      </c>
      <c r="G1387">
        <v>135</v>
      </c>
      <c r="H1387">
        <v>0</v>
      </c>
      <c r="I1387">
        <v>2014</v>
      </c>
      <c r="J1387" t="s">
        <v>852</v>
      </c>
      <c r="K1387" t="s">
        <v>30</v>
      </c>
      <c r="L1387" s="8" t="str">
        <f t="shared" si="23"/>
        <v/>
      </c>
    </row>
    <row r="1388" spans="1:12">
      <c r="A1388" t="s">
        <v>348</v>
      </c>
      <c r="B1388">
        <v>1968</v>
      </c>
      <c r="C1388" t="s">
        <v>349</v>
      </c>
      <c r="D1388">
        <v>92.41</v>
      </c>
      <c r="E1388">
        <v>0</v>
      </c>
      <c r="F1388">
        <v>0</v>
      </c>
      <c r="G1388">
        <v>0</v>
      </c>
      <c r="H1388">
        <v>0</v>
      </c>
      <c r="I1388">
        <v>2013</v>
      </c>
      <c r="J1388" t="s">
        <v>29</v>
      </c>
      <c r="K1388" t="s">
        <v>171</v>
      </c>
      <c r="L1388" s="8" t="str">
        <f t="shared" si="23"/>
        <v/>
      </c>
    </row>
    <row r="1389" spans="1:12">
      <c r="A1389" t="s">
        <v>350</v>
      </c>
      <c r="B1389">
        <v>1972</v>
      </c>
      <c r="C1389" t="s">
        <v>349</v>
      </c>
      <c r="D1389">
        <v>99.85</v>
      </c>
      <c r="E1389">
        <v>0</v>
      </c>
      <c r="F1389">
        <v>0</v>
      </c>
      <c r="G1389">
        <v>0</v>
      </c>
      <c r="H1389">
        <v>0</v>
      </c>
      <c r="I1389">
        <v>2013</v>
      </c>
      <c r="J1389" t="s">
        <v>29</v>
      </c>
      <c r="K1389" t="s">
        <v>171</v>
      </c>
      <c r="L1389" s="8" t="str">
        <f t="shared" si="23"/>
        <v/>
      </c>
    </row>
    <row r="1390" spans="1:12">
      <c r="A1390" t="s">
        <v>368</v>
      </c>
      <c r="B1390">
        <v>1983</v>
      </c>
      <c r="C1390" t="s">
        <v>45</v>
      </c>
      <c r="D1390">
        <v>156.52000000000001</v>
      </c>
      <c r="E1390">
        <v>407.5</v>
      </c>
      <c r="F1390">
        <v>0</v>
      </c>
      <c r="G1390">
        <v>360</v>
      </c>
      <c r="H1390">
        <v>0</v>
      </c>
      <c r="I1390">
        <v>2012</v>
      </c>
      <c r="J1390" t="s">
        <v>29</v>
      </c>
      <c r="K1390" t="s">
        <v>171</v>
      </c>
      <c r="L1390" s="8" t="str">
        <f t="shared" si="23"/>
        <v/>
      </c>
    </row>
    <row r="1391" spans="1:12">
      <c r="A1391" t="s">
        <v>368</v>
      </c>
      <c r="B1391">
        <v>1983</v>
      </c>
      <c r="C1391" t="s">
        <v>45</v>
      </c>
      <c r="D1391">
        <v>165.86</v>
      </c>
      <c r="E1391">
        <v>415</v>
      </c>
      <c r="F1391">
        <v>0</v>
      </c>
      <c r="G1391">
        <v>350</v>
      </c>
      <c r="H1391">
        <v>0</v>
      </c>
      <c r="I1391">
        <v>2014</v>
      </c>
      <c r="J1391" t="s">
        <v>29</v>
      </c>
      <c r="K1391" t="s">
        <v>171</v>
      </c>
      <c r="L1391" s="8" t="str">
        <f t="shared" si="23"/>
        <v/>
      </c>
    </row>
    <row r="1392" spans="1:12">
      <c r="A1392" t="s">
        <v>379</v>
      </c>
      <c r="B1392">
        <v>1981</v>
      </c>
      <c r="C1392" t="s">
        <v>380</v>
      </c>
      <c r="D1392">
        <v>117.48</v>
      </c>
      <c r="E1392">
        <v>330</v>
      </c>
      <c r="F1392">
        <v>0</v>
      </c>
      <c r="G1392">
        <v>0</v>
      </c>
      <c r="H1392">
        <v>0</v>
      </c>
      <c r="I1392">
        <v>2014</v>
      </c>
      <c r="J1392" t="s">
        <v>29</v>
      </c>
      <c r="K1392" t="s">
        <v>171</v>
      </c>
      <c r="L1392" s="8" t="str">
        <f t="shared" si="23"/>
        <v/>
      </c>
    </row>
    <row r="1393" spans="1:12">
      <c r="A1393" t="s">
        <v>382</v>
      </c>
      <c r="B1393">
        <v>1981</v>
      </c>
      <c r="C1393" t="s">
        <v>380</v>
      </c>
      <c r="D1393">
        <v>114.54</v>
      </c>
      <c r="E1393">
        <v>0</v>
      </c>
      <c r="F1393">
        <v>215</v>
      </c>
      <c r="G1393">
        <v>250</v>
      </c>
      <c r="H1393">
        <v>0</v>
      </c>
      <c r="I1393">
        <v>2015</v>
      </c>
      <c r="J1393" t="s">
        <v>29</v>
      </c>
      <c r="K1393" t="s">
        <v>171</v>
      </c>
      <c r="L1393" s="8" t="str">
        <f t="shared" si="23"/>
        <v/>
      </c>
    </row>
    <row r="1394" spans="1:12">
      <c r="A1394" t="s">
        <v>384</v>
      </c>
      <c r="B1394">
        <v>1984</v>
      </c>
      <c r="C1394" t="s">
        <v>137</v>
      </c>
      <c r="D1394">
        <v>104.1</v>
      </c>
      <c r="E1394">
        <v>360</v>
      </c>
      <c r="F1394">
        <v>0</v>
      </c>
      <c r="G1394">
        <v>0</v>
      </c>
      <c r="H1394">
        <v>0</v>
      </c>
      <c r="I1394">
        <v>2012</v>
      </c>
      <c r="J1394" t="s">
        <v>29</v>
      </c>
      <c r="K1394" t="s">
        <v>171</v>
      </c>
      <c r="L1394" s="8" t="str">
        <f t="shared" si="23"/>
        <v/>
      </c>
    </row>
    <row r="1395" spans="1:12">
      <c r="A1395" t="s">
        <v>420</v>
      </c>
      <c r="B1395">
        <v>1988</v>
      </c>
      <c r="C1395" t="s">
        <v>62</v>
      </c>
      <c r="D1395">
        <v>167.58</v>
      </c>
      <c r="E1395">
        <v>435</v>
      </c>
      <c r="F1395">
        <v>0</v>
      </c>
      <c r="G1395">
        <v>350</v>
      </c>
      <c r="H1395">
        <v>0</v>
      </c>
      <c r="I1395">
        <v>2014</v>
      </c>
      <c r="J1395" t="s">
        <v>29</v>
      </c>
      <c r="K1395" t="s">
        <v>171</v>
      </c>
      <c r="L1395" s="8" t="str">
        <f t="shared" si="23"/>
        <v/>
      </c>
    </row>
    <row r="1396" spans="1:12">
      <c r="A1396" t="s">
        <v>431</v>
      </c>
      <c r="B1396">
        <v>1984</v>
      </c>
      <c r="C1396" t="s">
        <v>51</v>
      </c>
      <c r="D1396">
        <v>118.92</v>
      </c>
      <c r="E1396">
        <v>365</v>
      </c>
      <c r="F1396">
        <v>0</v>
      </c>
      <c r="G1396">
        <v>345</v>
      </c>
      <c r="H1396">
        <v>0</v>
      </c>
      <c r="I1396">
        <v>2012</v>
      </c>
      <c r="J1396" t="s">
        <v>29</v>
      </c>
      <c r="K1396" t="s">
        <v>171</v>
      </c>
      <c r="L1396" s="8" t="str">
        <f t="shared" si="23"/>
        <v/>
      </c>
    </row>
    <row r="1397" spans="1:12">
      <c r="A1397" t="s">
        <v>463</v>
      </c>
      <c r="B1397">
        <v>1982</v>
      </c>
      <c r="C1397" t="s">
        <v>464</v>
      </c>
      <c r="D1397">
        <v>82.98</v>
      </c>
      <c r="E1397">
        <v>0</v>
      </c>
      <c r="F1397">
        <v>240</v>
      </c>
      <c r="G1397">
        <v>0</v>
      </c>
      <c r="H1397">
        <v>0</v>
      </c>
      <c r="I1397">
        <v>2012</v>
      </c>
      <c r="J1397" t="s">
        <v>29</v>
      </c>
      <c r="K1397" t="s">
        <v>171</v>
      </c>
      <c r="L1397" s="8" t="str">
        <f t="shared" si="23"/>
        <v/>
      </c>
    </row>
    <row r="1398" spans="1:12">
      <c r="A1398" t="s">
        <v>470</v>
      </c>
      <c r="B1398">
        <v>1982</v>
      </c>
      <c r="C1398" t="s">
        <v>418</v>
      </c>
      <c r="D1398">
        <v>102.82</v>
      </c>
      <c r="E1398">
        <v>0</v>
      </c>
      <c r="F1398">
        <v>180</v>
      </c>
      <c r="G1398">
        <v>0</v>
      </c>
      <c r="H1398">
        <v>0</v>
      </c>
      <c r="I1398">
        <v>2014</v>
      </c>
      <c r="J1398" t="s">
        <v>29</v>
      </c>
      <c r="K1398" t="s">
        <v>171</v>
      </c>
      <c r="L1398" s="8" t="str">
        <f t="shared" si="23"/>
        <v/>
      </c>
    </row>
    <row r="1399" spans="1:12">
      <c r="A1399" t="s">
        <v>488</v>
      </c>
      <c r="B1399">
        <v>1983</v>
      </c>
      <c r="C1399" t="s">
        <v>137</v>
      </c>
      <c r="D1399">
        <v>92.84</v>
      </c>
      <c r="E1399">
        <v>0</v>
      </c>
      <c r="F1399">
        <v>232.5</v>
      </c>
      <c r="G1399">
        <v>315</v>
      </c>
      <c r="H1399">
        <v>0</v>
      </c>
      <c r="I1399">
        <v>2014</v>
      </c>
      <c r="J1399" t="s">
        <v>29</v>
      </c>
      <c r="K1399" t="s">
        <v>171</v>
      </c>
      <c r="L1399" s="8" t="str">
        <f t="shared" si="23"/>
        <v/>
      </c>
    </row>
    <row r="1400" spans="1:12">
      <c r="A1400" t="s">
        <v>495</v>
      </c>
      <c r="B1400">
        <v>1990</v>
      </c>
      <c r="C1400" t="s">
        <v>28</v>
      </c>
      <c r="D1400">
        <v>119.99</v>
      </c>
      <c r="E1400">
        <v>0</v>
      </c>
      <c r="F1400">
        <v>300</v>
      </c>
      <c r="G1400">
        <v>322.5</v>
      </c>
      <c r="H1400">
        <v>0</v>
      </c>
      <c r="I1400">
        <v>2015</v>
      </c>
      <c r="J1400" t="s">
        <v>29</v>
      </c>
      <c r="K1400" t="s">
        <v>171</v>
      </c>
      <c r="L1400" s="8" t="str">
        <f t="shared" si="23"/>
        <v/>
      </c>
    </row>
    <row r="1401" spans="1:12">
      <c r="A1401" t="s">
        <v>512</v>
      </c>
      <c r="B1401">
        <v>1969</v>
      </c>
      <c r="C1401" t="s">
        <v>77</v>
      </c>
      <c r="D1401">
        <v>73.680000000000007</v>
      </c>
      <c r="E1401">
        <v>0</v>
      </c>
      <c r="F1401">
        <v>215</v>
      </c>
      <c r="G1401">
        <v>240</v>
      </c>
      <c r="H1401">
        <v>0</v>
      </c>
      <c r="I1401">
        <v>2014</v>
      </c>
      <c r="J1401" t="s">
        <v>29</v>
      </c>
      <c r="K1401" t="s">
        <v>171</v>
      </c>
      <c r="L1401" s="8" t="str">
        <f t="shared" si="23"/>
        <v/>
      </c>
    </row>
    <row r="1402" spans="1:12">
      <c r="A1402" t="s">
        <v>515</v>
      </c>
      <c r="B1402">
        <v>1986</v>
      </c>
      <c r="C1402" t="s">
        <v>45</v>
      </c>
      <c r="D1402">
        <v>119.41</v>
      </c>
      <c r="E1402">
        <v>0</v>
      </c>
      <c r="F1402">
        <v>0</v>
      </c>
      <c r="G1402">
        <v>0</v>
      </c>
      <c r="H1402">
        <v>0</v>
      </c>
      <c r="I1402">
        <v>2015</v>
      </c>
      <c r="J1402" t="s">
        <v>29</v>
      </c>
      <c r="K1402" t="s">
        <v>171</v>
      </c>
      <c r="L1402" s="8" t="str">
        <f t="shared" si="23"/>
        <v/>
      </c>
    </row>
    <row r="1403" spans="1:12">
      <c r="A1403" t="s">
        <v>523</v>
      </c>
      <c r="B1403">
        <v>1984</v>
      </c>
      <c r="C1403" t="s">
        <v>125</v>
      </c>
      <c r="D1403">
        <v>92.84</v>
      </c>
      <c r="E1403">
        <v>0</v>
      </c>
      <c r="F1403">
        <v>0</v>
      </c>
      <c r="G1403">
        <v>0</v>
      </c>
      <c r="H1403">
        <v>0</v>
      </c>
      <c r="I1403">
        <v>2012</v>
      </c>
      <c r="J1403" t="s">
        <v>29</v>
      </c>
      <c r="K1403" t="s">
        <v>171</v>
      </c>
      <c r="L1403" s="8" t="str">
        <f t="shared" si="23"/>
        <v/>
      </c>
    </row>
    <row r="1404" spans="1:12">
      <c r="A1404" t="s">
        <v>538</v>
      </c>
      <c r="B1404">
        <v>1980</v>
      </c>
      <c r="C1404" t="s">
        <v>349</v>
      </c>
      <c r="D1404">
        <v>90.34</v>
      </c>
      <c r="E1404">
        <v>0</v>
      </c>
      <c r="F1404">
        <v>200</v>
      </c>
      <c r="G1404">
        <v>250</v>
      </c>
      <c r="H1404">
        <v>0</v>
      </c>
      <c r="I1404">
        <v>2013</v>
      </c>
      <c r="J1404" t="s">
        <v>29</v>
      </c>
      <c r="K1404" t="s">
        <v>171</v>
      </c>
      <c r="L1404" s="8" t="str">
        <f t="shared" si="23"/>
        <v/>
      </c>
    </row>
    <row r="1405" spans="1:12">
      <c r="A1405" t="s">
        <v>546</v>
      </c>
      <c r="B1405">
        <v>1995</v>
      </c>
      <c r="C1405" t="s">
        <v>125</v>
      </c>
      <c r="D1405">
        <v>118.58</v>
      </c>
      <c r="E1405">
        <v>365</v>
      </c>
      <c r="F1405">
        <v>0</v>
      </c>
      <c r="G1405">
        <v>0</v>
      </c>
      <c r="H1405">
        <v>0</v>
      </c>
      <c r="I1405">
        <v>2015</v>
      </c>
      <c r="J1405" t="s">
        <v>29</v>
      </c>
      <c r="K1405" t="s">
        <v>171</v>
      </c>
      <c r="L1405" s="8" t="str">
        <f t="shared" si="23"/>
        <v/>
      </c>
    </row>
    <row r="1406" spans="1:12">
      <c r="A1406" t="s">
        <v>551</v>
      </c>
      <c r="B1406">
        <v>1985</v>
      </c>
      <c r="C1406" t="s">
        <v>109</v>
      </c>
      <c r="D1406">
        <v>92.75</v>
      </c>
      <c r="E1406">
        <v>332.5</v>
      </c>
      <c r="F1406">
        <v>0</v>
      </c>
      <c r="G1406">
        <v>285</v>
      </c>
      <c r="H1406">
        <v>0</v>
      </c>
      <c r="I1406">
        <v>2012</v>
      </c>
      <c r="J1406" t="s">
        <v>29</v>
      </c>
      <c r="K1406" t="s">
        <v>171</v>
      </c>
      <c r="L1406" s="8" t="str">
        <f t="shared" si="23"/>
        <v/>
      </c>
    </row>
    <row r="1407" spans="1:12">
      <c r="A1407" t="s">
        <v>557</v>
      </c>
      <c r="B1407">
        <v>1972</v>
      </c>
      <c r="C1407" t="s">
        <v>228</v>
      </c>
      <c r="D1407">
        <v>143.4</v>
      </c>
      <c r="E1407">
        <v>0</v>
      </c>
      <c r="F1407">
        <v>0</v>
      </c>
      <c r="G1407">
        <v>335</v>
      </c>
      <c r="H1407">
        <v>0</v>
      </c>
      <c r="I1407">
        <v>2013</v>
      </c>
      <c r="J1407" t="s">
        <v>29</v>
      </c>
      <c r="K1407" t="s">
        <v>171</v>
      </c>
      <c r="L1407" s="8" t="str">
        <f t="shared" ref="L1407:L1438" si="24">IF(AND(F1407&lt;&gt;0,E1407&lt;&gt;0),F1407/E1407,"")</f>
        <v/>
      </c>
    </row>
    <row r="1408" spans="1:12">
      <c r="A1408" t="s">
        <v>568</v>
      </c>
      <c r="B1408">
        <v>1987</v>
      </c>
      <c r="C1408" t="s">
        <v>80</v>
      </c>
      <c r="D1408">
        <v>104.48</v>
      </c>
      <c r="E1408">
        <v>0</v>
      </c>
      <c r="F1408">
        <v>210</v>
      </c>
      <c r="G1408">
        <v>310</v>
      </c>
      <c r="H1408">
        <v>0</v>
      </c>
      <c r="I1408">
        <v>2014</v>
      </c>
      <c r="J1408" t="s">
        <v>29</v>
      </c>
      <c r="K1408" t="s">
        <v>171</v>
      </c>
      <c r="L1408" s="8" t="str">
        <f t="shared" si="24"/>
        <v/>
      </c>
    </row>
    <row r="1409" spans="1:12">
      <c r="A1409" t="s">
        <v>573</v>
      </c>
      <c r="B1409">
        <v>1985</v>
      </c>
      <c r="C1409" t="s">
        <v>380</v>
      </c>
      <c r="D1409">
        <v>97.41</v>
      </c>
      <c r="E1409">
        <v>200</v>
      </c>
      <c r="F1409">
        <v>0</v>
      </c>
      <c r="G1409">
        <v>0</v>
      </c>
      <c r="H1409">
        <v>0</v>
      </c>
      <c r="I1409">
        <v>2015</v>
      </c>
      <c r="J1409" t="s">
        <v>29</v>
      </c>
      <c r="K1409" t="s">
        <v>171</v>
      </c>
      <c r="L1409" s="8" t="str">
        <f t="shared" si="24"/>
        <v/>
      </c>
    </row>
    <row r="1410" spans="1:12">
      <c r="A1410" t="s">
        <v>580</v>
      </c>
      <c r="B1410">
        <v>1975</v>
      </c>
      <c r="C1410" t="s">
        <v>77</v>
      </c>
      <c r="D1410">
        <v>82.42</v>
      </c>
      <c r="E1410">
        <v>305</v>
      </c>
      <c r="F1410">
        <v>0</v>
      </c>
      <c r="G1410">
        <v>290</v>
      </c>
      <c r="H1410">
        <v>0</v>
      </c>
      <c r="I1410">
        <v>2014</v>
      </c>
      <c r="J1410" t="s">
        <v>29</v>
      </c>
      <c r="K1410" t="s">
        <v>171</v>
      </c>
      <c r="L1410" s="8" t="str">
        <f t="shared" si="24"/>
        <v/>
      </c>
    </row>
    <row r="1411" spans="1:12">
      <c r="A1411" t="s">
        <v>591</v>
      </c>
      <c r="B1411">
        <v>1987</v>
      </c>
      <c r="C1411" t="s">
        <v>142</v>
      </c>
      <c r="D1411">
        <v>114.57</v>
      </c>
      <c r="E1411">
        <v>0</v>
      </c>
      <c r="F1411">
        <v>0</v>
      </c>
      <c r="G1411">
        <v>0</v>
      </c>
      <c r="H1411">
        <v>0</v>
      </c>
      <c r="I1411">
        <v>2013</v>
      </c>
      <c r="J1411" t="s">
        <v>29</v>
      </c>
      <c r="K1411" t="s">
        <v>171</v>
      </c>
      <c r="L1411" s="8" t="str">
        <f t="shared" si="24"/>
        <v/>
      </c>
    </row>
    <row r="1412" spans="1:12">
      <c r="A1412" t="s">
        <v>613</v>
      </c>
      <c r="B1412">
        <v>1981</v>
      </c>
      <c r="C1412" t="s">
        <v>380</v>
      </c>
      <c r="D1412">
        <v>73.760000000000005</v>
      </c>
      <c r="E1412">
        <v>190</v>
      </c>
      <c r="F1412">
        <v>0</v>
      </c>
      <c r="G1412">
        <v>215</v>
      </c>
      <c r="H1412">
        <v>0</v>
      </c>
      <c r="I1412">
        <v>2015</v>
      </c>
      <c r="J1412" t="s">
        <v>29</v>
      </c>
      <c r="K1412" t="s">
        <v>171</v>
      </c>
      <c r="L1412" s="8" t="str">
        <f t="shared" si="24"/>
        <v/>
      </c>
    </row>
    <row r="1413" spans="1:12">
      <c r="A1413" t="s">
        <v>619</v>
      </c>
      <c r="B1413">
        <v>1991</v>
      </c>
      <c r="C1413" t="s">
        <v>72</v>
      </c>
      <c r="D1413">
        <v>145.72999999999999</v>
      </c>
      <c r="E1413">
        <v>0</v>
      </c>
      <c r="F1413">
        <v>307.5</v>
      </c>
      <c r="G1413">
        <v>350</v>
      </c>
      <c r="H1413">
        <v>0</v>
      </c>
      <c r="I1413">
        <v>2015</v>
      </c>
      <c r="J1413" t="s">
        <v>29</v>
      </c>
      <c r="K1413" t="s">
        <v>171</v>
      </c>
      <c r="L1413" s="8" t="str">
        <f t="shared" si="24"/>
        <v/>
      </c>
    </row>
    <row r="1414" spans="1:12">
      <c r="A1414" t="s">
        <v>636</v>
      </c>
      <c r="B1414">
        <v>1989</v>
      </c>
      <c r="C1414" t="s">
        <v>39</v>
      </c>
      <c r="D1414">
        <v>91.7</v>
      </c>
      <c r="E1414">
        <v>0</v>
      </c>
      <c r="F1414">
        <v>240</v>
      </c>
      <c r="G1414">
        <v>270</v>
      </c>
      <c r="H1414">
        <v>0</v>
      </c>
      <c r="I1414">
        <v>2014</v>
      </c>
      <c r="J1414" t="s">
        <v>29</v>
      </c>
      <c r="K1414" t="s">
        <v>171</v>
      </c>
      <c r="L1414" s="8" t="str">
        <f t="shared" si="24"/>
        <v/>
      </c>
    </row>
    <row r="1415" spans="1:12">
      <c r="A1415" t="s">
        <v>650</v>
      </c>
      <c r="B1415">
        <v>1977</v>
      </c>
      <c r="C1415" t="s">
        <v>352</v>
      </c>
      <c r="D1415">
        <v>82.62</v>
      </c>
      <c r="E1415">
        <v>315</v>
      </c>
      <c r="F1415">
        <v>0</v>
      </c>
      <c r="G1415">
        <v>280</v>
      </c>
      <c r="H1415">
        <v>0</v>
      </c>
      <c r="I1415">
        <v>2012</v>
      </c>
      <c r="J1415" t="s">
        <v>29</v>
      </c>
      <c r="K1415" t="s">
        <v>171</v>
      </c>
      <c r="L1415" s="8" t="str">
        <f t="shared" si="24"/>
        <v/>
      </c>
    </row>
    <row r="1416" spans="1:12">
      <c r="A1416" t="s">
        <v>660</v>
      </c>
      <c r="B1416">
        <v>1988</v>
      </c>
      <c r="C1416" t="s">
        <v>380</v>
      </c>
      <c r="D1416">
        <v>82.72</v>
      </c>
      <c r="E1416">
        <v>0</v>
      </c>
      <c r="F1416">
        <v>217.5</v>
      </c>
      <c r="G1416">
        <v>280</v>
      </c>
      <c r="H1416">
        <v>0</v>
      </c>
      <c r="I1416">
        <v>2015</v>
      </c>
      <c r="J1416" t="s">
        <v>29</v>
      </c>
      <c r="K1416" t="s">
        <v>171</v>
      </c>
      <c r="L1416" s="8" t="str">
        <f t="shared" si="24"/>
        <v/>
      </c>
    </row>
    <row r="1417" spans="1:12">
      <c r="A1417" t="s">
        <v>668</v>
      </c>
      <c r="B1417">
        <v>1989</v>
      </c>
      <c r="C1417" t="s">
        <v>39</v>
      </c>
      <c r="D1417">
        <v>82.22</v>
      </c>
      <c r="E1417">
        <v>320</v>
      </c>
      <c r="F1417">
        <v>0</v>
      </c>
      <c r="G1417">
        <v>250</v>
      </c>
      <c r="H1417">
        <v>0</v>
      </c>
      <c r="I1417">
        <v>2014</v>
      </c>
      <c r="J1417" t="s">
        <v>29</v>
      </c>
      <c r="K1417" t="s">
        <v>171</v>
      </c>
      <c r="L1417" s="8" t="str">
        <f t="shared" si="24"/>
        <v/>
      </c>
    </row>
    <row r="1418" spans="1:12">
      <c r="A1418" t="s">
        <v>685</v>
      </c>
      <c r="B1418">
        <v>1969</v>
      </c>
      <c r="C1418" t="s">
        <v>113</v>
      </c>
      <c r="D1418">
        <v>102.34</v>
      </c>
      <c r="E1418">
        <v>0</v>
      </c>
      <c r="F1418">
        <v>222.5</v>
      </c>
      <c r="G1418">
        <v>270</v>
      </c>
      <c r="H1418">
        <v>0</v>
      </c>
      <c r="I1418">
        <v>2014</v>
      </c>
      <c r="J1418" t="s">
        <v>29</v>
      </c>
      <c r="K1418" t="s">
        <v>171</v>
      </c>
      <c r="L1418" s="8" t="str">
        <f t="shared" si="24"/>
        <v/>
      </c>
    </row>
    <row r="1419" spans="1:12">
      <c r="A1419" t="s">
        <v>688</v>
      </c>
      <c r="B1419">
        <v>1977</v>
      </c>
      <c r="C1419" t="s">
        <v>85</v>
      </c>
      <c r="D1419">
        <v>58.74</v>
      </c>
      <c r="E1419">
        <v>0</v>
      </c>
      <c r="F1419">
        <v>145</v>
      </c>
      <c r="G1419">
        <v>220</v>
      </c>
      <c r="H1419">
        <v>0</v>
      </c>
      <c r="I1419">
        <v>2015</v>
      </c>
      <c r="J1419" t="s">
        <v>29</v>
      </c>
      <c r="K1419" t="s">
        <v>171</v>
      </c>
      <c r="L1419" s="8" t="str">
        <f t="shared" si="24"/>
        <v/>
      </c>
    </row>
    <row r="1420" spans="1:12">
      <c r="A1420" t="s">
        <v>690</v>
      </c>
      <c r="B1420">
        <v>1980</v>
      </c>
      <c r="C1420" t="s">
        <v>77</v>
      </c>
      <c r="D1420">
        <v>73.75</v>
      </c>
      <c r="E1420">
        <v>0</v>
      </c>
      <c r="F1420">
        <v>200</v>
      </c>
      <c r="G1420">
        <v>260</v>
      </c>
      <c r="H1420">
        <v>0</v>
      </c>
      <c r="I1420">
        <v>2012</v>
      </c>
      <c r="J1420" t="s">
        <v>29</v>
      </c>
      <c r="K1420" t="s">
        <v>171</v>
      </c>
      <c r="L1420" s="8" t="str">
        <f t="shared" si="24"/>
        <v/>
      </c>
    </row>
    <row r="1421" spans="1:12">
      <c r="A1421" t="s">
        <v>691</v>
      </c>
      <c r="B1421">
        <v>1982</v>
      </c>
      <c r="C1421" t="s">
        <v>239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2015</v>
      </c>
      <c r="J1421" t="s">
        <v>29</v>
      </c>
      <c r="K1421" t="s">
        <v>171</v>
      </c>
      <c r="L1421" s="8" t="str">
        <f t="shared" si="24"/>
        <v/>
      </c>
    </row>
    <row r="1422" spans="1:12">
      <c r="A1422" t="s">
        <v>694</v>
      </c>
      <c r="B1422">
        <v>1992</v>
      </c>
      <c r="C1422" t="s">
        <v>125</v>
      </c>
      <c r="D1422">
        <v>114.13</v>
      </c>
      <c r="E1422">
        <v>0</v>
      </c>
      <c r="F1422">
        <v>242.5</v>
      </c>
      <c r="G1422">
        <v>290</v>
      </c>
      <c r="H1422">
        <v>0</v>
      </c>
      <c r="I1422">
        <v>2015</v>
      </c>
      <c r="J1422" t="s">
        <v>29</v>
      </c>
      <c r="K1422" t="s">
        <v>171</v>
      </c>
      <c r="L1422" s="8" t="str">
        <f t="shared" si="24"/>
        <v/>
      </c>
    </row>
    <row r="1423" spans="1:12">
      <c r="A1423" t="s">
        <v>696</v>
      </c>
      <c r="B1423">
        <v>1990</v>
      </c>
      <c r="C1423" t="s">
        <v>39</v>
      </c>
      <c r="D1423">
        <v>104.2</v>
      </c>
      <c r="E1423">
        <v>0</v>
      </c>
      <c r="F1423">
        <v>245</v>
      </c>
      <c r="G1423">
        <v>300</v>
      </c>
      <c r="H1423">
        <v>0</v>
      </c>
      <c r="I1423">
        <v>2014</v>
      </c>
      <c r="J1423" t="s">
        <v>29</v>
      </c>
      <c r="K1423" t="s">
        <v>171</v>
      </c>
      <c r="L1423" s="8" t="str">
        <f t="shared" si="24"/>
        <v/>
      </c>
    </row>
    <row r="1424" spans="1:12">
      <c r="A1424" t="s">
        <v>697</v>
      </c>
      <c r="B1424">
        <v>1973</v>
      </c>
      <c r="C1424" t="s">
        <v>485</v>
      </c>
      <c r="D1424">
        <v>100.82</v>
      </c>
      <c r="E1424">
        <v>0</v>
      </c>
      <c r="F1424">
        <v>245</v>
      </c>
      <c r="G1424">
        <v>260</v>
      </c>
      <c r="H1424">
        <v>0</v>
      </c>
      <c r="I1424">
        <v>2014</v>
      </c>
      <c r="J1424" t="s">
        <v>29</v>
      </c>
      <c r="K1424" t="s">
        <v>171</v>
      </c>
      <c r="L1424" s="8" t="str">
        <f t="shared" si="24"/>
        <v/>
      </c>
    </row>
    <row r="1425" spans="1:12">
      <c r="A1425" t="s">
        <v>710</v>
      </c>
      <c r="B1425">
        <v>1981</v>
      </c>
      <c r="C1425" t="s">
        <v>711</v>
      </c>
      <c r="D1425">
        <v>65.819999999999993</v>
      </c>
      <c r="E1425">
        <v>0</v>
      </c>
      <c r="F1425">
        <v>180</v>
      </c>
      <c r="G1425">
        <v>245</v>
      </c>
      <c r="H1425">
        <v>0</v>
      </c>
      <c r="I1425">
        <v>2014</v>
      </c>
      <c r="J1425" t="s">
        <v>29</v>
      </c>
      <c r="K1425" t="s">
        <v>171</v>
      </c>
      <c r="L1425" s="8" t="str">
        <f t="shared" si="24"/>
        <v/>
      </c>
    </row>
    <row r="1426" spans="1:12">
      <c r="A1426" t="s">
        <v>730</v>
      </c>
      <c r="B1426">
        <v>1981</v>
      </c>
      <c r="C1426" t="s">
        <v>464</v>
      </c>
      <c r="D1426">
        <v>92.82</v>
      </c>
      <c r="E1426">
        <v>380</v>
      </c>
      <c r="F1426">
        <v>0</v>
      </c>
      <c r="G1426">
        <v>0</v>
      </c>
      <c r="H1426">
        <v>0</v>
      </c>
      <c r="I1426">
        <v>2012</v>
      </c>
      <c r="J1426" t="s">
        <v>29</v>
      </c>
      <c r="K1426" t="s">
        <v>171</v>
      </c>
      <c r="L1426" s="8" t="str">
        <f t="shared" si="24"/>
        <v/>
      </c>
    </row>
    <row r="1427" spans="1:12">
      <c r="A1427" t="s">
        <v>758</v>
      </c>
      <c r="B1427">
        <v>1973</v>
      </c>
      <c r="C1427" t="s">
        <v>300</v>
      </c>
      <c r="D1427">
        <v>104.74</v>
      </c>
      <c r="E1427">
        <v>0</v>
      </c>
      <c r="F1427">
        <v>210</v>
      </c>
      <c r="G1427">
        <v>0</v>
      </c>
      <c r="H1427">
        <v>0</v>
      </c>
      <c r="I1427">
        <v>2012</v>
      </c>
      <c r="J1427" t="s">
        <v>29</v>
      </c>
      <c r="K1427" t="s">
        <v>171</v>
      </c>
      <c r="L1427" s="8" t="str">
        <f t="shared" si="24"/>
        <v/>
      </c>
    </row>
    <row r="1428" spans="1:12">
      <c r="A1428" t="s">
        <v>768</v>
      </c>
      <c r="B1428">
        <v>1976</v>
      </c>
      <c r="C1428" t="s">
        <v>142</v>
      </c>
      <c r="D1428">
        <v>92.98</v>
      </c>
      <c r="E1428">
        <v>360</v>
      </c>
      <c r="F1428">
        <v>0</v>
      </c>
      <c r="G1428">
        <v>340</v>
      </c>
      <c r="H1428">
        <v>0</v>
      </c>
      <c r="I1428">
        <v>2012</v>
      </c>
      <c r="J1428" t="s">
        <v>29</v>
      </c>
      <c r="K1428" t="s">
        <v>171</v>
      </c>
      <c r="L1428" s="8" t="str">
        <f t="shared" si="24"/>
        <v/>
      </c>
    </row>
    <row r="1429" spans="1:12">
      <c r="A1429" t="s">
        <v>784</v>
      </c>
      <c r="B1429">
        <v>1985</v>
      </c>
      <c r="C1429" t="s">
        <v>280</v>
      </c>
      <c r="D1429">
        <v>64.86</v>
      </c>
      <c r="E1429">
        <v>265</v>
      </c>
      <c r="F1429">
        <v>0</v>
      </c>
      <c r="G1429">
        <v>0</v>
      </c>
      <c r="H1429">
        <v>0</v>
      </c>
      <c r="I1429">
        <v>2012</v>
      </c>
      <c r="J1429" t="s">
        <v>29</v>
      </c>
      <c r="K1429" t="s">
        <v>171</v>
      </c>
      <c r="L1429" s="8" t="str">
        <f t="shared" si="24"/>
        <v/>
      </c>
    </row>
    <row r="1430" spans="1:12">
      <c r="A1430" t="s">
        <v>787</v>
      </c>
      <c r="B1430">
        <v>1979</v>
      </c>
      <c r="C1430" t="s">
        <v>35</v>
      </c>
      <c r="D1430">
        <v>153.29</v>
      </c>
      <c r="E1430">
        <v>372.5</v>
      </c>
      <c r="F1430">
        <v>0</v>
      </c>
      <c r="G1430">
        <v>0</v>
      </c>
      <c r="H1430">
        <v>0</v>
      </c>
      <c r="I1430">
        <v>2015</v>
      </c>
      <c r="J1430" t="s">
        <v>29</v>
      </c>
      <c r="K1430" t="s">
        <v>171</v>
      </c>
      <c r="L1430" s="8" t="str">
        <f t="shared" si="24"/>
        <v/>
      </c>
    </row>
    <row r="1431" spans="1:12">
      <c r="A1431" t="s">
        <v>789</v>
      </c>
      <c r="B1431">
        <v>1984</v>
      </c>
      <c r="C1431" t="s">
        <v>85</v>
      </c>
      <c r="D1431">
        <v>58.55</v>
      </c>
      <c r="E1431">
        <v>0</v>
      </c>
      <c r="F1431">
        <v>130</v>
      </c>
      <c r="G1431">
        <v>180</v>
      </c>
      <c r="H1431">
        <v>0</v>
      </c>
      <c r="I1431">
        <v>2013</v>
      </c>
      <c r="J1431" t="s">
        <v>29</v>
      </c>
      <c r="K1431" t="s">
        <v>171</v>
      </c>
      <c r="L1431" s="8" t="str">
        <f t="shared" si="24"/>
        <v/>
      </c>
    </row>
    <row r="1432" spans="1:12">
      <c r="A1432" t="s">
        <v>790</v>
      </c>
      <c r="B1432">
        <v>1988</v>
      </c>
      <c r="C1432" t="s">
        <v>77</v>
      </c>
      <c r="D1432">
        <v>58.54</v>
      </c>
      <c r="E1432">
        <v>222.5</v>
      </c>
      <c r="F1432">
        <v>0</v>
      </c>
      <c r="G1432">
        <v>210</v>
      </c>
      <c r="H1432">
        <v>0</v>
      </c>
      <c r="I1432">
        <v>2014</v>
      </c>
      <c r="J1432" t="s">
        <v>29</v>
      </c>
      <c r="K1432" t="s">
        <v>171</v>
      </c>
      <c r="L1432" s="8" t="str">
        <f t="shared" si="24"/>
        <v/>
      </c>
    </row>
    <row r="1433" spans="1:12">
      <c r="A1433" t="s">
        <v>796</v>
      </c>
      <c r="B1433">
        <v>1978</v>
      </c>
      <c r="C1433" t="s">
        <v>137</v>
      </c>
      <c r="D1433">
        <v>58.67</v>
      </c>
      <c r="E1433">
        <v>0</v>
      </c>
      <c r="F1433">
        <v>150</v>
      </c>
      <c r="G1433">
        <v>225</v>
      </c>
      <c r="H1433">
        <v>0</v>
      </c>
      <c r="I1433">
        <v>2012</v>
      </c>
      <c r="J1433" t="s">
        <v>29</v>
      </c>
      <c r="K1433" t="s">
        <v>171</v>
      </c>
      <c r="L1433" s="8" t="str">
        <f t="shared" si="24"/>
        <v/>
      </c>
    </row>
    <row r="1434" spans="1:12">
      <c r="A1434" t="s">
        <v>808</v>
      </c>
      <c r="B1434">
        <v>1972</v>
      </c>
      <c r="C1434" t="s">
        <v>318</v>
      </c>
      <c r="D1434">
        <v>92.78</v>
      </c>
      <c r="E1434">
        <v>0</v>
      </c>
      <c r="F1434">
        <v>0</v>
      </c>
      <c r="G1434">
        <v>0</v>
      </c>
      <c r="H1434">
        <v>0</v>
      </c>
      <c r="I1434">
        <v>2012</v>
      </c>
      <c r="J1434" t="s">
        <v>29</v>
      </c>
      <c r="K1434" t="s">
        <v>171</v>
      </c>
      <c r="L1434" s="8" t="str">
        <f t="shared" si="24"/>
        <v/>
      </c>
    </row>
    <row r="1435" spans="1:12">
      <c r="A1435" t="s">
        <v>816</v>
      </c>
      <c r="B1435">
        <v>1978</v>
      </c>
      <c r="C1435" t="s">
        <v>352</v>
      </c>
      <c r="D1435">
        <v>82.75</v>
      </c>
      <c r="E1435">
        <v>305</v>
      </c>
      <c r="F1435">
        <v>0</v>
      </c>
      <c r="G1435">
        <v>290</v>
      </c>
      <c r="H1435">
        <v>0</v>
      </c>
      <c r="I1435">
        <v>2015</v>
      </c>
      <c r="J1435" t="s">
        <v>29</v>
      </c>
      <c r="K1435" t="s">
        <v>171</v>
      </c>
      <c r="L1435" s="8" t="str">
        <f t="shared" si="24"/>
        <v/>
      </c>
    </row>
    <row r="1436" spans="1:12">
      <c r="A1436" t="s">
        <v>817</v>
      </c>
      <c r="B1436">
        <v>1985</v>
      </c>
      <c r="C1436" t="s">
        <v>28</v>
      </c>
      <c r="D1436">
        <v>82.85</v>
      </c>
      <c r="E1436">
        <v>0</v>
      </c>
      <c r="F1436">
        <v>240</v>
      </c>
      <c r="G1436">
        <v>0</v>
      </c>
      <c r="H1436">
        <v>0</v>
      </c>
      <c r="I1436">
        <v>2013</v>
      </c>
      <c r="J1436" t="s">
        <v>29</v>
      </c>
      <c r="K1436" t="s">
        <v>171</v>
      </c>
      <c r="L1436" s="8" t="str">
        <f t="shared" si="24"/>
        <v/>
      </c>
    </row>
    <row r="1437" spans="1:12">
      <c r="A1437" t="s">
        <v>826</v>
      </c>
      <c r="B1437">
        <v>1990</v>
      </c>
      <c r="C1437" t="s">
        <v>74</v>
      </c>
      <c r="D1437">
        <v>58.63</v>
      </c>
      <c r="E1437">
        <v>257.5</v>
      </c>
      <c r="F1437">
        <v>0</v>
      </c>
      <c r="G1437">
        <v>235</v>
      </c>
      <c r="H1437">
        <v>0</v>
      </c>
      <c r="I1437">
        <v>2013</v>
      </c>
      <c r="J1437" t="s">
        <v>29</v>
      </c>
      <c r="K1437" t="s">
        <v>171</v>
      </c>
      <c r="L1437" s="8" t="str">
        <f t="shared" si="24"/>
        <v/>
      </c>
    </row>
    <row r="1438" spans="1:12">
      <c r="A1438" t="s">
        <v>836</v>
      </c>
      <c r="B1438">
        <v>1975</v>
      </c>
      <c r="C1438" t="s">
        <v>85</v>
      </c>
      <c r="D1438">
        <v>104.37</v>
      </c>
      <c r="E1438">
        <v>385</v>
      </c>
      <c r="F1438">
        <v>0</v>
      </c>
      <c r="G1438">
        <v>320</v>
      </c>
      <c r="H1438">
        <v>0</v>
      </c>
      <c r="I1438">
        <v>2012</v>
      </c>
      <c r="J1438" t="s">
        <v>29</v>
      </c>
      <c r="K1438" t="s">
        <v>171</v>
      </c>
      <c r="L1438" s="8" t="str">
        <f t="shared" si="24"/>
        <v/>
      </c>
    </row>
    <row r="1439" spans="1:12">
      <c r="A1439" t="s">
        <v>842</v>
      </c>
      <c r="B1439">
        <v>1980</v>
      </c>
      <c r="C1439" t="s">
        <v>77</v>
      </c>
      <c r="D1439">
        <v>109.92</v>
      </c>
      <c r="E1439">
        <v>305</v>
      </c>
      <c r="F1439">
        <v>0</v>
      </c>
      <c r="G1439">
        <v>265</v>
      </c>
      <c r="H1439">
        <v>0</v>
      </c>
      <c r="I1439">
        <v>2012</v>
      </c>
      <c r="J1439" t="s">
        <v>29</v>
      </c>
      <c r="K1439" t="s">
        <v>171</v>
      </c>
      <c r="L1439" s="8" t="str">
        <f t="shared" ref="L1439:L1457" si="25">IF(AND(F1439&lt;&gt;0,E1439&lt;&gt;0),F1439/E1439,"")</f>
        <v/>
      </c>
    </row>
    <row r="1440" spans="1:12">
      <c r="A1440" t="s">
        <v>844</v>
      </c>
      <c r="B1440">
        <v>1982</v>
      </c>
      <c r="C1440" t="s">
        <v>39</v>
      </c>
      <c r="D1440">
        <v>92.35</v>
      </c>
      <c r="E1440">
        <v>0</v>
      </c>
      <c r="F1440">
        <v>240</v>
      </c>
      <c r="G1440">
        <v>0</v>
      </c>
      <c r="H1440">
        <v>0</v>
      </c>
      <c r="I1440">
        <v>2012</v>
      </c>
      <c r="J1440" t="s">
        <v>29</v>
      </c>
      <c r="K1440" t="s">
        <v>171</v>
      </c>
      <c r="L1440" s="8" t="str">
        <f t="shared" si="25"/>
        <v/>
      </c>
    </row>
    <row r="1441" spans="1:12">
      <c r="A1441" t="s">
        <v>186</v>
      </c>
      <c r="B1441">
        <v>1995</v>
      </c>
      <c r="C1441" t="s">
        <v>51</v>
      </c>
      <c r="D1441">
        <v>83.2</v>
      </c>
      <c r="E1441">
        <v>0</v>
      </c>
      <c r="F1441">
        <v>67.5</v>
      </c>
      <c r="G1441">
        <v>122.5</v>
      </c>
      <c r="H1441">
        <v>0</v>
      </c>
      <c r="I1441">
        <v>2015</v>
      </c>
      <c r="J1441" t="s">
        <v>852</v>
      </c>
      <c r="K1441" t="s">
        <v>171</v>
      </c>
      <c r="L1441" s="8" t="str">
        <f t="shared" si="25"/>
        <v/>
      </c>
    </row>
    <row r="1442" spans="1:12">
      <c r="A1442" t="s">
        <v>265</v>
      </c>
      <c r="B1442">
        <v>1976</v>
      </c>
      <c r="C1442" t="s">
        <v>137</v>
      </c>
      <c r="D1442">
        <v>51.49</v>
      </c>
      <c r="E1442">
        <v>0</v>
      </c>
      <c r="F1442">
        <v>0</v>
      </c>
      <c r="G1442">
        <v>0</v>
      </c>
      <c r="H1442">
        <v>0</v>
      </c>
      <c r="I1442">
        <v>2015</v>
      </c>
      <c r="J1442" t="s">
        <v>852</v>
      </c>
      <c r="K1442" t="s">
        <v>171</v>
      </c>
      <c r="L1442" s="8" t="str">
        <f t="shared" si="25"/>
        <v/>
      </c>
    </row>
    <row r="1443" spans="1:12">
      <c r="A1443" t="s">
        <v>853</v>
      </c>
      <c r="B1443">
        <v>1981</v>
      </c>
      <c r="C1443" t="s">
        <v>854</v>
      </c>
      <c r="D1443">
        <v>69.88</v>
      </c>
      <c r="E1443">
        <v>0</v>
      </c>
      <c r="F1443">
        <v>70</v>
      </c>
      <c r="G1443">
        <v>170</v>
      </c>
      <c r="H1443">
        <v>0</v>
      </c>
      <c r="I1443">
        <v>2014</v>
      </c>
      <c r="J1443" t="s">
        <v>852</v>
      </c>
      <c r="K1443" t="s">
        <v>171</v>
      </c>
      <c r="L1443" s="8" t="str">
        <f t="shared" si="25"/>
        <v/>
      </c>
    </row>
    <row r="1444" spans="1:12">
      <c r="A1444" t="s">
        <v>181</v>
      </c>
      <c r="B1444">
        <v>1986</v>
      </c>
      <c r="C1444" t="s">
        <v>867</v>
      </c>
      <c r="D1444">
        <v>51.76</v>
      </c>
      <c r="E1444">
        <v>180</v>
      </c>
      <c r="F1444">
        <v>0</v>
      </c>
      <c r="G1444">
        <v>157.5</v>
      </c>
      <c r="H1444">
        <v>0</v>
      </c>
      <c r="I1444">
        <v>2014</v>
      </c>
      <c r="J1444" t="s">
        <v>852</v>
      </c>
      <c r="K1444" t="s">
        <v>171</v>
      </c>
      <c r="L1444" s="8" t="str">
        <f t="shared" si="25"/>
        <v/>
      </c>
    </row>
    <row r="1445" spans="1:12">
      <c r="A1445" t="s">
        <v>192</v>
      </c>
      <c r="B1445">
        <v>1969</v>
      </c>
      <c r="C1445" t="s">
        <v>54</v>
      </c>
      <c r="D1445">
        <v>56.59</v>
      </c>
      <c r="E1445">
        <v>0</v>
      </c>
      <c r="F1445">
        <v>85</v>
      </c>
      <c r="G1445">
        <v>172.5</v>
      </c>
      <c r="H1445">
        <v>0</v>
      </c>
      <c r="I1445">
        <v>2013</v>
      </c>
      <c r="J1445" t="s">
        <v>852</v>
      </c>
      <c r="K1445" t="s">
        <v>171</v>
      </c>
      <c r="L1445" s="8" t="str">
        <f t="shared" si="25"/>
        <v/>
      </c>
    </row>
    <row r="1446" spans="1:12">
      <c r="A1446" t="s">
        <v>886</v>
      </c>
      <c r="B1446">
        <v>1979</v>
      </c>
      <c r="C1446" t="s">
        <v>282</v>
      </c>
      <c r="D1446">
        <v>56.35</v>
      </c>
      <c r="E1446">
        <v>0</v>
      </c>
      <c r="F1446">
        <v>102.5</v>
      </c>
      <c r="G1446">
        <v>187.5</v>
      </c>
      <c r="H1446">
        <v>0</v>
      </c>
      <c r="I1446">
        <v>2013</v>
      </c>
      <c r="J1446" t="s">
        <v>852</v>
      </c>
      <c r="K1446" t="s">
        <v>171</v>
      </c>
      <c r="L1446" s="8" t="str">
        <f t="shared" si="25"/>
        <v/>
      </c>
    </row>
    <row r="1447" spans="1:12">
      <c r="A1447" t="s">
        <v>197</v>
      </c>
      <c r="B1447">
        <v>1990</v>
      </c>
      <c r="C1447" t="s">
        <v>74</v>
      </c>
      <c r="D1447">
        <v>123.02</v>
      </c>
      <c r="E1447">
        <v>245</v>
      </c>
      <c r="F1447">
        <v>0</v>
      </c>
      <c r="G1447">
        <v>160</v>
      </c>
      <c r="H1447">
        <v>0</v>
      </c>
      <c r="I1447">
        <v>2012</v>
      </c>
      <c r="J1447" t="s">
        <v>852</v>
      </c>
      <c r="K1447" t="s">
        <v>171</v>
      </c>
      <c r="L1447" s="8" t="str">
        <f t="shared" si="25"/>
        <v/>
      </c>
    </row>
    <row r="1448" spans="1:12">
      <c r="A1448" t="s">
        <v>197</v>
      </c>
      <c r="B1448">
        <v>1990</v>
      </c>
      <c r="C1448" t="s">
        <v>888</v>
      </c>
      <c r="D1448">
        <v>124.48</v>
      </c>
      <c r="E1448">
        <v>0</v>
      </c>
      <c r="F1448">
        <v>155</v>
      </c>
      <c r="G1448">
        <v>195</v>
      </c>
      <c r="H1448">
        <v>0</v>
      </c>
      <c r="I1448">
        <v>2014</v>
      </c>
      <c r="J1448" t="s">
        <v>852</v>
      </c>
      <c r="K1448" t="s">
        <v>171</v>
      </c>
      <c r="L1448" s="8" t="str">
        <f t="shared" si="25"/>
        <v/>
      </c>
    </row>
    <row r="1449" spans="1:12">
      <c r="A1449" t="s">
        <v>214</v>
      </c>
      <c r="B1449">
        <v>1990</v>
      </c>
      <c r="C1449" t="s">
        <v>862</v>
      </c>
      <c r="D1449">
        <v>71.14</v>
      </c>
      <c r="E1449">
        <v>237.5</v>
      </c>
      <c r="F1449">
        <v>0</v>
      </c>
      <c r="G1449">
        <v>215</v>
      </c>
      <c r="H1449">
        <v>0</v>
      </c>
      <c r="I1449">
        <v>2014</v>
      </c>
      <c r="J1449" t="s">
        <v>852</v>
      </c>
      <c r="K1449" t="s">
        <v>171</v>
      </c>
      <c r="L1449" s="8" t="str">
        <f t="shared" si="25"/>
        <v/>
      </c>
    </row>
    <row r="1450" spans="1:12">
      <c r="A1450" t="s">
        <v>907</v>
      </c>
      <c r="B1450">
        <v>1992</v>
      </c>
      <c r="C1450" t="s">
        <v>85</v>
      </c>
      <c r="D1450">
        <v>56.19</v>
      </c>
      <c r="E1450">
        <v>0</v>
      </c>
      <c r="F1450">
        <v>92.5</v>
      </c>
      <c r="G1450">
        <v>0</v>
      </c>
      <c r="H1450">
        <v>0</v>
      </c>
      <c r="I1450">
        <v>2013</v>
      </c>
      <c r="J1450" t="s">
        <v>852</v>
      </c>
      <c r="K1450" t="s">
        <v>171</v>
      </c>
      <c r="L1450" s="8" t="str">
        <f t="shared" si="25"/>
        <v/>
      </c>
    </row>
    <row r="1451" spans="1:12">
      <c r="A1451" t="s">
        <v>258</v>
      </c>
      <c r="B1451">
        <v>1978</v>
      </c>
      <c r="C1451" t="s">
        <v>137</v>
      </c>
      <c r="D1451">
        <v>46.23</v>
      </c>
      <c r="E1451">
        <v>0</v>
      </c>
      <c r="F1451">
        <v>92.5</v>
      </c>
      <c r="G1451">
        <v>157.5</v>
      </c>
      <c r="H1451">
        <v>0</v>
      </c>
      <c r="I1451">
        <v>2013</v>
      </c>
      <c r="J1451" t="s">
        <v>852</v>
      </c>
      <c r="K1451" t="s">
        <v>171</v>
      </c>
      <c r="L1451" s="8" t="str">
        <f t="shared" si="25"/>
        <v/>
      </c>
    </row>
    <row r="1452" spans="1:12">
      <c r="A1452" t="s">
        <v>261</v>
      </c>
      <c r="B1452">
        <v>1977</v>
      </c>
      <c r="C1452" t="s">
        <v>876</v>
      </c>
      <c r="D1452">
        <v>56.56</v>
      </c>
      <c r="E1452">
        <v>170</v>
      </c>
      <c r="F1452">
        <v>0</v>
      </c>
      <c r="G1452">
        <v>192.5</v>
      </c>
      <c r="H1452">
        <v>0</v>
      </c>
      <c r="I1452">
        <v>2014</v>
      </c>
      <c r="J1452" t="s">
        <v>852</v>
      </c>
      <c r="K1452" t="s">
        <v>171</v>
      </c>
      <c r="L1452" s="8" t="str">
        <f t="shared" si="25"/>
        <v/>
      </c>
    </row>
    <row r="1453" spans="1:12">
      <c r="A1453" t="s">
        <v>269</v>
      </c>
      <c r="B1453">
        <v>1986</v>
      </c>
      <c r="C1453" t="s">
        <v>903</v>
      </c>
      <c r="D1453">
        <v>67.400000000000006</v>
      </c>
      <c r="E1453">
        <v>0</v>
      </c>
      <c r="F1453">
        <v>0</v>
      </c>
      <c r="G1453">
        <v>0</v>
      </c>
      <c r="H1453">
        <v>0</v>
      </c>
      <c r="I1453">
        <v>2014</v>
      </c>
      <c r="J1453" t="s">
        <v>852</v>
      </c>
      <c r="K1453" t="s">
        <v>171</v>
      </c>
      <c r="L1453" s="8" t="str">
        <f t="shared" si="25"/>
        <v/>
      </c>
    </row>
    <row r="1454" spans="1:12">
      <c r="A1454" t="s">
        <v>986</v>
      </c>
      <c r="B1454">
        <v>1985</v>
      </c>
      <c r="C1454" t="s">
        <v>28</v>
      </c>
      <c r="D1454">
        <v>56.44</v>
      </c>
      <c r="E1454">
        <v>0</v>
      </c>
      <c r="F1454">
        <v>142.5</v>
      </c>
      <c r="G1454">
        <v>180</v>
      </c>
      <c r="H1454">
        <v>0</v>
      </c>
      <c r="I1454">
        <v>2013</v>
      </c>
      <c r="J1454" t="s">
        <v>852</v>
      </c>
      <c r="K1454" t="s">
        <v>171</v>
      </c>
      <c r="L1454" s="8" t="str">
        <f t="shared" si="25"/>
        <v/>
      </c>
    </row>
    <row r="1455" spans="1:12">
      <c r="A1455" t="s">
        <v>306</v>
      </c>
      <c r="B1455">
        <v>1991</v>
      </c>
      <c r="C1455" t="s">
        <v>45</v>
      </c>
      <c r="D1455">
        <v>80.349999999999994</v>
      </c>
      <c r="E1455">
        <v>232.5</v>
      </c>
      <c r="F1455">
        <v>0</v>
      </c>
      <c r="G1455">
        <v>197.5</v>
      </c>
      <c r="H1455">
        <v>0</v>
      </c>
      <c r="I1455">
        <v>2013</v>
      </c>
      <c r="J1455" t="s">
        <v>852</v>
      </c>
      <c r="K1455" t="s">
        <v>171</v>
      </c>
      <c r="L1455" s="8" t="str">
        <f t="shared" si="25"/>
        <v/>
      </c>
    </row>
    <row r="1456" spans="1:12">
      <c r="A1456" t="s">
        <v>1008</v>
      </c>
      <c r="B1456">
        <v>1965</v>
      </c>
      <c r="C1456" t="s">
        <v>109</v>
      </c>
      <c r="D1456">
        <v>46.72</v>
      </c>
      <c r="E1456">
        <v>135</v>
      </c>
      <c r="F1456">
        <v>0</v>
      </c>
      <c r="G1456">
        <v>0</v>
      </c>
      <c r="H1456">
        <v>0</v>
      </c>
      <c r="I1456">
        <v>2012</v>
      </c>
      <c r="J1456" t="s">
        <v>852</v>
      </c>
      <c r="K1456" t="s">
        <v>171</v>
      </c>
      <c r="L1456" s="8" t="str">
        <f t="shared" si="25"/>
        <v/>
      </c>
    </row>
    <row r="1457" spans="1:12">
      <c r="A1457" t="s">
        <v>1012</v>
      </c>
      <c r="B1457">
        <v>1972</v>
      </c>
      <c r="C1457" t="s">
        <v>80</v>
      </c>
      <c r="D1457">
        <v>51.83</v>
      </c>
      <c r="E1457">
        <v>0</v>
      </c>
      <c r="F1457">
        <v>92.5</v>
      </c>
      <c r="G1457">
        <v>150</v>
      </c>
      <c r="H1457">
        <v>0</v>
      </c>
      <c r="I1457">
        <v>2013</v>
      </c>
      <c r="J1457" t="s">
        <v>852</v>
      </c>
      <c r="K1457" t="s">
        <v>171</v>
      </c>
      <c r="L1457" s="8" t="str">
        <f t="shared" si="25"/>
        <v/>
      </c>
    </row>
  </sheetData>
  <sortState ref="A2:L1370">
    <sortCondition ref="K2:K1370"/>
    <sortCondition ref="J2:J137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57"/>
  <sheetViews>
    <sheetView workbookViewId="0">
      <pane ySplit="1" topLeftCell="A840" activePane="bottomLeft" state="frozen"/>
      <selection pane="bottomLeft" activeCell="L2" sqref="L2"/>
    </sheetView>
  </sheetViews>
  <sheetFormatPr defaultRowHeight="15"/>
  <cols>
    <col min="1" max="1" width="25.5703125" bestFit="1" customWidth="1"/>
    <col min="2" max="2" width="9.5703125" bestFit="1" customWidth="1"/>
    <col min="3" max="3" width="5.85546875" bestFit="1" customWidth="1"/>
    <col min="4" max="4" width="12.28515625" bestFit="1" customWidth="1"/>
    <col min="5" max="5" width="10.28515625" bestFit="1" customWidth="1"/>
    <col min="6" max="6" width="10.7109375" bestFit="1" customWidth="1"/>
    <col min="7" max="7" width="12.42578125" bestFit="1" customWidth="1"/>
    <col min="8" max="8" width="7" bestFit="1" customWidth="1"/>
    <col min="9" max="9" width="5" bestFit="1" customWidth="1"/>
    <col min="10" max="10" width="4.140625" bestFit="1" customWidth="1"/>
    <col min="11" max="11" width="8.140625" bestFit="1" customWidth="1"/>
    <col min="12" max="12" width="19.5703125" style="8" bestFit="1" customWidth="1"/>
  </cols>
  <sheetData>
    <row r="1" spans="1:12" s="9" customFormat="1">
      <c r="A1" s="9" t="s">
        <v>1061</v>
      </c>
      <c r="B1" s="9" t="s">
        <v>1062</v>
      </c>
      <c r="C1" s="9" t="s">
        <v>3</v>
      </c>
      <c r="D1" s="9" t="s">
        <v>1063</v>
      </c>
      <c r="E1" s="9" t="s">
        <v>10</v>
      </c>
      <c r="F1" s="9" t="s">
        <v>14</v>
      </c>
      <c r="G1" s="9" t="s">
        <v>18</v>
      </c>
      <c r="H1" s="9" t="s">
        <v>1064</v>
      </c>
      <c r="I1" s="9" t="s">
        <v>23</v>
      </c>
      <c r="J1" s="9" t="s">
        <v>24</v>
      </c>
      <c r="K1" s="9" t="s">
        <v>25</v>
      </c>
      <c r="L1" s="10" t="s">
        <v>1066</v>
      </c>
    </row>
    <row r="2" spans="1:12">
      <c r="A2" t="s">
        <v>399</v>
      </c>
      <c r="B2">
        <v>1987</v>
      </c>
      <c r="C2" t="s">
        <v>42</v>
      </c>
      <c r="D2">
        <v>143.72</v>
      </c>
      <c r="E2">
        <v>310</v>
      </c>
      <c r="F2">
        <v>270.5</v>
      </c>
      <c r="G2">
        <v>295</v>
      </c>
      <c r="H2">
        <v>875.5</v>
      </c>
      <c r="I2">
        <v>2015</v>
      </c>
      <c r="J2" t="s">
        <v>29</v>
      </c>
      <c r="K2" t="s">
        <v>30</v>
      </c>
      <c r="L2" s="8">
        <f>IF(AND(F2&lt;&gt;0,G2&lt;&gt;0),F2/G2,"")</f>
        <v>0.91694915254237286</v>
      </c>
    </row>
    <row r="3" spans="1:12">
      <c r="A3" t="s">
        <v>774</v>
      </c>
      <c r="B3">
        <v>1983</v>
      </c>
      <c r="C3" t="s">
        <v>80</v>
      </c>
      <c r="D3">
        <v>153.30000000000001</v>
      </c>
      <c r="E3">
        <v>235</v>
      </c>
      <c r="F3">
        <v>270</v>
      </c>
      <c r="G3">
        <v>175</v>
      </c>
      <c r="H3">
        <v>680</v>
      </c>
      <c r="I3">
        <v>2015</v>
      </c>
      <c r="J3" t="s">
        <v>29</v>
      </c>
      <c r="K3" t="s">
        <v>30</v>
      </c>
      <c r="L3" s="8">
        <f t="shared" ref="L3:L66" si="0">IF(AND(F3&lt;&gt;0,G3&lt;&gt;0),F3/G3,"")</f>
        <v>1.5428571428571429</v>
      </c>
    </row>
    <row r="4" spans="1:12">
      <c r="A4" t="s">
        <v>373</v>
      </c>
      <c r="B4">
        <v>1985</v>
      </c>
      <c r="C4" t="s">
        <v>62</v>
      </c>
      <c r="D4">
        <v>139.6</v>
      </c>
      <c r="E4">
        <v>312.5</v>
      </c>
      <c r="F4">
        <v>260.5</v>
      </c>
      <c r="G4">
        <v>297.5</v>
      </c>
      <c r="H4">
        <v>870.5</v>
      </c>
      <c r="I4">
        <v>2014</v>
      </c>
      <c r="J4" t="s">
        <v>29</v>
      </c>
      <c r="K4" t="s">
        <v>30</v>
      </c>
      <c r="L4" s="8">
        <f t="shared" si="0"/>
        <v>0.87563025210084033</v>
      </c>
    </row>
    <row r="5" spans="1:12">
      <c r="A5" t="s">
        <v>726</v>
      </c>
      <c r="B5">
        <v>1984</v>
      </c>
      <c r="C5" t="s">
        <v>45</v>
      </c>
      <c r="D5">
        <v>163.5</v>
      </c>
      <c r="E5">
        <v>330</v>
      </c>
      <c r="F5">
        <v>252.5</v>
      </c>
      <c r="G5">
        <v>325</v>
      </c>
      <c r="H5">
        <v>907.5</v>
      </c>
      <c r="I5">
        <v>2015</v>
      </c>
      <c r="J5" t="s">
        <v>29</v>
      </c>
      <c r="K5" t="s">
        <v>30</v>
      </c>
      <c r="L5" s="8">
        <f t="shared" si="0"/>
        <v>0.77692307692307694</v>
      </c>
    </row>
    <row r="6" spans="1:12">
      <c r="A6" t="s">
        <v>404</v>
      </c>
      <c r="B6">
        <v>1986</v>
      </c>
      <c r="C6" t="s">
        <v>113</v>
      </c>
      <c r="D6">
        <v>149.81</v>
      </c>
      <c r="E6">
        <v>387.5</v>
      </c>
      <c r="F6">
        <v>250</v>
      </c>
      <c r="G6">
        <v>332.5</v>
      </c>
      <c r="H6">
        <v>970</v>
      </c>
      <c r="I6">
        <v>2015</v>
      </c>
      <c r="J6" t="s">
        <v>29</v>
      </c>
      <c r="K6" t="s">
        <v>30</v>
      </c>
      <c r="L6" s="8">
        <f t="shared" si="0"/>
        <v>0.75187969924812026</v>
      </c>
    </row>
    <row r="7" spans="1:12">
      <c r="A7" t="s">
        <v>726</v>
      </c>
      <c r="B7">
        <v>1984</v>
      </c>
      <c r="C7" t="s">
        <v>45</v>
      </c>
      <c r="D7">
        <v>163.19999999999999</v>
      </c>
      <c r="E7">
        <v>315</v>
      </c>
      <c r="F7">
        <v>245</v>
      </c>
      <c r="G7">
        <v>310</v>
      </c>
      <c r="H7">
        <v>870</v>
      </c>
      <c r="I7">
        <v>2014</v>
      </c>
      <c r="J7" t="s">
        <v>29</v>
      </c>
      <c r="K7" t="s">
        <v>30</v>
      </c>
      <c r="L7" s="8">
        <f t="shared" si="0"/>
        <v>0.79032258064516125</v>
      </c>
    </row>
    <row r="8" spans="1:12">
      <c r="A8" t="s">
        <v>669</v>
      </c>
      <c r="B8">
        <v>1978</v>
      </c>
      <c r="C8" t="s">
        <v>39</v>
      </c>
      <c r="D8">
        <v>115.7</v>
      </c>
      <c r="E8">
        <v>180</v>
      </c>
      <c r="F8">
        <v>245</v>
      </c>
      <c r="G8">
        <v>240</v>
      </c>
      <c r="H8">
        <v>665</v>
      </c>
      <c r="I8">
        <v>2013</v>
      </c>
      <c r="J8" t="s">
        <v>29</v>
      </c>
      <c r="K8" t="s">
        <v>30</v>
      </c>
      <c r="L8" s="8">
        <f t="shared" si="0"/>
        <v>1.0208333333333333</v>
      </c>
    </row>
    <row r="9" spans="1:12">
      <c r="A9" t="s">
        <v>806</v>
      </c>
      <c r="B9">
        <v>1980</v>
      </c>
      <c r="C9" t="s">
        <v>406</v>
      </c>
      <c r="D9">
        <v>168.15</v>
      </c>
      <c r="E9">
        <v>410</v>
      </c>
      <c r="F9">
        <v>242.5</v>
      </c>
      <c r="G9">
        <v>317.5</v>
      </c>
      <c r="H9">
        <v>970</v>
      </c>
      <c r="I9">
        <v>2015</v>
      </c>
      <c r="J9" t="s">
        <v>29</v>
      </c>
      <c r="K9" t="s">
        <v>30</v>
      </c>
      <c r="L9" s="8">
        <f t="shared" si="0"/>
        <v>0.76377952755905509</v>
      </c>
    </row>
    <row r="10" spans="1:12">
      <c r="A10" t="s">
        <v>399</v>
      </c>
      <c r="B10">
        <v>1987</v>
      </c>
      <c r="C10" t="s">
        <v>42</v>
      </c>
      <c r="D10">
        <v>136.19999999999999</v>
      </c>
      <c r="E10">
        <v>240</v>
      </c>
      <c r="F10">
        <v>240</v>
      </c>
      <c r="G10">
        <v>230</v>
      </c>
      <c r="H10">
        <v>710</v>
      </c>
      <c r="I10">
        <v>2014</v>
      </c>
      <c r="J10" t="s">
        <v>29</v>
      </c>
      <c r="K10" t="s">
        <v>30</v>
      </c>
      <c r="L10" s="8">
        <f t="shared" si="0"/>
        <v>1.0434782608695652</v>
      </c>
    </row>
    <row r="11" spans="1:12">
      <c r="A11" t="s">
        <v>526</v>
      </c>
      <c r="B11">
        <v>1979</v>
      </c>
      <c r="C11" t="s">
        <v>80</v>
      </c>
      <c r="D11">
        <v>116.4</v>
      </c>
      <c r="E11">
        <v>272.5</v>
      </c>
      <c r="F11">
        <v>237.5</v>
      </c>
      <c r="G11">
        <v>270</v>
      </c>
      <c r="H11">
        <v>780</v>
      </c>
      <c r="I11">
        <v>2013</v>
      </c>
      <c r="J11" t="s">
        <v>29</v>
      </c>
      <c r="K11" t="s">
        <v>30</v>
      </c>
      <c r="L11" s="8">
        <f t="shared" si="0"/>
        <v>0.87962962962962965</v>
      </c>
    </row>
    <row r="12" spans="1:12">
      <c r="A12" t="s">
        <v>837</v>
      </c>
      <c r="B12">
        <v>1986</v>
      </c>
      <c r="C12" t="s">
        <v>62</v>
      </c>
      <c r="D12">
        <v>171.65</v>
      </c>
      <c r="E12">
        <v>425.5</v>
      </c>
      <c r="F12">
        <v>235</v>
      </c>
      <c r="G12">
        <v>340</v>
      </c>
      <c r="H12">
        <v>1000.5</v>
      </c>
      <c r="I12">
        <v>2015</v>
      </c>
      <c r="J12" t="s">
        <v>29</v>
      </c>
      <c r="K12" t="s">
        <v>30</v>
      </c>
      <c r="L12" s="8">
        <f t="shared" si="0"/>
        <v>0.69117647058823528</v>
      </c>
    </row>
    <row r="13" spans="1:12">
      <c r="A13" t="s">
        <v>837</v>
      </c>
      <c r="B13">
        <v>1986</v>
      </c>
      <c r="C13" t="s">
        <v>62</v>
      </c>
      <c r="D13">
        <v>162.4</v>
      </c>
      <c r="E13">
        <v>412.5</v>
      </c>
      <c r="F13">
        <v>235</v>
      </c>
      <c r="G13">
        <v>325</v>
      </c>
      <c r="H13">
        <v>972.5</v>
      </c>
      <c r="I13">
        <v>2014</v>
      </c>
      <c r="J13" t="s">
        <v>29</v>
      </c>
      <c r="K13" t="s">
        <v>30</v>
      </c>
      <c r="L13" s="8">
        <f t="shared" si="0"/>
        <v>0.72307692307692306</v>
      </c>
    </row>
    <row r="14" spans="1:12">
      <c r="A14" t="s">
        <v>526</v>
      </c>
      <c r="B14">
        <v>1979</v>
      </c>
      <c r="C14" t="s">
        <v>80</v>
      </c>
      <c r="D14">
        <v>116.35</v>
      </c>
      <c r="E14">
        <v>275</v>
      </c>
      <c r="F14">
        <v>235</v>
      </c>
      <c r="G14">
        <v>277.5</v>
      </c>
      <c r="H14">
        <v>787.5</v>
      </c>
      <c r="I14">
        <v>2014</v>
      </c>
      <c r="J14" t="s">
        <v>29</v>
      </c>
      <c r="K14" t="s">
        <v>30</v>
      </c>
      <c r="L14" s="8">
        <f t="shared" si="0"/>
        <v>0.84684684684684686</v>
      </c>
    </row>
    <row r="15" spans="1:12">
      <c r="A15" t="s">
        <v>154</v>
      </c>
      <c r="B15">
        <v>1987</v>
      </c>
      <c r="C15" t="s">
        <v>62</v>
      </c>
      <c r="D15">
        <v>167.02</v>
      </c>
      <c r="E15">
        <v>410</v>
      </c>
      <c r="F15">
        <v>232.5</v>
      </c>
      <c r="G15">
        <v>335</v>
      </c>
      <c r="H15">
        <v>977.5</v>
      </c>
      <c r="I15">
        <v>2015</v>
      </c>
      <c r="J15" t="s">
        <v>29</v>
      </c>
      <c r="K15" t="s">
        <v>30</v>
      </c>
      <c r="L15" s="8">
        <f t="shared" si="0"/>
        <v>0.69402985074626866</v>
      </c>
    </row>
    <row r="16" spans="1:12">
      <c r="A16" t="s">
        <v>806</v>
      </c>
      <c r="B16">
        <v>1980</v>
      </c>
      <c r="C16" t="s">
        <v>406</v>
      </c>
      <c r="D16">
        <v>160.30000000000001</v>
      </c>
      <c r="E16">
        <v>350</v>
      </c>
      <c r="F16">
        <v>232.5</v>
      </c>
      <c r="G16">
        <v>310</v>
      </c>
      <c r="H16">
        <v>892.5</v>
      </c>
      <c r="I16">
        <v>2013</v>
      </c>
      <c r="J16" t="s">
        <v>29</v>
      </c>
      <c r="K16" t="s">
        <v>30</v>
      </c>
      <c r="L16" s="8">
        <f t="shared" si="0"/>
        <v>0.75</v>
      </c>
    </row>
    <row r="17" spans="1:12">
      <c r="A17" t="s">
        <v>489</v>
      </c>
      <c r="B17">
        <v>1966</v>
      </c>
      <c r="C17" t="s">
        <v>62</v>
      </c>
      <c r="D17">
        <v>147.05000000000001</v>
      </c>
      <c r="E17">
        <v>315</v>
      </c>
      <c r="F17">
        <v>230</v>
      </c>
      <c r="G17">
        <v>375</v>
      </c>
      <c r="H17">
        <v>920</v>
      </c>
      <c r="I17">
        <v>2013</v>
      </c>
      <c r="J17" t="s">
        <v>29</v>
      </c>
      <c r="K17" t="s">
        <v>30</v>
      </c>
      <c r="L17" s="8">
        <f t="shared" si="0"/>
        <v>0.61333333333333329</v>
      </c>
    </row>
    <row r="18" spans="1:12">
      <c r="A18" t="s">
        <v>431</v>
      </c>
      <c r="B18">
        <v>1984</v>
      </c>
      <c r="C18" t="s">
        <v>51</v>
      </c>
      <c r="D18">
        <v>118.51</v>
      </c>
      <c r="E18">
        <v>327.5</v>
      </c>
      <c r="F18">
        <v>230</v>
      </c>
      <c r="G18">
        <v>342.5</v>
      </c>
      <c r="H18">
        <v>900</v>
      </c>
      <c r="I18">
        <v>2015</v>
      </c>
      <c r="J18" t="s">
        <v>29</v>
      </c>
      <c r="K18" t="s">
        <v>30</v>
      </c>
      <c r="L18" s="8">
        <f t="shared" si="0"/>
        <v>0.67153284671532842</v>
      </c>
    </row>
    <row r="19" spans="1:12">
      <c r="A19" t="s">
        <v>145</v>
      </c>
      <c r="B19">
        <v>1972</v>
      </c>
      <c r="C19" t="s">
        <v>80</v>
      </c>
      <c r="D19">
        <v>137.5</v>
      </c>
      <c r="E19">
        <v>307.5</v>
      </c>
      <c r="F19">
        <v>227.5</v>
      </c>
      <c r="G19">
        <v>310</v>
      </c>
      <c r="H19">
        <v>845</v>
      </c>
      <c r="I19">
        <v>2012</v>
      </c>
      <c r="J19" t="s">
        <v>29</v>
      </c>
      <c r="K19" t="s">
        <v>30</v>
      </c>
      <c r="L19" s="8">
        <f t="shared" si="0"/>
        <v>0.7338709677419355</v>
      </c>
    </row>
    <row r="20" spans="1:12">
      <c r="A20" t="s">
        <v>561</v>
      </c>
      <c r="B20">
        <v>1988</v>
      </c>
      <c r="C20" t="s">
        <v>100</v>
      </c>
      <c r="D20">
        <v>118.26</v>
      </c>
      <c r="E20">
        <v>302.5</v>
      </c>
      <c r="F20">
        <v>227.5</v>
      </c>
      <c r="G20">
        <v>285</v>
      </c>
      <c r="H20">
        <v>815</v>
      </c>
      <c r="I20">
        <v>2015</v>
      </c>
      <c r="J20" t="s">
        <v>29</v>
      </c>
      <c r="K20" t="s">
        <v>30</v>
      </c>
      <c r="L20" s="8">
        <f t="shared" si="0"/>
        <v>0.79824561403508776</v>
      </c>
    </row>
    <row r="21" spans="1:12">
      <c r="A21" t="s">
        <v>531</v>
      </c>
      <c r="B21">
        <v>1979</v>
      </c>
      <c r="C21" t="s">
        <v>352</v>
      </c>
      <c r="D21">
        <v>118.85</v>
      </c>
      <c r="E21">
        <v>337.5</v>
      </c>
      <c r="F21">
        <v>225</v>
      </c>
      <c r="G21">
        <v>342.5</v>
      </c>
      <c r="H21">
        <v>905</v>
      </c>
      <c r="I21">
        <v>2013</v>
      </c>
      <c r="J21" t="s">
        <v>29</v>
      </c>
      <c r="K21" t="s">
        <v>30</v>
      </c>
      <c r="L21" s="8">
        <f t="shared" si="0"/>
        <v>0.65693430656934304</v>
      </c>
    </row>
    <row r="22" spans="1:12">
      <c r="A22" t="s">
        <v>713</v>
      </c>
      <c r="B22">
        <v>1988</v>
      </c>
      <c r="C22" t="s">
        <v>142</v>
      </c>
      <c r="D22">
        <v>182.5</v>
      </c>
      <c r="E22">
        <v>327.5</v>
      </c>
      <c r="F22">
        <v>225</v>
      </c>
      <c r="G22">
        <v>342.5</v>
      </c>
      <c r="H22">
        <v>895</v>
      </c>
      <c r="I22">
        <v>2015</v>
      </c>
      <c r="J22" t="s">
        <v>29</v>
      </c>
      <c r="K22" t="s">
        <v>30</v>
      </c>
      <c r="L22" s="8">
        <f t="shared" si="0"/>
        <v>0.65693430656934304</v>
      </c>
    </row>
    <row r="23" spans="1:12">
      <c r="A23" t="s">
        <v>556</v>
      </c>
      <c r="B23">
        <v>1988</v>
      </c>
      <c r="C23" t="s">
        <v>51</v>
      </c>
      <c r="D23">
        <v>174.25</v>
      </c>
      <c r="E23">
        <v>335</v>
      </c>
      <c r="F23">
        <v>225</v>
      </c>
      <c r="G23">
        <v>332.5</v>
      </c>
      <c r="H23">
        <v>892.5</v>
      </c>
      <c r="I23">
        <v>2015</v>
      </c>
      <c r="J23" t="s">
        <v>29</v>
      </c>
      <c r="K23" t="s">
        <v>30</v>
      </c>
      <c r="L23" s="8">
        <f t="shared" si="0"/>
        <v>0.67669172932330823</v>
      </c>
    </row>
    <row r="24" spans="1:12">
      <c r="A24" t="s">
        <v>531</v>
      </c>
      <c r="B24">
        <v>1979</v>
      </c>
      <c r="C24" t="s">
        <v>352</v>
      </c>
      <c r="D24">
        <v>119.93</v>
      </c>
      <c r="E24">
        <v>342.5</v>
      </c>
      <c r="F24">
        <v>222.5</v>
      </c>
      <c r="G24">
        <v>362.5</v>
      </c>
      <c r="H24">
        <v>927.5</v>
      </c>
      <c r="I24">
        <v>2015</v>
      </c>
      <c r="J24" t="s">
        <v>29</v>
      </c>
      <c r="K24" t="s">
        <v>30</v>
      </c>
      <c r="L24" s="8">
        <f t="shared" si="0"/>
        <v>0.61379310344827587</v>
      </c>
    </row>
    <row r="25" spans="1:12">
      <c r="A25" t="s">
        <v>99</v>
      </c>
      <c r="B25">
        <v>1988</v>
      </c>
      <c r="C25" t="s">
        <v>100</v>
      </c>
      <c r="D25">
        <v>156.15</v>
      </c>
      <c r="E25">
        <v>390</v>
      </c>
      <c r="F25">
        <v>222.5</v>
      </c>
      <c r="G25">
        <v>337.5</v>
      </c>
      <c r="H25">
        <v>950</v>
      </c>
      <c r="I25">
        <v>2015</v>
      </c>
      <c r="J25" t="s">
        <v>29</v>
      </c>
      <c r="K25" t="s">
        <v>30</v>
      </c>
      <c r="L25" s="8">
        <f t="shared" si="0"/>
        <v>0.65925925925925921</v>
      </c>
    </row>
    <row r="26" spans="1:12">
      <c r="A26" t="s">
        <v>597</v>
      </c>
      <c r="B26">
        <v>1988</v>
      </c>
      <c r="C26" t="s">
        <v>28</v>
      </c>
      <c r="D26">
        <v>119.75</v>
      </c>
      <c r="E26">
        <v>327.5</v>
      </c>
      <c r="F26">
        <v>222.5</v>
      </c>
      <c r="G26">
        <v>337.5</v>
      </c>
      <c r="H26">
        <v>887.5</v>
      </c>
      <c r="I26">
        <v>2013</v>
      </c>
      <c r="J26" t="s">
        <v>29</v>
      </c>
      <c r="K26" t="s">
        <v>30</v>
      </c>
      <c r="L26" s="8">
        <f t="shared" si="0"/>
        <v>0.65925925925925921</v>
      </c>
    </row>
    <row r="27" spans="1:12">
      <c r="A27" t="s">
        <v>446</v>
      </c>
      <c r="B27">
        <v>1977</v>
      </c>
      <c r="C27" t="s">
        <v>72</v>
      </c>
      <c r="D27">
        <v>119.1</v>
      </c>
      <c r="E27">
        <v>275</v>
      </c>
      <c r="F27">
        <v>222.5</v>
      </c>
      <c r="G27">
        <v>285</v>
      </c>
      <c r="H27">
        <v>782.5</v>
      </c>
      <c r="I27">
        <v>2014</v>
      </c>
      <c r="J27" t="s">
        <v>29</v>
      </c>
      <c r="K27" t="s">
        <v>30</v>
      </c>
      <c r="L27" s="8">
        <f t="shared" si="0"/>
        <v>0.7807017543859649</v>
      </c>
    </row>
    <row r="28" spans="1:12">
      <c r="A28" t="s">
        <v>446</v>
      </c>
      <c r="B28">
        <v>1977</v>
      </c>
      <c r="C28" t="s">
        <v>72</v>
      </c>
      <c r="D28">
        <v>117.87</v>
      </c>
      <c r="E28">
        <v>285</v>
      </c>
      <c r="F28">
        <v>222.5</v>
      </c>
      <c r="G28">
        <v>280</v>
      </c>
      <c r="H28">
        <v>787.5</v>
      </c>
      <c r="I28">
        <v>2015</v>
      </c>
      <c r="J28" t="s">
        <v>29</v>
      </c>
      <c r="K28" t="s">
        <v>30</v>
      </c>
      <c r="L28" s="8">
        <f t="shared" si="0"/>
        <v>0.7946428571428571</v>
      </c>
    </row>
    <row r="29" spans="1:12">
      <c r="A29" t="s">
        <v>562</v>
      </c>
      <c r="B29">
        <v>1982</v>
      </c>
      <c r="C29" t="s">
        <v>563</v>
      </c>
      <c r="D29">
        <v>131.5</v>
      </c>
      <c r="E29">
        <v>270</v>
      </c>
      <c r="F29">
        <v>222.5</v>
      </c>
      <c r="G29">
        <v>265</v>
      </c>
      <c r="H29">
        <v>757.5</v>
      </c>
      <c r="I29">
        <v>2013</v>
      </c>
      <c r="J29" t="s">
        <v>29</v>
      </c>
      <c r="K29" t="s">
        <v>30</v>
      </c>
      <c r="L29" s="8">
        <f t="shared" si="0"/>
        <v>0.839622641509434</v>
      </c>
    </row>
    <row r="30" spans="1:12">
      <c r="A30" t="s">
        <v>608</v>
      </c>
      <c r="B30">
        <v>1979</v>
      </c>
      <c r="C30" t="s">
        <v>28</v>
      </c>
      <c r="D30">
        <v>103.1</v>
      </c>
      <c r="E30">
        <v>317.5</v>
      </c>
      <c r="F30">
        <v>221</v>
      </c>
      <c r="G30">
        <v>315</v>
      </c>
      <c r="H30">
        <v>853.5</v>
      </c>
      <c r="I30">
        <v>2014</v>
      </c>
      <c r="J30" t="s">
        <v>29</v>
      </c>
      <c r="K30" t="s">
        <v>30</v>
      </c>
      <c r="L30" s="8">
        <f t="shared" si="0"/>
        <v>0.70158730158730154</v>
      </c>
    </row>
    <row r="31" spans="1:12">
      <c r="A31" t="s">
        <v>597</v>
      </c>
      <c r="B31">
        <v>1988</v>
      </c>
      <c r="C31" t="s">
        <v>28</v>
      </c>
      <c r="D31">
        <v>118.55</v>
      </c>
      <c r="E31">
        <v>322.5</v>
      </c>
      <c r="F31">
        <v>220</v>
      </c>
      <c r="G31">
        <v>345</v>
      </c>
      <c r="H31">
        <v>887.5</v>
      </c>
      <c r="I31">
        <v>2014</v>
      </c>
      <c r="J31" t="s">
        <v>29</v>
      </c>
      <c r="K31" t="s">
        <v>30</v>
      </c>
      <c r="L31" s="8">
        <f t="shared" si="0"/>
        <v>0.6376811594202898</v>
      </c>
    </row>
    <row r="32" spans="1:12">
      <c r="A32" t="s">
        <v>577</v>
      </c>
      <c r="B32">
        <v>1985</v>
      </c>
      <c r="C32" t="s">
        <v>578</v>
      </c>
      <c r="D32">
        <v>160.85</v>
      </c>
      <c r="E32">
        <v>357.5</v>
      </c>
      <c r="F32">
        <v>220</v>
      </c>
      <c r="G32">
        <v>340</v>
      </c>
      <c r="H32">
        <v>917.5</v>
      </c>
      <c r="I32">
        <v>2014</v>
      </c>
      <c r="J32" t="s">
        <v>29</v>
      </c>
      <c r="K32" t="s">
        <v>30</v>
      </c>
      <c r="L32" s="8">
        <f t="shared" si="0"/>
        <v>0.6470588235294118</v>
      </c>
    </row>
    <row r="33" spans="1:12">
      <c r="A33" t="s">
        <v>431</v>
      </c>
      <c r="B33">
        <v>1984</v>
      </c>
      <c r="C33" t="s">
        <v>51</v>
      </c>
      <c r="D33">
        <v>119.2</v>
      </c>
      <c r="E33">
        <v>310</v>
      </c>
      <c r="F33">
        <v>220</v>
      </c>
      <c r="G33">
        <v>340</v>
      </c>
      <c r="H33">
        <v>870</v>
      </c>
      <c r="I33">
        <v>2013</v>
      </c>
      <c r="J33" t="s">
        <v>29</v>
      </c>
      <c r="K33" t="s">
        <v>30</v>
      </c>
      <c r="L33" s="8">
        <f t="shared" si="0"/>
        <v>0.6470588235294118</v>
      </c>
    </row>
    <row r="34" spans="1:12">
      <c r="A34" t="s">
        <v>431</v>
      </c>
      <c r="B34">
        <v>1984</v>
      </c>
      <c r="C34" t="s">
        <v>51</v>
      </c>
      <c r="D34">
        <v>118.65</v>
      </c>
      <c r="E34">
        <v>322.5</v>
      </c>
      <c r="F34">
        <v>220</v>
      </c>
      <c r="G34">
        <v>322.5</v>
      </c>
      <c r="H34">
        <v>865</v>
      </c>
      <c r="I34">
        <v>2014</v>
      </c>
      <c r="J34" t="s">
        <v>29</v>
      </c>
      <c r="K34" t="s">
        <v>30</v>
      </c>
      <c r="L34" s="8">
        <f t="shared" si="0"/>
        <v>0.68217054263565891</v>
      </c>
    </row>
    <row r="35" spans="1:12">
      <c r="A35" t="s">
        <v>446</v>
      </c>
      <c r="B35">
        <v>1977</v>
      </c>
      <c r="C35" t="s">
        <v>72</v>
      </c>
      <c r="D35">
        <v>119.6</v>
      </c>
      <c r="E35">
        <v>265</v>
      </c>
      <c r="F35">
        <v>220</v>
      </c>
      <c r="G35">
        <v>272.5</v>
      </c>
      <c r="H35">
        <v>757.5</v>
      </c>
      <c r="I35">
        <v>2013</v>
      </c>
      <c r="J35" t="s">
        <v>29</v>
      </c>
      <c r="K35" t="s">
        <v>30</v>
      </c>
      <c r="L35" s="8">
        <f t="shared" si="0"/>
        <v>0.80733944954128445</v>
      </c>
    </row>
    <row r="36" spans="1:12">
      <c r="A36" t="s">
        <v>99</v>
      </c>
      <c r="B36">
        <v>1988</v>
      </c>
      <c r="C36" t="s">
        <v>100</v>
      </c>
      <c r="D36">
        <v>152.9</v>
      </c>
      <c r="E36">
        <v>370</v>
      </c>
      <c r="F36">
        <v>217.5</v>
      </c>
      <c r="G36">
        <v>327.5</v>
      </c>
      <c r="H36">
        <v>915</v>
      </c>
      <c r="I36">
        <v>2014</v>
      </c>
      <c r="J36" t="s">
        <v>29</v>
      </c>
      <c r="K36" t="s">
        <v>30</v>
      </c>
      <c r="L36" s="8">
        <f t="shared" si="0"/>
        <v>0.66412213740458015</v>
      </c>
    </row>
    <row r="37" spans="1:12">
      <c r="A37" t="s">
        <v>574</v>
      </c>
      <c r="B37">
        <v>1985</v>
      </c>
      <c r="C37" t="s">
        <v>39</v>
      </c>
      <c r="D37">
        <v>133.94999999999999</v>
      </c>
      <c r="E37">
        <v>325</v>
      </c>
      <c r="F37">
        <v>215</v>
      </c>
      <c r="G37">
        <v>355</v>
      </c>
      <c r="H37">
        <v>895</v>
      </c>
      <c r="I37">
        <v>2013</v>
      </c>
      <c r="J37" t="s">
        <v>29</v>
      </c>
      <c r="K37" t="s">
        <v>30</v>
      </c>
      <c r="L37" s="8">
        <f t="shared" si="0"/>
        <v>0.60563380281690138</v>
      </c>
    </row>
    <row r="38" spans="1:12">
      <c r="A38" t="s">
        <v>385</v>
      </c>
      <c r="B38">
        <v>1990</v>
      </c>
      <c r="C38" t="s">
        <v>28</v>
      </c>
      <c r="D38">
        <v>103.56</v>
      </c>
      <c r="E38">
        <v>315</v>
      </c>
      <c r="F38">
        <v>215</v>
      </c>
      <c r="G38">
        <v>337.5</v>
      </c>
      <c r="H38">
        <v>867.5</v>
      </c>
      <c r="I38">
        <v>2014</v>
      </c>
      <c r="J38" t="s">
        <v>29</v>
      </c>
      <c r="K38" t="s">
        <v>30</v>
      </c>
      <c r="L38" s="8">
        <f t="shared" si="0"/>
        <v>0.63703703703703707</v>
      </c>
    </row>
    <row r="39" spans="1:12">
      <c r="A39" t="s">
        <v>757</v>
      </c>
      <c r="B39">
        <v>1977</v>
      </c>
      <c r="C39" t="s">
        <v>39</v>
      </c>
      <c r="D39">
        <v>147.1</v>
      </c>
      <c r="E39">
        <v>285</v>
      </c>
      <c r="F39">
        <v>215</v>
      </c>
      <c r="G39">
        <v>335</v>
      </c>
      <c r="H39">
        <v>835</v>
      </c>
      <c r="I39">
        <v>2013</v>
      </c>
      <c r="J39" t="s">
        <v>29</v>
      </c>
      <c r="K39" t="s">
        <v>30</v>
      </c>
      <c r="L39" s="8">
        <f t="shared" si="0"/>
        <v>0.64179104477611937</v>
      </c>
    </row>
    <row r="40" spans="1:12">
      <c r="A40" t="s">
        <v>99</v>
      </c>
      <c r="B40">
        <v>1988</v>
      </c>
      <c r="C40" t="s">
        <v>100</v>
      </c>
      <c r="D40">
        <v>142.94999999999999</v>
      </c>
      <c r="E40">
        <v>345</v>
      </c>
      <c r="F40">
        <v>215</v>
      </c>
      <c r="G40">
        <v>332.5</v>
      </c>
      <c r="H40">
        <v>892.5</v>
      </c>
      <c r="I40">
        <v>2013</v>
      </c>
      <c r="J40" t="s">
        <v>29</v>
      </c>
      <c r="K40" t="s">
        <v>30</v>
      </c>
      <c r="L40" s="8">
        <f t="shared" si="0"/>
        <v>0.64661654135338342</v>
      </c>
    </row>
    <row r="41" spans="1:12">
      <c r="A41" t="s">
        <v>626</v>
      </c>
      <c r="B41">
        <v>1983</v>
      </c>
      <c r="C41" t="s">
        <v>445</v>
      </c>
      <c r="D41">
        <v>156.85</v>
      </c>
      <c r="E41">
        <v>392.5</v>
      </c>
      <c r="F41">
        <v>215</v>
      </c>
      <c r="G41">
        <v>320</v>
      </c>
      <c r="H41">
        <v>927.5</v>
      </c>
      <c r="I41">
        <v>2015</v>
      </c>
      <c r="J41" t="s">
        <v>29</v>
      </c>
      <c r="K41" t="s">
        <v>30</v>
      </c>
      <c r="L41" s="8">
        <f t="shared" si="0"/>
        <v>0.671875</v>
      </c>
    </row>
    <row r="42" spans="1:12">
      <c r="A42" t="s">
        <v>140</v>
      </c>
      <c r="B42">
        <v>1970</v>
      </c>
      <c r="C42" t="s">
        <v>56</v>
      </c>
      <c r="D42">
        <v>119.15</v>
      </c>
      <c r="E42">
        <v>312.5</v>
      </c>
      <c r="F42">
        <v>215</v>
      </c>
      <c r="G42">
        <v>320</v>
      </c>
      <c r="H42">
        <v>847.5</v>
      </c>
      <c r="I42">
        <v>2014</v>
      </c>
      <c r="J42" t="s">
        <v>29</v>
      </c>
      <c r="K42" t="s">
        <v>30</v>
      </c>
      <c r="L42" s="8">
        <f t="shared" si="0"/>
        <v>0.671875</v>
      </c>
    </row>
    <row r="43" spans="1:12">
      <c r="A43" t="s">
        <v>154</v>
      </c>
      <c r="B43">
        <v>1987</v>
      </c>
      <c r="C43" t="s">
        <v>62</v>
      </c>
      <c r="D43">
        <v>158.75</v>
      </c>
      <c r="E43">
        <v>375</v>
      </c>
      <c r="F43">
        <v>215</v>
      </c>
      <c r="G43">
        <v>317.5</v>
      </c>
      <c r="H43">
        <v>907.5</v>
      </c>
      <c r="I43">
        <v>2012</v>
      </c>
      <c r="J43" t="s">
        <v>29</v>
      </c>
      <c r="K43" t="s">
        <v>30</v>
      </c>
      <c r="L43" s="8">
        <f t="shared" si="0"/>
        <v>0.67716535433070868</v>
      </c>
    </row>
    <row r="44" spans="1:12">
      <c r="A44" t="s">
        <v>722</v>
      </c>
      <c r="B44">
        <v>1989</v>
      </c>
      <c r="C44" t="s">
        <v>390</v>
      </c>
      <c r="D44">
        <v>141.30000000000001</v>
      </c>
      <c r="E44">
        <v>305</v>
      </c>
      <c r="F44">
        <v>215</v>
      </c>
      <c r="G44">
        <v>312.5</v>
      </c>
      <c r="H44">
        <v>832.5</v>
      </c>
      <c r="I44">
        <v>2015</v>
      </c>
      <c r="J44" t="s">
        <v>29</v>
      </c>
      <c r="K44" t="s">
        <v>30</v>
      </c>
      <c r="L44" s="8">
        <f t="shared" si="0"/>
        <v>0.68799999999999994</v>
      </c>
    </row>
    <row r="45" spans="1:12">
      <c r="A45" t="s">
        <v>140</v>
      </c>
      <c r="B45">
        <v>1970</v>
      </c>
      <c r="C45" t="s">
        <v>56</v>
      </c>
      <c r="D45">
        <v>132</v>
      </c>
      <c r="E45">
        <v>330</v>
      </c>
      <c r="F45">
        <v>215</v>
      </c>
      <c r="G45">
        <v>310</v>
      </c>
      <c r="H45">
        <v>855</v>
      </c>
      <c r="I45">
        <v>2012</v>
      </c>
      <c r="J45" t="s">
        <v>29</v>
      </c>
      <c r="K45" t="s">
        <v>30</v>
      </c>
      <c r="L45" s="8">
        <f t="shared" si="0"/>
        <v>0.69354838709677424</v>
      </c>
    </row>
    <row r="46" spans="1:12">
      <c r="A46" t="s">
        <v>797</v>
      </c>
      <c r="B46">
        <v>1989</v>
      </c>
      <c r="C46" t="s">
        <v>80</v>
      </c>
      <c r="D46">
        <v>145.44999999999999</v>
      </c>
      <c r="E46">
        <v>312.5</v>
      </c>
      <c r="F46">
        <v>215</v>
      </c>
      <c r="G46">
        <v>300</v>
      </c>
      <c r="H46">
        <v>827.5</v>
      </c>
      <c r="I46">
        <v>2015</v>
      </c>
      <c r="J46" t="s">
        <v>29</v>
      </c>
      <c r="K46" t="s">
        <v>30</v>
      </c>
      <c r="L46" s="8">
        <f t="shared" si="0"/>
        <v>0.71666666666666667</v>
      </c>
    </row>
    <row r="47" spans="1:12">
      <c r="A47" t="s">
        <v>138</v>
      </c>
      <c r="B47">
        <v>1974</v>
      </c>
      <c r="C47" t="s">
        <v>125</v>
      </c>
      <c r="D47">
        <v>139.35</v>
      </c>
      <c r="E47">
        <v>307.5</v>
      </c>
      <c r="F47">
        <v>215</v>
      </c>
      <c r="G47">
        <v>290</v>
      </c>
      <c r="H47">
        <v>812.5</v>
      </c>
      <c r="I47">
        <v>2012</v>
      </c>
      <c r="J47" t="s">
        <v>29</v>
      </c>
      <c r="K47" t="s">
        <v>30</v>
      </c>
      <c r="L47" s="8">
        <f t="shared" si="0"/>
        <v>0.74137931034482762</v>
      </c>
    </row>
    <row r="48" spans="1:12">
      <c r="A48" t="s">
        <v>111</v>
      </c>
      <c r="B48">
        <v>1984</v>
      </c>
      <c r="C48" t="s">
        <v>32</v>
      </c>
      <c r="D48">
        <v>129.35</v>
      </c>
      <c r="E48">
        <v>260</v>
      </c>
      <c r="F48">
        <v>215</v>
      </c>
      <c r="G48">
        <v>275</v>
      </c>
      <c r="H48">
        <v>750</v>
      </c>
      <c r="I48">
        <v>2012</v>
      </c>
      <c r="J48" t="s">
        <v>29</v>
      </c>
      <c r="K48" t="s">
        <v>30</v>
      </c>
      <c r="L48" s="8">
        <f t="shared" si="0"/>
        <v>0.78181818181818186</v>
      </c>
    </row>
    <row r="49" spans="1:12">
      <c r="A49" t="s">
        <v>755</v>
      </c>
      <c r="B49">
        <v>1988</v>
      </c>
      <c r="C49" t="s">
        <v>72</v>
      </c>
      <c r="D49">
        <v>91.38</v>
      </c>
      <c r="E49">
        <v>290</v>
      </c>
      <c r="F49">
        <v>215</v>
      </c>
      <c r="G49">
        <v>270</v>
      </c>
      <c r="H49">
        <v>775</v>
      </c>
      <c r="I49">
        <v>2015</v>
      </c>
      <c r="J49" t="s">
        <v>29</v>
      </c>
      <c r="K49" t="s">
        <v>30</v>
      </c>
      <c r="L49" s="8">
        <f t="shared" si="0"/>
        <v>0.79629629629629628</v>
      </c>
    </row>
    <row r="50" spans="1:12">
      <c r="A50" t="s">
        <v>41</v>
      </c>
      <c r="B50">
        <v>1976</v>
      </c>
      <c r="C50" t="s">
        <v>42</v>
      </c>
      <c r="D50">
        <v>119.48</v>
      </c>
      <c r="E50">
        <v>350</v>
      </c>
      <c r="F50">
        <v>212.5</v>
      </c>
      <c r="G50">
        <v>365</v>
      </c>
      <c r="H50">
        <v>927.5</v>
      </c>
      <c r="I50">
        <v>2015</v>
      </c>
      <c r="J50" t="s">
        <v>29</v>
      </c>
      <c r="K50" t="s">
        <v>30</v>
      </c>
      <c r="L50" s="8">
        <f t="shared" si="0"/>
        <v>0.5821917808219178</v>
      </c>
    </row>
    <row r="51" spans="1:12">
      <c r="A51" t="s">
        <v>104</v>
      </c>
      <c r="B51">
        <v>1986</v>
      </c>
      <c r="C51" t="s">
        <v>39</v>
      </c>
      <c r="D51">
        <v>104.65</v>
      </c>
      <c r="E51">
        <v>310</v>
      </c>
      <c r="F51">
        <v>212.5</v>
      </c>
      <c r="G51">
        <v>332.5</v>
      </c>
      <c r="H51">
        <v>855</v>
      </c>
      <c r="I51">
        <v>2013</v>
      </c>
      <c r="J51" t="s">
        <v>29</v>
      </c>
      <c r="K51" t="s">
        <v>30</v>
      </c>
      <c r="L51" s="8">
        <f t="shared" si="0"/>
        <v>0.63909774436090228</v>
      </c>
    </row>
    <row r="52" spans="1:12">
      <c r="A52" t="s">
        <v>608</v>
      </c>
      <c r="B52">
        <v>1979</v>
      </c>
      <c r="C52" t="s">
        <v>28</v>
      </c>
      <c r="D52">
        <v>103.35</v>
      </c>
      <c r="E52">
        <v>310</v>
      </c>
      <c r="F52">
        <v>212.5</v>
      </c>
      <c r="G52">
        <v>315</v>
      </c>
      <c r="H52">
        <v>837.5</v>
      </c>
      <c r="I52">
        <v>2013</v>
      </c>
      <c r="J52" t="s">
        <v>29</v>
      </c>
      <c r="K52" t="s">
        <v>30</v>
      </c>
      <c r="L52" s="8">
        <f t="shared" si="0"/>
        <v>0.67460317460317465</v>
      </c>
    </row>
    <row r="53" spans="1:12">
      <c r="A53" t="s">
        <v>714</v>
      </c>
      <c r="B53">
        <v>1992</v>
      </c>
      <c r="C53" t="s">
        <v>142</v>
      </c>
      <c r="D53">
        <v>104.6</v>
      </c>
      <c r="E53">
        <v>330</v>
      </c>
      <c r="F53">
        <v>212.5</v>
      </c>
      <c r="G53">
        <v>310</v>
      </c>
      <c r="H53">
        <v>852.5</v>
      </c>
      <c r="I53">
        <v>2014</v>
      </c>
      <c r="J53" t="s">
        <v>29</v>
      </c>
      <c r="K53" t="s">
        <v>30</v>
      </c>
      <c r="L53" s="8">
        <f t="shared" si="0"/>
        <v>0.68548387096774188</v>
      </c>
    </row>
    <row r="54" spans="1:12">
      <c r="A54" t="s">
        <v>642</v>
      </c>
      <c r="B54">
        <v>1978</v>
      </c>
      <c r="C54" t="s">
        <v>62</v>
      </c>
      <c r="D54">
        <v>92.48</v>
      </c>
      <c r="E54">
        <v>265</v>
      </c>
      <c r="F54">
        <v>212.5</v>
      </c>
      <c r="G54">
        <v>307.5</v>
      </c>
      <c r="H54">
        <v>785</v>
      </c>
      <c r="I54">
        <v>2015</v>
      </c>
      <c r="J54" t="s">
        <v>29</v>
      </c>
      <c r="K54" t="s">
        <v>30</v>
      </c>
      <c r="L54" s="8">
        <f t="shared" si="0"/>
        <v>0.69105691056910568</v>
      </c>
    </row>
    <row r="55" spans="1:12">
      <c r="A55" t="s">
        <v>155</v>
      </c>
      <c r="B55">
        <v>1985</v>
      </c>
      <c r="C55" t="s">
        <v>77</v>
      </c>
      <c r="D55">
        <v>103.69</v>
      </c>
      <c r="E55">
        <v>295</v>
      </c>
      <c r="F55">
        <v>212.5</v>
      </c>
      <c r="G55">
        <v>292.5</v>
      </c>
      <c r="H55">
        <v>800</v>
      </c>
      <c r="I55">
        <v>2015</v>
      </c>
      <c r="J55" t="s">
        <v>29</v>
      </c>
      <c r="K55" t="s">
        <v>30</v>
      </c>
      <c r="L55" s="8">
        <f t="shared" si="0"/>
        <v>0.72649572649572647</v>
      </c>
    </row>
    <row r="56" spans="1:12">
      <c r="A56" t="s">
        <v>642</v>
      </c>
      <c r="B56">
        <v>1978</v>
      </c>
      <c r="C56" t="s">
        <v>62</v>
      </c>
      <c r="D56">
        <v>92.25</v>
      </c>
      <c r="E56">
        <v>267.5</v>
      </c>
      <c r="F56">
        <v>212.5</v>
      </c>
      <c r="G56">
        <v>292.5</v>
      </c>
      <c r="H56">
        <v>772.5</v>
      </c>
      <c r="I56">
        <v>2014</v>
      </c>
      <c r="J56" t="s">
        <v>29</v>
      </c>
      <c r="K56" t="s">
        <v>30</v>
      </c>
      <c r="L56" s="8">
        <f t="shared" si="0"/>
        <v>0.72649572649572647</v>
      </c>
    </row>
    <row r="57" spans="1:12">
      <c r="A57" t="s">
        <v>127</v>
      </c>
      <c r="B57">
        <v>1978</v>
      </c>
      <c r="C57" t="s">
        <v>49</v>
      </c>
      <c r="D57">
        <v>136.33000000000001</v>
      </c>
      <c r="E57">
        <v>295</v>
      </c>
      <c r="F57">
        <v>212.5</v>
      </c>
      <c r="G57">
        <v>290</v>
      </c>
      <c r="H57">
        <v>797.5</v>
      </c>
      <c r="I57">
        <v>2015</v>
      </c>
      <c r="J57" t="s">
        <v>29</v>
      </c>
      <c r="K57" t="s">
        <v>30</v>
      </c>
      <c r="L57" s="8">
        <f t="shared" si="0"/>
        <v>0.73275862068965514</v>
      </c>
    </row>
    <row r="58" spans="1:12">
      <c r="A58" t="s">
        <v>703</v>
      </c>
      <c r="B58">
        <v>1991</v>
      </c>
      <c r="C58" t="s">
        <v>137</v>
      </c>
      <c r="D58">
        <v>73.27</v>
      </c>
      <c r="E58">
        <v>232.5</v>
      </c>
      <c r="F58">
        <v>210.5</v>
      </c>
      <c r="G58">
        <v>250</v>
      </c>
      <c r="H58">
        <v>693</v>
      </c>
      <c r="I58">
        <v>2015</v>
      </c>
      <c r="J58" t="s">
        <v>29</v>
      </c>
      <c r="K58" t="s">
        <v>30</v>
      </c>
      <c r="L58" s="8">
        <f t="shared" si="0"/>
        <v>0.84199999999999997</v>
      </c>
    </row>
    <row r="59" spans="1:12">
      <c r="A59" t="s">
        <v>41</v>
      </c>
      <c r="B59">
        <v>1976</v>
      </c>
      <c r="C59" t="s">
        <v>42</v>
      </c>
      <c r="D59">
        <v>119.7</v>
      </c>
      <c r="E59">
        <v>375</v>
      </c>
      <c r="F59">
        <v>210</v>
      </c>
      <c r="G59">
        <v>360</v>
      </c>
      <c r="H59">
        <v>945</v>
      </c>
      <c r="I59">
        <v>2014</v>
      </c>
      <c r="J59" t="s">
        <v>29</v>
      </c>
      <c r="K59" t="s">
        <v>30</v>
      </c>
      <c r="L59" s="8">
        <f t="shared" si="0"/>
        <v>0.58333333333333337</v>
      </c>
    </row>
    <row r="60" spans="1:12">
      <c r="A60" t="s">
        <v>158</v>
      </c>
      <c r="B60">
        <v>1985</v>
      </c>
      <c r="C60" t="s">
        <v>62</v>
      </c>
      <c r="D60">
        <v>119</v>
      </c>
      <c r="E60">
        <v>345</v>
      </c>
      <c r="F60">
        <v>210</v>
      </c>
      <c r="G60">
        <v>360</v>
      </c>
      <c r="H60">
        <v>915</v>
      </c>
      <c r="I60">
        <v>2014</v>
      </c>
      <c r="J60" t="s">
        <v>29</v>
      </c>
      <c r="K60" t="s">
        <v>30</v>
      </c>
      <c r="L60" s="8">
        <f t="shared" si="0"/>
        <v>0.58333333333333337</v>
      </c>
    </row>
    <row r="61" spans="1:12">
      <c r="A61" t="s">
        <v>41</v>
      </c>
      <c r="B61">
        <v>1976</v>
      </c>
      <c r="C61" t="s">
        <v>42</v>
      </c>
      <c r="D61">
        <v>119.85</v>
      </c>
      <c r="E61">
        <v>350</v>
      </c>
      <c r="F61">
        <v>210</v>
      </c>
      <c r="G61">
        <v>355.5</v>
      </c>
      <c r="H61">
        <v>915.5</v>
      </c>
      <c r="I61">
        <v>2012</v>
      </c>
      <c r="J61" t="s">
        <v>29</v>
      </c>
      <c r="K61" t="s">
        <v>30</v>
      </c>
      <c r="L61" s="8">
        <f t="shared" si="0"/>
        <v>0.59071729957805907</v>
      </c>
    </row>
    <row r="62" spans="1:12">
      <c r="A62" t="s">
        <v>46</v>
      </c>
      <c r="B62">
        <v>1972</v>
      </c>
      <c r="C62" t="s">
        <v>47</v>
      </c>
      <c r="D62">
        <v>103.55</v>
      </c>
      <c r="E62">
        <v>312.5</v>
      </c>
      <c r="F62">
        <v>210</v>
      </c>
      <c r="G62">
        <v>325</v>
      </c>
      <c r="H62">
        <v>847.5</v>
      </c>
      <c r="I62">
        <v>2012</v>
      </c>
      <c r="J62" t="s">
        <v>29</v>
      </c>
      <c r="K62" t="s">
        <v>30</v>
      </c>
      <c r="L62" s="8">
        <f t="shared" si="0"/>
        <v>0.64615384615384619</v>
      </c>
    </row>
    <row r="63" spans="1:12">
      <c r="A63" t="s">
        <v>714</v>
      </c>
      <c r="B63">
        <v>1992</v>
      </c>
      <c r="C63" t="s">
        <v>142</v>
      </c>
      <c r="D63">
        <v>103.35</v>
      </c>
      <c r="E63">
        <v>320</v>
      </c>
      <c r="F63">
        <v>210</v>
      </c>
      <c r="G63">
        <v>310</v>
      </c>
      <c r="H63">
        <v>840</v>
      </c>
      <c r="I63">
        <v>2013</v>
      </c>
      <c r="J63" t="s">
        <v>29</v>
      </c>
      <c r="K63" t="s">
        <v>30</v>
      </c>
      <c r="L63" s="8">
        <f t="shared" si="0"/>
        <v>0.67741935483870963</v>
      </c>
    </row>
    <row r="64" spans="1:12">
      <c r="A64" t="s">
        <v>67</v>
      </c>
      <c r="B64">
        <v>1986</v>
      </c>
      <c r="C64" t="s">
        <v>39</v>
      </c>
      <c r="D64">
        <v>118.2</v>
      </c>
      <c r="E64">
        <v>335</v>
      </c>
      <c r="F64">
        <v>210</v>
      </c>
      <c r="G64">
        <v>290</v>
      </c>
      <c r="H64">
        <v>835</v>
      </c>
      <c r="I64">
        <v>2013</v>
      </c>
      <c r="J64" t="s">
        <v>29</v>
      </c>
      <c r="K64" t="s">
        <v>30</v>
      </c>
      <c r="L64" s="8">
        <f t="shared" si="0"/>
        <v>0.72413793103448276</v>
      </c>
    </row>
    <row r="65" spans="1:12">
      <c r="A65" t="s">
        <v>155</v>
      </c>
      <c r="B65">
        <v>1985</v>
      </c>
      <c r="C65" t="s">
        <v>77</v>
      </c>
      <c r="D65">
        <v>103.1</v>
      </c>
      <c r="E65">
        <v>285</v>
      </c>
      <c r="F65">
        <v>210</v>
      </c>
      <c r="G65">
        <v>285</v>
      </c>
      <c r="H65">
        <v>780</v>
      </c>
      <c r="I65">
        <v>2013</v>
      </c>
      <c r="J65" t="s">
        <v>29</v>
      </c>
      <c r="K65" t="s">
        <v>30</v>
      </c>
      <c r="L65" s="8">
        <f t="shared" si="0"/>
        <v>0.73684210526315785</v>
      </c>
    </row>
    <row r="66" spans="1:12">
      <c r="A66" t="s">
        <v>405</v>
      </c>
      <c r="B66">
        <v>1989</v>
      </c>
      <c r="C66" t="s">
        <v>406</v>
      </c>
      <c r="D66">
        <v>117.2</v>
      </c>
      <c r="E66">
        <v>300</v>
      </c>
      <c r="F66">
        <v>210</v>
      </c>
      <c r="G66">
        <v>250</v>
      </c>
      <c r="H66">
        <v>760</v>
      </c>
      <c r="I66">
        <v>2013</v>
      </c>
      <c r="J66" t="s">
        <v>29</v>
      </c>
      <c r="K66" t="s">
        <v>30</v>
      </c>
      <c r="L66" s="8">
        <f t="shared" si="0"/>
        <v>0.84</v>
      </c>
    </row>
    <row r="67" spans="1:12">
      <c r="A67" t="s">
        <v>158</v>
      </c>
      <c r="B67">
        <v>1985</v>
      </c>
      <c r="C67" t="s">
        <v>62</v>
      </c>
      <c r="D67">
        <v>118.7</v>
      </c>
      <c r="E67">
        <v>315</v>
      </c>
      <c r="F67">
        <v>207.5</v>
      </c>
      <c r="G67">
        <v>342.5</v>
      </c>
      <c r="H67">
        <v>865</v>
      </c>
      <c r="I67">
        <v>2012</v>
      </c>
      <c r="J67" t="s">
        <v>29</v>
      </c>
      <c r="K67" t="s">
        <v>30</v>
      </c>
      <c r="L67" s="8">
        <f t="shared" ref="L67:L130" si="1">IF(AND(F67&lt;&gt;0,G67&lt;&gt;0),F67/G67,"")</f>
        <v>0.6058394160583942</v>
      </c>
    </row>
    <row r="68" spans="1:12">
      <c r="A68" t="s">
        <v>577</v>
      </c>
      <c r="B68">
        <v>1985</v>
      </c>
      <c r="C68" t="s">
        <v>578</v>
      </c>
      <c r="D68">
        <v>163.95</v>
      </c>
      <c r="E68">
        <v>345</v>
      </c>
      <c r="F68">
        <v>207.5</v>
      </c>
      <c r="G68">
        <v>332.5</v>
      </c>
      <c r="H68">
        <v>885</v>
      </c>
      <c r="I68">
        <v>2013</v>
      </c>
      <c r="J68" t="s">
        <v>29</v>
      </c>
      <c r="K68" t="s">
        <v>30</v>
      </c>
      <c r="L68" s="8">
        <f t="shared" si="1"/>
        <v>0.62406015037593987</v>
      </c>
    </row>
    <row r="69" spans="1:12">
      <c r="A69" t="s">
        <v>384</v>
      </c>
      <c r="B69">
        <v>1984</v>
      </c>
      <c r="C69" t="s">
        <v>137</v>
      </c>
      <c r="D69">
        <v>104.49</v>
      </c>
      <c r="E69">
        <v>290</v>
      </c>
      <c r="F69">
        <v>207.5</v>
      </c>
      <c r="G69">
        <v>330</v>
      </c>
      <c r="H69">
        <v>827.5</v>
      </c>
      <c r="I69">
        <v>2015</v>
      </c>
      <c r="J69" t="s">
        <v>29</v>
      </c>
      <c r="K69" t="s">
        <v>30</v>
      </c>
      <c r="L69" s="8">
        <f t="shared" si="1"/>
        <v>0.62878787878787878</v>
      </c>
    </row>
    <row r="70" spans="1:12">
      <c r="A70" t="s">
        <v>141</v>
      </c>
      <c r="B70">
        <v>1992</v>
      </c>
      <c r="C70" t="s">
        <v>142</v>
      </c>
      <c r="D70">
        <v>104.2</v>
      </c>
      <c r="E70">
        <v>325</v>
      </c>
      <c r="F70">
        <v>207.5</v>
      </c>
      <c r="G70">
        <v>312.5</v>
      </c>
      <c r="H70">
        <v>845</v>
      </c>
      <c r="I70">
        <v>2012</v>
      </c>
      <c r="J70" t="s">
        <v>29</v>
      </c>
      <c r="K70" t="s">
        <v>30</v>
      </c>
      <c r="L70" s="8">
        <f t="shared" si="1"/>
        <v>0.66400000000000003</v>
      </c>
    </row>
    <row r="71" spans="1:12">
      <c r="A71" t="s">
        <v>351</v>
      </c>
      <c r="B71">
        <v>1987</v>
      </c>
      <c r="C71" t="s">
        <v>352</v>
      </c>
      <c r="D71">
        <v>92.48</v>
      </c>
      <c r="E71">
        <v>275</v>
      </c>
      <c r="F71">
        <v>207.5</v>
      </c>
      <c r="G71">
        <v>300</v>
      </c>
      <c r="H71">
        <v>782.5</v>
      </c>
      <c r="I71">
        <v>2015</v>
      </c>
      <c r="J71" t="s">
        <v>29</v>
      </c>
      <c r="K71" t="s">
        <v>30</v>
      </c>
      <c r="L71" s="8">
        <f t="shared" si="1"/>
        <v>0.69166666666666665</v>
      </c>
    </row>
    <row r="72" spans="1:12">
      <c r="A72" t="s">
        <v>561</v>
      </c>
      <c r="B72">
        <v>1988</v>
      </c>
      <c r="C72" t="s">
        <v>100</v>
      </c>
      <c r="D72">
        <v>104.45</v>
      </c>
      <c r="E72">
        <v>265</v>
      </c>
      <c r="F72">
        <v>207.5</v>
      </c>
      <c r="G72">
        <v>282.5</v>
      </c>
      <c r="H72">
        <v>755</v>
      </c>
      <c r="I72">
        <v>2013</v>
      </c>
      <c r="J72" t="s">
        <v>29</v>
      </c>
      <c r="K72" t="s">
        <v>30</v>
      </c>
      <c r="L72" s="8">
        <f t="shared" si="1"/>
        <v>0.73451327433628322</v>
      </c>
    </row>
    <row r="73" spans="1:12">
      <c r="A73" t="s">
        <v>754</v>
      </c>
      <c r="B73">
        <v>1984</v>
      </c>
      <c r="C73" t="s">
        <v>109</v>
      </c>
      <c r="D73">
        <v>118.28</v>
      </c>
      <c r="E73">
        <v>275</v>
      </c>
      <c r="F73">
        <v>207.5</v>
      </c>
      <c r="G73">
        <v>270</v>
      </c>
      <c r="H73">
        <v>752.5</v>
      </c>
      <c r="I73">
        <v>2015</v>
      </c>
      <c r="J73" t="s">
        <v>29</v>
      </c>
      <c r="K73" t="s">
        <v>30</v>
      </c>
      <c r="L73" s="8">
        <f t="shared" si="1"/>
        <v>0.76851851851851849</v>
      </c>
    </row>
    <row r="74" spans="1:12">
      <c r="A74" t="s">
        <v>747</v>
      </c>
      <c r="B74">
        <v>1982</v>
      </c>
      <c r="C74" t="s">
        <v>480</v>
      </c>
      <c r="D74">
        <v>96.35</v>
      </c>
      <c r="E74">
        <v>220</v>
      </c>
      <c r="F74">
        <v>207.5</v>
      </c>
      <c r="G74">
        <v>180</v>
      </c>
      <c r="H74">
        <v>607.5</v>
      </c>
      <c r="I74">
        <v>2013</v>
      </c>
      <c r="J74" t="s">
        <v>29</v>
      </c>
      <c r="K74" t="s">
        <v>30</v>
      </c>
      <c r="L74" s="8">
        <f t="shared" si="1"/>
        <v>1.1527777777777777</v>
      </c>
    </row>
    <row r="75" spans="1:12">
      <c r="A75" t="s">
        <v>98</v>
      </c>
      <c r="B75">
        <v>1982</v>
      </c>
      <c r="C75" t="s">
        <v>28</v>
      </c>
      <c r="D75">
        <v>142.29</v>
      </c>
      <c r="E75">
        <v>365</v>
      </c>
      <c r="F75">
        <v>205</v>
      </c>
      <c r="G75">
        <v>362.5</v>
      </c>
      <c r="H75">
        <v>932.5</v>
      </c>
      <c r="I75">
        <v>2015</v>
      </c>
      <c r="J75" t="s">
        <v>29</v>
      </c>
      <c r="K75" t="s">
        <v>30</v>
      </c>
      <c r="L75" s="8">
        <f t="shared" si="1"/>
        <v>0.56551724137931036</v>
      </c>
    </row>
    <row r="76" spans="1:12">
      <c r="A76" t="s">
        <v>408</v>
      </c>
      <c r="B76">
        <v>1975</v>
      </c>
      <c r="C76" t="s">
        <v>119</v>
      </c>
      <c r="D76">
        <v>93</v>
      </c>
      <c r="E76">
        <v>300</v>
      </c>
      <c r="F76">
        <v>205</v>
      </c>
      <c r="G76">
        <v>342.5</v>
      </c>
      <c r="H76">
        <v>847.5</v>
      </c>
      <c r="I76">
        <v>2014</v>
      </c>
      <c r="J76" t="s">
        <v>29</v>
      </c>
      <c r="K76" t="s">
        <v>30</v>
      </c>
      <c r="L76" s="8">
        <f t="shared" si="1"/>
        <v>0.59854014598540151</v>
      </c>
    </row>
    <row r="77" spans="1:12">
      <c r="A77" t="s">
        <v>384</v>
      </c>
      <c r="B77">
        <v>1984</v>
      </c>
      <c r="C77" t="s">
        <v>137</v>
      </c>
      <c r="D77">
        <v>104.45</v>
      </c>
      <c r="E77">
        <v>300</v>
      </c>
      <c r="F77">
        <v>205</v>
      </c>
      <c r="G77">
        <v>332.5</v>
      </c>
      <c r="H77">
        <v>837.5</v>
      </c>
      <c r="I77">
        <v>2014</v>
      </c>
      <c r="J77" t="s">
        <v>29</v>
      </c>
      <c r="K77" t="s">
        <v>30</v>
      </c>
      <c r="L77" s="8">
        <f t="shared" si="1"/>
        <v>0.61654135338345861</v>
      </c>
    </row>
    <row r="78" spans="1:12">
      <c r="A78" t="s">
        <v>719</v>
      </c>
      <c r="B78">
        <v>1989</v>
      </c>
      <c r="C78" t="s">
        <v>56</v>
      </c>
      <c r="D78">
        <v>153.33000000000001</v>
      </c>
      <c r="E78">
        <v>332.5</v>
      </c>
      <c r="F78">
        <v>205</v>
      </c>
      <c r="G78">
        <v>312.5</v>
      </c>
      <c r="H78">
        <v>850</v>
      </c>
      <c r="I78">
        <v>2015</v>
      </c>
      <c r="J78" t="s">
        <v>29</v>
      </c>
      <c r="K78" t="s">
        <v>30</v>
      </c>
      <c r="L78" s="8">
        <f t="shared" si="1"/>
        <v>0.65600000000000003</v>
      </c>
    </row>
    <row r="79" spans="1:12">
      <c r="A79" t="s">
        <v>99</v>
      </c>
      <c r="B79">
        <v>1988</v>
      </c>
      <c r="C79" t="s">
        <v>100</v>
      </c>
      <c r="D79">
        <v>142.5</v>
      </c>
      <c r="E79">
        <v>325</v>
      </c>
      <c r="F79">
        <v>205</v>
      </c>
      <c r="G79">
        <v>310</v>
      </c>
      <c r="H79">
        <v>840</v>
      </c>
      <c r="I79">
        <v>2012</v>
      </c>
      <c r="J79" t="s">
        <v>29</v>
      </c>
      <c r="K79" t="s">
        <v>30</v>
      </c>
      <c r="L79" s="8">
        <f t="shared" si="1"/>
        <v>0.66129032258064513</v>
      </c>
    </row>
    <row r="80" spans="1:12">
      <c r="A80" t="s">
        <v>149</v>
      </c>
      <c r="B80">
        <v>1987</v>
      </c>
      <c r="C80" t="s">
        <v>35</v>
      </c>
      <c r="D80">
        <v>162.19999999999999</v>
      </c>
      <c r="E80">
        <v>322.5</v>
      </c>
      <c r="F80">
        <v>205</v>
      </c>
      <c r="G80">
        <v>305</v>
      </c>
      <c r="H80">
        <v>832.5</v>
      </c>
      <c r="I80">
        <v>2013</v>
      </c>
      <c r="J80" t="s">
        <v>29</v>
      </c>
      <c r="K80" t="s">
        <v>30</v>
      </c>
      <c r="L80" s="8">
        <f t="shared" si="1"/>
        <v>0.67213114754098358</v>
      </c>
    </row>
    <row r="81" spans="1:12">
      <c r="A81" t="s">
        <v>90</v>
      </c>
      <c r="B81">
        <v>1980</v>
      </c>
      <c r="C81" t="s">
        <v>28</v>
      </c>
      <c r="D81">
        <v>92.25</v>
      </c>
      <c r="E81">
        <v>252.5</v>
      </c>
      <c r="F81">
        <v>205</v>
      </c>
      <c r="G81">
        <v>300</v>
      </c>
      <c r="H81">
        <v>757.5</v>
      </c>
      <c r="I81">
        <v>2012</v>
      </c>
      <c r="J81" t="s">
        <v>29</v>
      </c>
      <c r="K81" t="s">
        <v>30</v>
      </c>
      <c r="L81" s="8">
        <f t="shared" si="1"/>
        <v>0.68333333333333335</v>
      </c>
    </row>
    <row r="82" spans="1:12">
      <c r="A82" t="s">
        <v>133</v>
      </c>
      <c r="B82">
        <v>1983</v>
      </c>
      <c r="C82" t="s">
        <v>35</v>
      </c>
      <c r="D82">
        <v>119.25</v>
      </c>
      <c r="E82">
        <v>302.5</v>
      </c>
      <c r="F82">
        <v>205</v>
      </c>
      <c r="G82">
        <v>292.5</v>
      </c>
      <c r="H82">
        <v>800</v>
      </c>
      <c r="I82">
        <v>2012</v>
      </c>
      <c r="J82" t="s">
        <v>29</v>
      </c>
      <c r="K82" t="s">
        <v>30</v>
      </c>
      <c r="L82" s="8">
        <f t="shared" si="1"/>
        <v>0.70085470085470081</v>
      </c>
    </row>
    <row r="83" spans="1:12">
      <c r="A83" t="s">
        <v>458</v>
      </c>
      <c r="B83">
        <v>1985</v>
      </c>
      <c r="C83" t="s">
        <v>194</v>
      </c>
      <c r="D83">
        <v>117.35</v>
      </c>
      <c r="E83">
        <v>265</v>
      </c>
      <c r="F83">
        <v>205</v>
      </c>
      <c r="G83">
        <v>292.5</v>
      </c>
      <c r="H83">
        <v>762.5</v>
      </c>
      <c r="I83">
        <v>2014</v>
      </c>
      <c r="J83" t="s">
        <v>29</v>
      </c>
      <c r="K83" t="s">
        <v>30</v>
      </c>
      <c r="L83" s="8">
        <f t="shared" si="1"/>
        <v>0.70085470085470081</v>
      </c>
    </row>
    <row r="84" spans="1:12">
      <c r="A84" t="s">
        <v>530</v>
      </c>
      <c r="B84">
        <v>1982</v>
      </c>
      <c r="C84" t="s">
        <v>56</v>
      </c>
      <c r="D84">
        <v>101.95</v>
      </c>
      <c r="E84">
        <v>267.5</v>
      </c>
      <c r="F84">
        <v>205</v>
      </c>
      <c r="G84">
        <v>290</v>
      </c>
      <c r="H84">
        <v>762.5</v>
      </c>
      <c r="I84">
        <v>2013</v>
      </c>
      <c r="J84" t="s">
        <v>29</v>
      </c>
      <c r="K84" t="s">
        <v>30</v>
      </c>
      <c r="L84" s="8">
        <f t="shared" si="1"/>
        <v>0.7068965517241379</v>
      </c>
    </row>
    <row r="85" spans="1:12">
      <c r="A85" t="s">
        <v>644</v>
      </c>
      <c r="B85">
        <v>1978</v>
      </c>
      <c r="C85" t="s">
        <v>62</v>
      </c>
      <c r="D85">
        <v>91.65</v>
      </c>
      <c r="E85">
        <v>252.5</v>
      </c>
      <c r="F85">
        <v>205</v>
      </c>
      <c r="G85">
        <v>290</v>
      </c>
      <c r="H85">
        <v>747.5</v>
      </c>
      <c r="I85">
        <v>2013</v>
      </c>
      <c r="J85" t="s">
        <v>29</v>
      </c>
      <c r="K85" t="s">
        <v>30</v>
      </c>
      <c r="L85" s="8">
        <f t="shared" si="1"/>
        <v>0.7068965517241379</v>
      </c>
    </row>
    <row r="86" spans="1:12">
      <c r="A86" t="s">
        <v>155</v>
      </c>
      <c r="B86">
        <v>1985</v>
      </c>
      <c r="C86" t="s">
        <v>77</v>
      </c>
      <c r="D86">
        <v>99.85</v>
      </c>
      <c r="E86">
        <v>275</v>
      </c>
      <c r="F86">
        <v>205</v>
      </c>
      <c r="G86">
        <v>260</v>
      </c>
      <c r="H86">
        <v>740</v>
      </c>
      <c r="I86">
        <v>2012</v>
      </c>
      <c r="J86" t="s">
        <v>29</v>
      </c>
      <c r="K86" t="s">
        <v>30</v>
      </c>
      <c r="L86" s="8">
        <f t="shared" si="1"/>
        <v>0.78846153846153844</v>
      </c>
    </row>
    <row r="87" spans="1:12">
      <c r="A87" t="s">
        <v>158</v>
      </c>
      <c r="B87">
        <v>1985</v>
      </c>
      <c r="C87" t="s">
        <v>62</v>
      </c>
      <c r="D87">
        <v>117.95</v>
      </c>
      <c r="E87">
        <v>345</v>
      </c>
      <c r="F87">
        <v>202.5</v>
      </c>
      <c r="G87">
        <v>345</v>
      </c>
      <c r="H87">
        <v>892.5</v>
      </c>
      <c r="I87">
        <v>2013</v>
      </c>
      <c r="J87" t="s">
        <v>29</v>
      </c>
      <c r="K87" t="s">
        <v>30</v>
      </c>
      <c r="L87" s="8">
        <f t="shared" si="1"/>
        <v>0.58695652173913049</v>
      </c>
    </row>
    <row r="88" spans="1:12">
      <c r="A88" t="s">
        <v>98</v>
      </c>
      <c r="B88">
        <v>1982</v>
      </c>
      <c r="C88" t="s">
        <v>28</v>
      </c>
      <c r="D88">
        <v>137.15</v>
      </c>
      <c r="E88">
        <v>342.5</v>
      </c>
      <c r="F88">
        <v>202.5</v>
      </c>
      <c r="G88">
        <v>337.5</v>
      </c>
      <c r="H88">
        <v>882.5</v>
      </c>
      <c r="I88">
        <v>2014</v>
      </c>
      <c r="J88" t="s">
        <v>29</v>
      </c>
      <c r="K88" t="s">
        <v>30</v>
      </c>
      <c r="L88" s="8">
        <f t="shared" si="1"/>
        <v>0.6</v>
      </c>
    </row>
    <row r="89" spans="1:12">
      <c r="A89" t="s">
        <v>487</v>
      </c>
      <c r="B89">
        <v>1991</v>
      </c>
      <c r="C89" t="s">
        <v>163</v>
      </c>
      <c r="D89">
        <v>82.4</v>
      </c>
      <c r="E89">
        <v>270</v>
      </c>
      <c r="F89">
        <v>202.5</v>
      </c>
      <c r="G89">
        <v>302.5</v>
      </c>
      <c r="H89">
        <v>775</v>
      </c>
      <c r="I89">
        <v>2015</v>
      </c>
      <c r="J89" t="s">
        <v>29</v>
      </c>
      <c r="K89" t="s">
        <v>30</v>
      </c>
      <c r="L89" s="8">
        <f t="shared" si="1"/>
        <v>0.66942148760330578</v>
      </c>
    </row>
    <row r="90" spans="1:12">
      <c r="A90" t="s">
        <v>504</v>
      </c>
      <c r="B90">
        <v>1989</v>
      </c>
      <c r="C90" t="s">
        <v>85</v>
      </c>
      <c r="D90">
        <v>104.05</v>
      </c>
      <c r="E90">
        <v>280</v>
      </c>
      <c r="F90">
        <v>202.5</v>
      </c>
      <c r="G90">
        <v>300</v>
      </c>
      <c r="H90">
        <v>782.5</v>
      </c>
      <c r="I90">
        <v>2015</v>
      </c>
      <c r="J90" t="s">
        <v>29</v>
      </c>
      <c r="K90" t="s">
        <v>30</v>
      </c>
      <c r="L90" s="8">
        <f t="shared" si="1"/>
        <v>0.67500000000000004</v>
      </c>
    </row>
    <row r="91" spans="1:12">
      <c r="A91" t="s">
        <v>158</v>
      </c>
      <c r="B91">
        <v>1985</v>
      </c>
      <c r="C91" t="s">
        <v>62</v>
      </c>
      <c r="D91">
        <v>119.72</v>
      </c>
      <c r="E91">
        <v>325</v>
      </c>
      <c r="F91">
        <v>200</v>
      </c>
      <c r="G91">
        <v>335</v>
      </c>
      <c r="H91">
        <v>860</v>
      </c>
      <c r="I91">
        <v>2015</v>
      </c>
      <c r="J91" t="s">
        <v>29</v>
      </c>
      <c r="K91" t="s">
        <v>30</v>
      </c>
      <c r="L91" s="8">
        <f t="shared" si="1"/>
        <v>0.59701492537313428</v>
      </c>
    </row>
    <row r="92" spans="1:12">
      <c r="A92" t="s">
        <v>116</v>
      </c>
      <c r="B92">
        <v>1974</v>
      </c>
      <c r="C92" t="s">
        <v>45</v>
      </c>
      <c r="D92">
        <v>129.55000000000001</v>
      </c>
      <c r="E92">
        <v>300</v>
      </c>
      <c r="F92">
        <v>200</v>
      </c>
      <c r="G92">
        <v>325</v>
      </c>
      <c r="H92">
        <v>825</v>
      </c>
      <c r="I92">
        <v>2012</v>
      </c>
      <c r="J92" t="s">
        <v>29</v>
      </c>
      <c r="K92" t="s">
        <v>30</v>
      </c>
      <c r="L92" s="8">
        <f t="shared" si="1"/>
        <v>0.61538461538461542</v>
      </c>
    </row>
    <row r="93" spans="1:12">
      <c r="A93" t="s">
        <v>110</v>
      </c>
      <c r="B93">
        <v>1979</v>
      </c>
      <c r="C93" t="s">
        <v>28</v>
      </c>
      <c r="D93">
        <v>104.05</v>
      </c>
      <c r="E93">
        <v>307.5</v>
      </c>
      <c r="F93">
        <v>200</v>
      </c>
      <c r="G93">
        <v>322.5</v>
      </c>
      <c r="H93">
        <v>830</v>
      </c>
      <c r="I93">
        <v>2012</v>
      </c>
      <c r="J93" t="s">
        <v>29</v>
      </c>
      <c r="K93" t="s">
        <v>30</v>
      </c>
      <c r="L93" s="8">
        <f t="shared" si="1"/>
        <v>0.62015503875968991</v>
      </c>
    </row>
    <row r="94" spans="1:12">
      <c r="A94" t="s">
        <v>508</v>
      </c>
      <c r="B94">
        <v>1988</v>
      </c>
      <c r="C94" t="s">
        <v>35</v>
      </c>
      <c r="D94">
        <v>116.94</v>
      </c>
      <c r="E94">
        <v>290</v>
      </c>
      <c r="F94">
        <v>200</v>
      </c>
      <c r="G94">
        <v>320</v>
      </c>
      <c r="H94">
        <v>810</v>
      </c>
      <c r="I94">
        <v>2015</v>
      </c>
      <c r="J94" t="s">
        <v>29</v>
      </c>
      <c r="K94" t="s">
        <v>30</v>
      </c>
      <c r="L94" s="8">
        <f t="shared" si="1"/>
        <v>0.625</v>
      </c>
    </row>
    <row r="95" spans="1:12">
      <c r="A95" t="s">
        <v>500</v>
      </c>
      <c r="B95">
        <v>1987</v>
      </c>
      <c r="C95" t="s">
        <v>125</v>
      </c>
      <c r="D95">
        <v>131.85</v>
      </c>
      <c r="E95">
        <v>285</v>
      </c>
      <c r="F95">
        <v>200</v>
      </c>
      <c r="G95">
        <v>317.5</v>
      </c>
      <c r="H95">
        <v>802.5</v>
      </c>
      <c r="I95">
        <v>2015</v>
      </c>
      <c r="J95" t="s">
        <v>29</v>
      </c>
      <c r="K95" t="s">
        <v>30</v>
      </c>
      <c r="L95" s="8">
        <f t="shared" si="1"/>
        <v>0.62992125984251968</v>
      </c>
    </row>
    <row r="96" spans="1:12">
      <c r="A96" t="s">
        <v>628</v>
      </c>
      <c r="B96">
        <v>1988</v>
      </c>
      <c r="C96" t="s">
        <v>51</v>
      </c>
      <c r="D96">
        <v>103</v>
      </c>
      <c r="E96">
        <v>295</v>
      </c>
      <c r="F96">
        <v>200</v>
      </c>
      <c r="G96">
        <v>307.5</v>
      </c>
      <c r="H96">
        <v>802.5</v>
      </c>
      <c r="I96">
        <v>2015</v>
      </c>
      <c r="J96" t="s">
        <v>29</v>
      </c>
      <c r="K96" t="s">
        <v>30</v>
      </c>
      <c r="L96" s="8">
        <f t="shared" si="1"/>
        <v>0.65040650406504064</v>
      </c>
    </row>
    <row r="97" spans="1:12">
      <c r="A97" t="s">
        <v>123</v>
      </c>
      <c r="B97">
        <v>1983</v>
      </c>
      <c r="C97" t="s">
        <v>80</v>
      </c>
      <c r="D97">
        <v>104.45</v>
      </c>
      <c r="E97">
        <v>300</v>
      </c>
      <c r="F97">
        <v>200</v>
      </c>
      <c r="G97">
        <v>305</v>
      </c>
      <c r="H97">
        <v>805</v>
      </c>
      <c r="I97">
        <v>2013</v>
      </c>
      <c r="J97" t="s">
        <v>29</v>
      </c>
      <c r="K97" t="s">
        <v>30</v>
      </c>
      <c r="L97" s="8">
        <f t="shared" si="1"/>
        <v>0.65573770491803274</v>
      </c>
    </row>
    <row r="98" spans="1:12">
      <c r="A98" t="s">
        <v>150</v>
      </c>
      <c r="B98">
        <v>1985</v>
      </c>
      <c r="C98" t="s">
        <v>54</v>
      </c>
      <c r="D98">
        <v>119.9</v>
      </c>
      <c r="E98">
        <v>262.5</v>
      </c>
      <c r="F98">
        <v>200</v>
      </c>
      <c r="G98">
        <v>285</v>
      </c>
      <c r="H98">
        <v>747.5</v>
      </c>
      <c r="I98">
        <v>2013</v>
      </c>
      <c r="J98" t="s">
        <v>29</v>
      </c>
      <c r="K98" t="s">
        <v>30</v>
      </c>
      <c r="L98" s="8">
        <f t="shared" si="1"/>
        <v>0.70175438596491224</v>
      </c>
    </row>
    <row r="99" spans="1:12">
      <c r="A99" t="s">
        <v>455</v>
      </c>
      <c r="B99">
        <v>1980</v>
      </c>
      <c r="C99" t="s">
        <v>119</v>
      </c>
      <c r="D99">
        <v>107.29</v>
      </c>
      <c r="E99">
        <v>315</v>
      </c>
      <c r="F99">
        <v>200</v>
      </c>
      <c r="G99">
        <v>280</v>
      </c>
      <c r="H99">
        <v>795</v>
      </c>
      <c r="I99">
        <v>2015</v>
      </c>
      <c r="J99" t="s">
        <v>29</v>
      </c>
      <c r="K99" t="s">
        <v>30</v>
      </c>
      <c r="L99" s="8">
        <f t="shared" si="1"/>
        <v>0.7142857142857143</v>
      </c>
    </row>
    <row r="100" spans="1:12">
      <c r="A100" t="s">
        <v>134</v>
      </c>
      <c r="B100">
        <v>1988</v>
      </c>
      <c r="C100" t="s">
        <v>51</v>
      </c>
      <c r="D100">
        <v>138.05000000000001</v>
      </c>
      <c r="E100">
        <v>285</v>
      </c>
      <c r="F100">
        <v>200</v>
      </c>
      <c r="G100">
        <v>275</v>
      </c>
      <c r="H100">
        <v>760</v>
      </c>
      <c r="I100">
        <v>2012</v>
      </c>
      <c r="J100" t="s">
        <v>29</v>
      </c>
      <c r="K100" t="s">
        <v>30</v>
      </c>
      <c r="L100" s="8">
        <f t="shared" si="1"/>
        <v>0.72727272727272729</v>
      </c>
    </row>
    <row r="101" spans="1:12">
      <c r="A101" t="s">
        <v>396</v>
      </c>
      <c r="B101">
        <v>1990</v>
      </c>
      <c r="C101" t="s">
        <v>194</v>
      </c>
      <c r="D101">
        <v>130</v>
      </c>
      <c r="E101">
        <v>287.5</v>
      </c>
      <c r="F101">
        <v>200</v>
      </c>
      <c r="G101">
        <v>265</v>
      </c>
      <c r="H101">
        <v>752.5</v>
      </c>
      <c r="I101">
        <v>2014</v>
      </c>
      <c r="J101" t="s">
        <v>29</v>
      </c>
      <c r="K101" t="s">
        <v>30</v>
      </c>
      <c r="L101" s="8">
        <f t="shared" si="1"/>
        <v>0.75471698113207553</v>
      </c>
    </row>
    <row r="102" spans="1:12">
      <c r="A102" t="s">
        <v>754</v>
      </c>
      <c r="B102">
        <v>1984</v>
      </c>
      <c r="C102" t="s">
        <v>109</v>
      </c>
      <c r="D102">
        <v>104.25</v>
      </c>
      <c r="E102">
        <v>245</v>
      </c>
      <c r="F102">
        <v>200</v>
      </c>
      <c r="G102">
        <v>265</v>
      </c>
      <c r="H102">
        <v>710</v>
      </c>
      <c r="I102">
        <v>2014</v>
      </c>
      <c r="J102" t="s">
        <v>29</v>
      </c>
      <c r="K102" t="s">
        <v>30</v>
      </c>
      <c r="L102" s="8">
        <f t="shared" si="1"/>
        <v>0.75471698113207553</v>
      </c>
    </row>
    <row r="103" spans="1:12">
      <c r="A103" t="s">
        <v>149</v>
      </c>
      <c r="B103">
        <v>1987</v>
      </c>
      <c r="C103" t="s">
        <v>35</v>
      </c>
      <c r="D103">
        <v>162.25</v>
      </c>
      <c r="E103">
        <v>332.5</v>
      </c>
      <c r="F103">
        <v>197.5</v>
      </c>
      <c r="G103">
        <v>330</v>
      </c>
      <c r="H103">
        <v>860</v>
      </c>
      <c r="I103">
        <v>2012</v>
      </c>
      <c r="J103" t="s">
        <v>29</v>
      </c>
      <c r="K103" t="s">
        <v>30</v>
      </c>
      <c r="L103" s="8">
        <f t="shared" si="1"/>
        <v>0.59848484848484851</v>
      </c>
    </row>
    <row r="104" spans="1:12">
      <c r="A104" t="s">
        <v>147</v>
      </c>
      <c r="B104">
        <v>1971</v>
      </c>
      <c r="C104" t="s">
        <v>28</v>
      </c>
      <c r="D104">
        <v>113.75</v>
      </c>
      <c r="E104">
        <v>340</v>
      </c>
      <c r="F104">
        <v>197.5</v>
      </c>
      <c r="G104">
        <v>327.5</v>
      </c>
      <c r="H104">
        <v>865</v>
      </c>
      <c r="I104">
        <v>2012</v>
      </c>
      <c r="J104" t="s">
        <v>29</v>
      </c>
      <c r="K104" t="s">
        <v>30</v>
      </c>
      <c r="L104" s="8">
        <f t="shared" si="1"/>
        <v>0.60305343511450382</v>
      </c>
    </row>
    <row r="105" spans="1:12">
      <c r="A105" t="s">
        <v>67</v>
      </c>
      <c r="B105">
        <v>1986</v>
      </c>
      <c r="C105" t="s">
        <v>39</v>
      </c>
      <c r="D105">
        <v>115.05</v>
      </c>
      <c r="E105">
        <v>300</v>
      </c>
      <c r="F105">
        <v>197.5</v>
      </c>
      <c r="G105">
        <v>307.5</v>
      </c>
      <c r="H105">
        <v>805</v>
      </c>
      <c r="I105">
        <v>2012</v>
      </c>
      <c r="J105" t="s">
        <v>29</v>
      </c>
      <c r="K105" t="s">
        <v>30</v>
      </c>
      <c r="L105" s="8">
        <f t="shared" si="1"/>
        <v>0.64227642276422769</v>
      </c>
    </row>
    <row r="106" spans="1:12">
      <c r="A106" t="s">
        <v>123</v>
      </c>
      <c r="B106">
        <v>1983</v>
      </c>
      <c r="C106" t="s">
        <v>80</v>
      </c>
      <c r="D106">
        <v>104.65</v>
      </c>
      <c r="E106">
        <v>290</v>
      </c>
      <c r="F106">
        <v>197.5</v>
      </c>
      <c r="G106">
        <v>300</v>
      </c>
      <c r="H106">
        <v>787.5</v>
      </c>
      <c r="I106">
        <v>2012</v>
      </c>
      <c r="J106" t="s">
        <v>29</v>
      </c>
      <c r="K106" t="s">
        <v>30</v>
      </c>
      <c r="L106" s="8">
        <f t="shared" si="1"/>
        <v>0.65833333333333333</v>
      </c>
    </row>
    <row r="107" spans="1:12">
      <c r="A107" t="s">
        <v>502</v>
      </c>
      <c r="B107">
        <v>1987</v>
      </c>
      <c r="C107" t="s">
        <v>28</v>
      </c>
      <c r="D107">
        <v>103.85</v>
      </c>
      <c r="E107">
        <v>310</v>
      </c>
      <c r="F107">
        <v>197.5</v>
      </c>
      <c r="G107">
        <v>295</v>
      </c>
      <c r="H107">
        <v>802.5</v>
      </c>
      <c r="I107">
        <v>2015</v>
      </c>
      <c r="J107" t="s">
        <v>29</v>
      </c>
      <c r="K107" t="s">
        <v>30</v>
      </c>
      <c r="L107" s="8">
        <f t="shared" si="1"/>
        <v>0.66949152542372881</v>
      </c>
    </row>
    <row r="108" spans="1:12">
      <c r="A108" t="s">
        <v>800</v>
      </c>
      <c r="B108">
        <v>1986</v>
      </c>
      <c r="C108" t="s">
        <v>62</v>
      </c>
      <c r="D108">
        <v>103.3</v>
      </c>
      <c r="E108">
        <v>270</v>
      </c>
      <c r="F108">
        <v>197.5</v>
      </c>
      <c r="G108">
        <v>285</v>
      </c>
      <c r="H108">
        <v>752.5</v>
      </c>
      <c r="I108">
        <v>2013</v>
      </c>
      <c r="J108" t="s">
        <v>29</v>
      </c>
      <c r="K108" t="s">
        <v>30</v>
      </c>
      <c r="L108" s="8">
        <f t="shared" si="1"/>
        <v>0.69298245614035092</v>
      </c>
    </row>
    <row r="109" spans="1:12">
      <c r="A109" t="s">
        <v>400</v>
      </c>
      <c r="B109">
        <v>1986</v>
      </c>
      <c r="C109" t="s">
        <v>113</v>
      </c>
      <c r="D109">
        <v>103.2</v>
      </c>
      <c r="E109">
        <v>252.5</v>
      </c>
      <c r="F109">
        <v>197.5</v>
      </c>
      <c r="G109">
        <v>250</v>
      </c>
      <c r="H109">
        <v>700</v>
      </c>
      <c r="I109">
        <v>2013</v>
      </c>
      <c r="J109" t="s">
        <v>29</v>
      </c>
      <c r="K109" t="s">
        <v>30</v>
      </c>
      <c r="L109" s="8">
        <f t="shared" si="1"/>
        <v>0.79</v>
      </c>
    </row>
    <row r="110" spans="1:12">
      <c r="A110" t="s">
        <v>643</v>
      </c>
      <c r="B110">
        <v>1993</v>
      </c>
      <c r="C110" t="s">
        <v>56</v>
      </c>
      <c r="D110">
        <v>119.78</v>
      </c>
      <c r="E110">
        <v>307.5</v>
      </c>
      <c r="F110">
        <v>195</v>
      </c>
      <c r="G110">
        <v>335</v>
      </c>
      <c r="H110">
        <v>837.5</v>
      </c>
      <c r="I110">
        <v>2015</v>
      </c>
      <c r="J110" t="s">
        <v>29</v>
      </c>
      <c r="K110" t="s">
        <v>30</v>
      </c>
      <c r="L110" s="8">
        <f t="shared" si="1"/>
        <v>0.58208955223880599</v>
      </c>
    </row>
    <row r="111" spans="1:12">
      <c r="A111" t="s">
        <v>604</v>
      </c>
      <c r="B111">
        <v>1988</v>
      </c>
      <c r="C111" t="s">
        <v>113</v>
      </c>
      <c r="D111">
        <v>118.66</v>
      </c>
      <c r="E111">
        <v>270</v>
      </c>
      <c r="F111">
        <v>195</v>
      </c>
      <c r="G111">
        <v>322.5</v>
      </c>
      <c r="H111">
        <v>787.5</v>
      </c>
      <c r="I111">
        <v>2015</v>
      </c>
      <c r="J111" t="s">
        <v>29</v>
      </c>
      <c r="K111" t="s">
        <v>30</v>
      </c>
      <c r="L111" s="8">
        <f t="shared" si="1"/>
        <v>0.60465116279069764</v>
      </c>
    </row>
    <row r="112" spans="1:12">
      <c r="A112" t="s">
        <v>488</v>
      </c>
      <c r="B112">
        <v>1983</v>
      </c>
      <c r="C112" t="s">
        <v>137</v>
      </c>
      <c r="D112">
        <v>92.85</v>
      </c>
      <c r="E112">
        <v>287.5</v>
      </c>
      <c r="F112">
        <v>195</v>
      </c>
      <c r="G112">
        <v>302.5</v>
      </c>
      <c r="H112">
        <v>785</v>
      </c>
      <c r="I112">
        <v>2015</v>
      </c>
      <c r="J112" t="s">
        <v>29</v>
      </c>
      <c r="K112" t="s">
        <v>30</v>
      </c>
      <c r="L112" s="8">
        <f t="shared" si="1"/>
        <v>0.64462809917355368</v>
      </c>
    </row>
    <row r="113" spans="1:12">
      <c r="A113" t="s">
        <v>93</v>
      </c>
      <c r="B113">
        <v>1971</v>
      </c>
      <c r="C113" t="s">
        <v>51</v>
      </c>
      <c r="D113">
        <v>116.2</v>
      </c>
      <c r="E113">
        <v>282.5</v>
      </c>
      <c r="F113">
        <v>195</v>
      </c>
      <c r="G113">
        <v>290</v>
      </c>
      <c r="H113">
        <v>767.5</v>
      </c>
      <c r="I113">
        <v>2012</v>
      </c>
      <c r="J113" t="s">
        <v>29</v>
      </c>
      <c r="K113" t="s">
        <v>30</v>
      </c>
      <c r="L113" s="8">
        <f t="shared" si="1"/>
        <v>0.67241379310344829</v>
      </c>
    </row>
    <row r="114" spans="1:12">
      <c r="A114" t="s">
        <v>792</v>
      </c>
      <c r="B114">
        <v>1987</v>
      </c>
      <c r="C114" t="s">
        <v>228</v>
      </c>
      <c r="D114">
        <v>91.25</v>
      </c>
      <c r="E114">
        <v>242.5</v>
      </c>
      <c r="F114">
        <v>195</v>
      </c>
      <c r="G114">
        <v>285</v>
      </c>
      <c r="H114">
        <v>722.5</v>
      </c>
      <c r="I114">
        <v>2014</v>
      </c>
      <c r="J114" t="s">
        <v>29</v>
      </c>
      <c r="K114" t="s">
        <v>30</v>
      </c>
      <c r="L114" s="8">
        <f t="shared" si="1"/>
        <v>0.68421052631578949</v>
      </c>
    </row>
    <row r="115" spans="1:12">
      <c r="A115" t="s">
        <v>127</v>
      </c>
      <c r="B115">
        <v>1978</v>
      </c>
      <c r="C115" t="s">
        <v>49</v>
      </c>
      <c r="D115">
        <v>128.05000000000001</v>
      </c>
      <c r="E115">
        <v>295</v>
      </c>
      <c r="F115">
        <v>195</v>
      </c>
      <c r="G115">
        <v>275</v>
      </c>
      <c r="H115">
        <v>765</v>
      </c>
      <c r="I115">
        <v>2012</v>
      </c>
      <c r="J115" t="s">
        <v>29</v>
      </c>
      <c r="K115" t="s">
        <v>30</v>
      </c>
      <c r="L115" s="8">
        <f t="shared" si="1"/>
        <v>0.70909090909090911</v>
      </c>
    </row>
    <row r="116" spans="1:12">
      <c r="A116" t="s">
        <v>150</v>
      </c>
      <c r="B116">
        <v>1985</v>
      </c>
      <c r="C116" t="s">
        <v>54</v>
      </c>
      <c r="D116">
        <v>119</v>
      </c>
      <c r="E116">
        <v>255</v>
      </c>
      <c r="F116">
        <v>195</v>
      </c>
      <c r="G116">
        <v>275</v>
      </c>
      <c r="H116">
        <v>725</v>
      </c>
      <c r="I116">
        <v>2012</v>
      </c>
      <c r="J116" t="s">
        <v>29</v>
      </c>
      <c r="K116" t="s">
        <v>30</v>
      </c>
      <c r="L116" s="8">
        <f t="shared" si="1"/>
        <v>0.70909090909090911</v>
      </c>
    </row>
    <row r="117" spans="1:12">
      <c r="A117" t="s">
        <v>134</v>
      </c>
      <c r="B117">
        <v>1988</v>
      </c>
      <c r="C117" t="s">
        <v>51</v>
      </c>
      <c r="D117">
        <v>142.75</v>
      </c>
      <c r="E117">
        <v>305</v>
      </c>
      <c r="F117">
        <v>195</v>
      </c>
      <c r="G117">
        <v>265</v>
      </c>
      <c r="H117">
        <v>765</v>
      </c>
      <c r="I117">
        <v>2013</v>
      </c>
      <c r="J117" t="s">
        <v>29</v>
      </c>
      <c r="K117" t="s">
        <v>30</v>
      </c>
      <c r="L117" s="8">
        <f t="shared" si="1"/>
        <v>0.73584905660377353</v>
      </c>
    </row>
    <row r="118" spans="1:12">
      <c r="A118" t="s">
        <v>524</v>
      </c>
      <c r="B118">
        <v>1973</v>
      </c>
      <c r="C118" t="s">
        <v>318</v>
      </c>
      <c r="D118">
        <v>114.2</v>
      </c>
      <c r="E118">
        <v>250</v>
      </c>
      <c r="F118">
        <v>195</v>
      </c>
      <c r="G118">
        <v>250</v>
      </c>
      <c r="H118">
        <v>695</v>
      </c>
      <c r="I118">
        <v>2013</v>
      </c>
      <c r="J118" t="s">
        <v>29</v>
      </c>
      <c r="K118" t="s">
        <v>30</v>
      </c>
      <c r="L118" s="8">
        <f t="shared" si="1"/>
        <v>0.78</v>
      </c>
    </row>
    <row r="119" spans="1:12">
      <c r="A119" t="s">
        <v>112</v>
      </c>
      <c r="B119">
        <v>1990</v>
      </c>
      <c r="C119" t="s">
        <v>113</v>
      </c>
      <c r="D119">
        <v>81.400000000000006</v>
      </c>
      <c r="E119">
        <v>242.5</v>
      </c>
      <c r="F119">
        <v>193.5</v>
      </c>
      <c r="G119">
        <v>260</v>
      </c>
      <c r="H119">
        <v>696</v>
      </c>
      <c r="I119">
        <v>2014</v>
      </c>
      <c r="J119" t="s">
        <v>29</v>
      </c>
      <c r="K119" t="s">
        <v>30</v>
      </c>
      <c r="L119" s="8">
        <f t="shared" si="1"/>
        <v>0.74423076923076925</v>
      </c>
    </row>
    <row r="120" spans="1:12">
      <c r="A120" t="s">
        <v>633</v>
      </c>
      <c r="B120">
        <v>1987</v>
      </c>
      <c r="C120" t="s">
        <v>119</v>
      </c>
      <c r="D120">
        <v>118.96</v>
      </c>
      <c r="E120">
        <v>317.5</v>
      </c>
      <c r="F120">
        <v>192.5</v>
      </c>
      <c r="G120">
        <v>315</v>
      </c>
      <c r="H120">
        <v>825</v>
      </c>
      <c r="I120">
        <v>2015</v>
      </c>
      <c r="J120" t="s">
        <v>29</v>
      </c>
      <c r="K120" t="s">
        <v>30</v>
      </c>
      <c r="L120" s="8">
        <f t="shared" si="1"/>
        <v>0.61111111111111116</v>
      </c>
    </row>
    <row r="121" spans="1:12">
      <c r="A121" t="s">
        <v>384</v>
      </c>
      <c r="B121">
        <v>1984</v>
      </c>
      <c r="C121" t="s">
        <v>137</v>
      </c>
      <c r="D121">
        <v>104.5</v>
      </c>
      <c r="E121">
        <v>282.5</v>
      </c>
      <c r="F121">
        <v>192.5</v>
      </c>
      <c r="G121">
        <v>305</v>
      </c>
      <c r="H121">
        <v>780</v>
      </c>
      <c r="I121">
        <v>2013</v>
      </c>
      <c r="J121" t="s">
        <v>29</v>
      </c>
      <c r="K121" t="s">
        <v>30</v>
      </c>
      <c r="L121" s="8">
        <f t="shared" si="1"/>
        <v>0.63114754098360659</v>
      </c>
    </row>
    <row r="122" spans="1:12">
      <c r="A122" t="s">
        <v>628</v>
      </c>
      <c r="B122">
        <v>1988</v>
      </c>
      <c r="C122" t="s">
        <v>51</v>
      </c>
      <c r="D122">
        <v>92.1</v>
      </c>
      <c r="E122">
        <v>290</v>
      </c>
      <c r="F122">
        <v>192.5</v>
      </c>
      <c r="G122">
        <v>302.5</v>
      </c>
      <c r="H122">
        <v>785</v>
      </c>
      <c r="I122">
        <v>2014</v>
      </c>
      <c r="J122" t="s">
        <v>29</v>
      </c>
      <c r="K122" t="s">
        <v>30</v>
      </c>
      <c r="L122" s="8">
        <f t="shared" si="1"/>
        <v>0.63636363636363635</v>
      </c>
    </row>
    <row r="123" spans="1:12">
      <c r="A123" t="s">
        <v>104</v>
      </c>
      <c r="B123">
        <v>1986</v>
      </c>
      <c r="C123" t="s">
        <v>39</v>
      </c>
      <c r="D123">
        <v>92.95</v>
      </c>
      <c r="E123">
        <v>252.5</v>
      </c>
      <c r="F123">
        <v>192.5</v>
      </c>
      <c r="G123">
        <v>297.5</v>
      </c>
      <c r="H123">
        <v>742.5</v>
      </c>
      <c r="I123">
        <v>2012</v>
      </c>
      <c r="J123" t="s">
        <v>29</v>
      </c>
      <c r="K123" t="s">
        <v>30</v>
      </c>
      <c r="L123" s="8">
        <f t="shared" si="1"/>
        <v>0.6470588235294118</v>
      </c>
    </row>
    <row r="124" spans="1:12">
      <c r="A124" t="s">
        <v>488</v>
      </c>
      <c r="B124">
        <v>1983</v>
      </c>
      <c r="C124" t="s">
        <v>137</v>
      </c>
      <c r="D124">
        <v>92.65</v>
      </c>
      <c r="E124">
        <v>282.5</v>
      </c>
      <c r="F124">
        <v>192.5</v>
      </c>
      <c r="G124">
        <v>292.5</v>
      </c>
      <c r="H124">
        <v>767.5</v>
      </c>
      <c r="I124">
        <v>2014</v>
      </c>
      <c r="J124" t="s">
        <v>29</v>
      </c>
      <c r="K124" t="s">
        <v>30</v>
      </c>
      <c r="L124" s="8">
        <f t="shared" si="1"/>
        <v>0.65811965811965811</v>
      </c>
    </row>
    <row r="125" spans="1:12">
      <c r="A125" t="s">
        <v>166</v>
      </c>
      <c r="B125">
        <v>1986</v>
      </c>
      <c r="C125" t="s">
        <v>85</v>
      </c>
      <c r="D125">
        <v>81.5</v>
      </c>
      <c r="E125">
        <v>195</v>
      </c>
      <c r="F125">
        <v>192.5</v>
      </c>
      <c r="G125">
        <v>230</v>
      </c>
      <c r="H125">
        <v>617.5</v>
      </c>
      <c r="I125">
        <v>2012</v>
      </c>
      <c r="J125" t="s">
        <v>29</v>
      </c>
      <c r="K125" t="s">
        <v>30</v>
      </c>
      <c r="L125" s="8">
        <f t="shared" si="1"/>
        <v>0.83695652173913049</v>
      </c>
    </row>
    <row r="126" spans="1:12">
      <c r="A126" t="s">
        <v>164</v>
      </c>
      <c r="B126">
        <v>1990</v>
      </c>
      <c r="C126" t="s">
        <v>85</v>
      </c>
      <c r="D126">
        <v>92.25</v>
      </c>
      <c r="E126">
        <v>285</v>
      </c>
      <c r="F126">
        <v>190</v>
      </c>
      <c r="G126">
        <v>372.5</v>
      </c>
      <c r="H126">
        <v>847.5</v>
      </c>
      <c r="I126">
        <v>2014</v>
      </c>
      <c r="J126" t="s">
        <v>29</v>
      </c>
      <c r="K126" t="s">
        <v>30</v>
      </c>
      <c r="L126" s="8">
        <f t="shared" si="1"/>
        <v>0.51006711409395977</v>
      </c>
    </row>
    <row r="127" spans="1:12">
      <c r="A127" t="s">
        <v>164</v>
      </c>
      <c r="B127">
        <v>1990</v>
      </c>
      <c r="C127" t="s">
        <v>85</v>
      </c>
      <c r="D127">
        <v>92.95</v>
      </c>
      <c r="E127">
        <v>265</v>
      </c>
      <c r="F127">
        <v>190</v>
      </c>
      <c r="G127">
        <v>355</v>
      </c>
      <c r="H127">
        <v>810</v>
      </c>
      <c r="I127">
        <v>2013</v>
      </c>
      <c r="J127" t="s">
        <v>29</v>
      </c>
      <c r="K127" t="s">
        <v>30</v>
      </c>
      <c r="L127" s="8">
        <f t="shared" si="1"/>
        <v>0.53521126760563376</v>
      </c>
    </row>
    <row r="128" spans="1:12">
      <c r="A128" t="s">
        <v>629</v>
      </c>
      <c r="B128">
        <v>1987</v>
      </c>
      <c r="C128" t="s">
        <v>119</v>
      </c>
      <c r="D128">
        <v>118.85</v>
      </c>
      <c r="E128">
        <v>322.5</v>
      </c>
      <c r="F128">
        <v>190</v>
      </c>
      <c r="G128">
        <v>340</v>
      </c>
      <c r="H128">
        <v>852.5</v>
      </c>
      <c r="I128">
        <v>2013</v>
      </c>
      <c r="J128" t="s">
        <v>29</v>
      </c>
      <c r="K128" t="s">
        <v>30</v>
      </c>
      <c r="L128" s="8">
        <f t="shared" si="1"/>
        <v>0.55882352941176472</v>
      </c>
    </row>
    <row r="129" spans="1:12">
      <c r="A129" t="s">
        <v>631</v>
      </c>
      <c r="B129">
        <v>1989</v>
      </c>
      <c r="C129" t="s">
        <v>62</v>
      </c>
      <c r="D129">
        <v>118.75</v>
      </c>
      <c r="E129">
        <v>327.5</v>
      </c>
      <c r="F129">
        <v>190</v>
      </c>
      <c r="G129">
        <v>335</v>
      </c>
      <c r="H129">
        <v>852.5</v>
      </c>
      <c r="I129">
        <v>2015</v>
      </c>
      <c r="J129" t="s">
        <v>29</v>
      </c>
      <c r="K129" t="s">
        <v>30</v>
      </c>
      <c r="L129" s="8">
        <f t="shared" si="1"/>
        <v>0.56716417910447758</v>
      </c>
    </row>
    <row r="130" spans="1:12">
      <c r="A130" t="s">
        <v>41</v>
      </c>
      <c r="B130">
        <v>1976</v>
      </c>
      <c r="C130" t="s">
        <v>42</v>
      </c>
      <c r="D130">
        <v>118.45</v>
      </c>
      <c r="E130">
        <v>356</v>
      </c>
      <c r="F130">
        <v>190</v>
      </c>
      <c r="G130">
        <v>320</v>
      </c>
      <c r="H130">
        <v>866</v>
      </c>
      <c r="I130">
        <v>2013</v>
      </c>
      <c r="J130" t="s">
        <v>29</v>
      </c>
      <c r="K130" t="s">
        <v>30</v>
      </c>
      <c r="L130" s="8">
        <f t="shared" si="1"/>
        <v>0.59375</v>
      </c>
    </row>
    <row r="131" spans="1:12">
      <c r="A131" t="s">
        <v>395</v>
      </c>
      <c r="B131">
        <v>1990</v>
      </c>
      <c r="C131" t="s">
        <v>45</v>
      </c>
      <c r="D131">
        <v>92.75</v>
      </c>
      <c r="E131">
        <v>250</v>
      </c>
      <c r="F131">
        <v>190</v>
      </c>
      <c r="G131">
        <v>307.5</v>
      </c>
      <c r="H131">
        <v>747.5</v>
      </c>
      <c r="I131">
        <v>2014</v>
      </c>
      <c r="J131" t="s">
        <v>29</v>
      </c>
      <c r="K131" t="s">
        <v>30</v>
      </c>
      <c r="L131" s="8">
        <f t="shared" ref="L131:L194" si="2">IF(AND(F131&lt;&gt;0,G131&lt;&gt;0),F131/G131,"")</f>
        <v>0.61788617886178865</v>
      </c>
    </row>
    <row r="132" spans="1:12">
      <c r="A132" t="s">
        <v>689</v>
      </c>
      <c r="B132">
        <v>1983</v>
      </c>
      <c r="C132" t="s">
        <v>85</v>
      </c>
      <c r="D132">
        <v>118.6</v>
      </c>
      <c r="E132">
        <v>272.5</v>
      </c>
      <c r="F132">
        <v>190</v>
      </c>
      <c r="G132">
        <v>290</v>
      </c>
      <c r="H132">
        <v>752.5</v>
      </c>
      <c r="I132">
        <v>2014</v>
      </c>
      <c r="J132" t="s">
        <v>29</v>
      </c>
      <c r="K132" t="s">
        <v>30</v>
      </c>
      <c r="L132" s="8">
        <f t="shared" si="2"/>
        <v>0.65517241379310343</v>
      </c>
    </row>
    <row r="133" spans="1:12">
      <c r="A133" t="s">
        <v>160</v>
      </c>
      <c r="B133">
        <v>1983</v>
      </c>
      <c r="C133" t="s">
        <v>125</v>
      </c>
      <c r="D133">
        <v>92.76</v>
      </c>
      <c r="E133">
        <v>277.5</v>
      </c>
      <c r="F133">
        <v>190</v>
      </c>
      <c r="G133">
        <v>287.5</v>
      </c>
      <c r="H133">
        <v>755</v>
      </c>
      <c r="I133">
        <v>2015</v>
      </c>
      <c r="J133" t="s">
        <v>29</v>
      </c>
      <c r="K133" t="s">
        <v>30</v>
      </c>
      <c r="L133" s="8">
        <f t="shared" si="2"/>
        <v>0.66086956521739126</v>
      </c>
    </row>
    <row r="134" spans="1:12">
      <c r="A134" t="s">
        <v>370</v>
      </c>
      <c r="B134">
        <v>1974</v>
      </c>
      <c r="C134" t="s">
        <v>54</v>
      </c>
      <c r="D134">
        <v>104.95</v>
      </c>
      <c r="E134">
        <v>245</v>
      </c>
      <c r="F134">
        <v>190</v>
      </c>
      <c r="G134">
        <v>287.5</v>
      </c>
      <c r="H134">
        <v>722.5</v>
      </c>
      <c r="I134">
        <v>2013</v>
      </c>
      <c r="J134" t="s">
        <v>29</v>
      </c>
      <c r="K134" t="s">
        <v>30</v>
      </c>
      <c r="L134" s="8">
        <f t="shared" si="2"/>
        <v>0.66086956521739126</v>
      </c>
    </row>
    <row r="135" spans="1:12">
      <c r="A135" t="s">
        <v>161</v>
      </c>
      <c r="B135">
        <v>1988</v>
      </c>
      <c r="C135" t="s">
        <v>45</v>
      </c>
      <c r="D135">
        <v>104.55</v>
      </c>
      <c r="E135">
        <v>272.5</v>
      </c>
      <c r="F135">
        <v>190</v>
      </c>
      <c r="G135">
        <v>270</v>
      </c>
      <c r="H135">
        <v>732.5</v>
      </c>
      <c r="I135">
        <v>2012</v>
      </c>
      <c r="J135" t="s">
        <v>29</v>
      </c>
      <c r="K135" t="s">
        <v>30</v>
      </c>
      <c r="L135" s="8">
        <f t="shared" si="2"/>
        <v>0.70370370370370372</v>
      </c>
    </row>
    <row r="136" spans="1:12">
      <c r="A136" t="s">
        <v>164</v>
      </c>
      <c r="B136">
        <v>1990</v>
      </c>
      <c r="C136" t="s">
        <v>85</v>
      </c>
      <c r="D136">
        <v>92.52</v>
      </c>
      <c r="E136">
        <v>290</v>
      </c>
      <c r="F136">
        <v>187.5</v>
      </c>
      <c r="G136">
        <v>355</v>
      </c>
      <c r="H136">
        <v>832.5</v>
      </c>
      <c r="I136">
        <v>2015</v>
      </c>
      <c r="J136" t="s">
        <v>29</v>
      </c>
      <c r="K136" t="s">
        <v>30</v>
      </c>
      <c r="L136" s="8">
        <f t="shared" si="2"/>
        <v>0.528169014084507</v>
      </c>
    </row>
    <row r="137" spans="1:12">
      <c r="A137" t="s">
        <v>82</v>
      </c>
      <c r="B137">
        <v>1984</v>
      </c>
      <c r="C137" t="s">
        <v>83</v>
      </c>
      <c r="D137">
        <v>103.8</v>
      </c>
      <c r="E137">
        <v>282.5</v>
      </c>
      <c r="F137">
        <v>187.5</v>
      </c>
      <c r="G137">
        <v>340</v>
      </c>
      <c r="H137">
        <v>810</v>
      </c>
      <c r="I137">
        <v>2012</v>
      </c>
      <c r="J137" t="s">
        <v>29</v>
      </c>
      <c r="K137" t="s">
        <v>30</v>
      </c>
      <c r="L137" s="8">
        <f t="shared" si="2"/>
        <v>0.55147058823529416</v>
      </c>
    </row>
    <row r="138" spans="1:12">
      <c r="A138" t="s">
        <v>804</v>
      </c>
      <c r="B138">
        <v>1978</v>
      </c>
      <c r="C138" t="s">
        <v>62</v>
      </c>
      <c r="D138">
        <v>103.79</v>
      </c>
      <c r="E138">
        <v>305</v>
      </c>
      <c r="F138">
        <v>187.5</v>
      </c>
      <c r="G138">
        <v>330</v>
      </c>
      <c r="H138">
        <v>822.5</v>
      </c>
      <c r="I138">
        <v>2015</v>
      </c>
      <c r="J138" t="s">
        <v>29</v>
      </c>
      <c r="K138" t="s">
        <v>30</v>
      </c>
      <c r="L138" s="8">
        <f t="shared" si="2"/>
        <v>0.56818181818181823</v>
      </c>
    </row>
    <row r="139" spans="1:12">
      <c r="A139" t="s">
        <v>735</v>
      </c>
      <c r="B139">
        <v>1990</v>
      </c>
      <c r="C139" t="s">
        <v>142</v>
      </c>
      <c r="D139">
        <v>104.7</v>
      </c>
      <c r="E139">
        <v>285</v>
      </c>
      <c r="F139">
        <v>187.5</v>
      </c>
      <c r="G139">
        <v>330</v>
      </c>
      <c r="H139">
        <v>802.5</v>
      </c>
      <c r="I139">
        <v>2015</v>
      </c>
      <c r="J139" t="s">
        <v>29</v>
      </c>
      <c r="K139" t="s">
        <v>30</v>
      </c>
      <c r="L139" s="8">
        <f t="shared" si="2"/>
        <v>0.56818181818181823</v>
      </c>
    </row>
    <row r="140" spans="1:12">
      <c r="A140" t="s">
        <v>628</v>
      </c>
      <c r="B140">
        <v>1988</v>
      </c>
      <c r="C140" t="s">
        <v>51</v>
      </c>
      <c r="D140">
        <v>92.95</v>
      </c>
      <c r="E140">
        <v>280</v>
      </c>
      <c r="F140">
        <v>187.5</v>
      </c>
      <c r="G140">
        <v>305</v>
      </c>
      <c r="H140">
        <v>772.5</v>
      </c>
      <c r="I140">
        <v>2013</v>
      </c>
      <c r="J140" t="s">
        <v>29</v>
      </c>
      <c r="K140" t="s">
        <v>30</v>
      </c>
      <c r="L140" s="8">
        <f t="shared" si="2"/>
        <v>0.61475409836065575</v>
      </c>
    </row>
    <row r="141" spans="1:12">
      <c r="A141" t="s">
        <v>86</v>
      </c>
      <c r="B141">
        <v>1981</v>
      </c>
      <c r="C141" t="s">
        <v>51</v>
      </c>
      <c r="D141">
        <v>117.3</v>
      </c>
      <c r="E141">
        <v>265</v>
      </c>
      <c r="F141">
        <v>187.5</v>
      </c>
      <c r="G141">
        <v>305</v>
      </c>
      <c r="H141">
        <v>757.5</v>
      </c>
      <c r="I141">
        <v>2012</v>
      </c>
      <c r="J141" t="s">
        <v>29</v>
      </c>
      <c r="K141" t="s">
        <v>30</v>
      </c>
      <c r="L141" s="8">
        <f t="shared" si="2"/>
        <v>0.61475409836065575</v>
      </c>
    </row>
    <row r="142" spans="1:12">
      <c r="A142" t="s">
        <v>798</v>
      </c>
      <c r="B142">
        <v>1980</v>
      </c>
      <c r="C142" t="s">
        <v>51</v>
      </c>
      <c r="D142">
        <v>99.75</v>
      </c>
      <c r="E142">
        <v>240</v>
      </c>
      <c r="F142">
        <v>187.5</v>
      </c>
      <c r="G142">
        <v>300</v>
      </c>
      <c r="H142">
        <v>727.5</v>
      </c>
      <c r="I142">
        <v>2014</v>
      </c>
      <c r="J142" t="s">
        <v>29</v>
      </c>
      <c r="K142" t="s">
        <v>30</v>
      </c>
      <c r="L142" s="8">
        <f t="shared" si="2"/>
        <v>0.625</v>
      </c>
    </row>
    <row r="143" spans="1:12">
      <c r="A143" t="s">
        <v>97</v>
      </c>
      <c r="B143">
        <v>1985</v>
      </c>
      <c r="C143" t="s">
        <v>85</v>
      </c>
      <c r="D143">
        <v>104.65</v>
      </c>
      <c r="E143">
        <v>270</v>
      </c>
      <c r="F143">
        <v>187.5</v>
      </c>
      <c r="G143">
        <v>290</v>
      </c>
      <c r="H143">
        <v>747.5</v>
      </c>
      <c r="I143">
        <v>2012</v>
      </c>
      <c r="J143" t="s">
        <v>29</v>
      </c>
      <c r="K143" t="s">
        <v>30</v>
      </c>
      <c r="L143" s="8">
        <f t="shared" si="2"/>
        <v>0.64655172413793105</v>
      </c>
    </row>
    <row r="144" spans="1:12">
      <c r="A144" t="s">
        <v>117</v>
      </c>
      <c r="B144">
        <v>1982</v>
      </c>
      <c r="C144" t="s">
        <v>113</v>
      </c>
      <c r="D144">
        <v>92.1</v>
      </c>
      <c r="E144">
        <v>210</v>
      </c>
      <c r="F144">
        <v>187.5</v>
      </c>
      <c r="G144">
        <v>252.5</v>
      </c>
      <c r="H144">
        <v>650</v>
      </c>
      <c r="I144">
        <v>2012</v>
      </c>
      <c r="J144" t="s">
        <v>29</v>
      </c>
      <c r="K144" t="s">
        <v>30</v>
      </c>
      <c r="L144" s="8">
        <f t="shared" si="2"/>
        <v>0.74257425742574257</v>
      </c>
    </row>
    <row r="145" spans="1:12">
      <c r="A145" t="s">
        <v>59</v>
      </c>
      <c r="B145">
        <v>1982</v>
      </c>
      <c r="C145" t="s">
        <v>32</v>
      </c>
      <c r="D145">
        <v>101.55</v>
      </c>
      <c r="E145">
        <v>187.5</v>
      </c>
      <c r="F145">
        <v>187.5</v>
      </c>
      <c r="G145">
        <v>240</v>
      </c>
      <c r="H145">
        <v>615</v>
      </c>
      <c r="I145">
        <v>2012</v>
      </c>
      <c r="J145" t="s">
        <v>29</v>
      </c>
      <c r="K145" t="s">
        <v>30</v>
      </c>
      <c r="L145" s="8">
        <f t="shared" si="2"/>
        <v>0.78125</v>
      </c>
    </row>
    <row r="146" spans="1:12">
      <c r="A146" t="s">
        <v>520</v>
      </c>
      <c r="B146">
        <v>1985</v>
      </c>
      <c r="C146" t="s">
        <v>62</v>
      </c>
      <c r="D146">
        <v>116.6</v>
      </c>
      <c r="E146">
        <v>260</v>
      </c>
      <c r="F146">
        <v>185</v>
      </c>
      <c r="G146">
        <v>352.5</v>
      </c>
      <c r="H146">
        <v>797.5</v>
      </c>
      <c r="I146">
        <v>2013</v>
      </c>
      <c r="J146" t="s">
        <v>29</v>
      </c>
      <c r="K146" t="s">
        <v>30</v>
      </c>
      <c r="L146" s="8">
        <f t="shared" si="2"/>
        <v>0.52482269503546097</v>
      </c>
    </row>
    <row r="147" spans="1:12">
      <c r="A147" t="s">
        <v>94</v>
      </c>
      <c r="B147">
        <v>1982</v>
      </c>
      <c r="C147" t="s">
        <v>45</v>
      </c>
      <c r="D147">
        <v>160</v>
      </c>
      <c r="E147">
        <v>300</v>
      </c>
      <c r="F147">
        <v>185</v>
      </c>
      <c r="G147">
        <v>340</v>
      </c>
      <c r="H147">
        <v>825</v>
      </c>
      <c r="I147">
        <v>2012</v>
      </c>
      <c r="J147" t="s">
        <v>29</v>
      </c>
      <c r="K147" t="s">
        <v>30</v>
      </c>
      <c r="L147" s="8">
        <f t="shared" si="2"/>
        <v>0.54411764705882348</v>
      </c>
    </row>
    <row r="148" spans="1:12">
      <c r="A148" t="s">
        <v>98</v>
      </c>
      <c r="B148">
        <v>1982</v>
      </c>
      <c r="C148" t="s">
        <v>28</v>
      </c>
      <c r="D148">
        <v>151.4</v>
      </c>
      <c r="E148">
        <v>330</v>
      </c>
      <c r="F148">
        <v>185</v>
      </c>
      <c r="G148">
        <v>332.5</v>
      </c>
      <c r="H148">
        <v>847.5</v>
      </c>
      <c r="I148">
        <v>2012</v>
      </c>
      <c r="J148" t="s">
        <v>29</v>
      </c>
      <c r="K148" t="s">
        <v>30</v>
      </c>
      <c r="L148" s="8">
        <f t="shared" si="2"/>
        <v>0.55639097744360899</v>
      </c>
    </row>
    <row r="149" spans="1:12">
      <c r="A149" t="s">
        <v>126</v>
      </c>
      <c r="B149">
        <v>1987</v>
      </c>
      <c r="C149" t="s">
        <v>80</v>
      </c>
      <c r="D149">
        <v>103.35</v>
      </c>
      <c r="E149">
        <v>255</v>
      </c>
      <c r="F149">
        <v>185</v>
      </c>
      <c r="G149">
        <v>310</v>
      </c>
      <c r="H149">
        <v>750</v>
      </c>
      <c r="I149">
        <v>2012</v>
      </c>
      <c r="J149" t="s">
        <v>29</v>
      </c>
      <c r="K149" t="s">
        <v>30</v>
      </c>
      <c r="L149" s="8">
        <f t="shared" si="2"/>
        <v>0.59677419354838712</v>
      </c>
    </row>
    <row r="150" spans="1:12">
      <c r="A150" t="s">
        <v>786</v>
      </c>
      <c r="B150">
        <v>1988</v>
      </c>
      <c r="C150" t="s">
        <v>80</v>
      </c>
      <c r="D150">
        <v>104.4</v>
      </c>
      <c r="E150">
        <v>257.5</v>
      </c>
      <c r="F150">
        <v>185</v>
      </c>
      <c r="G150">
        <v>302.5</v>
      </c>
      <c r="H150">
        <v>745</v>
      </c>
      <c r="I150">
        <v>2014</v>
      </c>
      <c r="J150" t="s">
        <v>29</v>
      </c>
      <c r="K150" t="s">
        <v>30</v>
      </c>
      <c r="L150" s="8">
        <f t="shared" si="2"/>
        <v>0.61157024793388426</v>
      </c>
    </row>
    <row r="151" spans="1:12">
      <c r="A151" t="s">
        <v>44</v>
      </c>
      <c r="B151">
        <v>1972</v>
      </c>
      <c r="C151" t="s">
        <v>45</v>
      </c>
      <c r="D151">
        <v>110.35</v>
      </c>
      <c r="E151">
        <v>245</v>
      </c>
      <c r="F151">
        <v>185</v>
      </c>
      <c r="G151">
        <v>300</v>
      </c>
      <c r="H151">
        <v>730</v>
      </c>
      <c r="I151">
        <v>2012</v>
      </c>
      <c r="J151" t="s">
        <v>29</v>
      </c>
      <c r="K151" t="s">
        <v>30</v>
      </c>
      <c r="L151" s="8">
        <f t="shared" si="2"/>
        <v>0.6166666666666667</v>
      </c>
    </row>
    <row r="152" spans="1:12">
      <c r="A152" t="s">
        <v>474</v>
      </c>
      <c r="B152">
        <v>1988</v>
      </c>
      <c r="C152" t="s">
        <v>113</v>
      </c>
      <c r="D152">
        <v>104.07</v>
      </c>
      <c r="E152">
        <v>285</v>
      </c>
      <c r="F152">
        <v>185</v>
      </c>
      <c r="G152">
        <v>290</v>
      </c>
      <c r="H152">
        <v>760</v>
      </c>
      <c r="I152">
        <v>2015</v>
      </c>
      <c r="J152" t="s">
        <v>29</v>
      </c>
      <c r="K152" t="s">
        <v>30</v>
      </c>
      <c r="L152" s="8">
        <f t="shared" si="2"/>
        <v>0.63793103448275867</v>
      </c>
    </row>
    <row r="153" spans="1:12">
      <c r="A153" t="s">
        <v>89</v>
      </c>
      <c r="B153">
        <v>1966</v>
      </c>
      <c r="C153" t="s">
        <v>56</v>
      </c>
      <c r="D153">
        <v>103.75</v>
      </c>
      <c r="E153">
        <v>255</v>
      </c>
      <c r="F153">
        <v>185</v>
      </c>
      <c r="G153">
        <v>270</v>
      </c>
      <c r="H153">
        <v>710</v>
      </c>
      <c r="I153">
        <v>2012</v>
      </c>
      <c r="J153" t="s">
        <v>29</v>
      </c>
      <c r="K153" t="s">
        <v>30</v>
      </c>
      <c r="L153" s="8">
        <f t="shared" si="2"/>
        <v>0.68518518518518523</v>
      </c>
    </row>
    <row r="154" spans="1:12">
      <c r="A154" t="s">
        <v>803</v>
      </c>
      <c r="B154">
        <v>1989</v>
      </c>
      <c r="C154" t="s">
        <v>119</v>
      </c>
      <c r="D154">
        <v>82.05</v>
      </c>
      <c r="E154">
        <v>255</v>
      </c>
      <c r="F154">
        <v>185</v>
      </c>
      <c r="G154">
        <v>270</v>
      </c>
      <c r="H154">
        <v>710</v>
      </c>
      <c r="I154">
        <v>2013</v>
      </c>
      <c r="J154" t="s">
        <v>29</v>
      </c>
      <c r="K154" t="s">
        <v>30</v>
      </c>
      <c r="L154" s="8">
        <f t="shared" si="2"/>
        <v>0.68518518518518523</v>
      </c>
    </row>
    <row r="155" spans="1:12">
      <c r="A155" t="s">
        <v>754</v>
      </c>
      <c r="B155">
        <v>1984</v>
      </c>
      <c r="C155" t="s">
        <v>109</v>
      </c>
      <c r="D155">
        <v>102.55</v>
      </c>
      <c r="E155">
        <v>225</v>
      </c>
      <c r="F155">
        <v>185</v>
      </c>
      <c r="G155">
        <v>260</v>
      </c>
      <c r="H155">
        <v>670</v>
      </c>
      <c r="I155">
        <v>2013</v>
      </c>
      <c r="J155" t="s">
        <v>29</v>
      </c>
      <c r="K155" t="s">
        <v>30</v>
      </c>
      <c r="L155" s="8">
        <f t="shared" si="2"/>
        <v>0.71153846153846156</v>
      </c>
    </row>
    <row r="156" spans="1:12">
      <c r="A156" t="s">
        <v>78</v>
      </c>
      <c r="B156">
        <v>1989</v>
      </c>
      <c r="C156" t="s">
        <v>45</v>
      </c>
      <c r="D156">
        <v>90.8</v>
      </c>
      <c r="E156">
        <v>220</v>
      </c>
      <c r="F156">
        <v>185</v>
      </c>
      <c r="G156">
        <v>260</v>
      </c>
      <c r="H156">
        <v>665</v>
      </c>
      <c r="I156">
        <v>2012</v>
      </c>
      <c r="J156" t="s">
        <v>29</v>
      </c>
      <c r="K156" t="s">
        <v>30</v>
      </c>
      <c r="L156" s="8">
        <f t="shared" si="2"/>
        <v>0.71153846153846156</v>
      </c>
    </row>
    <row r="157" spans="1:12">
      <c r="A157" t="s">
        <v>164</v>
      </c>
      <c r="B157">
        <v>1990</v>
      </c>
      <c r="C157" t="s">
        <v>85</v>
      </c>
      <c r="D157">
        <v>89.3</v>
      </c>
      <c r="E157">
        <v>252.5</v>
      </c>
      <c r="F157">
        <v>182.5</v>
      </c>
      <c r="G157">
        <v>330</v>
      </c>
      <c r="H157">
        <v>765</v>
      </c>
      <c r="I157">
        <v>2012</v>
      </c>
      <c r="J157" t="s">
        <v>29</v>
      </c>
      <c r="K157" t="s">
        <v>30</v>
      </c>
      <c r="L157" s="8">
        <f t="shared" si="2"/>
        <v>0.55303030303030298</v>
      </c>
    </row>
    <row r="158" spans="1:12">
      <c r="A158" t="s">
        <v>152</v>
      </c>
      <c r="B158">
        <v>1988</v>
      </c>
      <c r="C158" t="s">
        <v>85</v>
      </c>
      <c r="D158">
        <v>144.30000000000001</v>
      </c>
      <c r="E158">
        <v>290</v>
      </c>
      <c r="F158">
        <v>182.5</v>
      </c>
      <c r="G158">
        <v>315</v>
      </c>
      <c r="H158">
        <v>787.5</v>
      </c>
      <c r="I158">
        <v>2012</v>
      </c>
      <c r="J158" t="s">
        <v>29</v>
      </c>
      <c r="K158" t="s">
        <v>30</v>
      </c>
      <c r="L158" s="8">
        <f t="shared" si="2"/>
        <v>0.57936507936507942</v>
      </c>
    </row>
    <row r="159" spans="1:12">
      <c r="A159" t="s">
        <v>422</v>
      </c>
      <c r="B159">
        <v>1986</v>
      </c>
      <c r="C159" t="s">
        <v>282</v>
      </c>
      <c r="D159">
        <v>81.93</v>
      </c>
      <c r="E159">
        <v>290</v>
      </c>
      <c r="F159">
        <v>182.5</v>
      </c>
      <c r="G159">
        <v>315</v>
      </c>
      <c r="H159">
        <v>787.5</v>
      </c>
      <c r="I159">
        <v>2015</v>
      </c>
      <c r="J159" t="s">
        <v>29</v>
      </c>
      <c r="K159" t="s">
        <v>30</v>
      </c>
      <c r="L159" s="8">
        <f t="shared" si="2"/>
        <v>0.57936507936507942</v>
      </c>
    </row>
    <row r="160" spans="1:12">
      <c r="A160" t="s">
        <v>422</v>
      </c>
      <c r="B160">
        <v>1986</v>
      </c>
      <c r="C160" t="s">
        <v>282</v>
      </c>
      <c r="D160">
        <v>82.4</v>
      </c>
      <c r="E160">
        <v>272.5</v>
      </c>
      <c r="F160">
        <v>182.5</v>
      </c>
      <c r="G160">
        <v>315</v>
      </c>
      <c r="H160">
        <v>770</v>
      </c>
      <c r="I160">
        <v>2014</v>
      </c>
      <c r="J160" t="s">
        <v>29</v>
      </c>
      <c r="K160" t="s">
        <v>30</v>
      </c>
      <c r="L160" s="8">
        <f t="shared" si="2"/>
        <v>0.57936507936507942</v>
      </c>
    </row>
    <row r="161" spans="1:12">
      <c r="A161" t="s">
        <v>105</v>
      </c>
      <c r="B161">
        <v>1982</v>
      </c>
      <c r="C161" t="s">
        <v>28</v>
      </c>
      <c r="D161">
        <v>81.849999999999994</v>
      </c>
      <c r="E161">
        <v>265</v>
      </c>
      <c r="F161">
        <v>182.5</v>
      </c>
      <c r="G161">
        <v>312.5</v>
      </c>
      <c r="H161">
        <v>760</v>
      </c>
      <c r="I161">
        <v>2013</v>
      </c>
      <c r="J161" t="s">
        <v>29</v>
      </c>
      <c r="K161" t="s">
        <v>30</v>
      </c>
      <c r="L161" s="8">
        <f t="shared" si="2"/>
        <v>0.58399999999999996</v>
      </c>
    </row>
    <row r="162" spans="1:12">
      <c r="A162" t="s">
        <v>798</v>
      </c>
      <c r="B162">
        <v>1980</v>
      </c>
      <c r="C162" t="s">
        <v>51</v>
      </c>
      <c r="D162">
        <v>100.15</v>
      </c>
      <c r="E162">
        <v>242.5</v>
      </c>
      <c r="F162">
        <v>182.5</v>
      </c>
      <c r="G162">
        <v>307.5</v>
      </c>
      <c r="H162">
        <v>732.5</v>
      </c>
      <c r="I162">
        <v>2015</v>
      </c>
      <c r="J162" t="s">
        <v>29</v>
      </c>
      <c r="K162" t="s">
        <v>30</v>
      </c>
      <c r="L162" s="8">
        <f t="shared" si="2"/>
        <v>0.5934959349593496</v>
      </c>
    </row>
    <row r="163" spans="1:12">
      <c r="A163" t="s">
        <v>105</v>
      </c>
      <c r="B163">
        <v>1982</v>
      </c>
      <c r="C163" t="s">
        <v>28</v>
      </c>
      <c r="D163">
        <v>82.3</v>
      </c>
      <c r="E163">
        <v>267.5</v>
      </c>
      <c r="F163">
        <v>182.5</v>
      </c>
      <c r="G163">
        <v>305</v>
      </c>
      <c r="H163">
        <v>755</v>
      </c>
      <c r="I163">
        <v>2014</v>
      </c>
      <c r="J163" t="s">
        <v>29</v>
      </c>
      <c r="K163" t="s">
        <v>30</v>
      </c>
      <c r="L163" s="8">
        <f t="shared" si="2"/>
        <v>0.59836065573770492</v>
      </c>
    </row>
    <row r="164" spans="1:12">
      <c r="A164" t="s">
        <v>849</v>
      </c>
      <c r="B164">
        <v>1991</v>
      </c>
      <c r="C164" t="s">
        <v>49</v>
      </c>
      <c r="D164">
        <v>102.71</v>
      </c>
      <c r="E164">
        <v>255</v>
      </c>
      <c r="F164">
        <v>182.5</v>
      </c>
      <c r="G164">
        <v>302.5</v>
      </c>
      <c r="H164">
        <v>740</v>
      </c>
      <c r="I164">
        <v>2015</v>
      </c>
      <c r="J164" t="s">
        <v>29</v>
      </c>
      <c r="K164" t="s">
        <v>30</v>
      </c>
      <c r="L164" s="8">
        <f t="shared" si="2"/>
        <v>0.60330578512396693</v>
      </c>
    </row>
    <row r="165" spans="1:12">
      <c r="A165" t="s">
        <v>79</v>
      </c>
      <c r="B165">
        <v>1982</v>
      </c>
      <c r="C165" t="s">
        <v>80</v>
      </c>
      <c r="D165">
        <v>92.4</v>
      </c>
      <c r="E165">
        <v>240</v>
      </c>
      <c r="F165">
        <v>182.5</v>
      </c>
      <c r="G165">
        <v>270</v>
      </c>
      <c r="H165">
        <v>692.5</v>
      </c>
      <c r="I165">
        <v>2012</v>
      </c>
      <c r="J165" t="s">
        <v>29</v>
      </c>
      <c r="K165" t="s">
        <v>30</v>
      </c>
      <c r="L165" s="8">
        <f t="shared" si="2"/>
        <v>0.67592592592592593</v>
      </c>
    </row>
    <row r="166" spans="1:12">
      <c r="A166" t="s">
        <v>717</v>
      </c>
      <c r="B166">
        <v>1988</v>
      </c>
      <c r="C166" t="s">
        <v>318</v>
      </c>
      <c r="D166">
        <v>145.06</v>
      </c>
      <c r="E166">
        <v>302.5</v>
      </c>
      <c r="F166">
        <v>180</v>
      </c>
      <c r="G166">
        <v>325</v>
      </c>
      <c r="H166">
        <v>807.5</v>
      </c>
      <c r="I166">
        <v>2015</v>
      </c>
      <c r="J166" t="s">
        <v>29</v>
      </c>
      <c r="K166" t="s">
        <v>30</v>
      </c>
      <c r="L166" s="8">
        <f t="shared" si="2"/>
        <v>0.55384615384615388</v>
      </c>
    </row>
    <row r="167" spans="1:12">
      <c r="A167" t="s">
        <v>69</v>
      </c>
      <c r="B167">
        <v>1983</v>
      </c>
      <c r="C167" t="s">
        <v>45</v>
      </c>
      <c r="D167">
        <v>104.4</v>
      </c>
      <c r="E167">
        <v>290</v>
      </c>
      <c r="F167">
        <v>180</v>
      </c>
      <c r="G167">
        <v>325</v>
      </c>
      <c r="H167">
        <v>795</v>
      </c>
      <c r="I167">
        <v>2012</v>
      </c>
      <c r="J167" t="s">
        <v>29</v>
      </c>
      <c r="K167" t="s">
        <v>30</v>
      </c>
      <c r="L167" s="8">
        <f t="shared" si="2"/>
        <v>0.55384615384615388</v>
      </c>
    </row>
    <row r="168" spans="1:12">
      <c r="A168" t="s">
        <v>676</v>
      </c>
      <c r="B168">
        <v>1990</v>
      </c>
      <c r="C168" t="s">
        <v>194</v>
      </c>
      <c r="D168">
        <v>126</v>
      </c>
      <c r="E168">
        <v>260</v>
      </c>
      <c r="F168">
        <v>180</v>
      </c>
      <c r="G168">
        <v>325</v>
      </c>
      <c r="H168">
        <v>765</v>
      </c>
      <c r="I168">
        <v>2015</v>
      </c>
      <c r="J168" t="s">
        <v>29</v>
      </c>
      <c r="K168" t="s">
        <v>30</v>
      </c>
      <c r="L168" s="8">
        <f t="shared" si="2"/>
        <v>0.55384615384615388</v>
      </c>
    </row>
    <row r="169" spans="1:12">
      <c r="A169" t="s">
        <v>48</v>
      </c>
      <c r="B169">
        <v>1983</v>
      </c>
      <c r="C169" t="s">
        <v>49</v>
      </c>
      <c r="D169">
        <v>92.01</v>
      </c>
      <c r="E169">
        <v>285</v>
      </c>
      <c r="F169">
        <v>180</v>
      </c>
      <c r="G169">
        <v>322.5</v>
      </c>
      <c r="H169">
        <v>787.5</v>
      </c>
      <c r="I169">
        <v>2015</v>
      </c>
      <c r="J169" t="s">
        <v>29</v>
      </c>
      <c r="K169" t="s">
        <v>30</v>
      </c>
      <c r="L169" s="8">
        <f t="shared" si="2"/>
        <v>0.55813953488372092</v>
      </c>
    </row>
    <row r="170" spans="1:12">
      <c r="A170" t="s">
        <v>71</v>
      </c>
      <c r="B170">
        <v>1978</v>
      </c>
      <c r="C170" t="s">
        <v>72</v>
      </c>
      <c r="D170">
        <v>91.6</v>
      </c>
      <c r="E170">
        <v>260</v>
      </c>
      <c r="F170">
        <v>180</v>
      </c>
      <c r="G170">
        <v>305</v>
      </c>
      <c r="H170">
        <v>745</v>
      </c>
      <c r="I170">
        <v>2012</v>
      </c>
      <c r="J170" t="s">
        <v>29</v>
      </c>
      <c r="K170" t="s">
        <v>30</v>
      </c>
      <c r="L170" s="8">
        <f t="shared" si="2"/>
        <v>0.5901639344262295</v>
      </c>
    </row>
    <row r="171" spans="1:12">
      <c r="A171" t="s">
        <v>60</v>
      </c>
      <c r="B171">
        <v>1979</v>
      </c>
      <c r="C171" t="s">
        <v>35</v>
      </c>
      <c r="D171">
        <v>99</v>
      </c>
      <c r="E171">
        <v>270</v>
      </c>
      <c r="F171">
        <v>180</v>
      </c>
      <c r="G171">
        <v>302.5</v>
      </c>
      <c r="H171">
        <v>752.5</v>
      </c>
      <c r="I171">
        <v>2012</v>
      </c>
      <c r="J171" t="s">
        <v>29</v>
      </c>
      <c r="K171" t="s">
        <v>30</v>
      </c>
      <c r="L171" s="8">
        <f t="shared" si="2"/>
        <v>0.5950413223140496</v>
      </c>
    </row>
    <row r="172" spans="1:12">
      <c r="A172" t="s">
        <v>108</v>
      </c>
      <c r="B172">
        <v>1969</v>
      </c>
      <c r="C172" t="s">
        <v>109</v>
      </c>
      <c r="D172">
        <v>115.7</v>
      </c>
      <c r="E172">
        <v>290</v>
      </c>
      <c r="F172">
        <v>180</v>
      </c>
      <c r="G172">
        <v>300</v>
      </c>
      <c r="H172">
        <v>770</v>
      </c>
      <c r="I172">
        <v>2012</v>
      </c>
      <c r="J172" t="s">
        <v>29</v>
      </c>
      <c r="K172" t="s">
        <v>30</v>
      </c>
      <c r="L172" s="8">
        <f t="shared" si="2"/>
        <v>0.6</v>
      </c>
    </row>
    <row r="173" spans="1:12">
      <c r="A173" t="s">
        <v>126</v>
      </c>
      <c r="B173">
        <v>1987</v>
      </c>
      <c r="C173" t="s">
        <v>80</v>
      </c>
      <c r="D173">
        <v>92.45</v>
      </c>
      <c r="E173">
        <v>235</v>
      </c>
      <c r="F173">
        <v>180</v>
      </c>
      <c r="G173">
        <v>295</v>
      </c>
      <c r="H173">
        <v>710</v>
      </c>
      <c r="I173">
        <v>2013</v>
      </c>
      <c r="J173" t="s">
        <v>29</v>
      </c>
      <c r="K173" t="s">
        <v>30</v>
      </c>
      <c r="L173" s="8">
        <f t="shared" si="2"/>
        <v>0.61016949152542377</v>
      </c>
    </row>
    <row r="174" spans="1:12">
      <c r="A174" t="s">
        <v>807</v>
      </c>
      <c r="B174">
        <v>1986</v>
      </c>
      <c r="C174" t="s">
        <v>80</v>
      </c>
      <c r="D174">
        <v>104.15</v>
      </c>
      <c r="E174">
        <v>255</v>
      </c>
      <c r="F174">
        <v>180</v>
      </c>
      <c r="G174">
        <v>290</v>
      </c>
      <c r="H174">
        <v>725</v>
      </c>
      <c r="I174">
        <v>2014</v>
      </c>
      <c r="J174" t="s">
        <v>29</v>
      </c>
      <c r="K174" t="s">
        <v>30</v>
      </c>
      <c r="L174" s="8">
        <f t="shared" si="2"/>
        <v>0.62068965517241381</v>
      </c>
    </row>
    <row r="175" spans="1:12">
      <c r="A175" t="s">
        <v>663</v>
      </c>
      <c r="B175">
        <v>1979</v>
      </c>
      <c r="C175" t="s">
        <v>56</v>
      </c>
      <c r="D175">
        <v>119.65</v>
      </c>
      <c r="E175">
        <v>235</v>
      </c>
      <c r="F175">
        <v>180</v>
      </c>
      <c r="G175">
        <v>272.5</v>
      </c>
      <c r="H175">
        <v>687.5</v>
      </c>
      <c r="I175">
        <v>2013</v>
      </c>
      <c r="J175" t="s">
        <v>29</v>
      </c>
      <c r="K175" t="s">
        <v>30</v>
      </c>
      <c r="L175" s="8">
        <f t="shared" si="2"/>
        <v>0.66055045871559637</v>
      </c>
    </row>
    <row r="176" spans="1:12">
      <c r="A176" t="s">
        <v>68</v>
      </c>
      <c r="B176">
        <v>1977</v>
      </c>
      <c r="C176" t="s">
        <v>56</v>
      </c>
      <c r="D176">
        <v>91.95</v>
      </c>
      <c r="E176">
        <v>250</v>
      </c>
      <c r="F176">
        <v>180</v>
      </c>
      <c r="G176">
        <v>270</v>
      </c>
      <c r="H176">
        <v>700</v>
      </c>
      <c r="I176">
        <v>2012</v>
      </c>
      <c r="J176" t="s">
        <v>29</v>
      </c>
      <c r="K176" t="s">
        <v>30</v>
      </c>
      <c r="L176" s="8">
        <f t="shared" si="2"/>
        <v>0.66666666666666663</v>
      </c>
    </row>
    <row r="177" spans="1:12">
      <c r="A177" t="s">
        <v>92</v>
      </c>
      <c r="B177">
        <v>1985</v>
      </c>
      <c r="C177" t="s">
        <v>51</v>
      </c>
      <c r="D177">
        <v>92.75</v>
      </c>
      <c r="E177">
        <v>222.5</v>
      </c>
      <c r="F177">
        <v>180</v>
      </c>
      <c r="G177">
        <v>260</v>
      </c>
      <c r="H177">
        <v>662.5</v>
      </c>
      <c r="I177">
        <v>2012</v>
      </c>
      <c r="J177" t="s">
        <v>29</v>
      </c>
      <c r="K177" t="s">
        <v>30</v>
      </c>
      <c r="L177" s="8">
        <f t="shared" si="2"/>
        <v>0.69230769230769229</v>
      </c>
    </row>
    <row r="178" spans="1:12">
      <c r="A178" t="s">
        <v>156</v>
      </c>
      <c r="B178">
        <v>1986</v>
      </c>
      <c r="C178" t="s">
        <v>32</v>
      </c>
      <c r="D178">
        <v>115.35</v>
      </c>
      <c r="E178">
        <v>0</v>
      </c>
      <c r="F178">
        <v>180</v>
      </c>
      <c r="G178">
        <v>252.5</v>
      </c>
      <c r="H178">
        <v>0</v>
      </c>
      <c r="I178">
        <v>2012</v>
      </c>
      <c r="J178" t="s">
        <v>29</v>
      </c>
      <c r="K178" t="s">
        <v>30</v>
      </c>
      <c r="L178" s="8">
        <f t="shared" si="2"/>
        <v>0.71287128712871284</v>
      </c>
    </row>
    <row r="179" spans="1:12">
      <c r="A179" t="s">
        <v>364</v>
      </c>
      <c r="B179">
        <v>1984</v>
      </c>
      <c r="C179" t="s">
        <v>365</v>
      </c>
      <c r="D179">
        <v>81.260000000000005</v>
      </c>
      <c r="E179">
        <v>190</v>
      </c>
      <c r="F179">
        <v>180</v>
      </c>
      <c r="G179">
        <v>220</v>
      </c>
      <c r="H179">
        <v>590</v>
      </c>
      <c r="I179">
        <v>2015</v>
      </c>
      <c r="J179" t="s">
        <v>29</v>
      </c>
      <c r="K179" t="s">
        <v>30</v>
      </c>
      <c r="L179" s="8">
        <f t="shared" si="2"/>
        <v>0.81818181818181823</v>
      </c>
    </row>
    <row r="180" spans="1:12">
      <c r="A180" t="s">
        <v>356</v>
      </c>
      <c r="B180">
        <v>1978</v>
      </c>
      <c r="C180" t="s">
        <v>357</v>
      </c>
      <c r="D180">
        <v>84.95</v>
      </c>
      <c r="E180">
        <v>160</v>
      </c>
      <c r="F180">
        <v>180</v>
      </c>
      <c r="G180">
        <v>180</v>
      </c>
      <c r="H180">
        <v>520</v>
      </c>
      <c r="I180">
        <v>2013</v>
      </c>
      <c r="J180" t="s">
        <v>29</v>
      </c>
      <c r="K180" t="s">
        <v>30</v>
      </c>
      <c r="L180" s="8">
        <f t="shared" si="2"/>
        <v>1</v>
      </c>
    </row>
    <row r="181" spans="1:12">
      <c r="A181" t="s">
        <v>48</v>
      </c>
      <c r="B181">
        <v>1983</v>
      </c>
      <c r="C181" t="s">
        <v>49</v>
      </c>
      <c r="D181">
        <v>92.2</v>
      </c>
      <c r="E181">
        <v>280</v>
      </c>
      <c r="F181">
        <v>177.5</v>
      </c>
      <c r="G181">
        <v>307.5</v>
      </c>
      <c r="H181">
        <v>765</v>
      </c>
      <c r="I181">
        <v>2014</v>
      </c>
      <c r="J181" t="s">
        <v>29</v>
      </c>
      <c r="K181" t="s">
        <v>30</v>
      </c>
      <c r="L181" s="8">
        <f t="shared" si="2"/>
        <v>0.57723577235772361</v>
      </c>
    </row>
    <row r="182" spans="1:12">
      <c r="A182" t="s">
        <v>841</v>
      </c>
      <c r="B182">
        <v>1967</v>
      </c>
      <c r="C182" t="s">
        <v>51</v>
      </c>
      <c r="D182">
        <v>115.8</v>
      </c>
      <c r="E182">
        <v>285</v>
      </c>
      <c r="F182">
        <v>177.5</v>
      </c>
      <c r="G182">
        <v>305</v>
      </c>
      <c r="H182">
        <v>767.5</v>
      </c>
      <c r="I182">
        <v>2013</v>
      </c>
      <c r="J182" t="s">
        <v>29</v>
      </c>
      <c r="K182" t="s">
        <v>30</v>
      </c>
      <c r="L182" s="8">
        <f t="shared" si="2"/>
        <v>0.58196721311475408</v>
      </c>
    </row>
    <row r="183" spans="1:12">
      <c r="A183" t="s">
        <v>443</v>
      </c>
      <c r="B183">
        <v>1981</v>
      </c>
      <c r="C183" t="s">
        <v>119</v>
      </c>
      <c r="D183">
        <v>103.55</v>
      </c>
      <c r="E183">
        <v>280</v>
      </c>
      <c r="F183">
        <v>177.5</v>
      </c>
      <c r="G183">
        <v>305</v>
      </c>
      <c r="H183">
        <v>762.5</v>
      </c>
      <c r="I183">
        <v>2013</v>
      </c>
      <c r="J183" t="s">
        <v>29</v>
      </c>
      <c r="K183" t="s">
        <v>30</v>
      </c>
      <c r="L183" s="8">
        <f t="shared" si="2"/>
        <v>0.58196721311475408</v>
      </c>
    </row>
    <row r="184" spans="1:12">
      <c r="A184" t="s">
        <v>105</v>
      </c>
      <c r="B184">
        <v>1982</v>
      </c>
      <c r="C184" t="s">
        <v>28</v>
      </c>
      <c r="D184">
        <v>82.04</v>
      </c>
      <c r="E184">
        <v>0</v>
      </c>
      <c r="F184">
        <v>177.5</v>
      </c>
      <c r="G184">
        <v>302.5</v>
      </c>
      <c r="H184">
        <v>0</v>
      </c>
      <c r="I184">
        <v>2015</v>
      </c>
      <c r="J184" t="s">
        <v>29</v>
      </c>
      <c r="K184" t="s">
        <v>30</v>
      </c>
      <c r="L184" s="8">
        <f t="shared" si="2"/>
        <v>0.58677685950413228</v>
      </c>
    </row>
    <row r="185" spans="1:12">
      <c r="A185" t="s">
        <v>160</v>
      </c>
      <c r="B185">
        <v>1983</v>
      </c>
      <c r="C185" t="s">
        <v>125</v>
      </c>
      <c r="D185">
        <v>82.3</v>
      </c>
      <c r="E185">
        <v>250</v>
      </c>
      <c r="F185">
        <v>177.5</v>
      </c>
      <c r="G185">
        <v>250</v>
      </c>
      <c r="H185">
        <v>677.5</v>
      </c>
      <c r="I185">
        <v>2012</v>
      </c>
      <c r="J185" t="s">
        <v>29</v>
      </c>
      <c r="K185" t="s">
        <v>30</v>
      </c>
      <c r="L185" s="8">
        <f t="shared" si="2"/>
        <v>0.71</v>
      </c>
    </row>
    <row r="186" spans="1:12">
      <c r="A186" t="s">
        <v>112</v>
      </c>
      <c r="B186">
        <v>1990</v>
      </c>
      <c r="C186" t="s">
        <v>113</v>
      </c>
      <c r="D186">
        <v>80.400000000000006</v>
      </c>
      <c r="E186">
        <v>227.5</v>
      </c>
      <c r="F186">
        <v>177.5</v>
      </c>
      <c r="G186">
        <v>245</v>
      </c>
      <c r="H186">
        <v>650</v>
      </c>
      <c r="I186">
        <v>2012</v>
      </c>
      <c r="J186" t="s">
        <v>29</v>
      </c>
      <c r="K186" t="s">
        <v>30</v>
      </c>
      <c r="L186" s="8">
        <f t="shared" si="2"/>
        <v>0.72448979591836737</v>
      </c>
    </row>
    <row r="187" spans="1:12">
      <c r="A187" t="s">
        <v>34</v>
      </c>
      <c r="B187">
        <v>1970</v>
      </c>
      <c r="C187" t="s">
        <v>35</v>
      </c>
      <c r="D187">
        <v>82.6</v>
      </c>
      <c r="E187">
        <v>222.5</v>
      </c>
      <c r="F187">
        <v>177.5</v>
      </c>
      <c r="G187">
        <v>232.5</v>
      </c>
      <c r="H187">
        <v>632.5</v>
      </c>
      <c r="I187">
        <v>2012</v>
      </c>
      <c r="J187" t="s">
        <v>29</v>
      </c>
      <c r="K187" t="s">
        <v>30</v>
      </c>
      <c r="L187" s="8">
        <f t="shared" si="2"/>
        <v>0.76344086021505375</v>
      </c>
    </row>
    <row r="188" spans="1:12">
      <c r="A188" t="s">
        <v>48</v>
      </c>
      <c r="B188">
        <v>1983</v>
      </c>
      <c r="C188" t="s">
        <v>49</v>
      </c>
      <c r="D188">
        <v>92.5</v>
      </c>
      <c r="E188">
        <v>267.5</v>
      </c>
      <c r="F188">
        <v>175</v>
      </c>
      <c r="G188">
        <v>307.5</v>
      </c>
      <c r="H188">
        <v>750</v>
      </c>
      <c r="I188">
        <v>2013</v>
      </c>
      <c r="J188" t="s">
        <v>29</v>
      </c>
      <c r="K188" t="s">
        <v>30</v>
      </c>
      <c r="L188" s="8">
        <f t="shared" si="2"/>
        <v>0.56910569105691056</v>
      </c>
    </row>
    <row r="189" spans="1:12">
      <c r="A189" t="s">
        <v>709</v>
      </c>
      <c r="B189">
        <v>1983</v>
      </c>
      <c r="C189" t="s">
        <v>109</v>
      </c>
      <c r="D189">
        <v>117</v>
      </c>
      <c r="E189">
        <v>247.5</v>
      </c>
      <c r="F189">
        <v>175</v>
      </c>
      <c r="G189">
        <v>300</v>
      </c>
      <c r="H189">
        <v>722.5</v>
      </c>
      <c r="I189">
        <v>2014</v>
      </c>
      <c r="J189" t="s">
        <v>29</v>
      </c>
      <c r="K189" t="s">
        <v>30</v>
      </c>
      <c r="L189" s="8">
        <f t="shared" si="2"/>
        <v>0.58333333333333337</v>
      </c>
    </row>
    <row r="190" spans="1:12">
      <c r="A190" t="s">
        <v>709</v>
      </c>
      <c r="B190">
        <v>1983</v>
      </c>
      <c r="C190" t="s">
        <v>109</v>
      </c>
      <c r="D190">
        <v>117.85</v>
      </c>
      <c r="E190">
        <v>242.5</v>
      </c>
      <c r="F190">
        <v>175</v>
      </c>
      <c r="G190">
        <v>300</v>
      </c>
      <c r="H190">
        <v>717.5</v>
      </c>
      <c r="I190">
        <v>2013</v>
      </c>
      <c r="J190" t="s">
        <v>29</v>
      </c>
      <c r="K190" t="s">
        <v>30</v>
      </c>
      <c r="L190" s="8">
        <f t="shared" si="2"/>
        <v>0.58333333333333337</v>
      </c>
    </row>
    <row r="191" spans="1:12">
      <c r="A191" t="s">
        <v>48</v>
      </c>
      <c r="B191">
        <v>1983</v>
      </c>
      <c r="C191" t="s">
        <v>49</v>
      </c>
      <c r="D191">
        <v>91.8</v>
      </c>
      <c r="E191">
        <v>260</v>
      </c>
      <c r="F191">
        <v>175</v>
      </c>
      <c r="G191">
        <v>290</v>
      </c>
      <c r="H191">
        <v>725</v>
      </c>
      <c r="I191">
        <v>2012</v>
      </c>
      <c r="J191" t="s">
        <v>29</v>
      </c>
      <c r="K191" t="s">
        <v>30</v>
      </c>
      <c r="L191" s="8">
        <f t="shared" si="2"/>
        <v>0.60344827586206895</v>
      </c>
    </row>
    <row r="192" spans="1:12">
      <c r="A192" t="s">
        <v>105</v>
      </c>
      <c r="B192">
        <v>1982</v>
      </c>
      <c r="C192" t="s">
        <v>28</v>
      </c>
      <c r="D192">
        <v>81.150000000000006</v>
      </c>
      <c r="E192">
        <v>252.5</v>
      </c>
      <c r="F192">
        <v>175</v>
      </c>
      <c r="G192">
        <v>287.5</v>
      </c>
      <c r="H192">
        <v>715</v>
      </c>
      <c r="I192">
        <v>2012</v>
      </c>
      <c r="J192" t="s">
        <v>29</v>
      </c>
      <c r="K192" t="s">
        <v>30</v>
      </c>
      <c r="L192" s="8">
        <f t="shared" si="2"/>
        <v>0.60869565217391308</v>
      </c>
    </row>
    <row r="193" spans="1:12">
      <c r="A193" t="s">
        <v>126</v>
      </c>
      <c r="B193">
        <v>1987</v>
      </c>
      <c r="C193" t="s">
        <v>80</v>
      </c>
      <c r="D193">
        <v>91.33</v>
      </c>
      <c r="E193">
        <v>257.5</v>
      </c>
      <c r="F193">
        <v>175</v>
      </c>
      <c r="G193">
        <v>285</v>
      </c>
      <c r="H193">
        <v>717.5</v>
      </c>
      <c r="I193">
        <v>2015</v>
      </c>
      <c r="J193" t="s">
        <v>29</v>
      </c>
      <c r="K193" t="s">
        <v>30</v>
      </c>
      <c r="L193" s="8">
        <f t="shared" si="2"/>
        <v>0.61403508771929827</v>
      </c>
    </row>
    <row r="194" spans="1:12">
      <c r="A194" t="s">
        <v>53</v>
      </c>
      <c r="B194">
        <v>1982</v>
      </c>
      <c r="C194" t="s">
        <v>54</v>
      </c>
      <c r="D194">
        <v>92.25</v>
      </c>
      <c r="E194">
        <v>217.5</v>
      </c>
      <c r="F194">
        <v>175</v>
      </c>
      <c r="G194">
        <v>285</v>
      </c>
      <c r="H194">
        <v>677.5</v>
      </c>
      <c r="I194">
        <v>2012</v>
      </c>
      <c r="J194" t="s">
        <v>29</v>
      </c>
      <c r="K194" t="s">
        <v>30</v>
      </c>
      <c r="L194" s="8">
        <f t="shared" si="2"/>
        <v>0.61403508771929827</v>
      </c>
    </row>
    <row r="195" spans="1:12">
      <c r="A195" t="s">
        <v>162</v>
      </c>
      <c r="B195">
        <v>1975</v>
      </c>
      <c r="C195" t="s">
        <v>163</v>
      </c>
      <c r="D195">
        <v>104.9</v>
      </c>
      <c r="E195">
        <v>0</v>
      </c>
      <c r="F195">
        <v>175</v>
      </c>
      <c r="G195">
        <v>280</v>
      </c>
      <c r="H195">
        <v>0</v>
      </c>
      <c r="I195">
        <v>2012</v>
      </c>
      <c r="J195" t="s">
        <v>29</v>
      </c>
      <c r="K195" t="s">
        <v>30</v>
      </c>
      <c r="L195" s="8">
        <f t="shared" ref="L195:L258" si="3">IF(AND(F195&lt;&gt;0,G195&lt;&gt;0),F195/G195,"")</f>
        <v>0.625</v>
      </c>
    </row>
    <row r="196" spans="1:12">
      <c r="A196" t="s">
        <v>739</v>
      </c>
      <c r="B196">
        <v>1987</v>
      </c>
      <c r="C196" t="s">
        <v>142</v>
      </c>
      <c r="D196">
        <v>92.39</v>
      </c>
      <c r="E196">
        <v>247.5</v>
      </c>
      <c r="F196">
        <v>175</v>
      </c>
      <c r="G196">
        <v>275</v>
      </c>
      <c r="H196">
        <v>697.5</v>
      </c>
      <c r="I196">
        <v>2015</v>
      </c>
      <c r="J196" t="s">
        <v>29</v>
      </c>
      <c r="K196" t="s">
        <v>30</v>
      </c>
      <c r="L196" s="8">
        <f t="shared" si="3"/>
        <v>0.63636363636363635</v>
      </c>
    </row>
    <row r="197" spans="1:12">
      <c r="A197" t="s">
        <v>36</v>
      </c>
      <c r="B197">
        <v>1967</v>
      </c>
      <c r="C197" t="s">
        <v>35</v>
      </c>
      <c r="D197">
        <v>73.5</v>
      </c>
      <c r="E197">
        <v>235</v>
      </c>
      <c r="F197">
        <v>175</v>
      </c>
      <c r="G197">
        <v>265</v>
      </c>
      <c r="H197">
        <v>675</v>
      </c>
      <c r="I197">
        <v>2014</v>
      </c>
      <c r="J197" t="s">
        <v>29</v>
      </c>
      <c r="K197" t="s">
        <v>30</v>
      </c>
      <c r="L197" s="8">
        <f t="shared" si="3"/>
        <v>0.660377358490566</v>
      </c>
    </row>
    <row r="198" spans="1:12">
      <c r="A198" t="s">
        <v>356</v>
      </c>
      <c r="B198">
        <v>1978</v>
      </c>
      <c r="C198" t="s">
        <v>357</v>
      </c>
      <c r="D198">
        <v>81.45</v>
      </c>
      <c r="E198">
        <v>140</v>
      </c>
      <c r="F198">
        <v>175</v>
      </c>
      <c r="G198">
        <v>160</v>
      </c>
      <c r="H198">
        <v>475</v>
      </c>
      <c r="I198">
        <v>2014</v>
      </c>
      <c r="J198" t="s">
        <v>29</v>
      </c>
      <c r="K198" t="s">
        <v>30</v>
      </c>
      <c r="L198" s="8">
        <f t="shared" si="3"/>
        <v>1.09375</v>
      </c>
    </row>
    <row r="199" spans="1:12">
      <c r="A199" t="s">
        <v>632</v>
      </c>
      <c r="B199">
        <v>1987</v>
      </c>
      <c r="C199" t="s">
        <v>51</v>
      </c>
      <c r="D199">
        <v>92.8</v>
      </c>
      <c r="E199">
        <v>255</v>
      </c>
      <c r="F199">
        <v>172.5</v>
      </c>
      <c r="G199">
        <v>345</v>
      </c>
      <c r="H199">
        <v>772.5</v>
      </c>
      <c r="I199">
        <v>2014</v>
      </c>
      <c r="J199" t="s">
        <v>29</v>
      </c>
      <c r="K199" t="s">
        <v>30</v>
      </c>
      <c r="L199" s="8">
        <f t="shared" si="3"/>
        <v>0.5</v>
      </c>
    </row>
    <row r="200" spans="1:12">
      <c r="A200" t="s">
        <v>678</v>
      </c>
      <c r="B200">
        <v>1981</v>
      </c>
      <c r="C200" t="s">
        <v>62</v>
      </c>
      <c r="D200">
        <v>91.48</v>
      </c>
      <c r="E200">
        <v>303</v>
      </c>
      <c r="F200">
        <v>172.5</v>
      </c>
      <c r="G200">
        <v>322.5</v>
      </c>
      <c r="H200">
        <v>798</v>
      </c>
      <c r="I200">
        <v>2015</v>
      </c>
      <c r="J200" t="s">
        <v>29</v>
      </c>
      <c r="K200" t="s">
        <v>30</v>
      </c>
      <c r="L200" s="8">
        <f t="shared" si="3"/>
        <v>0.53488372093023251</v>
      </c>
    </row>
    <row r="201" spans="1:12">
      <c r="A201" t="s">
        <v>659</v>
      </c>
      <c r="B201">
        <v>1988</v>
      </c>
      <c r="C201" t="s">
        <v>80</v>
      </c>
      <c r="D201">
        <v>104.09</v>
      </c>
      <c r="E201">
        <v>275</v>
      </c>
      <c r="F201">
        <v>172.5</v>
      </c>
      <c r="G201">
        <v>312.5</v>
      </c>
      <c r="H201">
        <v>760</v>
      </c>
      <c r="I201">
        <v>2015</v>
      </c>
      <c r="J201" t="s">
        <v>29</v>
      </c>
      <c r="K201" t="s">
        <v>30</v>
      </c>
      <c r="L201" s="8">
        <f t="shared" si="3"/>
        <v>0.55200000000000005</v>
      </c>
    </row>
    <row r="202" spans="1:12">
      <c r="A202" t="s">
        <v>439</v>
      </c>
      <c r="B202">
        <v>1982</v>
      </c>
      <c r="C202" t="s">
        <v>100</v>
      </c>
      <c r="D202">
        <v>92.07</v>
      </c>
      <c r="E202">
        <v>270</v>
      </c>
      <c r="F202">
        <v>172.5</v>
      </c>
      <c r="G202">
        <v>300</v>
      </c>
      <c r="H202">
        <v>742.5</v>
      </c>
      <c r="I202">
        <v>2015</v>
      </c>
      <c r="J202" t="s">
        <v>29</v>
      </c>
      <c r="K202" t="s">
        <v>30</v>
      </c>
      <c r="L202" s="8">
        <f t="shared" si="3"/>
        <v>0.57499999999999996</v>
      </c>
    </row>
    <row r="203" spans="1:12">
      <c r="A203" t="s">
        <v>159</v>
      </c>
      <c r="B203">
        <v>1974</v>
      </c>
      <c r="C203" t="s">
        <v>39</v>
      </c>
      <c r="D203">
        <v>80</v>
      </c>
      <c r="E203">
        <v>252.5</v>
      </c>
      <c r="F203">
        <v>172.5</v>
      </c>
      <c r="G203">
        <v>295</v>
      </c>
      <c r="H203">
        <v>720</v>
      </c>
      <c r="I203">
        <v>2012</v>
      </c>
      <c r="J203" t="s">
        <v>29</v>
      </c>
      <c r="K203" t="s">
        <v>30</v>
      </c>
      <c r="L203" s="8">
        <f t="shared" si="3"/>
        <v>0.5847457627118644</v>
      </c>
    </row>
    <row r="204" spans="1:12">
      <c r="A204" t="s">
        <v>132</v>
      </c>
      <c r="B204">
        <v>1986</v>
      </c>
      <c r="C204" t="s">
        <v>62</v>
      </c>
      <c r="D204">
        <v>91.65</v>
      </c>
      <c r="E204">
        <v>230</v>
      </c>
      <c r="F204">
        <v>172.5</v>
      </c>
      <c r="G204">
        <v>292.5</v>
      </c>
      <c r="H204">
        <v>695</v>
      </c>
      <c r="I204">
        <v>2012</v>
      </c>
      <c r="J204" t="s">
        <v>29</v>
      </c>
      <c r="K204" t="s">
        <v>30</v>
      </c>
      <c r="L204" s="8">
        <f t="shared" si="3"/>
        <v>0.58974358974358976</v>
      </c>
    </row>
    <row r="205" spans="1:12">
      <c r="A205" t="s">
        <v>52</v>
      </c>
      <c r="B205">
        <v>1983</v>
      </c>
      <c r="C205" t="s">
        <v>35</v>
      </c>
      <c r="D205">
        <v>93</v>
      </c>
      <c r="E205">
        <v>255</v>
      </c>
      <c r="F205">
        <v>172.5</v>
      </c>
      <c r="G205">
        <v>290</v>
      </c>
      <c r="H205">
        <v>717.5</v>
      </c>
      <c r="I205">
        <v>2012</v>
      </c>
      <c r="J205" t="s">
        <v>29</v>
      </c>
      <c r="K205" t="s">
        <v>30</v>
      </c>
      <c r="L205" s="8">
        <f t="shared" si="3"/>
        <v>0.59482758620689657</v>
      </c>
    </row>
    <row r="206" spans="1:12">
      <c r="A206" t="s">
        <v>696</v>
      </c>
      <c r="B206">
        <v>1990</v>
      </c>
      <c r="C206" t="s">
        <v>39</v>
      </c>
      <c r="D206">
        <v>104.37</v>
      </c>
      <c r="E206">
        <v>275</v>
      </c>
      <c r="F206">
        <v>172.5</v>
      </c>
      <c r="G206">
        <v>277.5</v>
      </c>
      <c r="H206">
        <v>725</v>
      </c>
      <c r="I206">
        <v>2015</v>
      </c>
      <c r="J206" t="s">
        <v>29</v>
      </c>
      <c r="K206" t="s">
        <v>30</v>
      </c>
      <c r="L206" s="8">
        <f t="shared" si="3"/>
        <v>0.6216216216216216</v>
      </c>
    </row>
    <row r="207" spans="1:12">
      <c r="A207" t="s">
        <v>36</v>
      </c>
      <c r="B207">
        <v>1967</v>
      </c>
      <c r="C207" t="s">
        <v>35</v>
      </c>
      <c r="D207">
        <v>74</v>
      </c>
      <c r="E207">
        <v>230</v>
      </c>
      <c r="F207">
        <v>172.5</v>
      </c>
      <c r="G207">
        <v>267.5</v>
      </c>
      <c r="H207">
        <v>670</v>
      </c>
      <c r="I207">
        <v>2013</v>
      </c>
      <c r="J207" t="s">
        <v>29</v>
      </c>
      <c r="K207" t="s">
        <v>30</v>
      </c>
      <c r="L207" s="8">
        <f t="shared" si="3"/>
        <v>0.64485981308411211</v>
      </c>
    </row>
    <row r="208" spans="1:12">
      <c r="A208" t="s">
        <v>772</v>
      </c>
      <c r="B208">
        <v>1983</v>
      </c>
      <c r="C208" t="s">
        <v>28</v>
      </c>
      <c r="D208">
        <v>65.150000000000006</v>
      </c>
      <c r="E208">
        <v>205</v>
      </c>
      <c r="F208">
        <v>172.5</v>
      </c>
      <c r="G208">
        <v>255</v>
      </c>
      <c r="H208">
        <v>632.5</v>
      </c>
      <c r="I208">
        <v>2013</v>
      </c>
      <c r="J208" t="s">
        <v>29</v>
      </c>
      <c r="K208" t="s">
        <v>30</v>
      </c>
      <c r="L208" s="8">
        <f t="shared" si="3"/>
        <v>0.67647058823529416</v>
      </c>
    </row>
    <row r="209" spans="1:12">
      <c r="A209" t="s">
        <v>89</v>
      </c>
      <c r="B209">
        <v>1966</v>
      </c>
      <c r="C209" t="s">
        <v>56</v>
      </c>
      <c r="D209">
        <v>82.55</v>
      </c>
      <c r="E209">
        <v>195</v>
      </c>
      <c r="F209">
        <v>172.5</v>
      </c>
      <c r="G209">
        <v>250</v>
      </c>
      <c r="H209">
        <v>617.5</v>
      </c>
      <c r="I209">
        <v>2013</v>
      </c>
      <c r="J209" t="s">
        <v>29</v>
      </c>
      <c r="K209" t="s">
        <v>30</v>
      </c>
      <c r="L209" s="8">
        <f t="shared" si="3"/>
        <v>0.69</v>
      </c>
    </row>
    <row r="210" spans="1:12">
      <c r="A210" t="s">
        <v>772</v>
      </c>
      <c r="B210">
        <v>1983</v>
      </c>
      <c r="C210" t="s">
        <v>28</v>
      </c>
      <c r="D210">
        <v>65.86</v>
      </c>
      <c r="E210">
        <v>210</v>
      </c>
      <c r="F210">
        <v>172.5</v>
      </c>
      <c r="G210">
        <v>240</v>
      </c>
      <c r="H210">
        <v>622.5</v>
      </c>
      <c r="I210">
        <v>2015</v>
      </c>
      <c r="J210" t="s">
        <v>29</v>
      </c>
      <c r="K210" t="s">
        <v>30</v>
      </c>
      <c r="L210" s="8">
        <f t="shared" si="3"/>
        <v>0.71875</v>
      </c>
    </row>
    <row r="211" spans="1:12">
      <c r="A211" t="s">
        <v>506</v>
      </c>
      <c r="B211">
        <v>1986</v>
      </c>
      <c r="C211" t="s">
        <v>35</v>
      </c>
      <c r="D211">
        <v>146.19999999999999</v>
      </c>
      <c r="E211">
        <v>285</v>
      </c>
      <c r="F211">
        <v>170</v>
      </c>
      <c r="G211">
        <v>360</v>
      </c>
      <c r="H211">
        <v>815</v>
      </c>
      <c r="I211">
        <v>2015</v>
      </c>
      <c r="J211" t="s">
        <v>29</v>
      </c>
      <c r="K211" t="s">
        <v>30</v>
      </c>
      <c r="L211" s="8">
        <f t="shared" si="3"/>
        <v>0.47222222222222221</v>
      </c>
    </row>
    <row r="212" spans="1:12">
      <c r="A212" t="s">
        <v>69</v>
      </c>
      <c r="B212">
        <v>1983</v>
      </c>
      <c r="C212" t="s">
        <v>45</v>
      </c>
      <c r="D212">
        <v>103.6</v>
      </c>
      <c r="E212">
        <v>307.5</v>
      </c>
      <c r="F212">
        <v>170</v>
      </c>
      <c r="G212">
        <v>330</v>
      </c>
      <c r="H212">
        <v>807.5</v>
      </c>
      <c r="I212">
        <v>2014</v>
      </c>
      <c r="J212" t="s">
        <v>29</v>
      </c>
      <c r="K212" t="s">
        <v>30</v>
      </c>
      <c r="L212" s="8">
        <f t="shared" si="3"/>
        <v>0.51515151515151514</v>
      </c>
    </row>
    <row r="213" spans="1:12">
      <c r="A213" t="s">
        <v>670</v>
      </c>
      <c r="B213">
        <v>1979</v>
      </c>
      <c r="C213" t="s">
        <v>289</v>
      </c>
      <c r="D213">
        <v>103.1</v>
      </c>
      <c r="E213">
        <v>270</v>
      </c>
      <c r="F213">
        <v>170</v>
      </c>
      <c r="G213">
        <v>315</v>
      </c>
      <c r="H213">
        <v>755</v>
      </c>
      <c r="I213">
        <v>2014</v>
      </c>
      <c r="J213" t="s">
        <v>29</v>
      </c>
      <c r="K213" t="s">
        <v>30</v>
      </c>
      <c r="L213" s="8">
        <f t="shared" si="3"/>
        <v>0.53968253968253965</v>
      </c>
    </row>
    <row r="214" spans="1:12">
      <c r="A214" t="s">
        <v>143</v>
      </c>
      <c r="B214">
        <v>1987</v>
      </c>
      <c r="C214" t="s">
        <v>80</v>
      </c>
      <c r="D214">
        <v>92.3</v>
      </c>
      <c r="E214">
        <v>260</v>
      </c>
      <c r="F214">
        <v>170</v>
      </c>
      <c r="G214">
        <v>305</v>
      </c>
      <c r="H214">
        <v>735</v>
      </c>
      <c r="I214">
        <v>2012</v>
      </c>
      <c r="J214" t="s">
        <v>29</v>
      </c>
      <c r="K214" t="s">
        <v>30</v>
      </c>
      <c r="L214" s="8">
        <f t="shared" si="3"/>
        <v>0.55737704918032782</v>
      </c>
    </row>
    <row r="215" spans="1:12">
      <c r="A215" t="s">
        <v>139</v>
      </c>
      <c r="B215">
        <v>1987</v>
      </c>
      <c r="C215" t="s">
        <v>137</v>
      </c>
      <c r="D215">
        <v>89.05</v>
      </c>
      <c r="E215">
        <v>250</v>
      </c>
      <c r="F215">
        <v>170</v>
      </c>
      <c r="G215">
        <v>302.5</v>
      </c>
      <c r="H215">
        <v>722.5</v>
      </c>
      <c r="I215">
        <v>2012</v>
      </c>
      <c r="J215" t="s">
        <v>29</v>
      </c>
      <c r="K215" t="s">
        <v>30</v>
      </c>
      <c r="L215" s="8">
        <f t="shared" si="3"/>
        <v>0.56198347107438018</v>
      </c>
    </row>
    <row r="216" spans="1:12">
      <c r="A216" t="s">
        <v>718</v>
      </c>
      <c r="B216">
        <v>1988</v>
      </c>
      <c r="C216" t="s">
        <v>51</v>
      </c>
      <c r="D216">
        <v>103.7</v>
      </c>
      <c r="E216">
        <v>245</v>
      </c>
      <c r="F216">
        <v>170</v>
      </c>
      <c r="G216">
        <v>300</v>
      </c>
      <c r="H216">
        <v>715</v>
      </c>
      <c r="I216">
        <v>2013</v>
      </c>
      <c r="J216" t="s">
        <v>29</v>
      </c>
      <c r="K216" t="s">
        <v>30</v>
      </c>
      <c r="L216" s="8">
        <f t="shared" si="3"/>
        <v>0.56666666666666665</v>
      </c>
    </row>
    <row r="217" spans="1:12">
      <c r="A217" t="s">
        <v>143</v>
      </c>
      <c r="B217">
        <v>1987</v>
      </c>
      <c r="C217" t="s">
        <v>80</v>
      </c>
      <c r="D217">
        <v>92.6</v>
      </c>
      <c r="E217">
        <v>255</v>
      </c>
      <c r="F217">
        <v>170</v>
      </c>
      <c r="G217">
        <v>297.5</v>
      </c>
      <c r="H217">
        <v>722.5</v>
      </c>
      <c r="I217">
        <v>2013</v>
      </c>
      <c r="J217" t="s">
        <v>29</v>
      </c>
      <c r="K217" t="s">
        <v>30</v>
      </c>
      <c r="L217" s="8">
        <f t="shared" si="3"/>
        <v>0.5714285714285714</v>
      </c>
    </row>
    <row r="218" spans="1:12">
      <c r="A218" t="s">
        <v>624</v>
      </c>
      <c r="B218">
        <v>1976</v>
      </c>
      <c r="C218" t="s">
        <v>163</v>
      </c>
      <c r="D218">
        <v>102.5</v>
      </c>
      <c r="E218">
        <v>315</v>
      </c>
      <c r="F218">
        <v>170</v>
      </c>
      <c r="G218">
        <v>290</v>
      </c>
      <c r="H218">
        <v>775</v>
      </c>
      <c r="I218">
        <v>2014</v>
      </c>
      <c r="J218" t="s">
        <v>29</v>
      </c>
      <c r="K218" t="s">
        <v>30</v>
      </c>
      <c r="L218" s="8">
        <f t="shared" si="3"/>
        <v>0.58620689655172409</v>
      </c>
    </row>
    <row r="219" spans="1:12">
      <c r="A219" t="s">
        <v>120</v>
      </c>
      <c r="B219">
        <v>1959</v>
      </c>
      <c r="C219" t="s">
        <v>51</v>
      </c>
      <c r="D219">
        <v>103.35</v>
      </c>
      <c r="E219">
        <v>270</v>
      </c>
      <c r="F219">
        <v>170</v>
      </c>
      <c r="G219">
        <v>280</v>
      </c>
      <c r="H219">
        <v>720</v>
      </c>
      <c r="I219">
        <v>2012</v>
      </c>
      <c r="J219" t="s">
        <v>29</v>
      </c>
      <c r="K219" t="s">
        <v>30</v>
      </c>
      <c r="L219" s="8">
        <f t="shared" si="3"/>
        <v>0.6071428571428571</v>
      </c>
    </row>
    <row r="220" spans="1:12">
      <c r="A220" t="s">
        <v>535</v>
      </c>
      <c r="B220">
        <v>1981</v>
      </c>
      <c r="C220" t="s">
        <v>74</v>
      </c>
      <c r="D220">
        <v>73.55</v>
      </c>
      <c r="E220">
        <v>220</v>
      </c>
      <c r="F220">
        <v>170</v>
      </c>
      <c r="G220">
        <v>280</v>
      </c>
      <c r="H220">
        <v>670</v>
      </c>
      <c r="I220">
        <v>2013</v>
      </c>
      <c r="J220" t="s">
        <v>29</v>
      </c>
      <c r="K220" t="s">
        <v>30</v>
      </c>
      <c r="L220" s="8">
        <f t="shared" si="3"/>
        <v>0.6071428571428571</v>
      </c>
    </row>
    <row r="221" spans="1:12">
      <c r="A221" t="s">
        <v>441</v>
      </c>
      <c r="B221">
        <v>1991</v>
      </c>
      <c r="C221" t="s">
        <v>113</v>
      </c>
      <c r="D221">
        <v>130.12</v>
      </c>
      <c r="E221">
        <v>260</v>
      </c>
      <c r="F221">
        <v>170</v>
      </c>
      <c r="G221">
        <v>275</v>
      </c>
      <c r="H221">
        <v>705</v>
      </c>
      <c r="I221">
        <v>2015</v>
      </c>
      <c r="J221" t="s">
        <v>29</v>
      </c>
      <c r="K221" t="s">
        <v>30</v>
      </c>
      <c r="L221" s="8">
        <f t="shared" si="3"/>
        <v>0.61818181818181817</v>
      </c>
    </row>
    <row r="222" spans="1:12">
      <c r="A222" t="s">
        <v>553</v>
      </c>
      <c r="B222">
        <v>1982</v>
      </c>
      <c r="C222" t="s">
        <v>54</v>
      </c>
      <c r="D222">
        <v>91.15</v>
      </c>
      <c r="E222">
        <v>220</v>
      </c>
      <c r="F222">
        <v>170</v>
      </c>
      <c r="G222">
        <v>275</v>
      </c>
      <c r="H222">
        <v>665</v>
      </c>
      <c r="I222">
        <v>2013</v>
      </c>
      <c r="J222" t="s">
        <v>29</v>
      </c>
      <c r="K222" t="s">
        <v>30</v>
      </c>
      <c r="L222" s="8">
        <f t="shared" si="3"/>
        <v>0.61818181818181817</v>
      </c>
    </row>
    <row r="223" spans="1:12">
      <c r="A223" t="s">
        <v>57</v>
      </c>
      <c r="B223">
        <v>1982</v>
      </c>
      <c r="C223" t="s">
        <v>28</v>
      </c>
      <c r="D223">
        <v>58.15</v>
      </c>
      <c r="E223">
        <v>226</v>
      </c>
      <c r="F223">
        <v>170</v>
      </c>
      <c r="G223">
        <v>260</v>
      </c>
      <c r="H223">
        <v>656</v>
      </c>
      <c r="I223">
        <v>2015</v>
      </c>
      <c r="J223" t="s">
        <v>29</v>
      </c>
      <c r="K223" t="s">
        <v>30</v>
      </c>
      <c r="L223" s="8">
        <f t="shared" si="3"/>
        <v>0.65384615384615385</v>
      </c>
    </row>
    <row r="224" spans="1:12">
      <c r="A224" t="s">
        <v>91</v>
      </c>
      <c r="B224">
        <v>1970</v>
      </c>
      <c r="C224" t="s">
        <v>77</v>
      </c>
      <c r="D224">
        <v>99.75</v>
      </c>
      <c r="E224">
        <v>235</v>
      </c>
      <c r="F224">
        <v>170</v>
      </c>
      <c r="G224">
        <v>235</v>
      </c>
      <c r="H224">
        <v>640</v>
      </c>
      <c r="I224">
        <v>2012</v>
      </c>
      <c r="J224" t="s">
        <v>29</v>
      </c>
      <c r="K224" t="s">
        <v>30</v>
      </c>
      <c r="L224" s="8">
        <f t="shared" si="3"/>
        <v>0.72340425531914898</v>
      </c>
    </row>
    <row r="225" spans="1:12">
      <c r="A225" t="s">
        <v>655</v>
      </c>
      <c r="B225">
        <v>1988</v>
      </c>
      <c r="C225" t="s">
        <v>445</v>
      </c>
      <c r="D225">
        <v>101.25</v>
      </c>
      <c r="E225">
        <v>275</v>
      </c>
      <c r="F225">
        <v>167.5</v>
      </c>
      <c r="G225">
        <v>330</v>
      </c>
      <c r="H225">
        <v>772.5</v>
      </c>
      <c r="I225">
        <v>2015</v>
      </c>
      <c r="J225" t="s">
        <v>29</v>
      </c>
      <c r="K225" t="s">
        <v>30</v>
      </c>
      <c r="L225" s="8">
        <f t="shared" si="3"/>
        <v>0.50757575757575757</v>
      </c>
    </row>
    <row r="226" spans="1:12">
      <c r="A226" t="s">
        <v>847</v>
      </c>
      <c r="B226">
        <v>1985</v>
      </c>
      <c r="C226" t="s">
        <v>28</v>
      </c>
      <c r="D226">
        <v>82.6</v>
      </c>
      <c r="E226">
        <v>260</v>
      </c>
      <c r="F226">
        <v>167.5</v>
      </c>
      <c r="G226">
        <v>300</v>
      </c>
      <c r="H226">
        <v>727.5</v>
      </c>
      <c r="I226">
        <v>2015</v>
      </c>
      <c r="J226" t="s">
        <v>29</v>
      </c>
      <c r="K226" t="s">
        <v>30</v>
      </c>
      <c r="L226" s="8">
        <f t="shared" si="3"/>
        <v>0.55833333333333335</v>
      </c>
    </row>
    <row r="227" spans="1:12">
      <c r="A227" t="s">
        <v>533</v>
      </c>
      <c r="B227">
        <v>1976</v>
      </c>
      <c r="C227" t="s">
        <v>83</v>
      </c>
      <c r="D227">
        <v>73.569999999999993</v>
      </c>
      <c r="E227">
        <v>247.5</v>
      </c>
      <c r="F227">
        <v>167.5</v>
      </c>
      <c r="G227">
        <v>297.5</v>
      </c>
      <c r="H227">
        <v>712.5</v>
      </c>
      <c r="I227">
        <v>2015</v>
      </c>
      <c r="J227" t="s">
        <v>29</v>
      </c>
      <c r="K227" t="s">
        <v>30</v>
      </c>
      <c r="L227" s="8">
        <f t="shared" si="3"/>
        <v>0.56302521008403361</v>
      </c>
    </row>
    <row r="228" spans="1:12">
      <c r="A228" t="s">
        <v>822</v>
      </c>
      <c r="B228">
        <v>1983</v>
      </c>
      <c r="C228" t="s">
        <v>142</v>
      </c>
      <c r="D228">
        <v>90.33</v>
      </c>
      <c r="E228">
        <v>225</v>
      </c>
      <c r="F228">
        <v>167.5</v>
      </c>
      <c r="G228">
        <v>285</v>
      </c>
      <c r="H228">
        <v>677.5</v>
      </c>
      <c r="I228">
        <v>2015</v>
      </c>
      <c r="J228" t="s">
        <v>29</v>
      </c>
      <c r="K228" t="s">
        <v>30</v>
      </c>
      <c r="L228" s="8">
        <f t="shared" si="3"/>
        <v>0.58771929824561409</v>
      </c>
    </row>
    <row r="229" spans="1:12">
      <c r="A229" t="s">
        <v>33</v>
      </c>
      <c r="B229">
        <v>1981</v>
      </c>
      <c r="C229" t="s">
        <v>28</v>
      </c>
      <c r="D229">
        <v>73.400000000000006</v>
      </c>
      <c r="E229">
        <v>225</v>
      </c>
      <c r="F229">
        <v>167.5</v>
      </c>
      <c r="G229">
        <v>277.5</v>
      </c>
      <c r="H229">
        <v>670</v>
      </c>
      <c r="I229">
        <v>2012</v>
      </c>
      <c r="J229" t="s">
        <v>29</v>
      </c>
      <c r="K229" t="s">
        <v>30</v>
      </c>
      <c r="L229" s="8">
        <f t="shared" si="3"/>
        <v>0.60360360360360366</v>
      </c>
    </row>
    <row r="230" spans="1:12">
      <c r="A230" t="s">
        <v>542</v>
      </c>
      <c r="B230">
        <v>1986</v>
      </c>
      <c r="C230" t="s">
        <v>39</v>
      </c>
      <c r="D230">
        <v>72.7</v>
      </c>
      <c r="E230">
        <v>250</v>
      </c>
      <c r="F230">
        <v>167.5</v>
      </c>
      <c r="G230">
        <v>262.5</v>
      </c>
      <c r="H230">
        <v>680</v>
      </c>
      <c r="I230">
        <v>2015</v>
      </c>
      <c r="J230" t="s">
        <v>29</v>
      </c>
      <c r="K230" t="s">
        <v>30</v>
      </c>
      <c r="L230" s="8">
        <f t="shared" si="3"/>
        <v>0.63809523809523805</v>
      </c>
    </row>
    <row r="231" spans="1:12">
      <c r="A231" t="s">
        <v>792</v>
      </c>
      <c r="B231">
        <v>1987</v>
      </c>
      <c r="C231" t="s">
        <v>228</v>
      </c>
      <c r="D231">
        <v>82.35</v>
      </c>
      <c r="E231">
        <v>230</v>
      </c>
      <c r="F231">
        <v>167.5</v>
      </c>
      <c r="G231">
        <v>242.5</v>
      </c>
      <c r="H231">
        <v>640</v>
      </c>
      <c r="I231">
        <v>2013</v>
      </c>
      <c r="J231" t="s">
        <v>29</v>
      </c>
      <c r="K231" t="s">
        <v>30</v>
      </c>
      <c r="L231" s="8">
        <f t="shared" si="3"/>
        <v>0.69072164948453607</v>
      </c>
    </row>
    <row r="232" spans="1:12">
      <c r="A232" t="s">
        <v>772</v>
      </c>
      <c r="B232">
        <v>1983</v>
      </c>
      <c r="C232" t="s">
        <v>28</v>
      </c>
      <c r="D232">
        <v>65.75</v>
      </c>
      <c r="E232">
        <v>210</v>
      </c>
      <c r="F232">
        <v>167.5</v>
      </c>
      <c r="G232">
        <v>230</v>
      </c>
      <c r="H232">
        <v>607.5</v>
      </c>
      <c r="I232">
        <v>2014</v>
      </c>
      <c r="J232" t="s">
        <v>29</v>
      </c>
      <c r="K232" t="s">
        <v>30</v>
      </c>
      <c r="L232" s="8">
        <f t="shared" si="3"/>
        <v>0.72826086956521741</v>
      </c>
    </row>
    <row r="233" spans="1:12">
      <c r="A233" t="s">
        <v>95</v>
      </c>
      <c r="B233">
        <v>1983</v>
      </c>
      <c r="C233" t="s">
        <v>54</v>
      </c>
      <c r="D233">
        <v>92</v>
      </c>
      <c r="E233">
        <v>220</v>
      </c>
      <c r="F233">
        <v>167.5</v>
      </c>
      <c r="G233">
        <v>220</v>
      </c>
      <c r="H233">
        <v>607.5</v>
      </c>
      <c r="I233">
        <v>2012</v>
      </c>
      <c r="J233" t="s">
        <v>29</v>
      </c>
      <c r="K233" t="s">
        <v>30</v>
      </c>
      <c r="L233" s="8">
        <f t="shared" si="3"/>
        <v>0.76136363636363635</v>
      </c>
    </row>
    <row r="234" spans="1:12">
      <c r="A234" t="s">
        <v>666</v>
      </c>
      <c r="B234">
        <v>1987</v>
      </c>
      <c r="C234" t="s">
        <v>56</v>
      </c>
      <c r="D234">
        <v>125.69</v>
      </c>
      <c r="E234">
        <v>300</v>
      </c>
      <c r="F234">
        <v>165</v>
      </c>
      <c r="G234">
        <v>320</v>
      </c>
      <c r="H234">
        <v>785</v>
      </c>
      <c r="I234">
        <v>2015</v>
      </c>
      <c r="J234" t="s">
        <v>29</v>
      </c>
      <c r="K234" t="s">
        <v>30</v>
      </c>
      <c r="L234" s="8">
        <f t="shared" si="3"/>
        <v>0.515625</v>
      </c>
    </row>
    <row r="235" spans="1:12">
      <c r="A235" t="s">
        <v>522</v>
      </c>
      <c r="B235">
        <v>1988</v>
      </c>
      <c r="C235" t="s">
        <v>296</v>
      </c>
      <c r="D235">
        <v>136</v>
      </c>
      <c r="E235">
        <v>275</v>
      </c>
      <c r="F235">
        <v>165</v>
      </c>
      <c r="G235">
        <v>300</v>
      </c>
      <c r="H235">
        <v>740</v>
      </c>
      <c r="I235">
        <v>2015</v>
      </c>
      <c r="J235" t="s">
        <v>29</v>
      </c>
      <c r="K235" t="s">
        <v>30</v>
      </c>
      <c r="L235" s="8">
        <f t="shared" si="3"/>
        <v>0.55000000000000004</v>
      </c>
    </row>
    <row r="236" spans="1:12">
      <c r="A236" t="s">
        <v>615</v>
      </c>
      <c r="B236">
        <v>1986</v>
      </c>
      <c r="C236" t="s">
        <v>125</v>
      </c>
      <c r="D236">
        <v>104.25</v>
      </c>
      <c r="E236">
        <v>235</v>
      </c>
      <c r="F236">
        <v>165</v>
      </c>
      <c r="G236">
        <v>295</v>
      </c>
      <c r="H236">
        <v>695</v>
      </c>
      <c r="I236">
        <v>2014</v>
      </c>
      <c r="J236" t="s">
        <v>29</v>
      </c>
      <c r="K236" t="s">
        <v>30</v>
      </c>
      <c r="L236" s="8">
        <f t="shared" si="3"/>
        <v>0.55932203389830504</v>
      </c>
    </row>
    <row r="237" spans="1:12">
      <c r="A237" t="s">
        <v>143</v>
      </c>
      <c r="B237">
        <v>1987</v>
      </c>
      <c r="C237" t="s">
        <v>80</v>
      </c>
      <c r="D237">
        <v>82.72</v>
      </c>
      <c r="E237">
        <v>250</v>
      </c>
      <c r="F237">
        <v>165</v>
      </c>
      <c r="G237">
        <v>290</v>
      </c>
      <c r="H237">
        <v>705</v>
      </c>
      <c r="I237">
        <v>2015</v>
      </c>
      <c r="J237" t="s">
        <v>29</v>
      </c>
      <c r="K237" t="s">
        <v>30</v>
      </c>
      <c r="L237" s="8">
        <f t="shared" si="3"/>
        <v>0.56896551724137934</v>
      </c>
    </row>
    <row r="238" spans="1:12">
      <c r="A238" t="s">
        <v>827</v>
      </c>
      <c r="B238">
        <v>1989</v>
      </c>
      <c r="C238" t="s">
        <v>113</v>
      </c>
      <c r="D238">
        <v>81.45</v>
      </c>
      <c r="E238">
        <v>247.5</v>
      </c>
      <c r="F238">
        <v>165</v>
      </c>
      <c r="G238">
        <v>290</v>
      </c>
      <c r="H238">
        <v>702.5</v>
      </c>
      <c r="I238">
        <v>2015</v>
      </c>
      <c r="J238" t="s">
        <v>29</v>
      </c>
      <c r="K238" t="s">
        <v>30</v>
      </c>
      <c r="L238" s="8">
        <f t="shared" si="3"/>
        <v>0.56896551724137934</v>
      </c>
    </row>
    <row r="239" spans="1:12">
      <c r="A239" t="s">
        <v>698</v>
      </c>
      <c r="B239">
        <v>1979</v>
      </c>
      <c r="C239" t="s">
        <v>80</v>
      </c>
      <c r="D239">
        <v>82.35</v>
      </c>
      <c r="E239">
        <v>242.5</v>
      </c>
      <c r="F239">
        <v>165</v>
      </c>
      <c r="G239">
        <v>290</v>
      </c>
      <c r="H239">
        <v>697.5</v>
      </c>
      <c r="I239">
        <v>2014</v>
      </c>
      <c r="J239" t="s">
        <v>29</v>
      </c>
      <c r="K239" t="s">
        <v>30</v>
      </c>
      <c r="L239" s="8">
        <f t="shared" si="3"/>
        <v>0.56896551724137934</v>
      </c>
    </row>
    <row r="240" spans="1:12">
      <c r="A240" t="s">
        <v>159</v>
      </c>
      <c r="B240">
        <v>1974</v>
      </c>
      <c r="C240" t="s">
        <v>39</v>
      </c>
      <c r="D240">
        <v>81.2</v>
      </c>
      <c r="E240">
        <v>255</v>
      </c>
      <c r="F240">
        <v>165</v>
      </c>
      <c r="G240">
        <v>287.5</v>
      </c>
      <c r="H240">
        <v>707.5</v>
      </c>
      <c r="I240">
        <v>2013</v>
      </c>
      <c r="J240" t="s">
        <v>29</v>
      </c>
      <c r="K240" t="s">
        <v>30</v>
      </c>
      <c r="L240" s="8">
        <f t="shared" si="3"/>
        <v>0.57391304347826089</v>
      </c>
    </row>
    <row r="241" spans="1:12">
      <c r="A241" t="s">
        <v>533</v>
      </c>
      <c r="B241">
        <v>1976</v>
      </c>
      <c r="C241" t="s">
        <v>83</v>
      </c>
      <c r="D241">
        <v>73.55</v>
      </c>
      <c r="E241">
        <v>235</v>
      </c>
      <c r="F241">
        <v>165</v>
      </c>
      <c r="G241">
        <v>287.5</v>
      </c>
      <c r="H241">
        <v>687.5</v>
      </c>
      <c r="I241">
        <v>2014</v>
      </c>
      <c r="J241" t="s">
        <v>29</v>
      </c>
      <c r="K241" t="s">
        <v>30</v>
      </c>
      <c r="L241" s="8">
        <f t="shared" si="3"/>
        <v>0.57391304347826089</v>
      </c>
    </row>
    <row r="242" spans="1:12">
      <c r="A242" t="s">
        <v>148</v>
      </c>
      <c r="B242">
        <v>1978</v>
      </c>
      <c r="C242" t="s">
        <v>80</v>
      </c>
      <c r="D242">
        <v>81.95</v>
      </c>
      <c r="E242">
        <v>210</v>
      </c>
      <c r="F242">
        <v>165</v>
      </c>
      <c r="G242">
        <v>280</v>
      </c>
      <c r="H242">
        <v>655</v>
      </c>
      <c r="I242">
        <v>2012</v>
      </c>
      <c r="J242" t="s">
        <v>29</v>
      </c>
      <c r="K242" t="s">
        <v>30</v>
      </c>
      <c r="L242" s="8">
        <f t="shared" si="3"/>
        <v>0.5892857142857143</v>
      </c>
    </row>
    <row r="243" spans="1:12">
      <c r="A243" t="s">
        <v>658</v>
      </c>
      <c r="B243">
        <v>1981</v>
      </c>
      <c r="C243" t="s">
        <v>56</v>
      </c>
      <c r="D243">
        <v>118.94</v>
      </c>
      <c r="E243">
        <v>270</v>
      </c>
      <c r="F243">
        <v>165</v>
      </c>
      <c r="G243">
        <v>275</v>
      </c>
      <c r="H243">
        <v>710</v>
      </c>
      <c r="I243">
        <v>2015</v>
      </c>
      <c r="J243" t="s">
        <v>29</v>
      </c>
      <c r="K243" t="s">
        <v>30</v>
      </c>
      <c r="L243" s="8">
        <f t="shared" si="3"/>
        <v>0.6</v>
      </c>
    </row>
    <row r="244" spans="1:12">
      <c r="A244" t="s">
        <v>57</v>
      </c>
      <c r="B244">
        <v>1982</v>
      </c>
      <c r="C244" t="s">
        <v>28</v>
      </c>
      <c r="D244">
        <v>58.2</v>
      </c>
      <c r="E244">
        <v>225.5</v>
      </c>
      <c r="F244">
        <v>165</v>
      </c>
      <c r="G244">
        <v>270.5</v>
      </c>
      <c r="H244">
        <v>661</v>
      </c>
      <c r="I244">
        <v>2014</v>
      </c>
      <c r="J244" t="s">
        <v>29</v>
      </c>
      <c r="K244" t="s">
        <v>30</v>
      </c>
      <c r="L244" s="8">
        <f t="shared" si="3"/>
        <v>0.60998151571164505</v>
      </c>
    </row>
    <row r="245" spans="1:12">
      <c r="A245" t="s">
        <v>73</v>
      </c>
      <c r="B245">
        <v>1982</v>
      </c>
      <c r="C245" t="s">
        <v>74</v>
      </c>
      <c r="D245">
        <v>63.4</v>
      </c>
      <c r="E245">
        <v>210</v>
      </c>
      <c r="F245">
        <v>165</v>
      </c>
      <c r="G245">
        <v>265</v>
      </c>
      <c r="H245">
        <v>640</v>
      </c>
      <c r="I245">
        <v>2014</v>
      </c>
      <c r="J245" t="s">
        <v>29</v>
      </c>
      <c r="K245" t="s">
        <v>30</v>
      </c>
      <c r="L245" s="8">
        <f t="shared" si="3"/>
        <v>0.62264150943396224</v>
      </c>
    </row>
    <row r="246" spans="1:12">
      <c r="A246" t="s">
        <v>599</v>
      </c>
      <c r="B246">
        <v>1990</v>
      </c>
      <c r="C246" t="s">
        <v>142</v>
      </c>
      <c r="D246">
        <v>79.95</v>
      </c>
      <c r="E246">
        <v>230</v>
      </c>
      <c r="F246">
        <v>165</v>
      </c>
      <c r="G246">
        <v>260</v>
      </c>
      <c r="H246">
        <v>655</v>
      </c>
      <c r="I246">
        <v>2015</v>
      </c>
      <c r="J246" t="s">
        <v>29</v>
      </c>
      <c r="K246" t="s">
        <v>30</v>
      </c>
      <c r="L246" s="8">
        <f t="shared" si="3"/>
        <v>0.63461538461538458</v>
      </c>
    </row>
    <row r="247" spans="1:12">
      <c r="A247" t="s">
        <v>651</v>
      </c>
      <c r="B247">
        <v>1985</v>
      </c>
      <c r="C247" t="s">
        <v>194</v>
      </c>
      <c r="D247">
        <v>82</v>
      </c>
      <c r="E247">
        <v>190</v>
      </c>
      <c r="F247">
        <v>165</v>
      </c>
      <c r="G247">
        <v>255</v>
      </c>
      <c r="H247">
        <v>610</v>
      </c>
      <c r="I247">
        <v>2014</v>
      </c>
      <c r="J247" t="s">
        <v>29</v>
      </c>
      <c r="K247" t="s">
        <v>30</v>
      </c>
      <c r="L247" s="8">
        <f t="shared" si="3"/>
        <v>0.6470588235294118</v>
      </c>
    </row>
    <row r="248" spans="1:12">
      <c r="A248" t="s">
        <v>436</v>
      </c>
      <c r="B248">
        <v>1987</v>
      </c>
      <c r="C248" t="s">
        <v>194</v>
      </c>
      <c r="D248">
        <v>81.45</v>
      </c>
      <c r="E248">
        <v>240</v>
      </c>
      <c r="F248">
        <v>165</v>
      </c>
      <c r="G248">
        <v>250</v>
      </c>
      <c r="H248">
        <v>655</v>
      </c>
      <c r="I248">
        <v>2014</v>
      </c>
      <c r="J248" t="s">
        <v>29</v>
      </c>
      <c r="K248" t="s">
        <v>30</v>
      </c>
      <c r="L248" s="8">
        <f t="shared" si="3"/>
        <v>0.66</v>
      </c>
    </row>
    <row r="249" spans="1:12">
      <c r="A249" t="s">
        <v>618</v>
      </c>
      <c r="B249">
        <v>1989</v>
      </c>
      <c r="C249" t="s">
        <v>56</v>
      </c>
      <c r="D249">
        <v>73.8</v>
      </c>
      <c r="E249">
        <v>215</v>
      </c>
      <c r="F249">
        <v>165</v>
      </c>
      <c r="G249">
        <v>240</v>
      </c>
      <c r="H249">
        <v>620</v>
      </c>
      <c r="I249">
        <v>2014</v>
      </c>
      <c r="J249" t="s">
        <v>29</v>
      </c>
      <c r="K249" t="s">
        <v>30</v>
      </c>
      <c r="L249" s="8">
        <f t="shared" si="3"/>
        <v>0.6875</v>
      </c>
    </row>
    <row r="250" spans="1:12">
      <c r="A250" t="s">
        <v>569</v>
      </c>
      <c r="B250">
        <v>1987</v>
      </c>
      <c r="C250" t="s">
        <v>39</v>
      </c>
      <c r="D250">
        <v>73.25</v>
      </c>
      <c r="E250">
        <v>245</v>
      </c>
      <c r="F250">
        <v>165</v>
      </c>
      <c r="G250">
        <v>230</v>
      </c>
      <c r="H250">
        <v>640</v>
      </c>
      <c r="I250">
        <v>2013</v>
      </c>
      <c r="J250" t="s">
        <v>29</v>
      </c>
      <c r="K250" t="s">
        <v>30</v>
      </c>
      <c r="L250" s="8">
        <f t="shared" si="3"/>
        <v>0.71739130434782605</v>
      </c>
    </row>
    <row r="251" spans="1:12">
      <c r="A251" t="s">
        <v>157</v>
      </c>
      <c r="B251">
        <v>1978</v>
      </c>
      <c r="C251" t="s">
        <v>62</v>
      </c>
      <c r="D251">
        <v>82.9</v>
      </c>
      <c r="E251">
        <v>235</v>
      </c>
      <c r="F251">
        <v>162.5</v>
      </c>
      <c r="G251">
        <v>310</v>
      </c>
      <c r="H251">
        <v>707.5</v>
      </c>
      <c r="I251">
        <v>2012</v>
      </c>
      <c r="J251" t="s">
        <v>29</v>
      </c>
      <c r="K251" t="s">
        <v>30</v>
      </c>
      <c r="L251" s="8">
        <f t="shared" si="3"/>
        <v>0.52419354838709675</v>
      </c>
    </row>
    <row r="252" spans="1:12">
      <c r="A252" t="s">
        <v>616</v>
      </c>
      <c r="B252">
        <v>1986</v>
      </c>
      <c r="C252" t="s">
        <v>125</v>
      </c>
      <c r="D252">
        <v>104.75</v>
      </c>
      <c r="E252">
        <v>232.5</v>
      </c>
      <c r="F252">
        <v>162.5</v>
      </c>
      <c r="G252">
        <v>290</v>
      </c>
      <c r="H252">
        <v>685</v>
      </c>
      <c r="I252">
        <v>2013</v>
      </c>
      <c r="J252" t="s">
        <v>29</v>
      </c>
      <c r="K252" t="s">
        <v>30</v>
      </c>
      <c r="L252" s="8">
        <f t="shared" si="3"/>
        <v>0.56034482758620685</v>
      </c>
    </row>
    <row r="253" spans="1:12">
      <c r="A253" t="s">
        <v>50</v>
      </c>
      <c r="B253">
        <v>1975</v>
      </c>
      <c r="C253" t="s">
        <v>51</v>
      </c>
      <c r="D253">
        <v>73.150000000000006</v>
      </c>
      <c r="E253">
        <v>210</v>
      </c>
      <c r="F253">
        <v>162.5</v>
      </c>
      <c r="G253">
        <v>285</v>
      </c>
      <c r="H253">
        <v>657.5</v>
      </c>
      <c r="I253">
        <v>2014</v>
      </c>
      <c r="J253" t="s">
        <v>29</v>
      </c>
      <c r="K253" t="s">
        <v>30</v>
      </c>
      <c r="L253" s="8">
        <f t="shared" si="3"/>
        <v>0.57017543859649122</v>
      </c>
    </row>
    <row r="254" spans="1:12">
      <c r="A254" t="s">
        <v>96</v>
      </c>
      <c r="B254">
        <v>1988</v>
      </c>
      <c r="C254" t="s">
        <v>72</v>
      </c>
      <c r="D254">
        <v>91.3</v>
      </c>
      <c r="E254">
        <v>265</v>
      </c>
      <c r="F254">
        <v>162.5</v>
      </c>
      <c r="G254">
        <v>280</v>
      </c>
      <c r="H254">
        <v>707.5</v>
      </c>
      <c r="I254">
        <v>2012</v>
      </c>
      <c r="J254" t="s">
        <v>29</v>
      </c>
      <c r="K254" t="s">
        <v>30</v>
      </c>
      <c r="L254" s="8">
        <f t="shared" si="3"/>
        <v>0.5803571428571429</v>
      </c>
    </row>
    <row r="255" spans="1:12">
      <c r="A255" t="s">
        <v>136</v>
      </c>
      <c r="B255">
        <v>1987</v>
      </c>
      <c r="C255" t="s">
        <v>137</v>
      </c>
      <c r="D255">
        <v>82.2</v>
      </c>
      <c r="E255">
        <v>255</v>
      </c>
      <c r="F255">
        <v>162.5</v>
      </c>
      <c r="G255">
        <v>275</v>
      </c>
      <c r="H255">
        <v>692.5</v>
      </c>
      <c r="I255">
        <v>2013</v>
      </c>
      <c r="J255" t="s">
        <v>29</v>
      </c>
      <c r="K255" t="s">
        <v>30</v>
      </c>
      <c r="L255" s="8">
        <f t="shared" si="3"/>
        <v>0.59090909090909094</v>
      </c>
    </row>
    <row r="256" spans="1:12">
      <c r="A256" t="s">
        <v>529</v>
      </c>
      <c r="B256">
        <v>1991</v>
      </c>
      <c r="C256" t="s">
        <v>289</v>
      </c>
      <c r="D256">
        <v>90.58</v>
      </c>
      <c r="E256">
        <v>252.5</v>
      </c>
      <c r="F256">
        <v>162.5</v>
      </c>
      <c r="G256">
        <v>272.5</v>
      </c>
      <c r="H256">
        <v>687.5</v>
      </c>
      <c r="I256">
        <v>2015</v>
      </c>
      <c r="J256" t="s">
        <v>29</v>
      </c>
      <c r="K256" t="s">
        <v>30</v>
      </c>
      <c r="L256" s="8">
        <f t="shared" si="3"/>
        <v>0.59633027522935778</v>
      </c>
    </row>
    <row r="257" spans="1:12">
      <c r="A257" t="s">
        <v>73</v>
      </c>
      <c r="B257">
        <v>1982</v>
      </c>
      <c r="C257" t="s">
        <v>74</v>
      </c>
      <c r="D257">
        <v>63.27</v>
      </c>
      <c r="E257">
        <v>222.5</v>
      </c>
      <c r="F257">
        <v>162.5</v>
      </c>
      <c r="G257">
        <v>265</v>
      </c>
      <c r="H257">
        <v>650</v>
      </c>
      <c r="I257">
        <v>2015</v>
      </c>
      <c r="J257" t="s">
        <v>29</v>
      </c>
      <c r="K257" t="s">
        <v>30</v>
      </c>
      <c r="L257" s="8">
        <f t="shared" si="3"/>
        <v>0.6132075471698113</v>
      </c>
    </row>
    <row r="258" spans="1:12">
      <c r="A258" t="s">
        <v>146</v>
      </c>
      <c r="B258">
        <v>1988</v>
      </c>
      <c r="C258" t="s">
        <v>32</v>
      </c>
      <c r="D258">
        <v>116.65</v>
      </c>
      <c r="E258">
        <v>265</v>
      </c>
      <c r="F258">
        <v>162.5</v>
      </c>
      <c r="G258">
        <v>262.5</v>
      </c>
      <c r="H258">
        <v>690</v>
      </c>
      <c r="I258">
        <v>2012</v>
      </c>
      <c r="J258" t="s">
        <v>29</v>
      </c>
      <c r="K258" t="s">
        <v>30</v>
      </c>
      <c r="L258" s="8">
        <f t="shared" si="3"/>
        <v>0.61904761904761907</v>
      </c>
    </row>
    <row r="259" spans="1:12">
      <c r="A259" t="s">
        <v>36</v>
      </c>
      <c r="B259">
        <v>1967</v>
      </c>
      <c r="C259" t="s">
        <v>35</v>
      </c>
      <c r="D259">
        <v>73.8</v>
      </c>
      <c r="E259">
        <v>227.5</v>
      </c>
      <c r="F259">
        <v>162.5</v>
      </c>
      <c r="G259">
        <v>255</v>
      </c>
      <c r="H259">
        <v>645</v>
      </c>
      <c r="I259">
        <v>2012</v>
      </c>
      <c r="J259" t="s">
        <v>29</v>
      </c>
      <c r="K259" t="s">
        <v>30</v>
      </c>
      <c r="L259" s="8">
        <f t="shared" ref="L259:L322" si="4">IF(AND(F259&lt;&gt;0,G259&lt;&gt;0),F259/G259,"")</f>
        <v>0.63725490196078427</v>
      </c>
    </row>
    <row r="260" spans="1:12">
      <c r="A260" t="s">
        <v>623</v>
      </c>
      <c r="B260">
        <v>1971</v>
      </c>
      <c r="C260" t="s">
        <v>113</v>
      </c>
      <c r="D260">
        <v>101.75</v>
      </c>
      <c r="E260">
        <v>227.5</v>
      </c>
      <c r="F260">
        <v>162.5</v>
      </c>
      <c r="G260">
        <v>255</v>
      </c>
      <c r="H260">
        <v>645</v>
      </c>
      <c r="I260">
        <v>2013</v>
      </c>
      <c r="J260" t="s">
        <v>29</v>
      </c>
      <c r="K260" t="s">
        <v>30</v>
      </c>
      <c r="L260" s="8">
        <f t="shared" si="4"/>
        <v>0.63725490196078427</v>
      </c>
    </row>
    <row r="261" spans="1:12">
      <c r="A261" t="s">
        <v>118</v>
      </c>
      <c r="B261">
        <v>1980</v>
      </c>
      <c r="C261" t="s">
        <v>119</v>
      </c>
      <c r="D261">
        <v>72.2</v>
      </c>
      <c r="E261">
        <v>200</v>
      </c>
      <c r="F261">
        <v>162.5</v>
      </c>
      <c r="G261">
        <v>247.5</v>
      </c>
      <c r="H261">
        <v>610</v>
      </c>
      <c r="I261">
        <v>2012</v>
      </c>
      <c r="J261" t="s">
        <v>29</v>
      </c>
      <c r="K261" t="s">
        <v>30</v>
      </c>
      <c r="L261" s="8">
        <f t="shared" si="4"/>
        <v>0.65656565656565657</v>
      </c>
    </row>
    <row r="262" spans="1:12">
      <c r="A262" t="s">
        <v>65</v>
      </c>
      <c r="B262">
        <v>1976</v>
      </c>
      <c r="C262" t="s">
        <v>66</v>
      </c>
      <c r="D262">
        <v>117.15</v>
      </c>
      <c r="E262">
        <v>275</v>
      </c>
      <c r="F262">
        <v>160</v>
      </c>
      <c r="G262">
        <v>320</v>
      </c>
      <c r="H262">
        <v>755</v>
      </c>
      <c r="I262">
        <v>2012</v>
      </c>
      <c r="J262" t="s">
        <v>29</v>
      </c>
      <c r="K262" t="s">
        <v>30</v>
      </c>
      <c r="L262" s="8">
        <f t="shared" si="4"/>
        <v>0.5</v>
      </c>
    </row>
    <row r="263" spans="1:12">
      <c r="A263" t="s">
        <v>128</v>
      </c>
      <c r="B263">
        <v>1979</v>
      </c>
      <c r="C263" t="s">
        <v>289</v>
      </c>
      <c r="D263">
        <v>103.05</v>
      </c>
      <c r="E263">
        <v>270</v>
      </c>
      <c r="F263">
        <v>160</v>
      </c>
      <c r="G263">
        <v>312.5</v>
      </c>
      <c r="H263">
        <v>742.5</v>
      </c>
      <c r="I263">
        <v>2013</v>
      </c>
      <c r="J263" t="s">
        <v>29</v>
      </c>
      <c r="K263" t="s">
        <v>30</v>
      </c>
      <c r="L263" s="8">
        <f t="shared" si="4"/>
        <v>0.51200000000000001</v>
      </c>
    </row>
    <row r="264" spans="1:12">
      <c r="A264" t="s">
        <v>764</v>
      </c>
      <c r="B264">
        <v>1988</v>
      </c>
      <c r="C264" t="s">
        <v>51</v>
      </c>
      <c r="D264">
        <v>91.39</v>
      </c>
      <c r="E264">
        <v>250</v>
      </c>
      <c r="F264">
        <v>160</v>
      </c>
      <c r="G264">
        <v>295</v>
      </c>
      <c r="H264">
        <v>705</v>
      </c>
      <c r="I264">
        <v>2015</v>
      </c>
      <c r="J264" t="s">
        <v>29</v>
      </c>
      <c r="K264" t="s">
        <v>30</v>
      </c>
      <c r="L264" s="8">
        <f t="shared" si="4"/>
        <v>0.5423728813559322</v>
      </c>
    </row>
    <row r="265" spans="1:12">
      <c r="A265" t="s">
        <v>533</v>
      </c>
      <c r="B265">
        <v>1976</v>
      </c>
      <c r="C265" t="s">
        <v>83</v>
      </c>
      <c r="D265">
        <v>73.650000000000006</v>
      </c>
      <c r="E265">
        <v>235</v>
      </c>
      <c r="F265">
        <v>160</v>
      </c>
      <c r="G265">
        <v>291</v>
      </c>
      <c r="H265">
        <v>686</v>
      </c>
      <c r="I265">
        <v>2013</v>
      </c>
      <c r="J265" t="s">
        <v>29</v>
      </c>
      <c r="K265" t="s">
        <v>30</v>
      </c>
      <c r="L265" s="8">
        <f t="shared" si="4"/>
        <v>0.54982817869415812</v>
      </c>
    </row>
    <row r="266" spans="1:12">
      <c r="A266" t="s">
        <v>760</v>
      </c>
      <c r="B266">
        <v>1982</v>
      </c>
      <c r="C266" t="s">
        <v>35</v>
      </c>
      <c r="D266">
        <v>82.95</v>
      </c>
      <c r="E266">
        <v>225</v>
      </c>
      <c r="F266">
        <v>160</v>
      </c>
      <c r="G266">
        <v>287.5</v>
      </c>
      <c r="H266">
        <v>672.5</v>
      </c>
      <c r="I266">
        <v>2015</v>
      </c>
      <c r="J266" t="s">
        <v>29</v>
      </c>
      <c r="K266" t="s">
        <v>30</v>
      </c>
      <c r="L266" s="8">
        <f t="shared" si="4"/>
        <v>0.55652173913043479</v>
      </c>
    </row>
    <row r="267" spans="1:12">
      <c r="A267" t="s">
        <v>705</v>
      </c>
      <c r="B267">
        <v>1988</v>
      </c>
      <c r="C267" t="s">
        <v>163</v>
      </c>
      <c r="D267">
        <v>90.95</v>
      </c>
      <c r="E267">
        <v>272.5</v>
      </c>
      <c r="F267">
        <v>160</v>
      </c>
      <c r="G267">
        <v>280</v>
      </c>
      <c r="H267">
        <v>712.5</v>
      </c>
      <c r="I267">
        <v>2014</v>
      </c>
      <c r="J267" t="s">
        <v>29</v>
      </c>
      <c r="K267" t="s">
        <v>30</v>
      </c>
      <c r="L267" s="8">
        <f t="shared" si="4"/>
        <v>0.5714285714285714</v>
      </c>
    </row>
    <row r="268" spans="1:12">
      <c r="A268" t="s">
        <v>734</v>
      </c>
      <c r="B268">
        <v>1990</v>
      </c>
      <c r="C268" t="s">
        <v>142</v>
      </c>
      <c r="D268">
        <v>81.349999999999994</v>
      </c>
      <c r="E268">
        <v>230</v>
      </c>
      <c r="F268">
        <v>160</v>
      </c>
      <c r="G268">
        <v>280</v>
      </c>
      <c r="H268">
        <v>670</v>
      </c>
      <c r="I268">
        <v>2015</v>
      </c>
      <c r="J268" t="s">
        <v>29</v>
      </c>
      <c r="K268" t="s">
        <v>30</v>
      </c>
      <c r="L268" s="8">
        <f t="shared" si="4"/>
        <v>0.5714285714285714</v>
      </c>
    </row>
    <row r="269" spans="1:12">
      <c r="A269" t="s">
        <v>136</v>
      </c>
      <c r="B269">
        <v>1987</v>
      </c>
      <c r="C269" t="s">
        <v>137</v>
      </c>
      <c r="D269">
        <v>82.2</v>
      </c>
      <c r="E269">
        <v>255</v>
      </c>
      <c r="F269">
        <v>160</v>
      </c>
      <c r="G269">
        <v>275</v>
      </c>
      <c r="H269">
        <v>690</v>
      </c>
      <c r="I269">
        <v>2012</v>
      </c>
      <c r="J269" t="s">
        <v>29</v>
      </c>
      <c r="K269" t="s">
        <v>30</v>
      </c>
      <c r="L269" s="8">
        <f t="shared" si="4"/>
        <v>0.58181818181818179</v>
      </c>
    </row>
    <row r="270" spans="1:12">
      <c r="A270" t="s">
        <v>57</v>
      </c>
      <c r="B270">
        <v>1982</v>
      </c>
      <c r="C270" t="s">
        <v>28</v>
      </c>
      <c r="D270">
        <v>57.6</v>
      </c>
      <c r="E270">
        <v>221</v>
      </c>
      <c r="F270">
        <v>160</v>
      </c>
      <c r="G270">
        <v>270</v>
      </c>
      <c r="H270">
        <v>651</v>
      </c>
      <c r="I270">
        <v>2012</v>
      </c>
      <c r="J270" t="s">
        <v>29</v>
      </c>
      <c r="K270" t="s">
        <v>30</v>
      </c>
      <c r="L270" s="8">
        <f t="shared" si="4"/>
        <v>0.59259259259259256</v>
      </c>
    </row>
    <row r="271" spans="1:12">
      <c r="A271" t="s">
        <v>151</v>
      </c>
      <c r="B271">
        <v>1973</v>
      </c>
      <c r="C271" t="s">
        <v>54</v>
      </c>
      <c r="D271">
        <v>118.2</v>
      </c>
      <c r="E271">
        <v>275</v>
      </c>
      <c r="F271">
        <v>160</v>
      </c>
      <c r="G271">
        <v>265</v>
      </c>
      <c r="H271">
        <v>700</v>
      </c>
      <c r="I271">
        <v>2012</v>
      </c>
      <c r="J271" t="s">
        <v>29</v>
      </c>
      <c r="K271" t="s">
        <v>30</v>
      </c>
      <c r="L271" s="8">
        <f t="shared" si="4"/>
        <v>0.60377358490566035</v>
      </c>
    </row>
    <row r="272" spans="1:12">
      <c r="A272" t="s">
        <v>73</v>
      </c>
      <c r="B272">
        <v>1982</v>
      </c>
      <c r="C272" t="s">
        <v>74</v>
      </c>
      <c r="D272">
        <v>64</v>
      </c>
      <c r="E272">
        <v>220</v>
      </c>
      <c r="F272">
        <v>160</v>
      </c>
      <c r="G272">
        <v>260</v>
      </c>
      <c r="H272">
        <v>640</v>
      </c>
      <c r="I272">
        <v>2012</v>
      </c>
      <c r="J272" t="s">
        <v>29</v>
      </c>
      <c r="K272" t="s">
        <v>30</v>
      </c>
      <c r="L272" s="8">
        <f t="shared" si="4"/>
        <v>0.61538461538461542</v>
      </c>
    </row>
    <row r="273" spans="1:12">
      <c r="A273" t="s">
        <v>89</v>
      </c>
      <c r="B273">
        <v>1966</v>
      </c>
      <c r="C273" t="s">
        <v>56</v>
      </c>
      <c r="D273">
        <v>82.4</v>
      </c>
      <c r="E273">
        <v>205</v>
      </c>
      <c r="F273">
        <v>160</v>
      </c>
      <c r="G273">
        <v>260</v>
      </c>
      <c r="H273">
        <v>625</v>
      </c>
      <c r="I273">
        <v>2014</v>
      </c>
      <c r="J273" t="s">
        <v>29</v>
      </c>
      <c r="K273" t="s">
        <v>30</v>
      </c>
      <c r="L273" s="8">
        <f t="shared" si="4"/>
        <v>0.61538461538461542</v>
      </c>
    </row>
    <row r="274" spans="1:12">
      <c r="A274" t="s">
        <v>84</v>
      </c>
      <c r="B274">
        <v>1987</v>
      </c>
      <c r="C274" t="s">
        <v>85</v>
      </c>
      <c r="D274">
        <v>73.599999999999994</v>
      </c>
      <c r="E274">
        <v>237.5</v>
      </c>
      <c r="F274">
        <v>160</v>
      </c>
      <c r="G274">
        <v>245</v>
      </c>
      <c r="H274">
        <v>642.5</v>
      </c>
      <c r="I274">
        <v>2013</v>
      </c>
      <c r="J274" t="s">
        <v>29</v>
      </c>
      <c r="K274" t="s">
        <v>30</v>
      </c>
      <c r="L274" s="8">
        <f t="shared" si="4"/>
        <v>0.65306122448979587</v>
      </c>
    </row>
    <row r="275" spans="1:12">
      <c r="A275" t="s">
        <v>388</v>
      </c>
      <c r="B275">
        <v>1989</v>
      </c>
      <c r="C275" t="s">
        <v>62</v>
      </c>
      <c r="D275">
        <v>72.849999999999994</v>
      </c>
      <c r="E275">
        <v>217.5</v>
      </c>
      <c r="F275">
        <v>160</v>
      </c>
      <c r="G275">
        <v>245</v>
      </c>
      <c r="H275">
        <v>622.5</v>
      </c>
      <c r="I275">
        <v>2014</v>
      </c>
      <c r="J275" t="s">
        <v>29</v>
      </c>
      <c r="K275" t="s">
        <v>30</v>
      </c>
      <c r="L275" s="8">
        <f t="shared" si="4"/>
        <v>0.65306122448979587</v>
      </c>
    </row>
    <row r="276" spans="1:12">
      <c r="A276" t="s">
        <v>569</v>
      </c>
      <c r="B276">
        <v>1987</v>
      </c>
      <c r="C276" t="s">
        <v>39</v>
      </c>
      <c r="D276">
        <v>73.88</v>
      </c>
      <c r="E276">
        <v>252.5</v>
      </c>
      <c r="F276">
        <v>160</v>
      </c>
      <c r="G276">
        <v>240</v>
      </c>
      <c r="H276">
        <v>652.5</v>
      </c>
      <c r="I276">
        <v>2015</v>
      </c>
      <c r="J276" t="s">
        <v>29</v>
      </c>
      <c r="K276" t="s">
        <v>30</v>
      </c>
      <c r="L276" s="8">
        <f t="shared" si="4"/>
        <v>0.66666666666666663</v>
      </c>
    </row>
    <row r="277" spans="1:12">
      <c r="A277" t="s">
        <v>81</v>
      </c>
      <c r="B277">
        <v>1981</v>
      </c>
      <c r="C277" t="s">
        <v>77</v>
      </c>
      <c r="D277">
        <v>66</v>
      </c>
      <c r="E277">
        <v>222.5</v>
      </c>
      <c r="F277">
        <v>160</v>
      </c>
      <c r="G277">
        <v>235</v>
      </c>
      <c r="H277">
        <v>617.5</v>
      </c>
      <c r="I277">
        <v>2012</v>
      </c>
      <c r="J277" t="s">
        <v>29</v>
      </c>
      <c r="K277" t="s">
        <v>30</v>
      </c>
      <c r="L277" s="8">
        <f t="shared" si="4"/>
        <v>0.68085106382978722</v>
      </c>
    </row>
    <row r="278" spans="1:12">
      <c r="A278" t="s">
        <v>106</v>
      </c>
      <c r="B278">
        <v>1978</v>
      </c>
      <c r="C278" t="s">
        <v>32</v>
      </c>
      <c r="D278">
        <v>80.7</v>
      </c>
      <c r="E278">
        <v>170</v>
      </c>
      <c r="F278">
        <v>160</v>
      </c>
      <c r="G278">
        <v>225</v>
      </c>
      <c r="H278">
        <v>555</v>
      </c>
      <c r="I278">
        <v>2012</v>
      </c>
      <c r="J278" t="s">
        <v>29</v>
      </c>
      <c r="K278" t="s">
        <v>30</v>
      </c>
      <c r="L278" s="8">
        <f t="shared" si="4"/>
        <v>0.71111111111111114</v>
      </c>
    </row>
    <row r="279" spans="1:12">
      <c r="A279" t="s">
        <v>662</v>
      </c>
      <c r="B279">
        <v>1981</v>
      </c>
      <c r="C279" t="s">
        <v>77</v>
      </c>
      <c r="D279">
        <v>73.77</v>
      </c>
      <c r="E279">
        <v>182.5</v>
      </c>
      <c r="F279">
        <v>160</v>
      </c>
      <c r="G279">
        <v>220</v>
      </c>
      <c r="H279">
        <v>562.5</v>
      </c>
      <c r="I279">
        <v>2015</v>
      </c>
      <c r="J279" t="s">
        <v>29</v>
      </c>
      <c r="K279" t="s">
        <v>30</v>
      </c>
      <c r="L279" s="8">
        <f t="shared" si="4"/>
        <v>0.72727272727272729</v>
      </c>
    </row>
    <row r="280" spans="1:12">
      <c r="A280" t="s">
        <v>148</v>
      </c>
      <c r="B280">
        <v>1978</v>
      </c>
      <c r="C280" t="s">
        <v>80</v>
      </c>
      <c r="D280">
        <v>73.62</v>
      </c>
      <c r="E280">
        <v>210</v>
      </c>
      <c r="F280">
        <v>157.5</v>
      </c>
      <c r="G280">
        <v>280</v>
      </c>
      <c r="H280">
        <v>647.5</v>
      </c>
      <c r="I280">
        <v>2015</v>
      </c>
      <c r="J280" t="s">
        <v>29</v>
      </c>
      <c r="K280" t="s">
        <v>30</v>
      </c>
      <c r="L280" s="8">
        <f t="shared" si="4"/>
        <v>0.5625</v>
      </c>
    </row>
    <row r="281" spans="1:12">
      <c r="A281" t="s">
        <v>748</v>
      </c>
      <c r="B281">
        <v>1978</v>
      </c>
      <c r="C281" t="s">
        <v>80</v>
      </c>
      <c r="D281">
        <v>65.56</v>
      </c>
      <c r="E281">
        <v>215</v>
      </c>
      <c r="F281">
        <v>157.5</v>
      </c>
      <c r="G281">
        <v>278</v>
      </c>
      <c r="H281">
        <v>650.5</v>
      </c>
      <c r="I281">
        <v>2015</v>
      </c>
      <c r="J281" t="s">
        <v>29</v>
      </c>
      <c r="K281" t="s">
        <v>30</v>
      </c>
      <c r="L281" s="8">
        <f t="shared" si="4"/>
        <v>0.56654676258992809</v>
      </c>
    </row>
    <row r="282" spans="1:12">
      <c r="A282" t="s">
        <v>545</v>
      </c>
      <c r="B282">
        <v>1987</v>
      </c>
      <c r="C282" t="s">
        <v>359</v>
      </c>
      <c r="D282">
        <v>73.3</v>
      </c>
      <c r="E282">
        <v>210</v>
      </c>
      <c r="F282">
        <v>157.5</v>
      </c>
      <c r="G282">
        <v>252.5</v>
      </c>
      <c r="H282">
        <v>620</v>
      </c>
      <c r="I282">
        <v>2014</v>
      </c>
      <c r="J282" t="s">
        <v>29</v>
      </c>
      <c r="K282" t="s">
        <v>30</v>
      </c>
      <c r="L282" s="8">
        <f t="shared" si="4"/>
        <v>0.62376237623762376</v>
      </c>
    </row>
    <row r="283" spans="1:12">
      <c r="A283" t="s">
        <v>620</v>
      </c>
      <c r="B283">
        <v>1986</v>
      </c>
      <c r="C283" t="s">
        <v>113</v>
      </c>
      <c r="D283">
        <v>91.11</v>
      </c>
      <c r="E283">
        <v>230</v>
      </c>
      <c r="F283">
        <v>155</v>
      </c>
      <c r="G283">
        <v>290</v>
      </c>
      <c r="H283">
        <v>675</v>
      </c>
      <c r="I283">
        <v>2015</v>
      </c>
      <c r="J283" t="s">
        <v>29</v>
      </c>
      <c r="K283" t="s">
        <v>30</v>
      </c>
      <c r="L283" s="8">
        <f t="shared" si="4"/>
        <v>0.53448275862068961</v>
      </c>
    </row>
    <row r="284" spans="1:12">
      <c r="A284" t="s">
        <v>564</v>
      </c>
      <c r="B284">
        <v>1988</v>
      </c>
      <c r="C284" t="s">
        <v>42</v>
      </c>
      <c r="D284">
        <v>91.89</v>
      </c>
      <c r="E284">
        <v>0</v>
      </c>
      <c r="F284">
        <v>155</v>
      </c>
      <c r="G284">
        <v>290</v>
      </c>
      <c r="H284">
        <v>0</v>
      </c>
      <c r="I284">
        <v>2015</v>
      </c>
      <c r="J284" t="s">
        <v>29</v>
      </c>
      <c r="K284" t="s">
        <v>30</v>
      </c>
      <c r="L284" s="8">
        <f t="shared" si="4"/>
        <v>0.53448275862068961</v>
      </c>
    </row>
    <row r="285" spans="1:12">
      <c r="A285" t="s">
        <v>705</v>
      </c>
      <c r="B285">
        <v>1988</v>
      </c>
      <c r="C285" t="s">
        <v>163</v>
      </c>
      <c r="D285">
        <v>91.4</v>
      </c>
      <c r="E285">
        <v>260</v>
      </c>
      <c r="F285">
        <v>155</v>
      </c>
      <c r="G285">
        <v>285</v>
      </c>
      <c r="H285">
        <v>700</v>
      </c>
      <c r="I285">
        <v>2013</v>
      </c>
      <c r="J285" t="s">
        <v>29</v>
      </c>
      <c r="K285" t="s">
        <v>30</v>
      </c>
      <c r="L285" s="8">
        <f t="shared" si="4"/>
        <v>0.54385964912280704</v>
      </c>
    </row>
    <row r="286" spans="1:12">
      <c r="A286" t="s">
        <v>366</v>
      </c>
      <c r="B286">
        <v>1968</v>
      </c>
      <c r="C286" t="s">
        <v>137</v>
      </c>
      <c r="D286">
        <v>73.900000000000006</v>
      </c>
      <c r="E286">
        <v>225</v>
      </c>
      <c r="F286">
        <v>155</v>
      </c>
      <c r="G286">
        <v>277.5</v>
      </c>
      <c r="H286">
        <v>657.5</v>
      </c>
      <c r="I286">
        <v>2014</v>
      </c>
      <c r="J286" t="s">
        <v>29</v>
      </c>
      <c r="K286" t="s">
        <v>30</v>
      </c>
      <c r="L286" s="8">
        <f t="shared" si="4"/>
        <v>0.55855855855855852</v>
      </c>
    </row>
    <row r="287" spans="1:12">
      <c r="A287" t="s">
        <v>748</v>
      </c>
      <c r="B287">
        <v>1978</v>
      </c>
      <c r="C287" t="s">
        <v>80</v>
      </c>
      <c r="D287">
        <v>65.5</v>
      </c>
      <c r="E287">
        <v>210</v>
      </c>
      <c r="F287">
        <v>155</v>
      </c>
      <c r="G287">
        <v>265</v>
      </c>
      <c r="H287">
        <v>630</v>
      </c>
      <c r="I287">
        <v>2014</v>
      </c>
      <c r="J287" t="s">
        <v>29</v>
      </c>
      <c r="K287" t="s">
        <v>30</v>
      </c>
      <c r="L287" s="8">
        <f t="shared" si="4"/>
        <v>0.58490566037735847</v>
      </c>
    </row>
    <row r="288" spans="1:12">
      <c r="A288" t="s">
        <v>50</v>
      </c>
      <c r="B288">
        <v>1975</v>
      </c>
      <c r="C288" t="s">
        <v>51</v>
      </c>
      <c r="D288">
        <v>73.400000000000006</v>
      </c>
      <c r="E288">
        <v>192.5</v>
      </c>
      <c r="F288">
        <v>155</v>
      </c>
      <c r="G288">
        <v>265</v>
      </c>
      <c r="H288">
        <v>612.5</v>
      </c>
      <c r="I288">
        <v>2012</v>
      </c>
      <c r="J288" t="s">
        <v>29</v>
      </c>
      <c r="K288" t="s">
        <v>30</v>
      </c>
      <c r="L288" s="8">
        <f t="shared" si="4"/>
        <v>0.58490566037735847</v>
      </c>
    </row>
    <row r="289" spans="1:12">
      <c r="A289" t="s">
        <v>471</v>
      </c>
      <c r="B289">
        <v>1989</v>
      </c>
      <c r="C289" t="s">
        <v>39</v>
      </c>
      <c r="D289">
        <v>73.25</v>
      </c>
      <c r="E289">
        <v>220</v>
      </c>
      <c r="F289">
        <v>155</v>
      </c>
      <c r="G289">
        <v>260</v>
      </c>
      <c r="H289">
        <v>635</v>
      </c>
      <c r="I289">
        <v>2013</v>
      </c>
      <c r="J289" t="s">
        <v>29</v>
      </c>
      <c r="K289" t="s">
        <v>30</v>
      </c>
      <c r="L289" s="8">
        <f t="shared" si="4"/>
        <v>0.59615384615384615</v>
      </c>
    </row>
    <row r="290" spans="1:12">
      <c r="A290" t="s">
        <v>748</v>
      </c>
      <c r="B290">
        <v>1978</v>
      </c>
      <c r="C290" t="s">
        <v>80</v>
      </c>
      <c r="D290">
        <v>65.8</v>
      </c>
      <c r="E290">
        <v>192.5</v>
      </c>
      <c r="F290">
        <v>155</v>
      </c>
      <c r="G290">
        <v>252.5</v>
      </c>
      <c r="H290">
        <v>600</v>
      </c>
      <c r="I290">
        <v>2013</v>
      </c>
      <c r="J290" t="s">
        <v>29</v>
      </c>
      <c r="K290" t="s">
        <v>30</v>
      </c>
      <c r="L290" s="8">
        <f t="shared" si="4"/>
        <v>0.61386138613861385</v>
      </c>
    </row>
    <row r="291" spans="1:12">
      <c r="A291" t="s">
        <v>61</v>
      </c>
      <c r="B291">
        <v>1986</v>
      </c>
      <c r="C291" t="s">
        <v>62</v>
      </c>
      <c r="D291">
        <v>65.05</v>
      </c>
      <c r="E291">
        <v>197.5</v>
      </c>
      <c r="F291">
        <v>155</v>
      </c>
      <c r="G291">
        <v>240</v>
      </c>
      <c r="H291">
        <v>592.5</v>
      </c>
      <c r="I291">
        <v>2014</v>
      </c>
      <c r="J291" t="s">
        <v>29</v>
      </c>
      <c r="K291" t="s">
        <v>30</v>
      </c>
      <c r="L291" s="8">
        <f t="shared" si="4"/>
        <v>0.64583333333333337</v>
      </c>
    </row>
    <row r="292" spans="1:12">
      <c r="A292" t="s">
        <v>61</v>
      </c>
      <c r="B292">
        <v>1986</v>
      </c>
      <c r="C292" t="s">
        <v>62</v>
      </c>
      <c r="D292">
        <v>65.45</v>
      </c>
      <c r="E292">
        <v>195</v>
      </c>
      <c r="F292">
        <v>155</v>
      </c>
      <c r="G292">
        <v>232.5</v>
      </c>
      <c r="H292">
        <v>582.5</v>
      </c>
      <c r="I292">
        <v>2013</v>
      </c>
      <c r="J292" t="s">
        <v>29</v>
      </c>
      <c r="K292" t="s">
        <v>30</v>
      </c>
      <c r="L292" s="8">
        <f t="shared" si="4"/>
        <v>0.66666666666666663</v>
      </c>
    </row>
    <row r="293" spans="1:12">
      <c r="A293" t="s">
        <v>61</v>
      </c>
      <c r="B293">
        <v>1986</v>
      </c>
      <c r="C293" t="s">
        <v>62</v>
      </c>
      <c r="D293">
        <v>72</v>
      </c>
      <c r="E293">
        <v>202.5</v>
      </c>
      <c r="F293">
        <v>155</v>
      </c>
      <c r="G293">
        <v>225</v>
      </c>
      <c r="H293">
        <v>582.5</v>
      </c>
      <c r="I293">
        <v>2012</v>
      </c>
      <c r="J293" t="s">
        <v>29</v>
      </c>
      <c r="K293" t="s">
        <v>30</v>
      </c>
      <c r="L293" s="8">
        <f t="shared" si="4"/>
        <v>0.68888888888888888</v>
      </c>
    </row>
    <row r="294" spans="1:12">
      <c r="A294" t="s">
        <v>582</v>
      </c>
      <c r="B294">
        <v>1985</v>
      </c>
      <c r="C294" t="s">
        <v>365</v>
      </c>
      <c r="D294">
        <v>73.63</v>
      </c>
      <c r="E294">
        <v>175</v>
      </c>
      <c r="F294">
        <v>155</v>
      </c>
      <c r="G294">
        <v>185</v>
      </c>
      <c r="H294">
        <v>515</v>
      </c>
      <c r="I294">
        <v>2015</v>
      </c>
      <c r="J294" t="s">
        <v>29</v>
      </c>
      <c r="K294" t="s">
        <v>30</v>
      </c>
      <c r="L294" s="8">
        <f t="shared" si="4"/>
        <v>0.83783783783783783</v>
      </c>
    </row>
    <row r="295" spans="1:12">
      <c r="A295" t="s">
        <v>640</v>
      </c>
      <c r="B295">
        <v>1983</v>
      </c>
      <c r="C295" t="s">
        <v>85</v>
      </c>
      <c r="D295">
        <v>82.4</v>
      </c>
      <c r="E295">
        <v>217.5</v>
      </c>
      <c r="F295">
        <v>152.5</v>
      </c>
      <c r="G295">
        <v>315.5</v>
      </c>
      <c r="H295">
        <v>685.5</v>
      </c>
      <c r="I295">
        <v>2014</v>
      </c>
      <c r="J295" t="s">
        <v>29</v>
      </c>
      <c r="K295" t="s">
        <v>30</v>
      </c>
      <c r="L295" s="8">
        <f t="shared" si="4"/>
        <v>0.48335974643423135</v>
      </c>
    </row>
    <row r="296" spans="1:12">
      <c r="A296" t="s">
        <v>130</v>
      </c>
      <c r="B296">
        <v>1975</v>
      </c>
      <c r="C296" t="s">
        <v>80</v>
      </c>
      <c r="D296">
        <v>73.760000000000005</v>
      </c>
      <c r="E296">
        <v>230</v>
      </c>
      <c r="F296">
        <v>152.5</v>
      </c>
      <c r="G296">
        <v>292.5</v>
      </c>
      <c r="H296">
        <v>675</v>
      </c>
      <c r="I296">
        <v>2015</v>
      </c>
      <c r="J296" t="s">
        <v>29</v>
      </c>
      <c r="K296" t="s">
        <v>30</v>
      </c>
      <c r="L296" s="8">
        <f t="shared" si="4"/>
        <v>0.5213675213675214</v>
      </c>
    </row>
    <row r="297" spans="1:12">
      <c r="A297" t="s">
        <v>498</v>
      </c>
      <c r="B297">
        <v>1987</v>
      </c>
      <c r="C297" t="s">
        <v>62</v>
      </c>
      <c r="D297">
        <v>82.55</v>
      </c>
      <c r="E297">
        <v>257.5</v>
      </c>
      <c r="F297">
        <v>152.5</v>
      </c>
      <c r="G297">
        <v>290</v>
      </c>
      <c r="H297">
        <v>700</v>
      </c>
      <c r="I297">
        <v>2014</v>
      </c>
      <c r="J297" t="s">
        <v>29</v>
      </c>
      <c r="K297" t="s">
        <v>30</v>
      </c>
      <c r="L297" s="8">
        <f t="shared" si="4"/>
        <v>0.52586206896551724</v>
      </c>
    </row>
    <row r="298" spans="1:12">
      <c r="A298" t="s">
        <v>829</v>
      </c>
      <c r="B298">
        <v>1985</v>
      </c>
      <c r="C298" t="s">
        <v>56</v>
      </c>
      <c r="D298">
        <v>82.4</v>
      </c>
      <c r="E298">
        <v>257.5</v>
      </c>
      <c r="F298">
        <v>152.5</v>
      </c>
      <c r="G298">
        <v>270</v>
      </c>
      <c r="H298">
        <v>680</v>
      </c>
      <c r="I298">
        <v>2014</v>
      </c>
      <c r="J298" t="s">
        <v>29</v>
      </c>
      <c r="K298" t="s">
        <v>30</v>
      </c>
      <c r="L298" s="8">
        <f t="shared" si="4"/>
        <v>0.56481481481481477</v>
      </c>
    </row>
    <row r="299" spans="1:12">
      <c r="A299" t="s">
        <v>727</v>
      </c>
      <c r="B299">
        <v>1989</v>
      </c>
      <c r="C299" t="s">
        <v>51</v>
      </c>
      <c r="D299">
        <v>82.62</v>
      </c>
      <c r="E299">
        <v>235</v>
      </c>
      <c r="F299">
        <v>152.5</v>
      </c>
      <c r="G299">
        <v>262.5</v>
      </c>
      <c r="H299">
        <v>650</v>
      </c>
      <c r="I299">
        <v>2015</v>
      </c>
      <c r="J299" t="s">
        <v>29</v>
      </c>
      <c r="K299" t="s">
        <v>30</v>
      </c>
      <c r="L299" s="8">
        <f t="shared" si="4"/>
        <v>0.580952380952381</v>
      </c>
    </row>
    <row r="300" spans="1:12">
      <c r="A300" t="s">
        <v>167</v>
      </c>
      <c r="B300">
        <v>1978</v>
      </c>
      <c r="C300" t="s">
        <v>85</v>
      </c>
      <c r="D300">
        <v>58.3</v>
      </c>
      <c r="E300">
        <v>215</v>
      </c>
      <c r="F300">
        <v>152.5</v>
      </c>
      <c r="G300">
        <v>205</v>
      </c>
      <c r="H300">
        <v>572.5</v>
      </c>
      <c r="I300">
        <v>2014</v>
      </c>
      <c r="J300" t="s">
        <v>29</v>
      </c>
      <c r="K300" t="s">
        <v>30</v>
      </c>
      <c r="L300" s="8">
        <f t="shared" si="4"/>
        <v>0.74390243902439024</v>
      </c>
    </row>
    <row r="301" spans="1:12">
      <c r="A301" t="s">
        <v>818</v>
      </c>
      <c r="B301">
        <v>1986</v>
      </c>
      <c r="C301" t="s">
        <v>39</v>
      </c>
      <c r="D301">
        <v>65.239999999999995</v>
      </c>
      <c r="E301">
        <v>195</v>
      </c>
      <c r="F301">
        <v>152.5</v>
      </c>
      <c r="G301">
        <v>200</v>
      </c>
      <c r="H301">
        <v>547.5</v>
      </c>
      <c r="I301">
        <v>2015</v>
      </c>
      <c r="J301" t="s">
        <v>29</v>
      </c>
      <c r="K301" t="s">
        <v>30</v>
      </c>
      <c r="L301" s="8">
        <f t="shared" si="4"/>
        <v>0.76249999999999996</v>
      </c>
    </row>
    <row r="302" spans="1:12">
      <c r="A302" t="s">
        <v>128</v>
      </c>
      <c r="B302">
        <v>1979</v>
      </c>
      <c r="C302" t="s">
        <v>129</v>
      </c>
      <c r="D302">
        <v>103.8</v>
      </c>
      <c r="E302">
        <v>265</v>
      </c>
      <c r="F302">
        <v>150</v>
      </c>
      <c r="G302">
        <v>312.5</v>
      </c>
      <c r="H302">
        <v>727.5</v>
      </c>
      <c r="I302">
        <v>2012</v>
      </c>
      <c r="J302" t="s">
        <v>29</v>
      </c>
      <c r="K302" t="s">
        <v>30</v>
      </c>
      <c r="L302" s="8">
        <f t="shared" si="4"/>
        <v>0.48</v>
      </c>
    </row>
    <row r="303" spans="1:12">
      <c r="A303" t="s">
        <v>460</v>
      </c>
      <c r="B303">
        <v>1975</v>
      </c>
      <c r="C303" t="s">
        <v>137</v>
      </c>
      <c r="D303">
        <v>73.040000000000006</v>
      </c>
      <c r="E303">
        <v>240</v>
      </c>
      <c r="F303">
        <v>150</v>
      </c>
      <c r="G303">
        <v>305</v>
      </c>
      <c r="H303">
        <v>695</v>
      </c>
      <c r="I303">
        <v>2015</v>
      </c>
      <c r="J303" t="s">
        <v>29</v>
      </c>
      <c r="K303" t="s">
        <v>30</v>
      </c>
      <c r="L303" s="8">
        <f t="shared" si="4"/>
        <v>0.49180327868852458</v>
      </c>
    </row>
    <row r="304" spans="1:12">
      <c r="A304" t="s">
        <v>765</v>
      </c>
      <c r="B304">
        <v>1985</v>
      </c>
      <c r="C304" t="s">
        <v>194</v>
      </c>
      <c r="D304">
        <v>72.2</v>
      </c>
      <c r="E304">
        <v>220</v>
      </c>
      <c r="F304">
        <v>150</v>
      </c>
      <c r="G304">
        <v>305</v>
      </c>
      <c r="H304">
        <v>675</v>
      </c>
      <c r="I304">
        <v>2014</v>
      </c>
      <c r="J304" t="s">
        <v>29</v>
      </c>
      <c r="K304" t="s">
        <v>30</v>
      </c>
      <c r="L304" s="8">
        <f t="shared" si="4"/>
        <v>0.49180327868852458</v>
      </c>
    </row>
    <row r="305" spans="1:12">
      <c r="A305" t="s">
        <v>535</v>
      </c>
      <c r="B305">
        <v>1981</v>
      </c>
      <c r="C305" t="s">
        <v>74</v>
      </c>
      <c r="D305">
        <v>73.62</v>
      </c>
      <c r="E305">
        <v>225</v>
      </c>
      <c r="F305">
        <v>150</v>
      </c>
      <c r="G305">
        <v>300</v>
      </c>
      <c r="H305">
        <v>675</v>
      </c>
      <c r="I305">
        <v>2015</v>
      </c>
      <c r="J305" t="s">
        <v>29</v>
      </c>
      <c r="K305" t="s">
        <v>30</v>
      </c>
      <c r="L305" s="8">
        <f t="shared" si="4"/>
        <v>0.5</v>
      </c>
    </row>
    <row r="306" spans="1:12">
      <c r="A306" t="s">
        <v>130</v>
      </c>
      <c r="B306">
        <v>1975</v>
      </c>
      <c r="C306" t="s">
        <v>80</v>
      </c>
      <c r="D306">
        <v>73.2</v>
      </c>
      <c r="E306">
        <v>220</v>
      </c>
      <c r="F306">
        <v>150</v>
      </c>
      <c r="G306">
        <v>280</v>
      </c>
      <c r="H306">
        <v>650</v>
      </c>
      <c r="I306">
        <v>2012</v>
      </c>
      <c r="J306" t="s">
        <v>29</v>
      </c>
      <c r="K306" t="s">
        <v>30</v>
      </c>
      <c r="L306" s="8">
        <f t="shared" si="4"/>
        <v>0.5357142857142857</v>
      </c>
    </row>
    <row r="307" spans="1:12">
      <c r="A307" t="s">
        <v>130</v>
      </c>
      <c r="B307">
        <v>1975</v>
      </c>
      <c r="C307" t="s">
        <v>80</v>
      </c>
      <c r="D307">
        <v>73.650000000000006</v>
      </c>
      <c r="E307">
        <v>225</v>
      </c>
      <c r="F307">
        <v>150</v>
      </c>
      <c r="G307">
        <v>277.5</v>
      </c>
      <c r="H307">
        <v>652.5</v>
      </c>
      <c r="I307">
        <v>2013</v>
      </c>
      <c r="J307" t="s">
        <v>29</v>
      </c>
      <c r="K307" t="s">
        <v>30</v>
      </c>
      <c r="L307" s="8">
        <f t="shared" si="4"/>
        <v>0.54054054054054057</v>
      </c>
    </row>
    <row r="308" spans="1:12">
      <c r="A308" t="s">
        <v>469</v>
      </c>
      <c r="B308">
        <v>1990</v>
      </c>
      <c r="C308" t="s">
        <v>42</v>
      </c>
      <c r="D308">
        <v>73.84</v>
      </c>
      <c r="E308">
        <v>250</v>
      </c>
      <c r="F308">
        <v>150</v>
      </c>
      <c r="G308">
        <v>270</v>
      </c>
      <c r="H308">
        <v>670</v>
      </c>
      <c r="I308">
        <v>2015</v>
      </c>
      <c r="J308" t="s">
        <v>29</v>
      </c>
      <c r="K308" t="s">
        <v>30</v>
      </c>
      <c r="L308" s="8">
        <f t="shared" si="4"/>
        <v>0.55555555555555558</v>
      </c>
    </row>
    <row r="309" spans="1:12">
      <c r="A309" t="s">
        <v>846</v>
      </c>
      <c r="B309">
        <v>1989</v>
      </c>
      <c r="C309" t="s">
        <v>77</v>
      </c>
      <c r="D309">
        <v>80.48</v>
      </c>
      <c r="E309">
        <v>240</v>
      </c>
      <c r="F309">
        <v>150</v>
      </c>
      <c r="G309">
        <v>260</v>
      </c>
      <c r="H309">
        <v>650</v>
      </c>
      <c r="I309">
        <v>2015</v>
      </c>
      <c r="J309" t="s">
        <v>29</v>
      </c>
      <c r="K309" t="s">
        <v>30</v>
      </c>
      <c r="L309" s="8">
        <f t="shared" si="4"/>
        <v>0.57692307692307687</v>
      </c>
    </row>
    <row r="310" spans="1:12">
      <c r="A310" t="s">
        <v>525</v>
      </c>
      <c r="B310">
        <v>1986</v>
      </c>
      <c r="C310" t="s">
        <v>77</v>
      </c>
      <c r="D310">
        <v>81.41</v>
      </c>
      <c r="E310">
        <v>232.5</v>
      </c>
      <c r="F310">
        <v>150</v>
      </c>
      <c r="G310">
        <v>255</v>
      </c>
      <c r="H310">
        <v>637.5</v>
      </c>
      <c r="I310">
        <v>2015</v>
      </c>
      <c r="J310" t="s">
        <v>29</v>
      </c>
      <c r="K310" t="s">
        <v>30</v>
      </c>
      <c r="L310" s="8">
        <f t="shared" si="4"/>
        <v>0.58823529411764708</v>
      </c>
    </row>
    <row r="311" spans="1:12">
      <c r="A311" t="s">
        <v>101</v>
      </c>
      <c r="B311">
        <v>1987</v>
      </c>
      <c r="C311" t="s">
        <v>77</v>
      </c>
      <c r="D311">
        <v>92.45</v>
      </c>
      <c r="E311">
        <v>260</v>
      </c>
      <c r="F311">
        <v>150</v>
      </c>
      <c r="G311">
        <v>250</v>
      </c>
      <c r="H311">
        <v>660</v>
      </c>
      <c r="I311">
        <v>2012</v>
      </c>
      <c r="J311" t="s">
        <v>29</v>
      </c>
      <c r="K311" t="s">
        <v>30</v>
      </c>
      <c r="L311" s="8">
        <f t="shared" si="4"/>
        <v>0.6</v>
      </c>
    </row>
    <row r="312" spans="1:12">
      <c r="A312" t="s">
        <v>610</v>
      </c>
      <c r="B312">
        <v>1983</v>
      </c>
      <c r="C312" t="s">
        <v>74</v>
      </c>
      <c r="D312">
        <v>72.5</v>
      </c>
      <c r="E312">
        <v>242.5</v>
      </c>
      <c r="F312">
        <v>150</v>
      </c>
      <c r="G312">
        <v>245</v>
      </c>
      <c r="H312">
        <v>637.5</v>
      </c>
      <c r="I312">
        <v>2014</v>
      </c>
      <c r="J312" t="s">
        <v>29</v>
      </c>
      <c r="K312" t="s">
        <v>30</v>
      </c>
      <c r="L312" s="8">
        <f t="shared" si="4"/>
        <v>0.61224489795918369</v>
      </c>
    </row>
    <row r="313" spans="1:12">
      <c r="A313" t="s">
        <v>421</v>
      </c>
      <c r="B313">
        <v>1991</v>
      </c>
      <c r="C313" t="s">
        <v>113</v>
      </c>
      <c r="D313">
        <v>64.87</v>
      </c>
      <c r="E313">
        <v>240.5</v>
      </c>
      <c r="F313">
        <v>150</v>
      </c>
      <c r="G313">
        <v>245</v>
      </c>
      <c r="H313">
        <v>635.5</v>
      </c>
      <c r="I313">
        <v>2015</v>
      </c>
      <c r="J313" t="s">
        <v>29</v>
      </c>
      <c r="K313" t="s">
        <v>30</v>
      </c>
      <c r="L313" s="8">
        <f t="shared" si="4"/>
        <v>0.61224489795918369</v>
      </c>
    </row>
    <row r="314" spans="1:12">
      <c r="A314" t="s">
        <v>585</v>
      </c>
      <c r="B314">
        <v>1981</v>
      </c>
      <c r="C314" t="s">
        <v>77</v>
      </c>
      <c r="D314">
        <v>82.3</v>
      </c>
      <c r="E314">
        <v>207.5</v>
      </c>
      <c r="F314">
        <v>150</v>
      </c>
      <c r="G314">
        <v>245</v>
      </c>
      <c r="H314">
        <v>602.5</v>
      </c>
      <c r="I314">
        <v>2014</v>
      </c>
      <c r="J314" t="s">
        <v>29</v>
      </c>
      <c r="K314" t="s">
        <v>30</v>
      </c>
      <c r="L314" s="8">
        <f t="shared" si="4"/>
        <v>0.61224489795918369</v>
      </c>
    </row>
    <row r="315" spans="1:12">
      <c r="A315" t="s">
        <v>84</v>
      </c>
      <c r="B315">
        <v>1987</v>
      </c>
      <c r="C315" t="s">
        <v>85</v>
      </c>
      <c r="D315">
        <v>73.55</v>
      </c>
      <c r="E315">
        <v>220</v>
      </c>
      <c r="F315">
        <v>150</v>
      </c>
      <c r="G315">
        <v>240</v>
      </c>
      <c r="H315">
        <v>610</v>
      </c>
      <c r="I315">
        <v>2012</v>
      </c>
      <c r="J315" t="s">
        <v>29</v>
      </c>
      <c r="K315" t="s">
        <v>30</v>
      </c>
      <c r="L315" s="8">
        <f t="shared" si="4"/>
        <v>0.625</v>
      </c>
    </row>
    <row r="316" spans="1:12">
      <c r="A316" t="s">
        <v>610</v>
      </c>
      <c r="B316">
        <v>1983</v>
      </c>
      <c r="C316" t="s">
        <v>74</v>
      </c>
      <c r="D316">
        <v>72.180000000000007</v>
      </c>
      <c r="E316">
        <v>210</v>
      </c>
      <c r="F316">
        <v>150</v>
      </c>
      <c r="G316">
        <v>230</v>
      </c>
      <c r="H316">
        <v>590</v>
      </c>
      <c r="I316">
        <v>2015</v>
      </c>
      <c r="J316" t="s">
        <v>29</v>
      </c>
      <c r="K316" t="s">
        <v>30</v>
      </c>
      <c r="L316" s="8">
        <f t="shared" si="4"/>
        <v>0.65217391304347827</v>
      </c>
    </row>
    <row r="317" spans="1:12">
      <c r="A317" t="s">
        <v>55</v>
      </c>
      <c r="B317">
        <v>1986</v>
      </c>
      <c r="C317" t="s">
        <v>56</v>
      </c>
      <c r="D317">
        <v>82.63</v>
      </c>
      <c r="E317">
        <v>252.5</v>
      </c>
      <c r="F317">
        <v>147.5</v>
      </c>
      <c r="G317">
        <v>297.5</v>
      </c>
      <c r="H317">
        <v>697.5</v>
      </c>
      <c r="I317">
        <v>2015</v>
      </c>
      <c r="J317" t="s">
        <v>29</v>
      </c>
      <c r="K317" t="s">
        <v>30</v>
      </c>
      <c r="L317" s="8">
        <f t="shared" si="4"/>
        <v>0.49579831932773111</v>
      </c>
    </row>
    <row r="318" spans="1:12">
      <c r="A318" t="s">
        <v>70</v>
      </c>
      <c r="B318">
        <v>1979</v>
      </c>
      <c r="C318" t="s">
        <v>51</v>
      </c>
      <c r="D318">
        <v>82.09</v>
      </c>
      <c r="E318">
        <v>220</v>
      </c>
      <c r="F318">
        <v>147.5</v>
      </c>
      <c r="G318">
        <v>280</v>
      </c>
      <c r="H318">
        <v>647.5</v>
      </c>
      <c r="I318">
        <v>2015</v>
      </c>
      <c r="J318" t="s">
        <v>29</v>
      </c>
      <c r="K318" t="s">
        <v>30</v>
      </c>
      <c r="L318" s="8">
        <f t="shared" si="4"/>
        <v>0.5267857142857143</v>
      </c>
    </row>
    <row r="319" spans="1:12">
      <c r="A319" t="s">
        <v>828</v>
      </c>
      <c r="B319">
        <v>1990</v>
      </c>
      <c r="C319" t="s">
        <v>51</v>
      </c>
      <c r="D319">
        <v>91.76</v>
      </c>
      <c r="E319">
        <v>215</v>
      </c>
      <c r="F319">
        <v>147.5</v>
      </c>
      <c r="G319">
        <v>280</v>
      </c>
      <c r="H319">
        <v>642.5</v>
      </c>
      <c r="I319">
        <v>2015</v>
      </c>
      <c r="J319" t="s">
        <v>29</v>
      </c>
      <c r="K319" t="s">
        <v>30</v>
      </c>
      <c r="L319" s="8">
        <f t="shared" si="4"/>
        <v>0.5267857142857143</v>
      </c>
    </row>
    <row r="320" spans="1:12">
      <c r="A320" t="s">
        <v>167</v>
      </c>
      <c r="B320">
        <v>1978</v>
      </c>
      <c r="C320" t="s">
        <v>85</v>
      </c>
      <c r="D320">
        <v>58.55</v>
      </c>
      <c r="E320">
        <v>215</v>
      </c>
      <c r="F320">
        <v>147.5</v>
      </c>
      <c r="G320">
        <v>207.5</v>
      </c>
      <c r="H320">
        <v>570</v>
      </c>
      <c r="I320">
        <v>2013</v>
      </c>
      <c r="J320" t="s">
        <v>29</v>
      </c>
      <c r="K320" t="s">
        <v>30</v>
      </c>
      <c r="L320" s="8">
        <f t="shared" si="4"/>
        <v>0.71084337349397586</v>
      </c>
    </row>
    <row r="321" spans="1:12">
      <c r="A321" t="s">
        <v>167</v>
      </c>
      <c r="B321">
        <v>1978</v>
      </c>
      <c r="C321" t="s">
        <v>85</v>
      </c>
      <c r="D321">
        <v>58.3</v>
      </c>
      <c r="E321">
        <v>215</v>
      </c>
      <c r="F321">
        <v>147.5</v>
      </c>
      <c r="G321">
        <v>205</v>
      </c>
      <c r="H321">
        <v>567.5</v>
      </c>
      <c r="I321">
        <v>2015</v>
      </c>
      <c r="J321" t="s">
        <v>29</v>
      </c>
      <c r="K321" t="s">
        <v>30</v>
      </c>
      <c r="L321" s="8">
        <f t="shared" si="4"/>
        <v>0.71951219512195119</v>
      </c>
    </row>
    <row r="322" spans="1:12">
      <c r="A322" t="s">
        <v>462</v>
      </c>
      <c r="B322">
        <v>1975</v>
      </c>
      <c r="C322" t="s">
        <v>137</v>
      </c>
      <c r="D322">
        <v>72.55</v>
      </c>
      <c r="E322">
        <v>222.5</v>
      </c>
      <c r="F322">
        <v>145</v>
      </c>
      <c r="G322">
        <v>310</v>
      </c>
      <c r="H322">
        <v>677.5</v>
      </c>
      <c r="I322">
        <v>2014</v>
      </c>
      <c r="J322" t="s">
        <v>29</v>
      </c>
      <c r="K322" t="s">
        <v>30</v>
      </c>
      <c r="L322" s="8">
        <f t="shared" si="4"/>
        <v>0.46774193548387094</v>
      </c>
    </row>
    <row r="323" spans="1:12">
      <c r="A323" t="s">
        <v>829</v>
      </c>
      <c r="B323">
        <v>1985</v>
      </c>
      <c r="C323" t="s">
        <v>56</v>
      </c>
      <c r="D323">
        <v>82.2</v>
      </c>
      <c r="E323">
        <v>242.5</v>
      </c>
      <c r="F323">
        <v>145</v>
      </c>
      <c r="G323">
        <v>285</v>
      </c>
      <c r="H323">
        <v>672.5</v>
      </c>
      <c r="I323">
        <v>2013</v>
      </c>
      <c r="J323" t="s">
        <v>29</v>
      </c>
      <c r="K323" t="s">
        <v>30</v>
      </c>
      <c r="L323" s="8">
        <f t="shared" ref="L323:L386" si="5">IF(AND(F323&lt;&gt;0,G323&lt;&gt;0),F323/G323,"")</f>
        <v>0.50877192982456143</v>
      </c>
    </row>
    <row r="324" spans="1:12">
      <c r="A324" t="s">
        <v>509</v>
      </c>
      <c r="B324">
        <v>1987</v>
      </c>
      <c r="C324" t="s">
        <v>35</v>
      </c>
      <c r="D324">
        <v>81.88</v>
      </c>
      <c r="E324">
        <v>232.5</v>
      </c>
      <c r="F324">
        <v>145</v>
      </c>
      <c r="G324">
        <v>285</v>
      </c>
      <c r="H324">
        <v>662.5</v>
      </c>
      <c r="I324">
        <v>2015</v>
      </c>
      <c r="J324" t="s">
        <v>29</v>
      </c>
      <c r="K324" t="s">
        <v>30</v>
      </c>
      <c r="L324" s="8">
        <f t="shared" si="5"/>
        <v>0.50877192982456143</v>
      </c>
    </row>
    <row r="325" spans="1:12">
      <c r="A325" t="s">
        <v>64</v>
      </c>
      <c r="B325">
        <v>1980</v>
      </c>
      <c r="C325" t="s">
        <v>56</v>
      </c>
      <c r="D325">
        <v>92.35</v>
      </c>
      <c r="E325">
        <v>232.5</v>
      </c>
      <c r="F325">
        <v>145</v>
      </c>
      <c r="G325">
        <v>275</v>
      </c>
      <c r="H325">
        <v>652.5</v>
      </c>
      <c r="I325">
        <v>2012</v>
      </c>
      <c r="J325" t="s">
        <v>29</v>
      </c>
      <c r="K325" t="s">
        <v>30</v>
      </c>
      <c r="L325" s="8">
        <f t="shared" si="5"/>
        <v>0.52727272727272723</v>
      </c>
    </row>
    <row r="326" spans="1:12">
      <c r="A326" t="s">
        <v>610</v>
      </c>
      <c r="B326">
        <v>1983</v>
      </c>
      <c r="C326" t="s">
        <v>74</v>
      </c>
      <c r="D326">
        <v>72.5</v>
      </c>
      <c r="E326">
        <v>237.5</v>
      </c>
      <c r="F326">
        <v>145</v>
      </c>
      <c r="G326">
        <v>262.5</v>
      </c>
      <c r="H326">
        <v>645</v>
      </c>
      <c r="I326">
        <v>2013</v>
      </c>
      <c r="J326" t="s">
        <v>29</v>
      </c>
      <c r="K326" t="s">
        <v>30</v>
      </c>
      <c r="L326" s="8">
        <f t="shared" si="5"/>
        <v>0.55238095238095242</v>
      </c>
    </row>
    <row r="327" spans="1:12">
      <c r="A327" t="s">
        <v>426</v>
      </c>
      <c r="B327">
        <v>1977</v>
      </c>
      <c r="C327" t="s">
        <v>119</v>
      </c>
      <c r="D327">
        <v>65.599999999999994</v>
      </c>
      <c r="E327">
        <v>232.5</v>
      </c>
      <c r="F327">
        <v>145</v>
      </c>
      <c r="G327">
        <v>242.5</v>
      </c>
      <c r="H327">
        <v>620</v>
      </c>
      <c r="I327">
        <v>2013</v>
      </c>
      <c r="J327" t="s">
        <v>29</v>
      </c>
      <c r="K327" t="s">
        <v>30</v>
      </c>
      <c r="L327" s="8">
        <f t="shared" si="5"/>
        <v>0.59793814432989689</v>
      </c>
    </row>
    <row r="328" spans="1:12">
      <c r="A328" t="s">
        <v>598</v>
      </c>
      <c r="B328">
        <v>1986</v>
      </c>
      <c r="C328" t="s">
        <v>39</v>
      </c>
      <c r="D328">
        <v>65.66</v>
      </c>
      <c r="E328">
        <v>225</v>
      </c>
      <c r="F328">
        <v>145</v>
      </c>
      <c r="G328">
        <v>240</v>
      </c>
      <c r="H328">
        <v>610</v>
      </c>
      <c r="I328">
        <v>2015</v>
      </c>
      <c r="J328" t="s">
        <v>29</v>
      </c>
      <c r="K328" t="s">
        <v>30</v>
      </c>
      <c r="L328" s="8">
        <f t="shared" si="5"/>
        <v>0.60416666666666663</v>
      </c>
    </row>
    <row r="329" spans="1:12">
      <c r="A329" t="s">
        <v>167</v>
      </c>
      <c r="B329">
        <v>1978</v>
      </c>
      <c r="C329" t="s">
        <v>85</v>
      </c>
      <c r="D329">
        <v>57.8</v>
      </c>
      <c r="E329">
        <v>202.5</v>
      </c>
      <c r="F329">
        <v>145</v>
      </c>
      <c r="G329">
        <v>200</v>
      </c>
      <c r="H329">
        <v>547.5</v>
      </c>
      <c r="I329">
        <v>2012</v>
      </c>
      <c r="J329" t="s">
        <v>29</v>
      </c>
      <c r="K329" t="s">
        <v>30</v>
      </c>
      <c r="L329" s="8">
        <f t="shared" si="5"/>
        <v>0.72499999999999998</v>
      </c>
    </row>
    <row r="330" spans="1:12">
      <c r="A330" t="s">
        <v>403</v>
      </c>
      <c r="B330">
        <v>1983</v>
      </c>
      <c r="C330" t="s">
        <v>51</v>
      </c>
      <c r="D330">
        <v>73.25</v>
      </c>
      <c r="E330">
        <v>185</v>
      </c>
      <c r="F330">
        <v>145</v>
      </c>
      <c r="G330">
        <v>200</v>
      </c>
      <c r="H330">
        <v>530</v>
      </c>
      <c r="I330">
        <v>2013</v>
      </c>
      <c r="J330" t="s">
        <v>29</v>
      </c>
      <c r="K330" t="s">
        <v>30</v>
      </c>
      <c r="L330" s="8">
        <f t="shared" si="5"/>
        <v>0.72499999999999998</v>
      </c>
    </row>
    <row r="331" spans="1:12">
      <c r="A331" t="s">
        <v>548</v>
      </c>
      <c r="B331">
        <v>1981</v>
      </c>
      <c r="C331" t="s">
        <v>56</v>
      </c>
      <c r="D331">
        <v>104.65</v>
      </c>
      <c r="E331">
        <v>267.5</v>
      </c>
      <c r="F331">
        <v>142.5</v>
      </c>
      <c r="G331">
        <v>305</v>
      </c>
      <c r="H331">
        <v>715</v>
      </c>
      <c r="I331">
        <v>2014</v>
      </c>
      <c r="J331" t="s">
        <v>29</v>
      </c>
      <c r="K331" t="s">
        <v>30</v>
      </c>
      <c r="L331" s="8">
        <f t="shared" si="5"/>
        <v>0.46721311475409838</v>
      </c>
    </row>
    <row r="332" spans="1:12">
      <c r="A332" t="s">
        <v>507</v>
      </c>
      <c r="B332">
        <v>1979</v>
      </c>
      <c r="C332" t="s">
        <v>113</v>
      </c>
      <c r="D332">
        <v>73.099999999999994</v>
      </c>
      <c r="E332">
        <v>242.5</v>
      </c>
      <c r="F332">
        <v>142.5</v>
      </c>
      <c r="G332">
        <v>290</v>
      </c>
      <c r="H332">
        <v>675</v>
      </c>
      <c r="I332">
        <v>2014</v>
      </c>
      <c r="J332" t="s">
        <v>29</v>
      </c>
      <c r="K332" t="s">
        <v>30</v>
      </c>
      <c r="L332" s="8">
        <f t="shared" si="5"/>
        <v>0.49137931034482757</v>
      </c>
    </row>
    <row r="333" spans="1:12">
      <c r="A333" t="s">
        <v>131</v>
      </c>
      <c r="B333">
        <v>1985</v>
      </c>
      <c r="C333" t="s">
        <v>77</v>
      </c>
      <c r="D333">
        <v>92.3</v>
      </c>
      <c r="E333">
        <v>260</v>
      </c>
      <c r="F333">
        <v>142.5</v>
      </c>
      <c r="G333">
        <v>270</v>
      </c>
      <c r="H333">
        <v>672.5</v>
      </c>
      <c r="I333">
        <v>2012</v>
      </c>
      <c r="J333" t="s">
        <v>29</v>
      </c>
      <c r="K333" t="s">
        <v>30</v>
      </c>
      <c r="L333" s="8">
        <f t="shared" si="5"/>
        <v>0.52777777777777779</v>
      </c>
    </row>
    <row r="334" spans="1:12">
      <c r="A334" t="s">
        <v>583</v>
      </c>
      <c r="B334">
        <v>1987</v>
      </c>
      <c r="C334" t="s">
        <v>28</v>
      </c>
      <c r="D334">
        <v>58.62</v>
      </c>
      <c r="E334">
        <v>210</v>
      </c>
      <c r="F334">
        <v>142.5</v>
      </c>
      <c r="G334">
        <v>250</v>
      </c>
      <c r="H334">
        <v>602.5</v>
      </c>
      <c r="I334">
        <v>2015</v>
      </c>
      <c r="J334" t="s">
        <v>29</v>
      </c>
      <c r="K334" t="s">
        <v>30</v>
      </c>
      <c r="L334" s="8">
        <f t="shared" si="5"/>
        <v>0.56999999999999995</v>
      </c>
    </row>
    <row r="335" spans="1:12">
      <c r="A335" t="s">
        <v>589</v>
      </c>
      <c r="B335">
        <v>1989</v>
      </c>
      <c r="C335" t="s">
        <v>359</v>
      </c>
      <c r="D335">
        <v>82.7</v>
      </c>
      <c r="E335">
        <v>205</v>
      </c>
      <c r="F335">
        <v>142.5</v>
      </c>
      <c r="G335">
        <v>250</v>
      </c>
      <c r="H335">
        <v>597.5</v>
      </c>
      <c r="I335">
        <v>2013</v>
      </c>
      <c r="J335" t="s">
        <v>29</v>
      </c>
      <c r="K335" t="s">
        <v>30</v>
      </c>
      <c r="L335" s="8">
        <f t="shared" si="5"/>
        <v>0.56999999999999995</v>
      </c>
    </row>
    <row r="336" spans="1:12">
      <c r="A336" t="s">
        <v>144</v>
      </c>
      <c r="B336">
        <v>1975</v>
      </c>
      <c r="C336" t="s">
        <v>125</v>
      </c>
      <c r="D336">
        <v>79.3</v>
      </c>
      <c r="E336">
        <v>232.5</v>
      </c>
      <c r="F336">
        <v>142.5</v>
      </c>
      <c r="G336">
        <v>235</v>
      </c>
      <c r="H336">
        <v>610</v>
      </c>
      <c r="I336">
        <v>2013</v>
      </c>
      <c r="J336" t="s">
        <v>29</v>
      </c>
      <c r="K336" t="s">
        <v>30</v>
      </c>
      <c r="L336" s="8">
        <f t="shared" si="5"/>
        <v>0.6063829787234043</v>
      </c>
    </row>
    <row r="337" spans="1:12">
      <c r="A337" t="s">
        <v>625</v>
      </c>
      <c r="B337">
        <v>1990</v>
      </c>
      <c r="C337" t="s">
        <v>119</v>
      </c>
      <c r="D337">
        <v>73.56</v>
      </c>
      <c r="E337">
        <v>237.5</v>
      </c>
      <c r="F337">
        <v>140</v>
      </c>
      <c r="G337">
        <v>280</v>
      </c>
      <c r="H337">
        <v>657.5</v>
      </c>
      <c r="I337">
        <v>2015</v>
      </c>
      <c r="J337" t="s">
        <v>29</v>
      </c>
      <c r="K337" t="s">
        <v>30</v>
      </c>
      <c r="L337" s="8">
        <f t="shared" si="5"/>
        <v>0.5</v>
      </c>
    </row>
    <row r="338" spans="1:12">
      <c r="A338" t="s">
        <v>437</v>
      </c>
      <c r="B338">
        <v>1987</v>
      </c>
      <c r="C338" t="s">
        <v>282</v>
      </c>
      <c r="D338">
        <v>73.150000000000006</v>
      </c>
      <c r="E338">
        <v>225</v>
      </c>
      <c r="F338">
        <v>140</v>
      </c>
      <c r="G338">
        <v>260</v>
      </c>
      <c r="H338">
        <v>625</v>
      </c>
      <c r="I338">
        <v>2014</v>
      </c>
      <c r="J338" t="s">
        <v>29</v>
      </c>
      <c r="K338" t="s">
        <v>30</v>
      </c>
      <c r="L338" s="8">
        <f t="shared" si="5"/>
        <v>0.53846153846153844</v>
      </c>
    </row>
    <row r="339" spans="1:12">
      <c r="A339" t="s">
        <v>537</v>
      </c>
      <c r="B339">
        <v>1981</v>
      </c>
      <c r="C339" t="s">
        <v>194</v>
      </c>
      <c r="D339">
        <v>91.85</v>
      </c>
      <c r="E339">
        <v>235</v>
      </c>
      <c r="F339">
        <v>140</v>
      </c>
      <c r="G339">
        <v>250</v>
      </c>
      <c r="H339">
        <v>625</v>
      </c>
      <c r="I339">
        <v>2014</v>
      </c>
      <c r="J339" t="s">
        <v>29</v>
      </c>
      <c r="K339" t="s">
        <v>30</v>
      </c>
      <c r="L339" s="8">
        <f t="shared" si="5"/>
        <v>0.56000000000000005</v>
      </c>
    </row>
    <row r="340" spans="1:12">
      <c r="A340" t="s">
        <v>785</v>
      </c>
      <c r="B340">
        <v>1989</v>
      </c>
      <c r="C340" t="s">
        <v>56</v>
      </c>
      <c r="D340">
        <v>73.92</v>
      </c>
      <c r="E340">
        <v>210</v>
      </c>
      <c r="F340">
        <v>140</v>
      </c>
      <c r="G340">
        <v>250</v>
      </c>
      <c r="H340">
        <v>600</v>
      </c>
      <c r="I340">
        <v>2015</v>
      </c>
      <c r="J340" t="s">
        <v>29</v>
      </c>
      <c r="K340" t="s">
        <v>30</v>
      </c>
      <c r="L340" s="8">
        <f t="shared" si="5"/>
        <v>0.56000000000000005</v>
      </c>
    </row>
    <row r="341" spans="1:12">
      <c r="A341" t="s">
        <v>153</v>
      </c>
      <c r="B341">
        <v>1984</v>
      </c>
      <c r="C341" t="s">
        <v>74</v>
      </c>
      <c r="D341">
        <v>65.7</v>
      </c>
      <c r="E341">
        <v>187.5</v>
      </c>
      <c r="F341">
        <v>140</v>
      </c>
      <c r="G341">
        <v>235</v>
      </c>
      <c r="H341">
        <v>562.5</v>
      </c>
      <c r="I341">
        <v>2012</v>
      </c>
      <c r="J341" t="s">
        <v>29</v>
      </c>
      <c r="K341" t="s">
        <v>30</v>
      </c>
      <c r="L341" s="8">
        <f t="shared" si="5"/>
        <v>0.5957446808510638</v>
      </c>
    </row>
    <row r="342" spans="1:12">
      <c r="A342" t="s">
        <v>770</v>
      </c>
      <c r="B342">
        <v>1986</v>
      </c>
      <c r="C342" t="s">
        <v>51</v>
      </c>
      <c r="D342">
        <v>64.55</v>
      </c>
      <c r="E342">
        <v>187.5</v>
      </c>
      <c r="F342">
        <v>140</v>
      </c>
      <c r="G342">
        <v>230</v>
      </c>
      <c r="H342">
        <v>557.5</v>
      </c>
      <c r="I342">
        <v>2014</v>
      </c>
      <c r="J342" t="s">
        <v>29</v>
      </c>
      <c r="K342" t="s">
        <v>30</v>
      </c>
      <c r="L342" s="8">
        <f t="shared" si="5"/>
        <v>0.60869565217391308</v>
      </c>
    </row>
    <row r="343" spans="1:12">
      <c r="A343" t="s">
        <v>607</v>
      </c>
      <c r="B343">
        <v>1983</v>
      </c>
      <c r="C343" t="s">
        <v>282</v>
      </c>
      <c r="D343">
        <v>58.45</v>
      </c>
      <c r="E343">
        <v>200</v>
      </c>
      <c r="F343">
        <v>140</v>
      </c>
      <c r="G343">
        <v>220</v>
      </c>
      <c r="H343">
        <v>560</v>
      </c>
      <c r="I343">
        <v>2014</v>
      </c>
      <c r="J343" t="s">
        <v>29</v>
      </c>
      <c r="K343" t="s">
        <v>30</v>
      </c>
      <c r="L343" s="8">
        <f t="shared" si="5"/>
        <v>0.63636363636363635</v>
      </c>
    </row>
    <row r="344" spans="1:12">
      <c r="A344" t="s">
        <v>457</v>
      </c>
      <c r="B344">
        <v>1980</v>
      </c>
      <c r="C344" t="s">
        <v>77</v>
      </c>
      <c r="D344">
        <v>58.47</v>
      </c>
      <c r="E344">
        <v>185</v>
      </c>
      <c r="F344">
        <v>140</v>
      </c>
      <c r="G344">
        <v>220</v>
      </c>
      <c r="H344">
        <v>545</v>
      </c>
      <c r="I344">
        <v>2015</v>
      </c>
      <c r="J344" t="s">
        <v>29</v>
      </c>
      <c r="K344" t="s">
        <v>30</v>
      </c>
      <c r="L344" s="8">
        <f t="shared" si="5"/>
        <v>0.63636363636363635</v>
      </c>
    </row>
    <row r="345" spans="1:12">
      <c r="A345" t="s">
        <v>457</v>
      </c>
      <c r="B345">
        <v>1980</v>
      </c>
      <c r="C345" t="s">
        <v>77</v>
      </c>
      <c r="D345">
        <v>58.7</v>
      </c>
      <c r="E345">
        <v>185</v>
      </c>
      <c r="F345">
        <v>140</v>
      </c>
      <c r="G345">
        <v>215</v>
      </c>
      <c r="H345">
        <v>540</v>
      </c>
      <c r="I345">
        <v>2014</v>
      </c>
      <c r="J345" t="s">
        <v>29</v>
      </c>
      <c r="K345" t="s">
        <v>30</v>
      </c>
      <c r="L345" s="8">
        <f t="shared" si="5"/>
        <v>0.65116279069767447</v>
      </c>
    </row>
    <row r="346" spans="1:12">
      <c r="A346" t="s">
        <v>397</v>
      </c>
      <c r="B346">
        <v>1989</v>
      </c>
      <c r="C346" t="s">
        <v>194</v>
      </c>
      <c r="D346">
        <v>64.319999999999993</v>
      </c>
      <c r="E346">
        <v>172.5</v>
      </c>
      <c r="F346">
        <v>140</v>
      </c>
      <c r="G346">
        <v>202.5</v>
      </c>
      <c r="H346">
        <v>515</v>
      </c>
      <c r="I346">
        <v>2015</v>
      </c>
      <c r="J346" t="s">
        <v>29</v>
      </c>
      <c r="K346" t="s">
        <v>30</v>
      </c>
      <c r="L346" s="8">
        <f t="shared" si="5"/>
        <v>0.69135802469135799</v>
      </c>
    </row>
    <row r="347" spans="1:12">
      <c r="A347" t="s">
        <v>27</v>
      </c>
      <c r="B347">
        <v>1970</v>
      </c>
      <c r="C347" t="s">
        <v>28</v>
      </c>
      <c r="D347">
        <v>65.900000000000006</v>
      </c>
      <c r="E347">
        <v>240</v>
      </c>
      <c r="F347">
        <v>137.5</v>
      </c>
      <c r="G347">
        <v>265</v>
      </c>
      <c r="H347">
        <v>642.5</v>
      </c>
      <c r="I347">
        <v>2014</v>
      </c>
      <c r="J347" t="s">
        <v>29</v>
      </c>
      <c r="K347" t="s">
        <v>30</v>
      </c>
      <c r="L347" s="8">
        <f t="shared" si="5"/>
        <v>0.51886792452830188</v>
      </c>
    </row>
    <row r="348" spans="1:12">
      <c r="A348" t="s">
        <v>70</v>
      </c>
      <c r="B348">
        <v>1979</v>
      </c>
      <c r="C348" t="s">
        <v>51</v>
      </c>
      <c r="D348">
        <v>81.2</v>
      </c>
      <c r="E348">
        <v>177.5</v>
      </c>
      <c r="F348">
        <v>137.5</v>
      </c>
      <c r="G348">
        <v>250</v>
      </c>
      <c r="H348">
        <v>565</v>
      </c>
      <c r="I348">
        <v>2012</v>
      </c>
      <c r="J348" t="s">
        <v>29</v>
      </c>
      <c r="K348" t="s">
        <v>30</v>
      </c>
      <c r="L348" s="8">
        <f t="shared" si="5"/>
        <v>0.55000000000000004</v>
      </c>
    </row>
    <row r="349" spans="1:12">
      <c r="A349" t="s">
        <v>785</v>
      </c>
      <c r="B349">
        <v>1989</v>
      </c>
      <c r="C349" t="s">
        <v>56</v>
      </c>
      <c r="D349">
        <v>73.55</v>
      </c>
      <c r="E349">
        <v>205</v>
      </c>
      <c r="F349">
        <v>137.5</v>
      </c>
      <c r="G349">
        <v>240</v>
      </c>
      <c r="H349">
        <v>582.5</v>
      </c>
      <c r="I349">
        <v>2014</v>
      </c>
      <c r="J349" t="s">
        <v>29</v>
      </c>
      <c r="K349" t="s">
        <v>30</v>
      </c>
      <c r="L349" s="8">
        <f t="shared" si="5"/>
        <v>0.57291666666666663</v>
      </c>
    </row>
    <row r="350" spans="1:12">
      <c r="A350" t="s">
        <v>453</v>
      </c>
      <c r="B350">
        <v>1979</v>
      </c>
      <c r="C350" t="s">
        <v>289</v>
      </c>
      <c r="D350">
        <v>92.36</v>
      </c>
      <c r="E350">
        <v>182.5</v>
      </c>
      <c r="F350">
        <v>137.5</v>
      </c>
      <c r="G350">
        <v>230</v>
      </c>
      <c r="H350">
        <v>550</v>
      </c>
      <c r="I350">
        <v>2015</v>
      </c>
      <c r="J350" t="s">
        <v>29</v>
      </c>
      <c r="K350" t="s">
        <v>30</v>
      </c>
      <c r="L350" s="8">
        <f t="shared" si="5"/>
        <v>0.59782608695652173</v>
      </c>
    </row>
    <row r="351" spans="1:12">
      <c r="A351" t="s">
        <v>575</v>
      </c>
      <c r="B351">
        <v>1983</v>
      </c>
      <c r="C351" t="s">
        <v>576</v>
      </c>
      <c r="D351">
        <v>73.22</v>
      </c>
      <c r="E351">
        <v>242.5</v>
      </c>
      <c r="F351">
        <v>135</v>
      </c>
      <c r="G351">
        <v>295</v>
      </c>
      <c r="H351">
        <v>672.5</v>
      </c>
      <c r="I351">
        <v>2015</v>
      </c>
      <c r="J351" t="s">
        <v>29</v>
      </c>
      <c r="K351" t="s">
        <v>30</v>
      </c>
      <c r="L351" s="8">
        <f t="shared" si="5"/>
        <v>0.4576271186440678</v>
      </c>
    </row>
    <row r="352" spans="1:12">
      <c r="A352" t="s">
        <v>750</v>
      </c>
      <c r="B352">
        <v>1989</v>
      </c>
      <c r="C352" t="s">
        <v>359</v>
      </c>
      <c r="D352">
        <v>78.900000000000006</v>
      </c>
      <c r="E352">
        <v>245</v>
      </c>
      <c r="F352">
        <v>135</v>
      </c>
      <c r="G352">
        <v>282.5</v>
      </c>
      <c r="H352">
        <v>662.5</v>
      </c>
      <c r="I352">
        <v>2013</v>
      </c>
      <c r="J352" t="s">
        <v>29</v>
      </c>
      <c r="K352" t="s">
        <v>30</v>
      </c>
      <c r="L352" s="8">
        <f t="shared" si="5"/>
        <v>0.47787610619469029</v>
      </c>
    </row>
    <row r="353" spans="1:12">
      <c r="A353" t="s">
        <v>55</v>
      </c>
      <c r="B353">
        <v>1986</v>
      </c>
      <c r="C353" t="s">
        <v>56</v>
      </c>
      <c r="D353">
        <v>82.4</v>
      </c>
      <c r="E353">
        <v>215</v>
      </c>
      <c r="F353">
        <v>135</v>
      </c>
      <c r="G353">
        <v>280</v>
      </c>
      <c r="H353">
        <v>630</v>
      </c>
      <c r="I353">
        <v>2012</v>
      </c>
      <c r="J353" t="s">
        <v>29</v>
      </c>
      <c r="K353" t="s">
        <v>30</v>
      </c>
      <c r="L353" s="8">
        <f t="shared" si="5"/>
        <v>0.48214285714285715</v>
      </c>
    </row>
    <row r="354" spans="1:12">
      <c r="A354" t="s">
        <v>27</v>
      </c>
      <c r="B354">
        <v>1970</v>
      </c>
      <c r="C354" t="s">
        <v>28</v>
      </c>
      <c r="D354">
        <v>65.75</v>
      </c>
      <c r="E354">
        <v>215</v>
      </c>
      <c r="F354">
        <v>135</v>
      </c>
      <c r="G354">
        <v>250</v>
      </c>
      <c r="H354">
        <v>600</v>
      </c>
      <c r="I354">
        <v>2012</v>
      </c>
      <c r="J354" t="s">
        <v>29</v>
      </c>
      <c r="K354" t="s">
        <v>30</v>
      </c>
      <c r="L354" s="8">
        <f t="shared" si="5"/>
        <v>0.54</v>
      </c>
    </row>
    <row r="355" spans="1:12">
      <c r="A355" t="s">
        <v>612</v>
      </c>
      <c r="B355">
        <v>1979</v>
      </c>
      <c r="C355" t="s">
        <v>137</v>
      </c>
      <c r="D355">
        <v>58.48</v>
      </c>
      <c r="E355">
        <v>195</v>
      </c>
      <c r="F355">
        <v>135</v>
      </c>
      <c r="G355">
        <v>235</v>
      </c>
      <c r="H355">
        <v>565</v>
      </c>
      <c r="I355">
        <v>2015</v>
      </c>
      <c r="J355" t="s">
        <v>29</v>
      </c>
      <c r="K355" t="s">
        <v>30</v>
      </c>
      <c r="L355" s="8">
        <f t="shared" si="5"/>
        <v>0.57446808510638303</v>
      </c>
    </row>
    <row r="356" spans="1:12">
      <c r="A356" t="s">
        <v>641</v>
      </c>
      <c r="B356">
        <v>1979</v>
      </c>
      <c r="C356" t="s">
        <v>51</v>
      </c>
      <c r="D356">
        <v>82.3</v>
      </c>
      <c r="E356">
        <v>235</v>
      </c>
      <c r="F356">
        <v>135</v>
      </c>
      <c r="G356">
        <v>230</v>
      </c>
      <c r="H356">
        <v>600</v>
      </c>
      <c r="I356">
        <v>2013</v>
      </c>
      <c r="J356" t="s">
        <v>29</v>
      </c>
      <c r="K356" t="s">
        <v>30</v>
      </c>
      <c r="L356" s="8">
        <f t="shared" si="5"/>
        <v>0.58695652173913049</v>
      </c>
    </row>
    <row r="357" spans="1:12">
      <c r="A357" t="s">
        <v>144</v>
      </c>
      <c r="B357">
        <v>1974</v>
      </c>
      <c r="C357" t="s">
        <v>125</v>
      </c>
      <c r="D357">
        <v>72.599999999999994</v>
      </c>
      <c r="E357">
        <v>220</v>
      </c>
      <c r="F357">
        <v>135</v>
      </c>
      <c r="G357">
        <v>230</v>
      </c>
      <c r="H357">
        <v>585</v>
      </c>
      <c r="I357">
        <v>2012</v>
      </c>
      <c r="J357" t="s">
        <v>29</v>
      </c>
      <c r="K357" t="s">
        <v>30</v>
      </c>
      <c r="L357" s="8">
        <f t="shared" si="5"/>
        <v>0.58695652173913049</v>
      </c>
    </row>
    <row r="358" spans="1:12">
      <c r="A358" t="s">
        <v>87</v>
      </c>
      <c r="B358">
        <v>1987</v>
      </c>
      <c r="C358" t="s">
        <v>85</v>
      </c>
      <c r="D358">
        <v>65.95</v>
      </c>
      <c r="E358">
        <v>160</v>
      </c>
      <c r="F358">
        <v>135</v>
      </c>
      <c r="G358">
        <v>200</v>
      </c>
      <c r="H358">
        <v>495</v>
      </c>
      <c r="I358">
        <v>2012</v>
      </c>
      <c r="J358" t="s">
        <v>29</v>
      </c>
      <c r="K358" t="s">
        <v>30</v>
      </c>
      <c r="L358" s="8">
        <f t="shared" si="5"/>
        <v>0.67500000000000004</v>
      </c>
    </row>
    <row r="359" spans="1:12">
      <c r="A359" t="s">
        <v>680</v>
      </c>
      <c r="B359">
        <v>1990</v>
      </c>
      <c r="C359" t="s">
        <v>282</v>
      </c>
      <c r="D359">
        <v>65.45</v>
      </c>
      <c r="E359">
        <v>210</v>
      </c>
      <c r="F359">
        <v>132.5</v>
      </c>
      <c r="G359">
        <v>240</v>
      </c>
      <c r="H359">
        <v>582.5</v>
      </c>
      <c r="I359">
        <v>2014</v>
      </c>
      <c r="J359" t="s">
        <v>29</v>
      </c>
      <c r="K359" t="s">
        <v>30</v>
      </c>
      <c r="L359" s="8">
        <f t="shared" si="5"/>
        <v>0.55208333333333337</v>
      </c>
    </row>
    <row r="360" spans="1:12">
      <c r="A360" t="s">
        <v>517</v>
      </c>
      <c r="B360">
        <v>1977</v>
      </c>
      <c r="C360" t="s">
        <v>56</v>
      </c>
      <c r="D360">
        <v>73.650000000000006</v>
      </c>
      <c r="E360">
        <v>202.5</v>
      </c>
      <c r="F360">
        <v>132.5</v>
      </c>
      <c r="G360">
        <v>240</v>
      </c>
      <c r="H360">
        <v>575</v>
      </c>
      <c r="I360">
        <v>2013</v>
      </c>
      <c r="J360" t="s">
        <v>29</v>
      </c>
      <c r="K360" t="s">
        <v>30</v>
      </c>
      <c r="L360" s="8">
        <f t="shared" si="5"/>
        <v>0.55208333333333337</v>
      </c>
    </row>
    <row r="361" spans="1:12">
      <c r="A361" t="s">
        <v>710</v>
      </c>
      <c r="B361">
        <v>1981</v>
      </c>
      <c r="C361" t="s">
        <v>711</v>
      </c>
      <c r="D361">
        <v>65.2</v>
      </c>
      <c r="E361">
        <v>210</v>
      </c>
      <c r="F361">
        <v>132.5</v>
      </c>
      <c r="G361">
        <v>225</v>
      </c>
      <c r="H361">
        <v>567.5</v>
      </c>
      <c r="I361">
        <v>2015</v>
      </c>
      <c r="J361" t="s">
        <v>29</v>
      </c>
      <c r="K361" t="s">
        <v>30</v>
      </c>
      <c r="L361" s="8">
        <f t="shared" si="5"/>
        <v>0.58888888888888891</v>
      </c>
    </row>
    <row r="362" spans="1:12">
      <c r="A362" t="s">
        <v>453</v>
      </c>
      <c r="B362">
        <v>1979</v>
      </c>
      <c r="C362" t="s">
        <v>289</v>
      </c>
      <c r="D362">
        <v>90.45</v>
      </c>
      <c r="E362">
        <v>170</v>
      </c>
      <c r="F362">
        <v>132.5</v>
      </c>
      <c r="G362">
        <v>225</v>
      </c>
      <c r="H362">
        <v>527.5</v>
      </c>
      <c r="I362">
        <v>2014</v>
      </c>
      <c r="J362" t="s">
        <v>29</v>
      </c>
      <c r="K362" t="s">
        <v>30</v>
      </c>
      <c r="L362" s="8">
        <f t="shared" si="5"/>
        <v>0.58888888888888891</v>
      </c>
    </row>
    <row r="363" spans="1:12">
      <c r="A363" t="s">
        <v>767</v>
      </c>
      <c r="B363">
        <v>1982</v>
      </c>
      <c r="C363" t="s">
        <v>77</v>
      </c>
      <c r="D363">
        <v>73.05</v>
      </c>
      <c r="E363">
        <v>215</v>
      </c>
      <c r="F363">
        <v>132.5</v>
      </c>
      <c r="G363">
        <v>210</v>
      </c>
      <c r="H363">
        <v>557.5</v>
      </c>
      <c r="I363">
        <v>2013</v>
      </c>
      <c r="J363" t="s">
        <v>29</v>
      </c>
      <c r="K363" t="s">
        <v>30</v>
      </c>
      <c r="L363" s="8">
        <f t="shared" si="5"/>
        <v>0.63095238095238093</v>
      </c>
    </row>
    <row r="364" spans="1:12">
      <c r="A364" t="s">
        <v>712</v>
      </c>
      <c r="B364">
        <v>1980</v>
      </c>
      <c r="C364" t="s">
        <v>480</v>
      </c>
      <c r="D364">
        <v>92.6</v>
      </c>
      <c r="E364">
        <v>220</v>
      </c>
      <c r="F364">
        <v>130</v>
      </c>
      <c r="G364">
        <v>250</v>
      </c>
      <c r="H364">
        <v>600</v>
      </c>
      <c r="I364">
        <v>2013</v>
      </c>
      <c r="J364" t="s">
        <v>29</v>
      </c>
      <c r="K364" t="s">
        <v>30</v>
      </c>
      <c r="L364" s="8">
        <f t="shared" si="5"/>
        <v>0.52</v>
      </c>
    </row>
    <row r="365" spans="1:12">
      <c r="A365" t="s">
        <v>590</v>
      </c>
      <c r="B365">
        <v>1988</v>
      </c>
      <c r="C365" t="s">
        <v>28</v>
      </c>
      <c r="D365">
        <v>65.150000000000006</v>
      </c>
      <c r="E365">
        <v>225</v>
      </c>
      <c r="F365">
        <v>130</v>
      </c>
      <c r="G365">
        <v>242.5</v>
      </c>
      <c r="H365">
        <v>597.5</v>
      </c>
      <c r="I365">
        <v>2013</v>
      </c>
      <c r="J365" t="s">
        <v>29</v>
      </c>
      <c r="K365" t="s">
        <v>30</v>
      </c>
      <c r="L365" s="8">
        <f t="shared" si="5"/>
        <v>0.53608247422680411</v>
      </c>
    </row>
    <row r="366" spans="1:12">
      <c r="A366" t="s">
        <v>552</v>
      </c>
      <c r="B366">
        <v>1984</v>
      </c>
      <c r="C366" t="s">
        <v>113</v>
      </c>
      <c r="D366">
        <v>72.069999999999993</v>
      </c>
      <c r="E366">
        <v>205</v>
      </c>
      <c r="F366">
        <v>130</v>
      </c>
      <c r="G366">
        <v>240</v>
      </c>
      <c r="H366">
        <v>575</v>
      </c>
      <c r="I366">
        <v>2015</v>
      </c>
      <c r="J366" t="s">
        <v>29</v>
      </c>
      <c r="K366" t="s">
        <v>30</v>
      </c>
      <c r="L366" s="8">
        <f t="shared" si="5"/>
        <v>0.54166666666666663</v>
      </c>
    </row>
    <row r="367" spans="1:12">
      <c r="A367" t="s">
        <v>479</v>
      </c>
      <c r="B367">
        <v>1982</v>
      </c>
      <c r="C367" t="s">
        <v>480</v>
      </c>
      <c r="D367">
        <v>73.25</v>
      </c>
      <c r="E367">
        <v>200</v>
      </c>
      <c r="F367">
        <v>130</v>
      </c>
      <c r="G367">
        <v>240</v>
      </c>
      <c r="H367">
        <v>570</v>
      </c>
      <c r="I367">
        <v>2013</v>
      </c>
      <c r="J367" t="s">
        <v>29</v>
      </c>
      <c r="K367" t="s">
        <v>30</v>
      </c>
      <c r="L367" s="8">
        <f t="shared" si="5"/>
        <v>0.54166666666666663</v>
      </c>
    </row>
    <row r="368" spans="1:12">
      <c r="A368" t="s">
        <v>802</v>
      </c>
      <c r="B368">
        <v>1989</v>
      </c>
      <c r="C368" t="s">
        <v>51</v>
      </c>
      <c r="D368">
        <v>72.8</v>
      </c>
      <c r="E368">
        <v>195</v>
      </c>
      <c r="F368">
        <v>130</v>
      </c>
      <c r="G368">
        <v>235</v>
      </c>
      <c r="H368">
        <v>560</v>
      </c>
      <c r="I368">
        <v>2014</v>
      </c>
      <c r="J368" t="s">
        <v>29</v>
      </c>
      <c r="K368" t="s">
        <v>30</v>
      </c>
      <c r="L368" s="8">
        <f t="shared" si="5"/>
        <v>0.55319148936170215</v>
      </c>
    </row>
    <row r="369" spans="1:12">
      <c r="A369" t="s">
        <v>88</v>
      </c>
      <c r="B369">
        <v>1967</v>
      </c>
      <c r="C369" t="s">
        <v>35</v>
      </c>
      <c r="D369">
        <v>65.8</v>
      </c>
      <c r="E369">
        <v>180</v>
      </c>
      <c r="F369">
        <v>130</v>
      </c>
      <c r="G369">
        <v>232.5</v>
      </c>
      <c r="H369">
        <v>542.5</v>
      </c>
      <c r="I369">
        <v>2012</v>
      </c>
      <c r="J369" t="s">
        <v>29</v>
      </c>
      <c r="K369" t="s">
        <v>30</v>
      </c>
      <c r="L369" s="8">
        <f t="shared" si="5"/>
        <v>0.55913978494623651</v>
      </c>
    </row>
    <row r="370" spans="1:12">
      <c r="A370" t="s">
        <v>700</v>
      </c>
      <c r="B370">
        <v>1981</v>
      </c>
      <c r="C370" t="s">
        <v>194</v>
      </c>
      <c r="D370">
        <v>64.2</v>
      </c>
      <c r="E370">
        <v>185</v>
      </c>
      <c r="F370">
        <v>130</v>
      </c>
      <c r="G370">
        <v>220</v>
      </c>
      <c r="H370">
        <v>535</v>
      </c>
      <c r="I370">
        <v>2014</v>
      </c>
      <c r="J370" t="s">
        <v>29</v>
      </c>
      <c r="K370" t="s">
        <v>30</v>
      </c>
      <c r="L370" s="8">
        <f t="shared" si="5"/>
        <v>0.59090909090909094</v>
      </c>
    </row>
    <row r="371" spans="1:12">
      <c r="A371" t="s">
        <v>121</v>
      </c>
      <c r="B371">
        <v>1967</v>
      </c>
      <c r="C371" t="s">
        <v>77</v>
      </c>
      <c r="D371">
        <v>58.5</v>
      </c>
      <c r="E371">
        <v>165</v>
      </c>
      <c r="F371">
        <v>130</v>
      </c>
      <c r="G371">
        <v>200</v>
      </c>
      <c r="H371">
        <v>495</v>
      </c>
      <c r="I371">
        <v>2013</v>
      </c>
      <c r="J371" t="s">
        <v>29</v>
      </c>
      <c r="K371" t="s">
        <v>30</v>
      </c>
      <c r="L371" s="8">
        <f t="shared" si="5"/>
        <v>0.65</v>
      </c>
    </row>
    <row r="372" spans="1:12">
      <c r="A372" t="s">
        <v>122</v>
      </c>
      <c r="B372">
        <v>1977</v>
      </c>
      <c r="C372" t="s">
        <v>77</v>
      </c>
      <c r="D372">
        <v>65.25</v>
      </c>
      <c r="E372">
        <v>185</v>
      </c>
      <c r="F372">
        <v>127.5</v>
      </c>
      <c r="G372">
        <v>237.5</v>
      </c>
      <c r="H372">
        <v>550</v>
      </c>
      <c r="I372">
        <v>2013</v>
      </c>
      <c r="J372" t="s">
        <v>29</v>
      </c>
      <c r="K372" t="s">
        <v>30</v>
      </c>
      <c r="L372" s="8">
        <f t="shared" si="5"/>
        <v>0.5368421052631579</v>
      </c>
    </row>
    <row r="373" spans="1:12">
      <c r="A373" t="s">
        <v>661</v>
      </c>
      <c r="B373">
        <v>1986</v>
      </c>
      <c r="C373" t="s">
        <v>62</v>
      </c>
      <c r="D373">
        <v>58.29</v>
      </c>
      <c r="E373">
        <v>182.5</v>
      </c>
      <c r="F373">
        <v>127.5</v>
      </c>
      <c r="G373">
        <v>202.5</v>
      </c>
      <c r="H373">
        <v>512.5</v>
      </c>
      <c r="I373">
        <v>2015</v>
      </c>
      <c r="J373" t="s">
        <v>29</v>
      </c>
      <c r="K373" t="s">
        <v>30</v>
      </c>
      <c r="L373" s="8">
        <f t="shared" si="5"/>
        <v>0.62962962962962965</v>
      </c>
    </row>
    <row r="374" spans="1:12">
      <c r="A374" t="s">
        <v>572</v>
      </c>
      <c r="B374">
        <v>1968</v>
      </c>
      <c r="C374" t="s">
        <v>359</v>
      </c>
      <c r="D374">
        <v>84.5</v>
      </c>
      <c r="E374">
        <v>180</v>
      </c>
      <c r="F374">
        <v>125</v>
      </c>
      <c r="G374">
        <v>275</v>
      </c>
      <c r="H374">
        <v>580</v>
      </c>
      <c r="I374">
        <v>2013</v>
      </c>
      <c r="J374" t="s">
        <v>29</v>
      </c>
      <c r="K374" t="s">
        <v>30</v>
      </c>
      <c r="L374" s="8">
        <f t="shared" si="5"/>
        <v>0.45454545454545453</v>
      </c>
    </row>
    <row r="375" spans="1:12">
      <c r="A375" t="s">
        <v>135</v>
      </c>
      <c r="B375">
        <v>1991</v>
      </c>
      <c r="C375" t="s">
        <v>66</v>
      </c>
      <c r="D375">
        <v>72.650000000000006</v>
      </c>
      <c r="E375">
        <v>205</v>
      </c>
      <c r="F375">
        <v>125</v>
      </c>
      <c r="G375">
        <v>262.5</v>
      </c>
      <c r="H375">
        <v>592.5</v>
      </c>
      <c r="I375">
        <v>2012</v>
      </c>
      <c r="J375" t="s">
        <v>29</v>
      </c>
      <c r="K375" t="s">
        <v>30</v>
      </c>
      <c r="L375" s="8">
        <f t="shared" si="5"/>
        <v>0.47619047619047616</v>
      </c>
    </row>
    <row r="376" spans="1:12">
      <c r="A376" t="s">
        <v>124</v>
      </c>
      <c r="B376">
        <v>1966</v>
      </c>
      <c r="C376" t="s">
        <v>125</v>
      </c>
      <c r="D376">
        <v>73.25</v>
      </c>
      <c r="E376">
        <v>220</v>
      </c>
      <c r="F376">
        <v>125</v>
      </c>
      <c r="G376">
        <v>242.5</v>
      </c>
      <c r="H376">
        <v>587.5</v>
      </c>
      <c r="I376">
        <v>2012</v>
      </c>
      <c r="J376" t="s">
        <v>29</v>
      </c>
      <c r="K376" t="s">
        <v>30</v>
      </c>
      <c r="L376" s="8">
        <f t="shared" si="5"/>
        <v>0.51546391752577314</v>
      </c>
    </row>
    <row r="377" spans="1:12">
      <c r="A377" t="s">
        <v>493</v>
      </c>
      <c r="B377">
        <v>1989</v>
      </c>
      <c r="C377" t="s">
        <v>282</v>
      </c>
      <c r="D377">
        <v>57.95</v>
      </c>
      <c r="E377">
        <v>167.5</v>
      </c>
      <c r="F377">
        <v>125</v>
      </c>
      <c r="G377">
        <v>205</v>
      </c>
      <c r="H377">
        <v>497.5</v>
      </c>
      <c r="I377">
        <v>2014</v>
      </c>
      <c r="J377" t="s">
        <v>29</v>
      </c>
      <c r="K377" t="s">
        <v>30</v>
      </c>
      <c r="L377" s="8">
        <f t="shared" si="5"/>
        <v>0.6097560975609756</v>
      </c>
    </row>
    <row r="378" spans="1:12">
      <c r="A378" t="s">
        <v>121</v>
      </c>
      <c r="B378">
        <v>1967</v>
      </c>
      <c r="C378" t="s">
        <v>77</v>
      </c>
      <c r="D378">
        <v>58.6</v>
      </c>
      <c r="E378">
        <v>165</v>
      </c>
      <c r="F378">
        <v>125</v>
      </c>
      <c r="G378">
        <v>200</v>
      </c>
      <c r="H378">
        <v>490</v>
      </c>
      <c r="I378">
        <v>2012</v>
      </c>
      <c r="J378" t="s">
        <v>29</v>
      </c>
      <c r="K378" t="s">
        <v>30</v>
      </c>
      <c r="L378" s="8">
        <f t="shared" si="5"/>
        <v>0.625</v>
      </c>
    </row>
    <row r="379" spans="1:12">
      <c r="A379" t="s">
        <v>442</v>
      </c>
      <c r="B379">
        <v>1990</v>
      </c>
      <c r="C379" t="s">
        <v>163</v>
      </c>
      <c r="D379">
        <v>65.87</v>
      </c>
      <c r="E379">
        <v>175</v>
      </c>
      <c r="F379">
        <v>122.5</v>
      </c>
      <c r="G379">
        <v>220</v>
      </c>
      <c r="H379">
        <v>517.5</v>
      </c>
      <c r="I379">
        <v>2015</v>
      </c>
      <c r="J379" t="s">
        <v>29</v>
      </c>
      <c r="K379" t="s">
        <v>30</v>
      </c>
      <c r="L379" s="8">
        <f t="shared" si="5"/>
        <v>0.55681818181818177</v>
      </c>
    </row>
    <row r="380" spans="1:12">
      <c r="A380" t="s">
        <v>75</v>
      </c>
      <c r="B380">
        <v>1989</v>
      </c>
      <c r="C380" t="s">
        <v>74</v>
      </c>
      <c r="D380">
        <v>71.5</v>
      </c>
      <c r="E380">
        <v>200</v>
      </c>
      <c r="F380">
        <v>120</v>
      </c>
      <c r="G380">
        <v>272.5</v>
      </c>
      <c r="H380">
        <v>592.5</v>
      </c>
      <c r="I380">
        <v>2012</v>
      </c>
      <c r="J380" t="s">
        <v>29</v>
      </c>
      <c r="K380" t="s">
        <v>30</v>
      </c>
      <c r="L380" s="8">
        <f t="shared" si="5"/>
        <v>0.44036697247706424</v>
      </c>
    </row>
    <row r="381" spans="1:12">
      <c r="A381" t="s">
        <v>31</v>
      </c>
      <c r="B381">
        <v>1987</v>
      </c>
      <c r="C381" t="s">
        <v>32</v>
      </c>
      <c r="D381">
        <v>103.85</v>
      </c>
      <c r="E381">
        <v>240</v>
      </c>
      <c r="F381">
        <v>120</v>
      </c>
      <c r="G381">
        <v>270</v>
      </c>
      <c r="H381">
        <v>630</v>
      </c>
      <c r="I381">
        <v>2012</v>
      </c>
      <c r="J381" t="s">
        <v>29</v>
      </c>
      <c r="K381" t="s">
        <v>30</v>
      </c>
      <c r="L381" s="8">
        <f t="shared" si="5"/>
        <v>0.44444444444444442</v>
      </c>
    </row>
    <row r="382" spans="1:12">
      <c r="A382" t="s">
        <v>122</v>
      </c>
      <c r="B382">
        <v>1977</v>
      </c>
      <c r="C382" t="s">
        <v>77</v>
      </c>
      <c r="D382">
        <v>65.599999999999994</v>
      </c>
      <c r="E382">
        <v>185</v>
      </c>
      <c r="F382">
        <v>120</v>
      </c>
      <c r="G382">
        <v>230</v>
      </c>
      <c r="H382">
        <v>535</v>
      </c>
      <c r="I382">
        <v>2012</v>
      </c>
      <c r="J382" t="s">
        <v>29</v>
      </c>
      <c r="K382" t="s">
        <v>30</v>
      </c>
      <c r="L382" s="8">
        <f t="shared" si="5"/>
        <v>0.52173913043478259</v>
      </c>
    </row>
    <row r="383" spans="1:12">
      <c r="A383" t="s">
        <v>639</v>
      </c>
      <c r="B383">
        <v>1975</v>
      </c>
      <c r="C383" t="s">
        <v>77</v>
      </c>
      <c r="D383">
        <v>64.7</v>
      </c>
      <c r="E383">
        <v>180</v>
      </c>
      <c r="F383">
        <v>120</v>
      </c>
      <c r="G383">
        <v>230</v>
      </c>
      <c r="H383">
        <v>530</v>
      </c>
      <c r="I383">
        <v>2013</v>
      </c>
      <c r="J383" t="s">
        <v>29</v>
      </c>
      <c r="K383" t="s">
        <v>30</v>
      </c>
      <c r="L383" s="8">
        <f t="shared" si="5"/>
        <v>0.52173913043478259</v>
      </c>
    </row>
    <row r="384" spans="1:12">
      <c r="A384" t="s">
        <v>76</v>
      </c>
      <c r="B384">
        <v>1991</v>
      </c>
      <c r="C384" t="s">
        <v>77</v>
      </c>
      <c r="D384">
        <v>66.45</v>
      </c>
      <c r="E384">
        <v>170</v>
      </c>
      <c r="F384">
        <v>115</v>
      </c>
      <c r="G384">
        <v>215</v>
      </c>
      <c r="H384">
        <v>500</v>
      </c>
      <c r="I384">
        <v>2012</v>
      </c>
      <c r="J384" t="s">
        <v>29</v>
      </c>
      <c r="K384" t="s">
        <v>30</v>
      </c>
      <c r="L384" s="8">
        <f t="shared" si="5"/>
        <v>0.53488372093023251</v>
      </c>
    </row>
    <row r="385" spans="1:12">
      <c r="A385" t="s">
        <v>165</v>
      </c>
      <c r="B385">
        <v>1978</v>
      </c>
      <c r="C385" t="s">
        <v>51</v>
      </c>
      <c r="D385">
        <v>63.3</v>
      </c>
      <c r="E385">
        <v>150</v>
      </c>
      <c r="F385">
        <v>112.5</v>
      </c>
      <c r="G385">
        <v>182.5</v>
      </c>
      <c r="H385">
        <v>445</v>
      </c>
      <c r="I385">
        <v>2012</v>
      </c>
      <c r="J385" t="s">
        <v>29</v>
      </c>
      <c r="K385" t="s">
        <v>30</v>
      </c>
      <c r="L385" s="8">
        <f t="shared" si="5"/>
        <v>0.61643835616438358</v>
      </c>
    </row>
    <row r="386" spans="1:12">
      <c r="A386" t="s">
        <v>107</v>
      </c>
      <c r="B386">
        <v>1982</v>
      </c>
      <c r="C386" t="s">
        <v>42</v>
      </c>
      <c r="D386">
        <v>59</v>
      </c>
      <c r="E386">
        <v>200</v>
      </c>
      <c r="F386">
        <v>110</v>
      </c>
      <c r="G386">
        <v>217.5</v>
      </c>
      <c r="H386">
        <v>527.5</v>
      </c>
      <c r="I386">
        <v>2012</v>
      </c>
      <c r="J386" t="s">
        <v>29</v>
      </c>
      <c r="K386" t="s">
        <v>30</v>
      </c>
      <c r="L386" s="8">
        <f t="shared" si="5"/>
        <v>0.50574712643678166</v>
      </c>
    </row>
    <row r="387" spans="1:12">
      <c r="A387" t="s">
        <v>107</v>
      </c>
      <c r="B387">
        <v>1982</v>
      </c>
      <c r="C387" t="s">
        <v>42</v>
      </c>
      <c r="D387">
        <v>58.5</v>
      </c>
      <c r="E387">
        <v>210</v>
      </c>
      <c r="F387">
        <v>110</v>
      </c>
      <c r="G387">
        <v>215</v>
      </c>
      <c r="H387">
        <v>535</v>
      </c>
      <c r="I387">
        <v>2014</v>
      </c>
      <c r="J387" t="s">
        <v>29</v>
      </c>
      <c r="K387" t="s">
        <v>30</v>
      </c>
      <c r="L387" s="8">
        <f t="shared" ref="L387:L450" si="6">IF(AND(F387&lt;&gt;0,G387&lt;&gt;0),F387/G387,"")</f>
        <v>0.51162790697674421</v>
      </c>
    </row>
    <row r="388" spans="1:12">
      <c r="A388" t="s">
        <v>687</v>
      </c>
      <c r="B388">
        <v>1990</v>
      </c>
      <c r="C388" t="s">
        <v>576</v>
      </c>
      <c r="D388">
        <v>65.430000000000007</v>
      </c>
      <c r="E388">
        <v>182.5</v>
      </c>
      <c r="F388">
        <v>110</v>
      </c>
      <c r="G388">
        <v>210</v>
      </c>
      <c r="H388">
        <v>502.5</v>
      </c>
      <c r="I388">
        <v>2015</v>
      </c>
      <c r="J388" t="s">
        <v>29</v>
      </c>
      <c r="K388" t="s">
        <v>30</v>
      </c>
      <c r="L388" s="8">
        <f t="shared" si="6"/>
        <v>0.52380952380952384</v>
      </c>
    </row>
    <row r="389" spans="1:12">
      <c r="A389" t="s">
        <v>63</v>
      </c>
      <c r="B389">
        <v>1989</v>
      </c>
      <c r="C389" t="s">
        <v>56</v>
      </c>
      <c r="D389">
        <v>73.849999999999994</v>
      </c>
      <c r="E389">
        <v>187.5</v>
      </c>
      <c r="F389">
        <v>102.5</v>
      </c>
      <c r="G389">
        <v>227.5</v>
      </c>
      <c r="H389">
        <v>517.5</v>
      </c>
      <c r="I389">
        <v>2012</v>
      </c>
      <c r="J389" t="s">
        <v>29</v>
      </c>
      <c r="K389" t="s">
        <v>30</v>
      </c>
      <c r="L389" s="8">
        <f t="shared" si="6"/>
        <v>0.45054945054945056</v>
      </c>
    </row>
    <row r="390" spans="1:12">
      <c r="A390" t="s">
        <v>115</v>
      </c>
      <c r="B390">
        <v>1994</v>
      </c>
      <c r="C390" t="s">
        <v>56</v>
      </c>
      <c r="D390">
        <v>73.849999999999994</v>
      </c>
      <c r="E390">
        <v>185</v>
      </c>
      <c r="F390">
        <v>102.5</v>
      </c>
      <c r="G390">
        <v>210</v>
      </c>
      <c r="H390">
        <v>497.5</v>
      </c>
      <c r="I390">
        <v>2012</v>
      </c>
      <c r="J390" t="s">
        <v>29</v>
      </c>
      <c r="K390" t="s">
        <v>30</v>
      </c>
      <c r="L390" s="8">
        <f t="shared" si="6"/>
        <v>0.48809523809523808</v>
      </c>
    </row>
    <row r="391" spans="1:12">
      <c r="A391" t="s">
        <v>114</v>
      </c>
      <c r="B391">
        <v>1975</v>
      </c>
      <c r="C391" t="s">
        <v>56</v>
      </c>
      <c r="D391">
        <v>65.900000000000006</v>
      </c>
      <c r="E391">
        <v>180</v>
      </c>
      <c r="F391">
        <v>100</v>
      </c>
      <c r="G391">
        <v>255</v>
      </c>
      <c r="H391">
        <v>535</v>
      </c>
      <c r="I391">
        <v>2014</v>
      </c>
      <c r="J391" t="s">
        <v>29</v>
      </c>
      <c r="K391" t="s">
        <v>30</v>
      </c>
      <c r="L391" s="8">
        <f t="shared" si="6"/>
        <v>0.39215686274509803</v>
      </c>
    </row>
    <row r="392" spans="1:12">
      <c r="A392" t="s">
        <v>103</v>
      </c>
      <c r="B392">
        <v>1966</v>
      </c>
      <c r="C392" t="s">
        <v>62</v>
      </c>
      <c r="D392">
        <v>58.55</v>
      </c>
      <c r="E392">
        <v>187.5</v>
      </c>
      <c r="F392">
        <v>100</v>
      </c>
      <c r="G392">
        <v>252.5</v>
      </c>
      <c r="H392">
        <v>540</v>
      </c>
      <c r="I392">
        <v>2012</v>
      </c>
      <c r="J392" t="s">
        <v>29</v>
      </c>
      <c r="K392" t="s">
        <v>30</v>
      </c>
      <c r="L392" s="8">
        <f t="shared" si="6"/>
        <v>0.39603960396039606</v>
      </c>
    </row>
    <row r="393" spans="1:12">
      <c r="A393" t="s">
        <v>477</v>
      </c>
      <c r="B393">
        <v>1985</v>
      </c>
      <c r="C393" t="s">
        <v>194</v>
      </c>
      <c r="D393">
        <v>63.3</v>
      </c>
      <c r="E393">
        <v>167.5</v>
      </c>
      <c r="F393">
        <v>100</v>
      </c>
      <c r="G393">
        <v>235</v>
      </c>
      <c r="H393">
        <v>502.5</v>
      </c>
      <c r="I393">
        <v>2014</v>
      </c>
      <c r="J393" t="s">
        <v>29</v>
      </c>
      <c r="K393" t="s">
        <v>30</v>
      </c>
      <c r="L393" s="8">
        <f t="shared" si="6"/>
        <v>0.42553191489361702</v>
      </c>
    </row>
    <row r="394" spans="1:12">
      <c r="A394" t="s">
        <v>103</v>
      </c>
      <c r="B394">
        <v>1966</v>
      </c>
      <c r="C394" t="s">
        <v>62</v>
      </c>
      <c r="D394">
        <v>58.75</v>
      </c>
      <c r="E394">
        <v>192.5</v>
      </c>
      <c r="F394">
        <v>100</v>
      </c>
      <c r="G394">
        <v>230</v>
      </c>
      <c r="H394">
        <v>522.5</v>
      </c>
      <c r="I394">
        <v>2013</v>
      </c>
      <c r="J394" t="s">
        <v>29</v>
      </c>
      <c r="K394" t="s">
        <v>30</v>
      </c>
      <c r="L394" s="8">
        <f t="shared" si="6"/>
        <v>0.43478260869565216</v>
      </c>
    </row>
    <row r="395" spans="1:12">
      <c r="A395" t="s">
        <v>114</v>
      </c>
      <c r="B395">
        <v>1975</v>
      </c>
      <c r="C395" t="s">
        <v>56</v>
      </c>
      <c r="D395">
        <v>65.45</v>
      </c>
      <c r="E395">
        <v>172.5</v>
      </c>
      <c r="F395">
        <v>97.5</v>
      </c>
      <c r="G395">
        <v>250</v>
      </c>
      <c r="H395">
        <v>520</v>
      </c>
      <c r="I395">
        <v>2012</v>
      </c>
      <c r="J395" t="s">
        <v>29</v>
      </c>
      <c r="K395" t="s">
        <v>30</v>
      </c>
      <c r="L395" s="8">
        <f t="shared" si="6"/>
        <v>0.39</v>
      </c>
    </row>
    <row r="396" spans="1:12">
      <c r="A396" t="s">
        <v>102</v>
      </c>
      <c r="B396">
        <v>1985</v>
      </c>
      <c r="C396" t="s">
        <v>62</v>
      </c>
      <c r="D396">
        <v>58.7</v>
      </c>
      <c r="E396">
        <v>225</v>
      </c>
      <c r="F396">
        <v>97.5</v>
      </c>
      <c r="G396">
        <v>172.5</v>
      </c>
      <c r="H396">
        <v>495</v>
      </c>
      <c r="I396">
        <v>2012</v>
      </c>
      <c r="J396" t="s">
        <v>29</v>
      </c>
      <c r="K396" t="s">
        <v>30</v>
      </c>
      <c r="L396" s="8">
        <f t="shared" si="6"/>
        <v>0.56521739130434778</v>
      </c>
    </row>
    <row r="397" spans="1:12">
      <c r="A397" t="s">
        <v>168</v>
      </c>
      <c r="B397">
        <v>1969</v>
      </c>
      <c r="C397" t="s">
        <v>35</v>
      </c>
      <c r="D397">
        <v>58.9</v>
      </c>
      <c r="E397">
        <v>155</v>
      </c>
      <c r="F397">
        <v>87.5</v>
      </c>
      <c r="G397">
        <v>215</v>
      </c>
      <c r="H397">
        <v>457.5</v>
      </c>
      <c r="I397">
        <v>2012</v>
      </c>
      <c r="J397" t="s">
        <v>29</v>
      </c>
      <c r="K397" t="s">
        <v>30</v>
      </c>
      <c r="L397" s="8">
        <f t="shared" si="6"/>
        <v>0.40697674418604651</v>
      </c>
    </row>
    <row r="398" spans="1:12">
      <c r="A398" t="s">
        <v>549</v>
      </c>
      <c r="B398">
        <v>1989</v>
      </c>
      <c r="C398" t="s">
        <v>51</v>
      </c>
      <c r="D398">
        <v>57.75</v>
      </c>
      <c r="E398">
        <v>155</v>
      </c>
      <c r="F398">
        <v>80</v>
      </c>
      <c r="G398">
        <v>225</v>
      </c>
      <c r="H398">
        <v>460</v>
      </c>
      <c r="I398">
        <v>2014</v>
      </c>
      <c r="J398" t="s">
        <v>29</v>
      </c>
      <c r="K398" t="s">
        <v>30</v>
      </c>
      <c r="L398" s="8">
        <f t="shared" si="6"/>
        <v>0.35555555555555557</v>
      </c>
    </row>
    <row r="399" spans="1:12">
      <c r="A399" t="s">
        <v>103</v>
      </c>
      <c r="B399">
        <v>1966</v>
      </c>
      <c r="C399" t="s">
        <v>62</v>
      </c>
      <c r="D399">
        <v>58.55</v>
      </c>
      <c r="E399">
        <v>172.5</v>
      </c>
      <c r="F399">
        <v>75</v>
      </c>
      <c r="G399">
        <v>235</v>
      </c>
      <c r="H399">
        <v>482.5</v>
      </c>
      <c r="I399">
        <v>2014</v>
      </c>
      <c r="J399" t="s">
        <v>29</v>
      </c>
      <c r="K399" t="s">
        <v>30</v>
      </c>
      <c r="L399" s="8">
        <f t="shared" si="6"/>
        <v>0.31914893617021278</v>
      </c>
    </row>
    <row r="401" spans="1:12">
      <c r="A401" t="s">
        <v>262</v>
      </c>
      <c r="B401">
        <v>1988</v>
      </c>
      <c r="C401" t="s">
        <v>62</v>
      </c>
      <c r="D401">
        <v>130.29</v>
      </c>
      <c r="E401">
        <v>247.5</v>
      </c>
      <c r="F401">
        <v>145.5</v>
      </c>
      <c r="G401">
        <v>222.5</v>
      </c>
      <c r="H401">
        <v>615.5</v>
      </c>
      <c r="I401">
        <v>2015</v>
      </c>
      <c r="J401" t="s">
        <v>852</v>
      </c>
      <c r="K401" t="s">
        <v>30</v>
      </c>
      <c r="L401" s="8">
        <f t="shared" si="6"/>
        <v>0.65393258426966294</v>
      </c>
    </row>
    <row r="402" spans="1:12">
      <c r="A402" t="s">
        <v>326</v>
      </c>
      <c r="B402">
        <v>1973</v>
      </c>
      <c r="C402" t="s">
        <v>62</v>
      </c>
      <c r="D402">
        <v>61.4</v>
      </c>
      <c r="E402">
        <v>142.5</v>
      </c>
      <c r="F402">
        <v>140.5</v>
      </c>
      <c r="G402">
        <v>197.5</v>
      </c>
      <c r="H402">
        <v>480.5</v>
      </c>
      <c r="I402">
        <v>2015</v>
      </c>
      <c r="J402" t="s">
        <v>852</v>
      </c>
      <c r="K402" t="s">
        <v>30</v>
      </c>
      <c r="L402" s="8">
        <f t="shared" si="6"/>
        <v>0.71139240506329116</v>
      </c>
    </row>
    <row r="403" spans="1:12">
      <c r="A403" t="s">
        <v>326</v>
      </c>
      <c r="B403">
        <v>1973</v>
      </c>
      <c r="C403" t="s">
        <v>62</v>
      </c>
      <c r="D403">
        <v>60.65</v>
      </c>
      <c r="E403">
        <v>142.5</v>
      </c>
      <c r="F403">
        <v>137.5</v>
      </c>
      <c r="G403">
        <v>197.5</v>
      </c>
      <c r="H403">
        <v>477.5</v>
      </c>
      <c r="I403">
        <v>2014</v>
      </c>
      <c r="J403" t="s">
        <v>852</v>
      </c>
      <c r="K403" t="s">
        <v>30</v>
      </c>
      <c r="L403" s="8">
        <f t="shared" si="6"/>
        <v>0.69620253164556967</v>
      </c>
    </row>
    <row r="404" spans="1:12">
      <c r="A404" t="s">
        <v>317</v>
      </c>
      <c r="B404">
        <v>1973</v>
      </c>
      <c r="C404" t="s">
        <v>318</v>
      </c>
      <c r="D404">
        <v>83.71</v>
      </c>
      <c r="E404">
        <v>197.5</v>
      </c>
      <c r="F404">
        <v>136</v>
      </c>
      <c r="G404">
        <v>190</v>
      </c>
      <c r="H404">
        <v>523.5</v>
      </c>
      <c r="I404">
        <v>2015</v>
      </c>
      <c r="J404" t="s">
        <v>852</v>
      </c>
      <c r="K404" t="s">
        <v>30</v>
      </c>
      <c r="L404" s="8">
        <f t="shared" si="6"/>
        <v>0.71578947368421053</v>
      </c>
    </row>
    <row r="405" spans="1:12">
      <c r="A405" t="s">
        <v>317</v>
      </c>
      <c r="B405">
        <v>1973</v>
      </c>
      <c r="C405" t="s">
        <v>318</v>
      </c>
      <c r="D405">
        <v>83.45</v>
      </c>
      <c r="E405">
        <v>200</v>
      </c>
      <c r="F405">
        <v>135.5</v>
      </c>
      <c r="G405">
        <v>195</v>
      </c>
      <c r="H405">
        <v>530.5</v>
      </c>
      <c r="I405">
        <v>2013</v>
      </c>
      <c r="J405" t="s">
        <v>852</v>
      </c>
      <c r="K405" t="s">
        <v>30</v>
      </c>
      <c r="L405" s="8">
        <f t="shared" si="6"/>
        <v>0.69487179487179485</v>
      </c>
    </row>
    <row r="406" spans="1:12">
      <c r="A406" t="s">
        <v>317</v>
      </c>
      <c r="B406">
        <v>1973</v>
      </c>
      <c r="C406" t="s">
        <v>318</v>
      </c>
      <c r="D406">
        <v>83.35</v>
      </c>
      <c r="E406">
        <v>205</v>
      </c>
      <c r="F406">
        <v>135</v>
      </c>
      <c r="G406">
        <v>195</v>
      </c>
      <c r="H406">
        <v>535</v>
      </c>
      <c r="I406">
        <v>2012</v>
      </c>
      <c r="J406" t="s">
        <v>852</v>
      </c>
      <c r="K406" t="s">
        <v>30</v>
      </c>
      <c r="L406" s="8">
        <f t="shared" si="6"/>
        <v>0.69230769230769229</v>
      </c>
    </row>
    <row r="407" spans="1:12">
      <c r="A407" t="s">
        <v>326</v>
      </c>
      <c r="B407">
        <v>1973</v>
      </c>
      <c r="C407" t="s">
        <v>62</v>
      </c>
      <c r="D407">
        <v>61.6</v>
      </c>
      <c r="E407">
        <v>142.5</v>
      </c>
      <c r="F407">
        <v>132.5</v>
      </c>
      <c r="G407">
        <v>192.5</v>
      </c>
      <c r="H407">
        <v>467.5</v>
      </c>
      <c r="I407">
        <v>2012</v>
      </c>
      <c r="J407" t="s">
        <v>852</v>
      </c>
      <c r="K407" t="s">
        <v>30</v>
      </c>
      <c r="L407" s="8">
        <f t="shared" si="6"/>
        <v>0.68831168831168832</v>
      </c>
    </row>
    <row r="408" spans="1:12">
      <c r="A408" t="s">
        <v>290</v>
      </c>
      <c r="B408">
        <v>1980</v>
      </c>
      <c r="C408" t="s">
        <v>35</v>
      </c>
      <c r="D408">
        <v>110.32</v>
      </c>
      <c r="E408">
        <v>215</v>
      </c>
      <c r="F408">
        <v>127.5</v>
      </c>
      <c r="G408">
        <v>205</v>
      </c>
      <c r="H408">
        <v>547.5</v>
      </c>
      <c r="I408">
        <v>2015</v>
      </c>
      <c r="J408" t="s">
        <v>852</v>
      </c>
      <c r="K408" t="s">
        <v>30</v>
      </c>
      <c r="L408" s="8">
        <f t="shared" si="6"/>
        <v>0.62195121951219512</v>
      </c>
    </row>
    <row r="409" spans="1:12">
      <c r="A409" t="s">
        <v>317</v>
      </c>
      <c r="B409">
        <v>1973</v>
      </c>
      <c r="C409" t="s">
        <v>318</v>
      </c>
      <c r="D409">
        <v>83</v>
      </c>
      <c r="E409">
        <v>195</v>
      </c>
      <c r="F409">
        <v>127.5</v>
      </c>
      <c r="G409">
        <v>190</v>
      </c>
      <c r="H409">
        <v>512.5</v>
      </c>
      <c r="I409">
        <v>2014</v>
      </c>
      <c r="J409" t="s">
        <v>852</v>
      </c>
      <c r="K409" t="s">
        <v>30</v>
      </c>
      <c r="L409" s="8">
        <f t="shared" si="6"/>
        <v>0.67105263157894735</v>
      </c>
    </row>
    <row r="410" spans="1:12">
      <c r="A410" t="s">
        <v>271</v>
      </c>
      <c r="B410">
        <v>1974</v>
      </c>
      <c r="C410" t="s">
        <v>28</v>
      </c>
      <c r="D410">
        <v>95.7</v>
      </c>
      <c r="E410">
        <v>195</v>
      </c>
      <c r="F410">
        <v>125</v>
      </c>
      <c r="G410">
        <v>197.5</v>
      </c>
      <c r="H410">
        <v>517.5</v>
      </c>
      <c r="I410">
        <v>2015</v>
      </c>
      <c r="J410" t="s">
        <v>852</v>
      </c>
      <c r="K410" t="s">
        <v>30</v>
      </c>
      <c r="L410" s="8">
        <f t="shared" si="6"/>
        <v>0.63291139240506333</v>
      </c>
    </row>
    <row r="411" spans="1:12">
      <c r="A411" t="s">
        <v>982</v>
      </c>
      <c r="B411">
        <v>1983</v>
      </c>
      <c r="C411" t="s">
        <v>62</v>
      </c>
      <c r="D411">
        <v>102.65</v>
      </c>
      <c r="E411">
        <v>185</v>
      </c>
      <c r="F411">
        <v>122.5</v>
      </c>
      <c r="G411">
        <v>215</v>
      </c>
      <c r="H411">
        <v>522.5</v>
      </c>
      <c r="I411">
        <v>2013</v>
      </c>
      <c r="J411" t="s">
        <v>852</v>
      </c>
      <c r="K411" t="s">
        <v>30</v>
      </c>
      <c r="L411" s="8">
        <f t="shared" si="6"/>
        <v>0.56976744186046513</v>
      </c>
    </row>
    <row r="412" spans="1:12">
      <c r="A412" t="s">
        <v>195</v>
      </c>
      <c r="B412">
        <v>1985</v>
      </c>
      <c r="C412" t="s">
        <v>49</v>
      </c>
      <c r="D412">
        <v>68.150000000000006</v>
      </c>
      <c r="E412">
        <v>185.5</v>
      </c>
      <c r="F412">
        <v>122.5</v>
      </c>
      <c r="G412">
        <v>200</v>
      </c>
      <c r="H412">
        <v>508</v>
      </c>
      <c r="I412">
        <v>2014</v>
      </c>
      <c r="J412" t="s">
        <v>852</v>
      </c>
      <c r="K412" t="s">
        <v>30</v>
      </c>
      <c r="L412" s="8">
        <f t="shared" si="6"/>
        <v>0.61250000000000004</v>
      </c>
    </row>
    <row r="413" spans="1:12">
      <c r="A413" t="s">
        <v>963</v>
      </c>
      <c r="B413">
        <v>1961</v>
      </c>
      <c r="C413" t="s">
        <v>163</v>
      </c>
      <c r="D413">
        <v>128.30000000000001</v>
      </c>
      <c r="E413">
        <v>177.5</v>
      </c>
      <c r="F413">
        <v>120</v>
      </c>
      <c r="G413">
        <v>236</v>
      </c>
      <c r="H413">
        <v>533.5</v>
      </c>
      <c r="I413">
        <v>2013</v>
      </c>
      <c r="J413" t="s">
        <v>852</v>
      </c>
      <c r="K413" t="s">
        <v>30</v>
      </c>
      <c r="L413" s="8">
        <f t="shared" si="6"/>
        <v>0.50847457627118642</v>
      </c>
    </row>
    <row r="414" spans="1:12">
      <c r="A414" t="s">
        <v>997</v>
      </c>
      <c r="B414">
        <v>1967</v>
      </c>
      <c r="C414" t="s">
        <v>62</v>
      </c>
      <c r="D414">
        <v>86.65</v>
      </c>
      <c r="E414">
        <v>155</v>
      </c>
      <c r="F414">
        <v>117.5</v>
      </c>
      <c r="G414">
        <v>170</v>
      </c>
      <c r="H414">
        <v>442.5</v>
      </c>
      <c r="I414">
        <v>2013</v>
      </c>
      <c r="J414" t="s">
        <v>852</v>
      </c>
      <c r="K414" t="s">
        <v>30</v>
      </c>
      <c r="L414" s="8">
        <f t="shared" si="6"/>
        <v>0.69117647058823528</v>
      </c>
    </row>
    <row r="415" spans="1:12">
      <c r="A415" t="s">
        <v>271</v>
      </c>
      <c r="B415">
        <v>1974</v>
      </c>
      <c r="C415" t="s">
        <v>28</v>
      </c>
      <c r="D415">
        <v>95.4</v>
      </c>
      <c r="E415">
        <v>182.5</v>
      </c>
      <c r="F415">
        <v>115</v>
      </c>
      <c r="G415">
        <v>190</v>
      </c>
      <c r="H415">
        <v>487.5</v>
      </c>
      <c r="I415">
        <v>2013</v>
      </c>
      <c r="J415" t="s">
        <v>852</v>
      </c>
      <c r="K415" t="s">
        <v>30</v>
      </c>
      <c r="L415" s="8">
        <f t="shared" si="6"/>
        <v>0.60526315789473684</v>
      </c>
    </row>
    <row r="416" spans="1:12">
      <c r="A416" t="s">
        <v>316</v>
      </c>
      <c r="B416">
        <v>1988</v>
      </c>
      <c r="C416" t="s">
        <v>113</v>
      </c>
      <c r="D416">
        <v>71.69</v>
      </c>
      <c r="E416">
        <v>170</v>
      </c>
      <c r="F416">
        <v>115</v>
      </c>
      <c r="G416">
        <v>180</v>
      </c>
      <c r="H416">
        <v>465</v>
      </c>
      <c r="I416">
        <v>2015</v>
      </c>
      <c r="J416" t="s">
        <v>852</v>
      </c>
      <c r="K416" t="s">
        <v>30</v>
      </c>
      <c r="L416" s="8">
        <f t="shared" si="6"/>
        <v>0.63888888888888884</v>
      </c>
    </row>
    <row r="417" spans="1:12">
      <c r="A417" t="s">
        <v>256</v>
      </c>
      <c r="B417">
        <v>1985</v>
      </c>
      <c r="C417" t="s">
        <v>39</v>
      </c>
      <c r="D417">
        <v>70.45</v>
      </c>
      <c r="E417">
        <v>160</v>
      </c>
      <c r="F417">
        <v>115</v>
      </c>
      <c r="G417">
        <v>180</v>
      </c>
      <c r="H417">
        <v>455</v>
      </c>
      <c r="I417">
        <v>2013</v>
      </c>
      <c r="J417" t="s">
        <v>852</v>
      </c>
      <c r="K417" t="s">
        <v>30</v>
      </c>
      <c r="L417" s="8">
        <f t="shared" si="6"/>
        <v>0.63888888888888884</v>
      </c>
    </row>
    <row r="418" spans="1:12">
      <c r="A418" t="s">
        <v>342</v>
      </c>
      <c r="B418">
        <v>1978</v>
      </c>
      <c r="C418" t="s">
        <v>62</v>
      </c>
      <c r="D418">
        <v>69.02</v>
      </c>
      <c r="E418">
        <v>175</v>
      </c>
      <c r="F418">
        <v>112.5</v>
      </c>
      <c r="G418">
        <v>240.5</v>
      </c>
      <c r="H418">
        <v>528</v>
      </c>
      <c r="I418">
        <v>2015</v>
      </c>
      <c r="J418" t="s">
        <v>852</v>
      </c>
      <c r="K418" t="s">
        <v>30</v>
      </c>
      <c r="L418" s="8">
        <f t="shared" si="6"/>
        <v>0.4677754677754678</v>
      </c>
    </row>
    <row r="419" spans="1:12">
      <c r="A419" t="s">
        <v>963</v>
      </c>
      <c r="B419">
        <v>1961</v>
      </c>
      <c r="C419" t="s">
        <v>163</v>
      </c>
      <c r="D419">
        <v>126</v>
      </c>
      <c r="E419">
        <v>177.5</v>
      </c>
      <c r="F419">
        <v>112.5</v>
      </c>
      <c r="G419">
        <v>225</v>
      </c>
      <c r="H419">
        <v>515</v>
      </c>
      <c r="I419">
        <v>2012</v>
      </c>
      <c r="J419" t="s">
        <v>852</v>
      </c>
      <c r="K419" t="s">
        <v>30</v>
      </c>
      <c r="L419" s="8">
        <f t="shared" si="6"/>
        <v>0.5</v>
      </c>
    </row>
    <row r="420" spans="1:12">
      <c r="A420" t="s">
        <v>880</v>
      </c>
      <c r="B420">
        <v>1988</v>
      </c>
      <c r="C420" t="s">
        <v>62</v>
      </c>
      <c r="D420">
        <v>121.8</v>
      </c>
      <c r="E420">
        <v>230</v>
      </c>
      <c r="F420">
        <v>112.5</v>
      </c>
      <c r="G420">
        <v>217.5</v>
      </c>
      <c r="H420">
        <v>560</v>
      </c>
      <c r="I420">
        <v>2014</v>
      </c>
      <c r="J420" t="s">
        <v>852</v>
      </c>
      <c r="K420" t="s">
        <v>30</v>
      </c>
      <c r="L420" s="8">
        <f t="shared" si="6"/>
        <v>0.51724137931034486</v>
      </c>
    </row>
    <row r="421" spans="1:12">
      <c r="A421" t="s">
        <v>321</v>
      </c>
      <c r="B421">
        <v>1992</v>
      </c>
      <c r="C421" t="s">
        <v>74</v>
      </c>
      <c r="D421">
        <v>113.68</v>
      </c>
      <c r="E421">
        <v>232.5</v>
      </c>
      <c r="F421">
        <v>112.5</v>
      </c>
      <c r="G421">
        <v>195</v>
      </c>
      <c r="H421">
        <v>540</v>
      </c>
      <c r="I421">
        <v>2015</v>
      </c>
      <c r="J421" t="s">
        <v>852</v>
      </c>
      <c r="K421" t="s">
        <v>30</v>
      </c>
      <c r="L421" s="8">
        <f t="shared" si="6"/>
        <v>0.57692307692307687</v>
      </c>
    </row>
    <row r="422" spans="1:12">
      <c r="A422" t="s">
        <v>941</v>
      </c>
      <c r="B422">
        <v>1987</v>
      </c>
      <c r="C422" t="s">
        <v>39</v>
      </c>
      <c r="D422">
        <v>64.2</v>
      </c>
      <c r="E422">
        <v>145</v>
      </c>
      <c r="F422">
        <v>112.5</v>
      </c>
      <c r="G422">
        <v>185</v>
      </c>
      <c r="H422">
        <v>442.5</v>
      </c>
      <c r="I422">
        <v>2013</v>
      </c>
      <c r="J422" t="s">
        <v>852</v>
      </c>
      <c r="K422" t="s">
        <v>30</v>
      </c>
      <c r="L422" s="8">
        <f t="shared" si="6"/>
        <v>0.60810810810810811</v>
      </c>
    </row>
    <row r="423" spans="1:12">
      <c r="A423" t="s">
        <v>172</v>
      </c>
      <c r="B423">
        <v>1982</v>
      </c>
      <c r="C423" t="s">
        <v>35</v>
      </c>
      <c r="D423">
        <v>62.4</v>
      </c>
      <c r="E423">
        <v>150</v>
      </c>
      <c r="F423">
        <v>112.5</v>
      </c>
      <c r="G423">
        <v>177.5</v>
      </c>
      <c r="H423">
        <v>440</v>
      </c>
      <c r="I423">
        <v>2014</v>
      </c>
      <c r="J423" t="s">
        <v>852</v>
      </c>
      <c r="K423" t="s">
        <v>30</v>
      </c>
      <c r="L423" s="8">
        <f t="shared" si="6"/>
        <v>0.63380281690140849</v>
      </c>
    </row>
    <row r="424" spans="1:12">
      <c r="A424" t="s">
        <v>959</v>
      </c>
      <c r="B424">
        <v>1978</v>
      </c>
      <c r="C424" t="s">
        <v>289</v>
      </c>
      <c r="D424">
        <v>115.2</v>
      </c>
      <c r="E424">
        <v>132.5</v>
      </c>
      <c r="F424">
        <v>112.5</v>
      </c>
      <c r="G424">
        <v>160</v>
      </c>
      <c r="H424">
        <v>405</v>
      </c>
      <c r="I424">
        <v>2012</v>
      </c>
      <c r="J424" t="s">
        <v>852</v>
      </c>
      <c r="K424" t="s">
        <v>30</v>
      </c>
      <c r="L424" s="8">
        <f t="shared" si="6"/>
        <v>0.703125</v>
      </c>
    </row>
    <row r="425" spans="1:12">
      <c r="A425" t="s">
        <v>1054</v>
      </c>
      <c r="B425">
        <v>1986</v>
      </c>
      <c r="C425" t="s">
        <v>28</v>
      </c>
      <c r="D425">
        <v>105.75</v>
      </c>
      <c r="E425">
        <v>192.5</v>
      </c>
      <c r="F425">
        <v>110</v>
      </c>
      <c r="G425">
        <v>220</v>
      </c>
      <c r="H425">
        <v>522.5</v>
      </c>
      <c r="I425">
        <v>2012</v>
      </c>
      <c r="J425" t="s">
        <v>852</v>
      </c>
      <c r="K425" t="s">
        <v>30</v>
      </c>
      <c r="L425" s="8">
        <f t="shared" si="6"/>
        <v>0.5</v>
      </c>
    </row>
    <row r="426" spans="1:12">
      <c r="A426" t="s">
        <v>904</v>
      </c>
      <c r="B426">
        <v>1983</v>
      </c>
      <c r="C426" t="s">
        <v>28</v>
      </c>
      <c r="D426">
        <v>82.65</v>
      </c>
      <c r="E426">
        <v>202.5</v>
      </c>
      <c r="F426">
        <v>110</v>
      </c>
      <c r="G426">
        <v>215</v>
      </c>
      <c r="H426">
        <v>527.5</v>
      </c>
      <c r="I426">
        <v>2013</v>
      </c>
      <c r="J426" t="s">
        <v>852</v>
      </c>
      <c r="K426" t="s">
        <v>30</v>
      </c>
      <c r="L426" s="8">
        <f t="shared" si="6"/>
        <v>0.51162790697674421</v>
      </c>
    </row>
    <row r="427" spans="1:12">
      <c r="A427" t="s">
        <v>196</v>
      </c>
      <c r="B427">
        <v>1984</v>
      </c>
      <c r="C427" t="s">
        <v>74</v>
      </c>
      <c r="D427">
        <v>91.59</v>
      </c>
      <c r="E427">
        <v>215</v>
      </c>
      <c r="F427">
        <v>110</v>
      </c>
      <c r="G427">
        <v>190</v>
      </c>
      <c r="H427">
        <v>515</v>
      </c>
      <c r="I427">
        <v>2015</v>
      </c>
      <c r="J427" t="s">
        <v>852</v>
      </c>
      <c r="K427" t="s">
        <v>30</v>
      </c>
      <c r="L427" s="8">
        <f t="shared" si="6"/>
        <v>0.57894736842105265</v>
      </c>
    </row>
    <row r="428" spans="1:12">
      <c r="A428" t="s">
        <v>330</v>
      </c>
      <c r="B428">
        <v>1988</v>
      </c>
      <c r="C428" t="s">
        <v>28</v>
      </c>
      <c r="D428">
        <v>79.849999999999994</v>
      </c>
      <c r="E428">
        <v>180</v>
      </c>
      <c r="F428">
        <v>110</v>
      </c>
      <c r="G428">
        <v>190</v>
      </c>
      <c r="H428">
        <v>480</v>
      </c>
      <c r="I428">
        <v>2014</v>
      </c>
      <c r="J428" t="s">
        <v>852</v>
      </c>
      <c r="K428" t="s">
        <v>30</v>
      </c>
      <c r="L428" s="8">
        <f t="shared" si="6"/>
        <v>0.57894736842105265</v>
      </c>
    </row>
    <row r="429" spans="1:12">
      <c r="A429" t="s">
        <v>172</v>
      </c>
      <c r="B429">
        <v>1982</v>
      </c>
      <c r="C429" t="s">
        <v>35</v>
      </c>
      <c r="D429">
        <v>62.54</v>
      </c>
      <c r="E429">
        <v>152.5</v>
      </c>
      <c r="F429">
        <v>110</v>
      </c>
      <c r="G429">
        <v>177.5</v>
      </c>
      <c r="H429">
        <v>440</v>
      </c>
      <c r="I429">
        <v>2015</v>
      </c>
      <c r="J429" t="s">
        <v>852</v>
      </c>
      <c r="K429" t="s">
        <v>30</v>
      </c>
      <c r="L429" s="8">
        <f t="shared" si="6"/>
        <v>0.61971830985915488</v>
      </c>
    </row>
    <row r="430" spans="1:12">
      <c r="A430" t="s">
        <v>246</v>
      </c>
      <c r="B430">
        <v>1984</v>
      </c>
      <c r="C430" t="s">
        <v>80</v>
      </c>
      <c r="D430">
        <v>71.5</v>
      </c>
      <c r="E430">
        <v>162.5</v>
      </c>
      <c r="F430">
        <v>110</v>
      </c>
      <c r="G430">
        <v>175</v>
      </c>
      <c r="H430">
        <v>447.5</v>
      </c>
      <c r="I430">
        <v>2013</v>
      </c>
      <c r="J430" t="s">
        <v>852</v>
      </c>
      <c r="K430" t="s">
        <v>30</v>
      </c>
      <c r="L430" s="8">
        <f t="shared" si="6"/>
        <v>0.62857142857142856</v>
      </c>
    </row>
    <row r="431" spans="1:12">
      <c r="A431" t="s">
        <v>1048</v>
      </c>
      <c r="B431">
        <v>1968</v>
      </c>
      <c r="C431" t="s">
        <v>62</v>
      </c>
      <c r="D431">
        <v>81.900000000000006</v>
      </c>
      <c r="E431">
        <v>122.5</v>
      </c>
      <c r="F431">
        <v>110</v>
      </c>
      <c r="G431">
        <v>160</v>
      </c>
      <c r="H431">
        <v>392.5</v>
      </c>
      <c r="I431">
        <v>2012</v>
      </c>
      <c r="J431" t="s">
        <v>852</v>
      </c>
      <c r="K431" t="s">
        <v>30</v>
      </c>
      <c r="L431" s="8">
        <f t="shared" si="6"/>
        <v>0.6875</v>
      </c>
    </row>
    <row r="432" spans="1:12">
      <c r="A432" t="s">
        <v>342</v>
      </c>
      <c r="B432">
        <v>1978</v>
      </c>
      <c r="C432" t="s">
        <v>62</v>
      </c>
      <c r="D432">
        <v>65.25</v>
      </c>
      <c r="E432">
        <v>172.5</v>
      </c>
      <c r="F432">
        <v>107.5</v>
      </c>
      <c r="G432">
        <v>230</v>
      </c>
      <c r="H432">
        <v>510</v>
      </c>
      <c r="I432">
        <v>2014</v>
      </c>
      <c r="J432" t="s">
        <v>852</v>
      </c>
      <c r="K432" t="s">
        <v>30</v>
      </c>
      <c r="L432" s="8">
        <f t="shared" si="6"/>
        <v>0.46739130434782611</v>
      </c>
    </row>
    <row r="433" spans="1:12">
      <c r="A433" t="s">
        <v>857</v>
      </c>
      <c r="B433">
        <v>1989</v>
      </c>
      <c r="C433" t="s">
        <v>39</v>
      </c>
      <c r="D433">
        <v>93.5</v>
      </c>
      <c r="E433">
        <v>170</v>
      </c>
      <c r="F433">
        <v>107.5</v>
      </c>
      <c r="G433">
        <v>185</v>
      </c>
      <c r="H433">
        <v>462.5</v>
      </c>
      <c r="I433">
        <v>2013</v>
      </c>
      <c r="J433" t="s">
        <v>852</v>
      </c>
      <c r="K433" t="s">
        <v>30</v>
      </c>
      <c r="L433" s="8">
        <f t="shared" si="6"/>
        <v>0.58108108108108103</v>
      </c>
    </row>
    <row r="434" spans="1:12">
      <c r="A434" t="s">
        <v>917</v>
      </c>
      <c r="B434">
        <v>1989</v>
      </c>
      <c r="C434" t="s">
        <v>56</v>
      </c>
      <c r="D434">
        <v>77.900000000000006</v>
      </c>
      <c r="E434">
        <v>170</v>
      </c>
      <c r="F434">
        <v>107.5</v>
      </c>
      <c r="G434">
        <v>175</v>
      </c>
      <c r="H434">
        <v>452.5</v>
      </c>
      <c r="I434">
        <v>2014</v>
      </c>
      <c r="J434" t="s">
        <v>852</v>
      </c>
      <c r="K434" t="s">
        <v>30</v>
      </c>
      <c r="L434" s="8">
        <f t="shared" si="6"/>
        <v>0.61428571428571432</v>
      </c>
    </row>
    <row r="435" spans="1:12">
      <c r="A435" t="s">
        <v>211</v>
      </c>
      <c r="B435">
        <v>1988</v>
      </c>
      <c r="C435" t="s">
        <v>28</v>
      </c>
      <c r="D435">
        <v>61.95</v>
      </c>
      <c r="E435">
        <v>142.5</v>
      </c>
      <c r="F435">
        <v>107.5</v>
      </c>
      <c r="G435">
        <v>167.5</v>
      </c>
      <c r="H435">
        <v>417.5</v>
      </c>
      <c r="I435">
        <v>2014</v>
      </c>
      <c r="J435" t="s">
        <v>852</v>
      </c>
      <c r="K435" t="s">
        <v>30</v>
      </c>
      <c r="L435" s="8">
        <f t="shared" si="6"/>
        <v>0.64179104477611937</v>
      </c>
    </row>
    <row r="436" spans="1:12">
      <c r="A436" t="s">
        <v>338</v>
      </c>
      <c r="B436">
        <v>1972</v>
      </c>
      <c r="C436" t="s">
        <v>28</v>
      </c>
      <c r="D436">
        <v>70.709999999999994</v>
      </c>
      <c r="E436">
        <v>160</v>
      </c>
      <c r="F436">
        <v>107.5</v>
      </c>
      <c r="G436">
        <v>152.5</v>
      </c>
      <c r="H436">
        <v>420</v>
      </c>
      <c r="I436">
        <v>2015</v>
      </c>
      <c r="J436" t="s">
        <v>852</v>
      </c>
      <c r="K436" t="s">
        <v>30</v>
      </c>
      <c r="L436" s="8">
        <f t="shared" si="6"/>
        <v>0.70491803278688525</v>
      </c>
    </row>
    <row r="437" spans="1:12">
      <c r="A437" t="s">
        <v>342</v>
      </c>
      <c r="B437">
        <v>1978</v>
      </c>
      <c r="C437" t="s">
        <v>62</v>
      </c>
      <c r="D437">
        <v>61.65</v>
      </c>
      <c r="E437">
        <v>142.5</v>
      </c>
      <c r="F437">
        <v>105</v>
      </c>
      <c r="G437">
        <v>220.5</v>
      </c>
      <c r="H437">
        <v>468</v>
      </c>
      <c r="I437">
        <v>2012</v>
      </c>
      <c r="J437" t="s">
        <v>852</v>
      </c>
      <c r="K437" t="s">
        <v>30</v>
      </c>
      <c r="L437" s="8">
        <f t="shared" si="6"/>
        <v>0.47619047619047616</v>
      </c>
    </row>
    <row r="438" spans="1:12">
      <c r="A438" t="s">
        <v>904</v>
      </c>
      <c r="B438">
        <v>1983</v>
      </c>
      <c r="C438" t="s">
        <v>28</v>
      </c>
      <c r="D438">
        <v>83.1</v>
      </c>
      <c r="E438">
        <v>190</v>
      </c>
      <c r="F438">
        <v>105</v>
      </c>
      <c r="G438">
        <v>210</v>
      </c>
      <c r="H438">
        <v>505</v>
      </c>
      <c r="I438">
        <v>2012</v>
      </c>
      <c r="J438" t="s">
        <v>852</v>
      </c>
      <c r="K438" t="s">
        <v>30</v>
      </c>
      <c r="L438" s="8">
        <f t="shared" si="6"/>
        <v>0.5</v>
      </c>
    </row>
    <row r="439" spans="1:12">
      <c r="A439" t="s">
        <v>1044</v>
      </c>
      <c r="B439">
        <v>1990</v>
      </c>
      <c r="C439" t="s">
        <v>56</v>
      </c>
      <c r="D439">
        <v>80.099999999999994</v>
      </c>
      <c r="E439">
        <v>160</v>
      </c>
      <c r="F439">
        <v>105</v>
      </c>
      <c r="G439">
        <v>192.5</v>
      </c>
      <c r="H439">
        <v>457.5</v>
      </c>
      <c r="I439">
        <v>2014</v>
      </c>
      <c r="J439" t="s">
        <v>852</v>
      </c>
      <c r="K439" t="s">
        <v>30</v>
      </c>
      <c r="L439" s="8">
        <f t="shared" si="6"/>
        <v>0.54545454545454541</v>
      </c>
    </row>
    <row r="440" spans="1:12">
      <c r="A440" t="s">
        <v>246</v>
      </c>
      <c r="B440">
        <v>1984</v>
      </c>
      <c r="C440" t="s">
        <v>80</v>
      </c>
      <c r="D440">
        <v>76.03</v>
      </c>
      <c r="E440">
        <v>175</v>
      </c>
      <c r="F440">
        <v>105</v>
      </c>
      <c r="G440">
        <v>170</v>
      </c>
      <c r="H440">
        <v>450</v>
      </c>
      <c r="I440">
        <v>2015</v>
      </c>
      <c r="J440" t="s">
        <v>852</v>
      </c>
      <c r="K440" t="s">
        <v>30</v>
      </c>
      <c r="L440" s="8">
        <f t="shared" si="6"/>
        <v>0.61764705882352944</v>
      </c>
    </row>
    <row r="441" spans="1:12">
      <c r="A441" t="s">
        <v>864</v>
      </c>
      <c r="B441">
        <v>1985</v>
      </c>
      <c r="C441" t="s">
        <v>35</v>
      </c>
      <c r="D441">
        <v>70.599999999999994</v>
      </c>
      <c r="E441">
        <v>142.5</v>
      </c>
      <c r="F441">
        <v>105</v>
      </c>
      <c r="G441">
        <v>155</v>
      </c>
      <c r="H441">
        <v>402.5</v>
      </c>
      <c r="I441">
        <v>2013</v>
      </c>
      <c r="J441" t="s">
        <v>852</v>
      </c>
      <c r="K441" t="s">
        <v>30</v>
      </c>
      <c r="L441" s="8">
        <f t="shared" si="6"/>
        <v>0.67741935483870963</v>
      </c>
    </row>
    <row r="442" spans="1:12">
      <c r="A442" t="s">
        <v>1056</v>
      </c>
      <c r="B442">
        <v>1988</v>
      </c>
      <c r="C442" t="s">
        <v>480</v>
      </c>
      <c r="D442">
        <v>75.8</v>
      </c>
      <c r="E442">
        <v>150</v>
      </c>
      <c r="F442">
        <v>105</v>
      </c>
      <c r="G442">
        <v>140</v>
      </c>
      <c r="H442">
        <v>395</v>
      </c>
      <c r="I442">
        <v>2013</v>
      </c>
      <c r="J442" t="s">
        <v>852</v>
      </c>
      <c r="K442" t="s">
        <v>30</v>
      </c>
      <c r="L442" s="8">
        <f t="shared" si="6"/>
        <v>0.75</v>
      </c>
    </row>
    <row r="443" spans="1:12">
      <c r="A443" t="s">
        <v>963</v>
      </c>
      <c r="B443">
        <v>1961</v>
      </c>
      <c r="C443" t="s">
        <v>163</v>
      </c>
      <c r="D443">
        <v>124.15</v>
      </c>
      <c r="E443">
        <v>175</v>
      </c>
      <c r="F443">
        <v>102.5</v>
      </c>
      <c r="G443">
        <v>230</v>
      </c>
      <c r="H443">
        <v>507.5</v>
      </c>
      <c r="I443">
        <v>2014</v>
      </c>
      <c r="J443" t="s">
        <v>852</v>
      </c>
      <c r="K443" t="s">
        <v>30</v>
      </c>
      <c r="L443" s="8">
        <f t="shared" si="6"/>
        <v>0.44565217391304346</v>
      </c>
    </row>
    <row r="444" spans="1:12">
      <c r="A444" t="s">
        <v>321</v>
      </c>
      <c r="B444">
        <v>1992</v>
      </c>
      <c r="C444" t="s">
        <v>74</v>
      </c>
      <c r="D444">
        <v>112.5</v>
      </c>
      <c r="E444">
        <v>230.5</v>
      </c>
      <c r="F444">
        <v>102.5</v>
      </c>
      <c r="G444">
        <v>180</v>
      </c>
      <c r="H444">
        <v>513</v>
      </c>
      <c r="I444">
        <v>2014</v>
      </c>
      <c r="J444" t="s">
        <v>852</v>
      </c>
      <c r="K444" t="s">
        <v>30</v>
      </c>
      <c r="L444" s="8">
        <f t="shared" si="6"/>
        <v>0.56944444444444442</v>
      </c>
    </row>
    <row r="445" spans="1:12">
      <c r="A445" t="s">
        <v>321</v>
      </c>
      <c r="B445">
        <v>1992</v>
      </c>
      <c r="C445" t="s">
        <v>74</v>
      </c>
      <c r="D445">
        <v>107.55</v>
      </c>
      <c r="E445">
        <v>230</v>
      </c>
      <c r="F445">
        <v>102.5</v>
      </c>
      <c r="G445">
        <v>175</v>
      </c>
      <c r="H445">
        <v>507.5</v>
      </c>
      <c r="I445">
        <v>2013</v>
      </c>
      <c r="J445" t="s">
        <v>852</v>
      </c>
      <c r="K445" t="s">
        <v>30</v>
      </c>
      <c r="L445" s="8">
        <f t="shared" si="6"/>
        <v>0.58571428571428574</v>
      </c>
    </row>
    <row r="446" spans="1:12">
      <c r="A446" t="s">
        <v>299</v>
      </c>
      <c r="B446">
        <v>1967</v>
      </c>
      <c r="C446" t="s">
        <v>300</v>
      </c>
      <c r="D446">
        <v>93.43</v>
      </c>
      <c r="E446">
        <v>200</v>
      </c>
      <c r="F446">
        <v>102.5</v>
      </c>
      <c r="G446">
        <v>175</v>
      </c>
      <c r="H446">
        <v>477.5</v>
      </c>
      <c r="I446">
        <v>2015</v>
      </c>
      <c r="J446" t="s">
        <v>852</v>
      </c>
      <c r="K446" t="s">
        <v>30</v>
      </c>
      <c r="L446" s="8">
        <f t="shared" si="6"/>
        <v>0.58571428571428574</v>
      </c>
    </row>
    <row r="447" spans="1:12">
      <c r="A447" t="s">
        <v>246</v>
      </c>
      <c r="B447">
        <v>1984</v>
      </c>
      <c r="C447" t="s">
        <v>80</v>
      </c>
      <c r="D447">
        <v>70.95</v>
      </c>
      <c r="E447">
        <v>155</v>
      </c>
      <c r="F447">
        <v>102.5</v>
      </c>
      <c r="G447">
        <v>167.5</v>
      </c>
      <c r="H447">
        <v>425</v>
      </c>
      <c r="I447">
        <v>2012</v>
      </c>
      <c r="J447" t="s">
        <v>852</v>
      </c>
      <c r="K447" t="s">
        <v>30</v>
      </c>
      <c r="L447" s="8">
        <f t="shared" si="6"/>
        <v>0.61194029850746268</v>
      </c>
    </row>
    <row r="448" spans="1:12">
      <c r="A448" t="s">
        <v>246</v>
      </c>
      <c r="B448">
        <v>1984</v>
      </c>
      <c r="C448" t="s">
        <v>80</v>
      </c>
      <c r="D448">
        <v>71.05</v>
      </c>
      <c r="E448">
        <v>165</v>
      </c>
      <c r="F448">
        <v>102.5</v>
      </c>
      <c r="G448">
        <v>160</v>
      </c>
      <c r="H448">
        <v>427.5</v>
      </c>
      <c r="I448">
        <v>2014</v>
      </c>
      <c r="J448" t="s">
        <v>852</v>
      </c>
      <c r="K448" t="s">
        <v>30</v>
      </c>
      <c r="L448" s="8">
        <f t="shared" si="6"/>
        <v>0.640625</v>
      </c>
    </row>
    <row r="449" spans="1:12">
      <c r="A449" t="s">
        <v>864</v>
      </c>
      <c r="B449">
        <v>1985</v>
      </c>
      <c r="C449" t="s">
        <v>35</v>
      </c>
      <c r="D449">
        <v>71.349999999999994</v>
      </c>
      <c r="E449">
        <v>140</v>
      </c>
      <c r="F449">
        <v>102.5</v>
      </c>
      <c r="G449">
        <v>145</v>
      </c>
      <c r="H449">
        <v>387.5</v>
      </c>
      <c r="I449">
        <v>2012</v>
      </c>
      <c r="J449" t="s">
        <v>852</v>
      </c>
      <c r="K449" t="s">
        <v>30</v>
      </c>
      <c r="L449" s="8">
        <f t="shared" si="6"/>
        <v>0.7068965517241379</v>
      </c>
    </row>
    <row r="450" spans="1:12">
      <c r="A450" t="s">
        <v>206</v>
      </c>
      <c r="B450">
        <v>1970</v>
      </c>
      <c r="C450" t="s">
        <v>62</v>
      </c>
      <c r="D450">
        <v>81.08</v>
      </c>
      <c r="E450">
        <v>165</v>
      </c>
      <c r="F450">
        <v>100</v>
      </c>
      <c r="G450">
        <v>217.5</v>
      </c>
      <c r="H450">
        <v>482.5</v>
      </c>
      <c r="I450">
        <v>2015</v>
      </c>
      <c r="J450" t="s">
        <v>852</v>
      </c>
      <c r="K450" t="s">
        <v>30</v>
      </c>
      <c r="L450" s="8">
        <f t="shared" si="6"/>
        <v>0.45977011494252873</v>
      </c>
    </row>
    <row r="451" spans="1:12">
      <c r="A451" t="s">
        <v>987</v>
      </c>
      <c r="B451">
        <v>1989</v>
      </c>
      <c r="C451" t="s">
        <v>85</v>
      </c>
      <c r="D451">
        <v>75.5</v>
      </c>
      <c r="E451">
        <v>162.5</v>
      </c>
      <c r="F451">
        <v>100</v>
      </c>
      <c r="G451">
        <v>202.5</v>
      </c>
      <c r="H451">
        <v>465</v>
      </c>
      <c r="I451">
        <v>2014</v>
      </c>
      <c r="J451" t="s">
        <v>852</v>
      </c>
      <c r="K451" t="s">
        <v>30</v>
      </c>
      <c r="L451" s="8">
        <f t="shared" ref="L451:L514" si="7">IF(AND(F451&lt;&gt;0,G451&lt;&gt;0),F451/G451,"")</f>
        <v>0.49382716049382713</v>
      </c>
    </row>
    <row r="452" spans="1:12">
      <c r="A452" t="s">
        <v>344</v>
      </c>
      <c r="B452">
        <v>1973</v>
      </c>
      <c r="C452" t="s">
        <v>163</v>
      </c>
      <c r="D452">
        <v>81.510000000000005</v>
      </c>
      <c r="E452">
        <v>165</v>
      </c>
      <c r="F452">
        <v>100</v>
      </c>
      <c r="G452">
        <v>197.5</v>
      </c>
      <c r="H452">
        <v>462.5</v>
      </c>
      <c r="I452">
        <v>2015</v>
      </c>
      <c r="J452" t="s">
        <v>852</v>
      </c>
      <c r="K452" t="s">
        <v>30</v>
      </c>
      <c r="L452" s="8">
        <f t="shared" si="7"/>
        <v>0.50632911392405067</v>
      </c>
    </row>
    <row r="453" spans="1:12">
      <c r="A453" t="s">
        <v>345</v>
      </c>
      <c r="B453">
        <v>1986</v>
      </c>
      <c r="C453" t="s">
        <v>74</v>
      </c>
      <c r="D453">
        <v>56.63</v>
      </c>
      <c r="E453">
        <v>137.5</v>
      </c>
      <c r="F453">
        <v>100</v>
      </c>
      <c r="G453">
        <v>170</v>
      </c>
      <c r="H453">
        <v>407.5</v>
      </c>
      <c r="I453">
        <v>2015</v>
      </c>
      <c r="J453" t="s">
        <v>852</v>
      </c>
      <c r="K453" t="s">
        <v>30</v>
      </c>
      <c r="L453" s="8">
        <f t="shared" si="7"/>
        <v>0.58823529411764708</v>
      </c>
    </row>
    <row r="454" spans="1:12">
      <c r="A454" t="s">
        <v>342</v>
      </c>
      <c r="B454">
        <v>1978</v>
      </c>
      <c r="C454" t="s">
        <v>62</v>
      </c>
      <c r="D454">
        <v>62.25</v>
      </c>
      <c r="E454">
        <v>157.5</v>
      </c>
      <c r="F454">
        <v>97.5</v>
      </c>
      <c r="G454">
        <v>221</v>
      </c>
      <c r="H454">
        <v>476</v>
      </c>
      <c r="I454">
        <v>2013</v>
      </c>
      <c r="J454" t="s">
        <v>852</v>
      </c>
      <c r="K454" t="s">
        <v>30</v>
      </c>
      <c r="L454" s="8">
        <f t="shared" si="7"/>
        <v>0.44117647058823528</v>
      </c>
    </row>
    <row r="455" spans="1:12">
      <c r="A455" t="s">
        <v>295</v>
      </c>
      <c r="B455">
        <v>1971</v>
      </c>
      <c r="C455" t="s">
        <v>296</v>
      </c>
      <c r="D455">
        <v>70.69</v>
      </c>
      <c r="E455">
        <v>182.5</v>
      </c>
      <c r="F455">
        <v>97.5</v>
      </c>
      <c r="G455">
        <v>187.5</v>
      </c>
      <c r="H455">
        <v>467.5</v>
      </c>
      <c r="I455">
        <v>2015</v>
      </c>
      <c r="J455" t="s">
        <v>852</v>
      </c>
      <c r="K455" t="s">
        <v>30</v>
      </c>
      <c r="L455" s="8">
        <f t="shared" si="7"/>
        <v>0.52</v>
      </c>
    </row>
    <row r="456" spans="1:12">
      <c r="A456" t="s">
        <v>278</v>
      </c>
      <c r="B456">
        <v>1973</v>
      </c>
      <c r="C456" t="s">
        <v>80</v>
      </c>
      <c r="D456">
        <v>101.74</v>
      </c>
      <c r="E456">
        <v>185</v>
      </c>
      <c r="F456">
        <v>97.5</v>
      </c>
      <c r="G456">
        <v>180</v>
      </c>
      <c r="H456">
        <v>462.5</v>
      </c>
      <c r="I456">
        <v>2015</v>
      </c>
      <c r="J456" t="s">
        <v>852</v>
      </c>
      <c r="K456" t="s">
        <v>30</v>
      </c>
      <c r="L456" s="8">
        <f t="shared" si="7"/>
        <v>0.54166666666666663</v>
      </c>
    </row>
    <row r="457" spans="1:12">
      <c r="A457" t="s">
        <v>345</v>
      </c>
      <c r="B457">
        <v>1986</v>
      </c>
      <c r="C457" t="s">
        <v>74</v>
      </c>
      <c r="D457">
        <v>56.3</v>
      </c>
      <c r="E457">
        <v>125</v>
      </c>
      <c r="F457">
        <v>97.5</v>
      </c>
      <c r="G457">
        <v>175</v>
      </c>
      <c r="H457">
        <v>397.5</v>
      </c>
      <c r="I457">
        <v>2014</v>
      </c>
      <c r="J457" t="s">
        <v>852</v>
      </c>
      <c r="K457" t="s">
        <v>30</v>
      </c>
      <c r="L457" s="8">
        <f t="shared" si="7"/>
        <v>0.55714285714285716</v>
      </c>
    </row>
    <row r="458" spans="1:12">
      <c r="A458" t="s">
        <v>913</v>
      </c>
      <c r="B458">
        <v>1980</v>
      </c>
      <c r="C458" t="s">
        <v>28</v>
      </c>
      <c r="D458">
        <v>60.15</v>
      </c>
      <c r="E458">
        <v>142.5</v>
      </c>
      <c r="F458">
        <v>97.5</v>
      </c>
      <c r="G458">
        <v>170</v>
      </c>
      <c r="H458">
        <v>410</v>
      </c>
      <c r="I458">
        <v>2012</v>
      </c>
      <c r="J458" t="s">
        <v>852</v>
      </c>
      <c r="K458" t="s">
        <v>30</v>
      </c>
      <c r="L458" s="8">
        <f t="shared" si="7"/>
        <v>0.57352941176470584</v>
      </c>
    </row>
    <row r="459" spans="1:12">
      <c r="A459" t="s">
        <v>223</v>
      </c>
      <c r="B459">
        <v>1970</v>
      </c>
      <c r="C459" t="s">
        <v>28</v>
      </c>
      <c r="D459">
        <v>51.48</v>
      </c>
      <c r="E459">
        <v>135</v>
      </c>
      <c r="F459">
        <v>97.5</v>
      </c>
      <c r="G459">
        <v>170</v>
      </c>
      <c r="H459">
        <v>402.5</v>
      </c>
      <c r="I459">
        <v>2015</v>
      </c>
      <c r="J459" t="s">
        <v>852</v>
      </c>
      <c r="K459" t="s">
        <v>30</v>
      </c>
      <c r="L459" s="8">
        <f t="shared" si="7"/>
        <v>0.57352941176470584</v>
      </c>
    </row>
    <row r="460" spans="1:12">
      <c r="A460" t="s">
        <v>173</v>
      </c>
      <c r="B460">
        <v>1987</v>
      </c>
      <c r="C460" t="s">
        <v>32</v>
      </c>
      <c r="D460">
        <v>90.3</v>
      </c>
      <c r="E460">
        <v>195</v>
      </c>
      <c r="F460">
        <v>95</v>
      </c>
      <c r="G460">
        <v>207.5</v>
      </c>
      <c r="H460">
        <v>497.5</v>
      </c>
      <c r="I460">
        <v>2015</v>
      </c>
      <c r="J460" t="s">
        <v>852</v>
      </c>
      <c r="K460" t="s">
        <v>30</v>
      </c>
      <c r="L460" s="8">
        <f t="shared" si="7"/>
        <v>0.45783132530120479</v>
      </c>
    </row>
    <row r="461" spans="1:12">
      <c r="A461" t="s">
        <v>1011</v>
      </c>
      <c r="B461">
        <v>1976</v>
      </c>
      <c r="C461" t="s">
        <v>35</v>
      </c>
      <c r="D461">
        <v>94.84</v>
      </c>
      <c r="E461">
        <v>155</v>
      </c>
      <c r="F461">
        <v>95</v>
      </c>
      <c r="G461">
        <v>187.5</v>
      </c>
      <c r="H461">
        <v>437.5</v>
      </c>
      <c r="I461">
        <v>2012</v>
      </c>
      <c r="J461" t="s">
        <v>852</v>
      </c>
      <c r="K461" t="s">
        <v>30</v>
      </c>
      <c r="L461" s="8">
        <f t="shared" si="7"/>
        <v>0.50666666666666671</v>
      </c>
    </row>
    <row r="462" spans="1:12">
      <c r="A462" t="s">
        <v>987</v>
      </c>
      <c r="B462">
        <v>1989</v>
      </c>
      <c r="C462" t="s">
        <v>85</v>
      </c>
      <c r="D462">
        <v>74.55</v>
      </c>
      <c r="E462">
        <v>147.5</v>
      </c>
      <c r="F462">
        <v>95</v>
      </c>
      <c r="G462">
        <v>185</v>
      </c>
      <c r="H462">
        <v>427.5</v>
      </c>
      <c r="I462">
        <v>2013</v>
      </c>
      <c r="J462" t="s">
        <v>852</v>
      </c>
      <c r="K462" t="s">
        <v>30</v>
      </c>
      <c r="L462" s="8">
        <f t="shared" si="7"/>
        <v>0.51351351351351349</v>
      </c>
    </row>
    <row r="463" spans="1:12">
      <c r="A463" t="s">
        <v>340</v>
      </c>
      <c r="B463">
        <v>1975</v>
      </c>
      <c r="C463" t="s">
        <v>28</v>
      </c>
      <c r="D463">
        <v>62.25</v>
      </c>
      <c r="E463">
        <v>145</v>
      </c>
      <c r="F463">
        <v>95</v>
      </c>
      <c r="G463">
        <v>180</v>
      </c>
      <c r="H463">
        <v>420</v>
      </c>
      <c r="I463">
        <v>2014</v>
      </c>
      <c r="J463" t="s">
        <v>852</v>
      </c>
      <c r="K463" t="s">
        <v>30</v>
      </c>
      <c r="L463" s="8">
        <f t="shared" si="7"/>
        <v>0.52777777777777779</v>
      </c>
    </row>
    <row r="464" spans="1:12">
      <c r="A464" t="s">
        <v>340</v>
      </c>
      <c r="B464">
        <v>1975</v>
      </c>
      <c r="C464" t="s">
        <v>28</v>
      </c>
      <c r="D464">
        <v>61.99</v>
      </c>
      <c r="E464">
        <v>142.5</v>
      </c>
      <c r="F464">
        <v>95</v>
      </c>
      <c r="G464">
        <v>180</v>
      </c>
      <c r="H464">
        <v>417.5</v>
      </c>
      <c r="I464">
        <v>2015</v>
      </c>
      <c r="J464" t="s">
        <v>852</v>
      </c>
      <c r="K464" t="s">
        <v>30</v>
      </c>
      <c r="L464" s="8">
        <f t="shared" si="7"/>
        <v>0.52777777777777779</v>
      </c>
    </row>
    <row r="465" spans="1:12">
      <c r="A465" t="s">
        <v>278</v>
      </c>
      <c r="B465">
        <v>1973</v>
      </c>
      <c r="C465" t="s">
        <v>80</v>
      </c>
      <c r="D465">
        <v>103.75</v>
      </c>
      <c r="E465">
        <v>190</v>
      </c>
      <c r="F465">
        <v>95</v>
      </c>
      <c r="G465">
        <v>177.5</v>
      </c>
      <c r="H465">
        <v>462.5</v>
      </c>
      <c r="I465">
        <v>2013</v>
      </c>
      <c r="J465" t="s">
        <v>852</v>
      </c>
      <c r="K465" t="s">
        <v>30</v>
      </c>
      <c r="L465" s="8">
        <f t="shared" si="7"/>
        <v>0.53521126760563376</v>
      </c>
    </row>
    <row r="466" spans="1:12">
      <c r="A466" t="s">
        <v>998</v>
      </c>
      <c r="B466">
        <v>1986</v>
      </c>
      <c r="C466" t="s">
        <v>28</v>
      </c>
      <c r="D466">
        <v>56.65</v>
      </c>
      <c r="E466">
        <v>150</v>
      </c>
      <c r="F466">
        <v>95</v>
      </c>
      <c r="G466">
        <v>175</v>
      </c>
      <c r="H466">
        <v>420</v>
      </c>
      <c r="I466">
        <v>2013</v>
      </c>
      <c r="J466" t="s">
        <v>852</v>
      </c>
      <c r="K466" t="s">
        <v>30</v>
      </c>
      <c r="L466" s="8">
        <f t="shared" si="7"/>
        <v>0.54285714285714282</v>
      </c>
    </row>
    <row r="467" spans="1:12">
      <c r="A467" t="s">
        <v>345</v>
      </c>
      <c r="B467">
        <v>1986</v>
      </c>
      <c r="C467" t="s">
        <v>74</v>
      </c>
      <c r="D467">
        <v>56.7</v>
      </c>
      <c r="E467">
        <v>130</v>
      </c>
      <c r="F467">
        <v>95</v>
      </c>
      <c r="G467">
        <v>172.5</v>
      </c>
      <c r="H467">
        <v>397.5</v>
      </c>
      <c r="I467">
        <v>2012</v>
      </c>
      <c r="J467" t="s">
        <v>852</v>
      </c>
      <c r="K467" t="s">
        <v>30</v>
      </c>
      <c r="L467" s="8">
        <f t="shared" si="7"/>
        <v>0.55072463768115942</v>
      </c>
    </row>
    <row r="468" spans="1:12">
      <c r="A468" t="s">
        <v>871</v>
      </c>
      <c r="B468">
        <v>1981</v>
      </c>
      <c r="C468" t="s">
        <v>113</v>
      </c>
      <c r="D468">
        <v>55.35</v>
      </c>
      <c r="E468">
        <v>135</v>
      </c>
      <c r="F468">
        <v>95</v>
      </c>
      <c r="G468">
        <v>152.5</v>
      </c>
      <c r="H468">
        <v>382.5</v>
      </c>
      <c r="I468">
        <v>2014</v>
      </c>
      <c r="J468" t="s">
        <v>852</v>
      </c>
      <c r="K468" t="s">
        <v>30</v>
      </c>
      <c r="L468" s="8">
        <f t="shared" si="7"/>
        <v>0.62295081967213117</v>
      </c>
    </row>
    <row r="469" spans="1:12">
      <c r="A469" t="s">
        <v>347</v>
      </c>
      <c r="B469">
        <v>1991</v>
      </c>
      <c r="C469" t="s">
        <v>83</v>
      </c>
      <c r="D469">
        <v>79.28</v>
      </c>
      <c r="E469">
        <v>192.5</v>
      </c>
      <c r="F469">
        <v>92.5</v>
      </c>
      <c r="G469">
        <v>207.5</v>
      </c>
      <c r="H469">
        <v>492.5</v>
      </c>
      <c r="I469">
        <v>2015</v>
      </c>
      <c r="J469" t="s">
        <v>852</v>
      </c>
      <c r="K469" t="s">
        <v>30</v>
      </c>
      <c r="L469" s="8">
        <f t="shared" si="7"/>
        <v>0.44578313253012047</v>
      </c>
    </row>
    <row r="470" spans="1:12">
      <c r="A470" t="s">
        <v>206</v>
      </c>
      <c r="B470">
        <v>1970</v>
      </c>
      <c r="C470" t="s">
        <v>62</v>
      </c>
      <c r="D470">
        <v>71.099999999999994</v>
      </c>
      <c r="E470">
        <v>157.5</v>
      </c>
      <c r="F470">
        <v>92.5</v>
      </c>
      <c r="G470">
        <v>207.5</v>
      </c>
      <c r="H470">
        <v>457.5</v>
      </c>
      <c r="I470">
        <v>2013</v>
      </c>
      <c r="J470" t="s">
        <v>852</v>
      </c>
      <c r="K470" t="s">
        <v>30</v>
      </c>
      <c r="L470" s="8">
        <f t="shared" si="7"/>
        <v>0.44578313253012047</v>
      </c>
    </row>
    <row r="471" spans="1:12">
      <c r="A471" t="s">
        <v>339</v>
      </c>
      <c r="B471">
        <v>1989</v>
      </c>
      <c r="C471" t="s">
        <v>35</v>
      </c>
      <c r="D471">
        <v>71.3</v>
      </c>
      <c r="E471">
        <v>180</v>
      </c>
      <c r="F471">
        <v>92.5</v>
      </c>
      <c r="G471">
        <v>192.5</v>
      </c>
      <c r="H471">
        <v>465</v>
      </c>
      <c r="I471">
        <v>2015</v>
      </c>
      <c r="J471" t="s">
        <v>852</v>
      </c>
      <c r="K471" t="s">
        <v>30</v>
      </c>
      <c r="L471" s="8">
        <f t="shared" si="7"/>
        <v>0.48051948051948051</v>
      </c>
    </row>
    <row r="472" spans="1:12">
      <c r="A472" t="s">
        <v>212</v>
      </c>
      <c r="B472">
        <v>1983</v>
      </c>
      <c r="C472" t="s">
        <v>113</v>
      </c>
      <c r="D472">
        <v>75.41</v>
      </c>
      <c r="E472">
        <v>170</v>
      </c>
      <c r="F472">
        <v>92.5</v>
      </c>
      <c r="G472">
        <v>192.5</v>
      </c>
      <c r="H472">
        <v>455</v>
      </c>
      <c r="I472">
        <v>2015</v>
      </c>
      <c r="J472" t="s">
        <v>852</v>
      </c>
      <c r="K472" t="s">
        <v>30</v>
      </c>
      <c r="L472" s="8">
        <f t="shared" si="7"/>
        <v>0.48051948051948051</v>
      </c>
    </row>
    <row r="473" spans="1:12">
      <c r="A473" t="s">
        <v>218</v>
      </c>
      <c r="B473">
        <v>1976</v>
      </c>
      <c r="C473" t="s">
        <v>28</v>
      </c>
      <c r="D473">
        <v>59.8</v>
      </c>
      <c r="E473">
        <v>177.5</v>
      </c>
      <c r="F473">
        <v>92.5</v>
      </c>
      <c r="G473">
        <v>180</v>
      </c>
      <c r="H473">
        <v>450</v>
      </c>
      <c r="I473">
        <v>2013</v>
      </c>
      <c r="J473" t="s">
        <v>852</v>
      </c>
      <c r="K473" t="s">
        <v>30</v>
      </c>
      <c r="L473" s="8">
        <f t="shared" si="7"/>
        <v>0.51388888888888884</v>
      </c>
    </row>
    <row r="474" spans="1:12">
      <c r="A474" t="s">
        <v>345</v>
      </c>
      <c r="B474">
        <v>1986</v>
      </c>
      <c r="C474" t="s">
        <v>74</v>
      </c>
      <c r="D474">
        <v>56.5</v>
      </c>
      <c r="E474">
        <v>130</v>
      </c>
      <c r="F474">
        <v>92.5</v>
      </c>
      <c r="G474">
        <v>175</v>
      </c>
      <c r="H474">
        <v>397.5</v>
      </c>
      <c r="I474">
        <v>2013</v>
      </c>
      <c r="J474" t="s">
        <v>852</v>
      </c>
      <c r="K474" t="s">
        <v>30</v>
      </c>
      <c r="L474" s="8">
        <f t="shared" si="7"/>
        <v>0.52857142857142858</v>
      </c>
    </row>
    <row r="475" spans="1:12">
      <c r="A475" t="s">
        <v>259</v>
      </c>
      <c r="B475">
        <v>1990</v>
      </c>
      <c r="C475" t="s">
        <v>35</v>
      </c>
      <c r="D475">
        <v>51.14</v>
      </c>
      <c r="E475">
        <v>147.5</v>
      </c>
      <c r="F475">
        <v>92.5</v>
      </c>
      <c r="G475">
        <v>172.5</v>
      </c>
      <c r="H475">
        <v>412.5</v>
      </c>
      <c r="I475">
        <v>2015</v>
      </c>
      <c r="J475" t="s">
        <v>852</v>
      </c>
      <c r="K475" t="s">
        <v>30</v>
      </c>
      <c r="L475" s="8">
        <f t="shared" si="7"/>
        <v>0.53623188405797106</v>
      </c>
    </row>
    <row r="476" spans="1:12">
      <c r="A476" t="s">
        <v>337</v>
      </c>
      <c r="B476">
        <v>1979</v>
      </c>
      <c r="C476" t="s">
        <v>28</v>
      </c>
      <c r="D476">
        <v>56.7</v>
      </c>
      <c r="E476">
        <v>140</v>
      </c>
      <c r="F476">
        <v>92.5</v>
      </c>
      <c r="G476">
        <v>162.5</v>
      </c>
      <c r="H476">
        <v>395</v>
      </c>
      <c r="I476">
        <v>2012</v>
      </c>
      <c r="J476" t="s">
        <v>852</v>
      </c>
      <c r="K476" t="s">
        <v>30</v>
      </c>
      <c r="L476" s="8">
        <f t="shared" si="7"/>
        <v>0.56923076923076921</v>
      </c>
    </row>
    <row r="477" spans="1:12">
      <c r="A477" t="s">
        <v>912</v>
      </c>
      <c r="B477">
        <v>1971</v>
      </c>
      <c r="C477" t="s">
        <v>77</v>
      </c>
      <c r="D477">
        <v>51.2</v>
      </c>
      <c r="E477">
        <v>117.5</v>
      </c>
      <c r="F477">
        <v>92.5</v>
      </c>
      <c r="G477">
        <v>135</v>
      </c>
      <c r="H477">
        <v>345</v>
      </c>
      <c r="I477">
        <v>2013</v>
      </c>
      <c r="J477" t="s">
        <v>852</v>
      </c>
      <c r="K477" t="s">
        <v>30</v>
      </c>
      <c r="L477" s="8">
        <f t="shared" si="7"/>
        <v>0.68518518518518523</v>
      </c>
    </row>
    <row r="478" spans="1:12">
      <c r="A478" t="s">
        <v>297</v>
      </c>
      <c r="B478">
        <v>1982</v>
      </c>
      <c r="C478" t="s">
        <v>80</v>
      </c>
      <c r="D478">
        <v>46.9</v>
      </c>
      <c r="E478">
        <v>110</v>
      </c>
      <c r="F478">
        <v>91.5</v>
      </c>
      <c r="G478">
        <v>140</v>
      </c>
      <c r="H478">
        <v>341.5</v>
      </c>
      <c r="I478">
        <v>2015</v>
      </c>
      <c r="J478" t="s">
        <v>852</v>
      </c>
      <c r="K478" t="s">
        <v>30</v>
      </c>
      <c r="L478" s="8">
        <f t="shared" si="7"/>
        <v>0.65357142857142858</v>
      </c>
    </row>
    <row r="479" spans="1:12">
      <c r="A479" t="s">
        <v>223</v>
      </c>
      <c r="B479">
        <v>1970</v>
      </c>
      <c r="C479" t="s">
        <v>28</v>
      </c>
      <c r="D479">
        <v>46.9</v>
      </c>
      <c r="E479">
        <v>115</v>
      </c>
      <c r="F479">
        <v>91</v>
      </c>
      <c r="G479">
        <v>140</v>
      </c>
      <c r="H479">
        <v>346</v>
      </c>
      <c r="I479">
        <v>2014</v>
      </c>
      <c r="J479" t="s">
        <v>852</v>
      </c>
      <c r="K479" t="s">
        <v>30</v>
      </c>
      <c r="L479" s="8">
        <f t="shared" si="7"/>
        <v>0.65</v>
      </c>
    </row>
    <row r="480" spans="1:12">
      <c r="A480" t="s">
        <v>223</v>
      </c>
      <c r="B480">
        <v>1970</v>
      </c>
      <c r="C480" t="s">
        <v>28</v>
      </c>
      <c r="D480">
        <v>46.75</v>
      </c>
      <c r="E480">
        <v>117.5</v>
      </c>
      <c r="F480">
        <v>90.5</v>
      </c>
      <c r="G480">
        <v>170.5</v>
      </c>
      <c r="H480">
        <v>378.5</v>
      </c>
      <c r="I480">
        <v>2012</v>
      </c>
      <c r="J480" t="s">
        <v>852</v>
      </c>
      <c r="K480" t="s">
        <v>30</v>
      </c>
      <c r="L480" s="8">
        <f t="shared" si="7"/>
        <v>0.53079178885630496</v>
      </c>
    </row>
    <row r="481" spans="1:12">
      <c r="A481" t="s">
        <v>341</v>
      </c>
      <c r="B481">
        <v>1988</v>
      </c>
      <c r="C481" t="s">
        <v>80</v>
      </c>
      <c r="D481">
        <v>62.75</v>
      </c>
      <c r="E481">
        <v>142.5</v>
      </c>
      <c r="F481">
        <v>90</v>
      </c>
      <c r="G481">
        <v>172.5</v>
      </c>
      <c r="H481">
        <v>405</v>
      </c>
      <c r="I481">
        <v>2012</v>
      </c>
      <c r="J481" t="s">
        <v>852</v>
      </c>
      <c r="K481" t="s">
        <v>30</v>
      </c>
      <c r="L481" s="8">
        <f t="shared" si="7"/>
        <v>0.52173913043478259</v>
      </c>
    </row>
    <row r="482" spans="1:12">
      <c r="A482" t="s">
        <v>341</v>
      </c>
      <c r="B482">
        <v>1988</v>
      </c>
      <c r="C482" t="s">
        <v>80</v>
      </c>
      <c r="D482">
        <v>62.95</v>
      </c>
      <c r="E482">
        <v>155</v>
      </c>
      <c r="F482">
        <v>90</v>
      </c>
      <c r="G482">
        <v>170</v>
      </c>
      <c r="H482">
        <v>415</v>
      </c>
      <c r="I482">
        <v>2013</v>
      </c>
      <c r="J482" t="s">
        <v>852</v>
      </c>
      <c r="K482" t="s">
        <v>30</v>
      </c>
      <c r="L482" s="8">
        <f t="shared" si="7"/>
        <v>0.52941176470588236</v>
      </c>
    </row>
    <row r="483" spans="1:12">
      <c r="A483" t="s">
        <v>944</v>
      </c>
      <c r="B483">
        <v>1979</v>
      </c>
      <c r="C483" t="s">
        <v>28</v>
      </c>
      <c r="D483">
        <v>51.65</v>
      </c>
      <c r="E483">
        <v>132.5</v>
      </c>
      <c r="F483">
        <v>90</v>
      </c>
      <c r="G483">
        <v>160</v>
      </c>
      <c r="H483">
        <v>382.5</v>
      </c>
      <c r="I483">
        <v>2012</v>
      </c>
      <c r="J483" t="s">
        <v>852</v>
      </c>
      <c r="K483" t="s">
        <v>30</v>
      </c>
      <c r="L483" s="8">
        <f t="shared" si="7"/>
        <v>0.5625</v>
      </c>
    </row>
    <row r="484" spans="1:12">
      <c r="A484" t="s">
        <v>1053</v>
      </c>
      <c r="B484">
        <v>1986</v>
      </c>
      <c r="C484" t="s">
        <v>39</v>
      </c>
      <c r="D484">
        <v>51.3</v>
      </c>
      <c r="E484">
        <v>115</v>
      </c>
      <c r="F484">
        <v>90</v>
      </c>
      <c r="G484">
        <v>152.5</v>
      </c>
      <c r="H484">
        <v>357.5</v>
      </c>
      <c r="I484">
        <v>2013</v>
      </c>
      <c r="J484" t="s">
        <v>852</v>
      </c>
      <c r="K484" t="s">
        <v>30</v>
      </c>
      <c r="L484" s="8">
        <f t="shared" si="7"/>
        <v>0.5901639344262295</v>
      </c>
    </row>
    <row r="485" spans="1:12">
      <c r="A485" t="s">
        <v>999</v>
      </c>
      <c r="B485">
        <v>1973</v>
      </c>
      <c r="C485" t="s">
        <v>80</v>
      </c>
      <c r="D485">
        <v>69.45</v>
      </c>
      <c r="E485">
        <v>112.5</v>
      </c>
      <c r="F485">
        <v>90</v>
      </c>
      <c r="G485">
        <v>150</v>
      </c>
      <c r="H485">
        <v>352.5</v>
      </c>
      <c r="I485">
        <v>2012</v>
      </c>
      <c r="J485" t="s">
        <v>852</v>
      </c>
      <c r="K485" t="s">
        <v>30</v>
      </c>
      <c r="L485" s="8">
        <f t="shared" si="7"/>
        <v>0.6</v>
      </c>
    </row>
    <row r="486" spans="1:12">
      <c r="A486" t="s">
        <v>871</v>
      </c>
      <c r="B486">
        <v>1981</v>
      </c>
      <c r="C486" t="s">
        <v>113</v>
      </c>
      <c r="D486">
        <v>58.15</v>
      </c>
      <c r="E486">
        <v>137.5</v>
      </c>
      <c r="F486">
        <v>90</v>
      </c>
      <c r="G486">
        <v>145</v>
      </c>
      <c r="H486">
        <v>372.5</v>
      </c>
      <c r="I486">
        <v>2013</v>
      </c>
      <c r="J486" t="s">
        <v>852</v>
      </c>
      <c r="K486" t="s">
        <v>30</v>
      </c>
      <c r="L486" s="8">
        <f t="shared" si="7"/>
        <v>0.62068965517241381</v>
      </c>
    </row>
    <row r="487" spans="1:12">
      <c r="A487" t="s">
        <v>910</v>
      </c>
      <c r="B487">
        <v>1983</v>
      </c>
      <c r="C487" t="s">
        <v>51</v>
      </c>
      <c r="D487">
        <v>67.3</v>
      </c>
      <c r="E487">
        <v>135</v>
      </c>
      <c r="F487">
        <v>90</v>
      </c>
      <c r="G487">
        <v>145</v>
      </c>
      <c r="H487">
        <v>370</v>
      </c>
      <c r="I487">
        <v>2013</v>
      </c>
      <c r="J487" t="s">
        <v>852</v>
      </c>
      <c r="K487" t="s">
        <v>30</v>
      </c>
      <c r="L487" s="8">
        <f t="shared" si="7"/>
        <v>0.62068965517241381</v>
      </c>
    </row>
    <row r="488" spans="1:12">
      <c r="A488" t="s">
        <v>253</v>
      </c>
      <c r="B488">
        <v>1971</v>
      </c>
      <c r="C488" t="s">
        <v>194</v>
      </c>
      <c r="D488">
        <v>54.72</v>
      </c>
      <c r="E488">
        <v>125</v>
      </c>
      <c r="F488">
        <v>90</v>
      </c>
      <c r="G488">
        <v>145</v>
      </c>
      <c r="H488">
        <v>360</v>
      </c>
      <c r="I488">
        <v>2015</v>
      </c>
      <c r="J488" t="s">
        <v>852</v>
      </c>
      <c r="K488" t="s">
        <v>30</v>
      </c>
      <c r="L488" s="8">
        <f t="shared" si="7"/>
        <v>0.62068965517241381</v>
      </c>
    </row>
    <row r="489" spans="1:12">
      <c r="A489" t="s">
        <v>912</v>
      </c>
      <c r="B489">
        <v>1971</v>
      </c>
      <c r="C489" t="s">
        <v>77</v>
      </c>
      <c r="D489">
        <v>51.15</v>
      </c>
      <c r="E489">
        <v>112.5</v>
      </c>
      <c r="F489">
        <v>90</v>
      </c>
      <c r="G489">
        <v>135</v>
      </c>
      <c r="H489">
        <v>337.5</v>
      </c>
      <c r="I489">
        <v>2012</v>
      </c>
      <c r="J489" t="s">
        <v>852</v>
      </c>
      <c r="K489" t="s">
        <v>30</v>
      </c>
      <c r="L489" s="8">
        <f t="shared" si="7"/>
        <v>0.66666666666666663</v>
      </c>
    </row>
    <row r="490" spans="1:12">
      <c r="A490" t="s">
        <v>1001</v>
      </c>
      <c r="B490">
        <v>1987</v>
      </c>
      <c r="C490" t="s">
        <v>77</v>
      </c>
      <c r="D490">
        <v>55.95</v>
      </c>
      <c r="E490">
        <v>115</v>
      </c>
      <c r="F490">
        <v>90</v>
      </c>
      <c r="G490">
        <v>125</v>
      </c>
      <c r="H490">
        <v>330</v>
      </c>
      <c r="I490">
        <v>2014</v>
      </c>
      <c r="J490" t="s">
        <v>852</v>
      </c>
      <c r="K490" t="s">
        <v>30</v>
      </c>
      <c r="L490" s="8">
        <f t="shared" si="7"/>
        <v>0.72</v>
      </c>
    </row>
    <row r="491" spans="1:12">
      <c r="A491" t="s">
        <v>247</v>
      </c>
      <c r="B491">
        <v>1982</v>
      </c>
      <c r="C491" t="s">
        <v>56</v>
      </c>
      <c r="D491">
        <v>123.56</v>
      </c>
      <c r="E491">
        <v>212.5</v>
      </c>
      <c r="F491">
        <v>87.5</v>
      </c>
      <c r="G491">
        <v>205</v>
      </c>
      <c r="H491">
        <v>505</v>
      </c>
      <c r="I491">
        <v>2015</v>
      </c>
      <c r="J491" t="s">
        <v>852</v>
      </c>
      <c r="K491" t="s">
        <v>30</v>
      </c>
      <c r="L491" s="8">
        <f t="shared" si="7"/>
        <v>0.42682926829268292</v>
      </c>
    </row>
    <row r="492" spans="1:12">
      <c r="A492" t="s">
        <v>1046</v>
      </c>
      <c r="B492">
        <v>1990</v>
      </c>
      <c r="C492" t="s">
        <v>282</v>
      </c>
      <c r="D492">
        <v>106.1</v>
      </c>
      <c r="E492">
        <v>160</v>
      </c>
      <c r="F492">
        <v>87.5</v>
      </c>
      <c r="G492">
        <v>185</v>
      </c>
      <c r="H492">
        <v>432.5</v>
      </c>
      <c r="I492">
        <v>2014</v>
      </c>
      <c r="J492" t="s">
        <v>852</v>
      </c>
      <c r="K492" t="s">
        <v>30</v>
      </c>
      <c r="L492" s="8">
        <f t="shared" si="7"/>
        <v>0.47297297297297297</v>
      </c>
    </row>
    <row r="493" spans="1:12">
      <c r="A493" t="s">
        <v>886</v>
      </c>
      <c r="B493">
        <v>1979</v>
      </c>
      <c r="C493" t="s">
        <v>282</v>
      </c>
      <c r="D493">
        <v>56.6</v>
      </c>
      <c r="E493">
        <v>147.5</v>
      </c>
      <c r="F493">
        <v>87.5</v>
      </c>
      <c r="G493">
        <v>172.5</v>
      </c>
      <c r="H493">
        <v>407.5</v>
      </c>
      <c r="I493">
        <v>2014</v>
      </c>
      <c r="J493" t="s">
        <v>852</v>
      </c>
      <c r="K493" t="s">
        <v>30</v>
      </c>
      <c r="L493" s="8">
        <f t="shared" si="7"/>
        <v>0.50724637681159424</v>
      </c>
    </row>
    <row r="494" spans="1:12">
      <c r="A494" t="s">
        <v>974</v>
      </c>
      <c r="B494">
        <v>1965</v>
      </c>
      <c r="C494" t="s">
        <v>39</v>
      </c>
      <c r="D494">
        <v>61.95</v>
      </c>
      <c r="E494">
        <v>125</v>
      </c>
      <c r="F494">
        <v>87.5</v>
      </c>
      <c r="G494">
        <v>165</v>
      </c>
      <c r="H494">
        <v>377.5</v>
      </c>
      <c r="I494">
        <v>2013</v>
      </c>
      <c r="J494" t="s">
        <v>852</v>
      </c>
      <c r="K494" t="s">
        <v>30</v>
      </c>
      <c r="L494" s="8">
        <f t="shared" si="7"/>
        <v>0.53030303030303028</v>
      </c>
    </row>
    <row r="495" spans="1:12">
      <c r="A495" t="s">
        <v>240</v>
      </c>
      <c r="B495">
        <v>1988</v>
      </c>
      <c r="C495" t="s">
        <v>113</v>
      </c>
      <c r="D495">
        <v>56.21</v>
      </c>
      <c r="E495">
        <v>162.5</v>
      </c>
      <c r="F495">
        <v>87.5</v>
      </c>
      <c r="G495">
        <v>155</v>
      </c>
      <c r="H495">
        <v>405</v>
      </c>
      <c r="I495">
        <v>2015</v>
      </c>
      <c r="J495" t="s">
        <v>852</v>
      </c>
      <c r="K495" t="s">
        <v>30</v>
      </c>
      <c r="L495" s="8">
        <f t="shared" si="7"/>
        <v>0.56451612903225812</v>
      </c>
    </row>
    <row r="496" spans="1:12">
      <c r="A496" t="s">
        <v>337</v>
      </c>
      <c r="B496">
        <v>1979</v>
      </c>
      <c r="C496" t="s">
        <v>28</v>
      </c>
      <c r="D496">
        <v>56.8</v>
      </c>
      <c r="E496">
        <v>142.5</v>
      </c>
      <c r="F496">
        <v>87.5</v>
      </c>
      <c r="G496">
        <v>145</v>
      </c>
      <c r="H496">
        <v>375</v>
      </c>
      <c r="I496">
        <v>2014</v>
      </c>
      <c r="J496" t="s">
        <v>852</v>
      </c>
      <c r="K496" t="s">
        <v>30</v>
      </c>
      <c r="L496" s="8">
        <f t="shared" si="7"/>
        <v>0.60344827586206895</v>
      </c>
    </row>
    <row r="497" spans="1:12">
      <c r="A497" t="s">
        <v>188</v>
      </c>
      <c r="B497">
        <v>1986</v>
      </c>
      <c r="C497" t="s">
        <v>137</v>
      </c>
      <c r="D497">
        <v>54.98</v>
      </c>
      <c r="E497">
        <v>125</v>
      </c>
      <c r="F497">
        <v>87.5</v>
      </c>
      <c r="G497">
        <v>140</v>
      </c>
      <c r="H497">
        <v>352.5</v>
      </c>
      <c r="I497">
        <v>2015</v>
      </c>
      <c r="J497" t="s">
        <v>852</v>
      </c>
      <c r="K497" t="s">
        <v>30</v>
      </c>
      <c r="L497" s="8">
        <f t="shared" si="7"/>
        <v>0.625</v>
      </c>
    </row>
    <row r="498" spans="1:12">
      <c r="A498" t="s">
        <v>910</v>
      </c>
      <c r="B498">
        <v>1983</v>
      </c>
      <c r="C498" t="s">
        <v>51</v>
      </c>
      <c r="D498">
        <v>62.55</v>
      </c>
      <c r="E498">
        <v>120</v>
      </c>
      <c r="F498">
        <v>87.5</v>
      </c>
      <c r="G498">
        <v>140</v>
      </c>
      <c r="H498">
        <v>347.5</v>
      </c>
      <c r="I498">
        <v>2012</v>
      </c>
      <c r="J498" t="s">
        <v>852</v>
      </c>
      <c r="K498" t="s">
        <v>30</v>
      </c>
      <c r="L498" s="8">
        <f t="shared" si="7"/>
        <v>0.625</v>
      </c>
    </row>
    <row r="499" spans="1:12">
      <c r="A499" t="s">
        <v>323</v>
      </c>
      <c r="B499">
        <v>1986</v>
      </c>
      <c r="C499" t="s">
        <v>35</v>
      </c>
      <c r="D499">
        <v>82.56</v>
      </c>
      <c r="E499">
        <v>177.5</v>
      </c>
      <c r="F499">
        <v>85</v>
      </c>
      <c r="G499">
        <v>190</v>
      </c>
      <c r="H499">
        <v>452.5</v>
      </c>
      <c r="I499">
        <v>2015</v>
      </c>
      <c r="J499" t="s">
        <v>852</v>
      </c>
      <c r="K499" t="s">
        <v>30</v>
      </c>
      <c r="L499" s="8">
        <f t="shared" si="7"/>
        <v>0.44736842105263158</v>
      </c>
    </row>
    <row r="500" spans="1:12">
      <c r="A500" t="s">
        <v>218</v>
      </c>
      <c r="B500">
        <v>1976</v>
      </c>
      <c r="C500" t="s">
        <v>28</v>
      </c>
      <c r="D500">
        <v>56.54</v>
      </c>
      <c r="E500">
        <v>172.5</v>
      </c>
      <c r="F500">
        <v>85</v>
      </c>
      <c r="G500">
        <v>190</v>
      </c>
      <c r="H500">
        <v>447.5</v>
      </c>
      <c r="I500">
        <v>2015</v>
      </c>
      <c r="J500" t="s">
        <v>852</v>
      </c>
      <c r="K500" t="s">
        <v>30</v>
      </c>
      <c r="L500" s="8">
        <f t="shared" si="7"/>
        <v>0.44736842105263158</v>
      </c>
    </row>
    <row r="501" spans="1:12">
      <c r="A501" t="s">
        <v>987</v>
      </c>
      <c r="B501">
        <v>1989</v>
      </c>
      <c r="C501" t="s">
        <v>85</v>
      </c>
      <c r="D501">
        <v>70.8</v>
      </c>
      <c r="E501">
        <v>137.5</v>
      </c>
      <c r="F501">
        <v>85</v>
      </c>
      <c r="G501">
        <v>190</v>
      </c>
      <c r="H501">
        <v>412.5</v>
      </c>
      <c r="I501">
        <v>2012</v>
      </c>
      <c r="J501" t="s">
        <v>852</v>
      </c>
      <c r="K501" t="s">
        <v>30</v>
      </c>
      <c r="L501" s="8">
        <f t="shared" si="7"/>
        <v>0.44736842105263158</v>
      </c>
    </row>
    <row r="502" spans="1:12">
      <c r="A502" t="s">
        <v>882</v>
      </c>
      <c r="B502">
        <v>1986</v>
      </c>
      <c r="C502" t="s">
        <v>39</v>
      </c>
      <c r="D502">
        <v>69.8</v>
      </c>
      <c r="E502">
        <v>0</v>
      </c>
      <c r="F502">
        <v>85</v>
      </c>
      <c r="G502">
        <v>185</v>
      </c>
      <c r="H502">
        <v>0</v>
      </c>
      <c r="I502">
        <v>2012</v>
      </c>
      <c r="J502" t="s">
        <v>852</v>
      </c>
      <c r="K502" t="s">
        <v>30</v>
      </c>
      <c r="L502" s="8">
        <f t="shared" si="7"/>
        <v>0.45945945945945948</v>
      </c>
    </row>
    <row r="503" spans="1:12">
      <c r="A503" t="s">
        <v>324</v>
      </c>
      <c r="B503">
        <v>1976</v>
      </c>
      <c r="C503" t="s">
        <v>49</v>
      </c>
      <c r="D503">
        <v>62.77</v>
      </c>
      <c r="E503">
        <v>167.5</v>
      </c>
      <c r="F503">
        <v>85</v>
      </c>
      <c r="G503">
        <v>180</v>
      </c>
      <c r="H503">
        <v>432.5</v>
      </c>
      <c r="I503">
        <v>2015</v>
      </c>
      <c r="J503" t="s">
        <v>852</v>
      </c>
      <c r="K503" t="s">
        <v>30</v>
      </c>
      <c r="L503" s="8">
        <f t="shared" si="7"/>
        <v>0.47222222222222221</v>
      </c>
    </row>
    <row r="504" spans="1:12">
      <c r="A504" t="s">
        <v>868</v>
      </c>
      <c r="B504">
        <v>1988</v>
      </c>
      <c r="C504" t="s">
        <v>35</v>
      </c>
      <c r="D504">
        <v>82.85</v>
      </c>
      <c r="E504">
        <v>162.5</v>
      </c>
      <c r="F504">
        <v>85</v>
      </c>
      <c r="G504">
        <v>175</v>
      </c>
      <c r="H504">
        <v>422.5</v>
      </c>
      <c r="I504">
        <v>2012</v>
      </c>
      <c r="J504" t="s">
        <v>852</v>
      </c>
      <c r="K504" t="s">
        <v>30</v>
      </c>
      <c r="L504" s="8">
        <f t="shared" si="7"/>
        <v>0.48571428571428571</v>
      </c>
    </row>
    <row r="505" spans="1:12">
      <c r="A505" t="s">
        <v>868</v>
      </c>
      <c r="B505">
        <v>1988</v>
      </c>
      <c r="C505" t="s">
        <v>35</v>
      </c>
      <c r="D505">
        <v>83.6</v>
      </c>
      <c r="E505">
        <v>157.5</v>
      </c>
      <c r="F505">
        <v>85</v>
      </c>
      <c r="G505">
        <v>172.5</v>
      </c>
      <c r="H505">
        <v>415</v>
      </c>
      <c r="I505">
        <v>2013</v>
      </c>
      <c r="J505" t="s">
        <v>852</v>
      </c>
      <c r="K505" t="s">
        <v>30</v>
      </c>
      <c r="L505" s="8">
        <f t="shared" si="7"/>
        <v>0.49275362318840582</v>
      </c>
    </row>
    <row r="506" spans="1:12">
      <c r="A506" t="s">
        <v>212</v>
      </c>
      <c r="B506">
        <v>1983</v>
      </c>
      <c r="C506" t="s">
        <v>113</v>
      </c>
      <c r="D506">
        <v>71.400000000000006</v>
      </c>
      <c r="E506">
        <v>155</v>
      </c>
      <c r="F506">
        <v>85</v>
      </c>
      <c r="G506">
        <v>172.5</v>
      </c>
      <c r="H506">
        <v>412.5</v>
      </c>
      <c r="I506">
        <v>2014</v>
      </c>
      <c r="J506" t="s">
        <v>852</v>
      </c>
      <c r="K506" t="s">
        <v>30</v>
      </c>
      <c r="L506" s="8">
        <f t="shared" si="7"/>
        <v>0.49275362318840582</v>
      </c>
    </row>
    <row r="507" spans="1:12">
      <c r="A507" t="s">
        <v>311</v>
      </c>
      <c r="B507">
        <v>1983</v>
      </c>
      <c r="C507" t="s">
        <v>51</v>
      </c>
      <c r="D507">
        <v>84</v>
      </c>
      <c r="E507">
        <v>155</v>
      </c>
      <c r="F507">
        <v>85</v>
      </c>
      <c r="G507">
        <v>170</v>
      </c>
      <c r="H507">
        <v>410</v>
      </c>
      <c r="I507">
        <v>2014</v>
      </c>
      <c r="J507" t="s">
        <v>852</v>
      </c>
      <c r="K507" t="s">
        <v>30</v>
      </c>
      <c r="L507" s="8">
        <f t="shared" si="7"/>
        <v>0.5</v>
      </c>
    </row>
    <row r="508" spans="1:12">
      <c r="A508" t="s">
        <v>855</v>
      </c>
      <c r="B508">
        <v>1967</v>
      </c>
      <c r="C508" t="s">
        <v>119</v>
      </c>
      <c r="D508">
        <v>56</v>
      </c>
      <c r="E508">
        <v>152.5</v>
      </c>
      <c r="F508">
        <v>85</v>
      </c>
      <c r="G508">
        <v>167.5</v>
      </c>
      <c r="H508">
        <v>405</v>
      </c>
      <c r="I508">
        <v>2014</v>
      </c>
      <c r="J508" t="s">
        <v>852</v>
      </c>
      <c r="K508" t="s">
        <v>30</v>
      </c>
      <c r="L508" s="8">
        <f t="shared" si="7"/>
        <v>0.5074626865671642</v>
      </c>
    </row>
    <row r="509" spans="1:12">
      <c r="A509" t="s">
        <v>337</v>
      </c>
      <c r="B509">
        <v>1979</v>
      </c>
      <c r="C509" t="s">
        <v>28</v>
      </c>
      <c r="D509">
        <v>56.99</v>
      </c>
      <c r="E509">
        <v>145</v>
      </c>
      <c r="F509">
        <v>85</v>
      </c>
      <c r="G509">
        <v>162.5</v>
      </c>
      <c r="H509">
        <v>392.5</v>
      </c>
      <c r="I509">
        <v>2015</v>
      </c>
      <c r="J509" t="s">
        <v>852</v>
      </c>
      <c r="K509" t="s">
        <v>30</v>
      </c>
      <c r="L509" s="8">
        <f t="shared" si="7"/>
        <v>0.52307692307692311</v>
      </c>
    </row>
    <row r="510" spans="1:12">
      <c r="A510" t="s">
        <v>944</v>
      </c>
      <c r="B510">
        <v>1979</v>
      </c>
      <c r="C510" t="s">
        <v>28</v>
      </c>
      <c r="D510">
        <v>51.3</v>
      </c>
      <c r="E510">
        <v>140</v>
      </c>
      <c r="F510">
        <v>85</v>
      </c>
      <c r="G510">
        <v>160</v>
      </c>
      <c r="H510">
        <v>385</v>
      </c>
      <c r="I510">
        <v>2013</v>
      </c>
      <c r="J510" t="s">
        <v>852</v>
      </c>
      <c r="K510" t="s">
        <v>30</v>
      </c>
      <c r="L510" s="8">
        <f t="shared" si="7"/>
        <v>0.53125</v>
      </c>
    </row>
    <row r="511" spans="1:12">
      <c r="A511" t="s">
        <v>1009</v>
      </c>
      <c r="B511">
        <v>1988</v>
      </c>
      <c r="C511" t="s">
        <v>113</v>
      </c>
      <c r="D511">
        <v>62.1</v>
      </c>
      <c r="E511">
        <v>135</v>
      </c>
      <c r="F511">
        <v>85</v>
      </c>
      <c r="G511">
        <v>160</v>
      </c>
      <c r="H511">
        <v>380</v>
      </c>
      <c r="I511">
        <v>2013</v>
      </c>
      <c r="J511" t="s">
        <v>852</v>
      </c>
      <c r="K511" t="s">
        <v>30</v>
      </c>
      <c r="L511" s="8">
        <f t="shared" si="7"/>
        <v>0.53125</v>
      </c>
    </row>
    <row r="512" spans="1:12">
      <c r="A512" t="s">
        <v>957</v>
      </c>
      <c r="B512">
        <v>1973</v>
      </c>
      <c r="C512" t="s">
        <v>80</v>
      </c>
      <c r="D512">
        <v>56.55</v>
      </c>
      <c r="E512">
        <v>112.5</v>
      </c>
      <c r="F512">
        <v>85</v>
      </c>
      <c r="G512">
        <v>157.5</v>
      </c>
      <c r="H512">
        <v>355</v>
      </c>
      <c r="I512">
        <v>2013</v>
      </c>
      <c r="J512" t="s">
        <v>852</v>
      </c>
      <c r="K512" t="s">
        <v>30</v>
      </c>
      <c r="L512" s="8">
        <f t="shared" si="7"/>
        <v>0.53968253968253965</v>
      </c>
    </row>
    <row r="513" spans="1:12">
      <c r="A513" t="s">
        <v>275</v>
      </c>
      <c r="B513">
        <v>1988</v>
      </c>
      <c r="C513" t="s">
        <v>51</v>
      </c>
      <c r="D513">
        <v>56.84</v>
      </c>
      <c r="E513">
        <v>137.5</v>
      </c>
      <c r="F513">
        <v>85</v>
      </c>
      <c r="G513">
        <v>147.5</v>
      </c>
      <c r="H513">
        <v>370</v>
      </c>
      <c r="I513">
        <v>2015</v>
      </c>
      <c r="J513" t="s">
        <v>852</v>
      </c>
      <c r="K513" t="s">
        <v>30</v>
      </c>
      <c r="L513" s="8">
        <f t="shared" si="7"/>
        <v>0.57627118644067798</v>
      </c>
    </row>
    <row r="514" spans="1:12">
      <c r="A514" t="s">
        <v>303</v>
      </c>
      <c r="B514">
        <v>1976</v>
      </c>
      <c r="C514" t="s">
        <v>113</v>
      </c>
      <c r="D514">
        <v>50.92</v>
      </c>
      <c r="E514">
        <v>120</v>
      </c>
      <c r="F514">
        <v>85</v>
      </c>
      <c r="G514">
        <v>145</v>
      </c>
      <c r="H514">
        <v>350</v>
      </c>
      <c r="I514">
        <v>2015</v>
      </c>
      <c r="J514" t="s">
        <v>852</v>
      </c>
      <c r="K514" t="s">
        <v>30</v>
      </c>
      <c r="L514" s="8">
        <f t="shared" si="7"/>
        <v>0.58620689655172409</v>
      </c>
    </row>
    <row r="515" spans="1:12">
      <c r="A515" t="s">
        <v>223</v>
      </c>
      <c r="B515">
        <v>1970</v>
      </c>
      <c r="C515" t="s">
        <v>28</v>
      </c>
      <c r="D515">
        <v>46.65</v>
      </c>
      <c r="E515">
        <v>120</v>
      </c>
      <c r="F515">
        <v>85</v>
      </c>
      <c r="G515">
        <v>145</v>
      </c>
      <c r="H515">
        <v>350</v>
      </c>
      <c r="I515">
        <v>2013</v>
      </c>
      <c r="J515" t="s">
        <v>852</v>
      </c>
      <c r="K515" t="s">
        <v>30</v>
      </c>
      <c r="L515" s="8">
        <f t="shared" ref="L515:L578" si="8">IF(AND(F515&lt;&gt;0,G515&lt;&gt;0),F515/G515,"")</f>
        <v>0.58620689655172409</v>
      </c>
    </row>
    <row r="516" spans="1:12">
      <c r="A516" t="s">
        <v>1060</v>
      </c>
      <c r="B516">
        <v>1967</v>
      </c>
      <c r="C516" t="s">
        <v>28</v>
      </c>
      <c r="D516">
        <v>66.95</v>
      </c>
      <c r="E516">
        <v>137.5</v>
      </c>
      <c r="F516">
        <v>82.5</v>
      </c>
      <c r="G516">
        <v>185</v>
      </c>
      <c r="H516">
        <v>405</v>
      </c>
      <c r="I516">
        <v>2012</v>
      </c>
      <c r="J516" t="s">
        <v>852</v>
      </c>
      <c r="K516" t="s">
        <v>30</v>
      </c>
      <c r="L516" s="8">
        <f t="shared" si="8"/>
        <v>0.44594594594594594</v>
      </c>
    </row>
    <row r="517" spans="1:12">
      <c r="A517" t="s">
        <v>1010</v>
      </c>
      <c r="B517">
        <v>1986</v>
      </c>
      <c r="C517" t="s">
        <v>62</v>
      </c>
      <c r="D517">
        <v>69.349999999999994</v>
      </c>
      <c r="E517">
        <v>132.5</v>
      </c>
      <c r="F517">
        <v>82.5</v>
      </c>
      <c r="G517">
        <v>182.5</v>
      </c>
      <c r="H517">
        <v>397.5</v>
      </c>
      <c r="I517">
        <v>2012</v>
      </c>
      <c r="J517" t="s">
        <v>852</v>
      </c>
      <c r="K517" t="s">
        <v>30</v>
      </c>
      <c r="L517" s="8">
        <f t="shared" si="8"/>
        <v>0.45205479452054792</v>
      </c>
    </row>
    <row r="518" spans="1:12">
      <c r="A518" t="s">
        <v>264</v>
      </c>
      <c r="B518">
        <v>1984</v>
      </c>
      <c r="C518" t="s">
        <v>51</v>
      </c>
      <c r="D518">
        <v>108.75</v>
      </c>
      <c r="E518">
        <v>170</v>
      </c>
      <c r="F518">
        <v>82.5</v>
      </c>
      <c r="G518">
        <v>180</v>
      </c>
      <c r="H518">
        <v>432.5</v>
      </c>
      <c r="I518">
        <v>2014</v>
      </c>
      <c r="J518" t="s">
        <v>852</v>
      </c>
      <c r="K518" t="s">
        <v>30</v>
      </c>
      <c r="L518" s="8">
        <f t="shared" si="8"/>
        <v>0.45833333333333331</v>
      </c>
    </row>
    <row r="519" spans="1:12">
      <c r="A519" t="s">
        <v>207</v>
      </c>
      <c r="B519">
        <v>1979</v>
      </c>
      <c r="C519" t="s">
        <v>163</v>
      </c>
      <c r="D519">
        <v>101.84</v>
      </c>
      <c r="E519">
        <v>165</v>
      </c>
      <c r="F519">
        <v>82.5</v>
      </c>
      <c r="G519">
        <v>175</v>
      </c>
      <c r="H519">
        <v>422.5</v>
      </c>
      <c r="I519">
        <v>2015</v>
      </c>
      <c r="J519" t="s">
        <v>852</v>
      </c>
      <c r="K519" t="s">
        <v>30</v>
      </c>
      <c r="L519" s="8">
        <f t="shared" si="8"/>
        <v>0.47142857142857142</v>
      </c>
    </row>
    <row r="520" spans="1:12">
      <c r="A520" t="s">
        <v>320</v>
      </c>
      <c r="B520">
        <v>1978</v>
      </c>
      <c r="C520" t="s">
        <v>125</v>
      </c>
      <c r="D520">
        <v>62.59</v>
      </c>
      <c r="E520">
        <v>110</v>
      </c>
      <c r="F520">
        <v>82.5</v>
      </c>
      <c r="G520">
        <v>170</v>
      </c>
      <c r="H520">
        <v>362.5</v>
      </c>
      <c r="I520">
        <v>2015</v>
      </c>
      <c r="J520" t="s">
        <v>852</v>
      </c>
      <c r="K520" t="s">
        <v>30</v>
      </c>
      <c r="L520" s="8">
        <f t="shared" si="8"/>
        <v>0.48529411764705882</v>
      </c>
    </row>
    <row r="521" spans="1:12">
      <c r="A521" t="s">
        <v>259</v>
      </c>
      <c r="B521">
        <v>1990</v>
      </c>
      <c r="C521" t="s">
        <v>35</v>
      </c>
      <c r="D521">
        <v>50.55</v>
      </c>
      <c r="E521">
        <v>140</v>
      </c>
      <c r="F521">
        <v>82.5</v>
      </c>
      <c r="G521">
        <v>162.5</v>
      </c>
      <c r="H521">
        <v>385</v>
      </c>
      <c r="I521">
        <v>2014</v>
      </c>
      <c r="J521" t="s">
        <v>852</v>
      </c>
      <c r="K521" t="s">
        <v>30</v>
      </c>
      <c r="L521" s="8">
        <f t="shared" si="8"/>
        <v>0.50769230769230766</v>
      </c>
    </row>
    <row r="522" spans="1:12">
      <c r="A522" t="s">
        <v>281</v>
      </c>
      <c r="B522">
        <v>1980</v>
      </c>
      <c r="C522" t="s">
        <v>282</v>
      </c>
      <c r="D522">
        <v>51.9</v>
      </c>
      <c r="E522">
        <v>147.5</v>
      </c>
      <c r="F522">
        <v>82.5</v>
      </c>
      <c r="G522">
        <v>150</v>
      </c>
      <c r="H522">
        <v>380</v>
      </c>
      <c r="I522">
        <v>2014</v>
      </c>
      <c r="J522" t="s">
        <v>852</v>
      </c>
      <c r="K522" t="s">
        <v>30</v>
      </c>
      <c r="L522" s="8">
        <f t="shared" si="8"/>
        <v>0.55000000000000004</v>
      </c>
    </row>
    <row r="523" spans="1:12">
      <c r="A523" t="s">
        <v>275</v>
      </c>
      <c r="B523">
        <v>1988</v>
      </c>
      <c r="C523" t="s">
        <v>51</v>
      </c>
      <c r="D523">
        <v>54.85</v>
      </c>
      <c r="E523">
        <v>130</v>
      </c>
      <c r="F523">
        <v>82.5</v>
      </c>
      <c r="G523">
        <v>147.5</v>
      </c>
      <c r="H523">
        <v>360</v>
      </c>
      <c r="I523">
        <v>2014</v>
      </c>
      <c r="J523" t="s">
        <v>852</v>
      </c>
      <c r="K523" t="s">
        <v>30</v>
      </c>
      <c r="L523" s="8">
        <f t="shared" si="8"/>
        <v>0.55932203389830504</v>
      </c>
    </row>
    <row r="524" spans="1:12">
      <c r="A524" t="s">
        <v>892</v>
      </c>
      <c r="B524">
        <v>1986</v>
      </c>
      <c r="C524" t="s">
        <v>39</v>
      </c>
      <c r="D524">
        <v>56.6</v>
      </c>
      <c r="E524">
        <v>130</v>
      </c>
      <c r="F524">
        <v>82.5</v>
      </c>
      <c r="G524">
        <v>142.5</v>
      </c>
      <c r="H524">
        <v>355</v>
      </c>
      <c r="I524">
        <v>2013</v>
      </c>
      <c r="J524" t="s">
        <v>852</v>
      </c>
      <c r="K524" t="s">
        <v>30</v>
      </c>
      <c r="L524" s="8">
        <f t="shared" si="8"/>
        <v>0.57894736842105265</v>
      </c>
    </row>
    <row r="525" spans="1:12">
      <c r="A525" t="s">
        <v>992</v>
      </c>
      <c r="B525">
        <v>1983</v>
      </c>
      <c r="C525" t="s">
        <v>119</v>
      </c>
      <c r="D525">
        <v>56.95</v>
      </c>
      <c r="E525">
        <v>110</v>
      </c>
      <c r="F525">
        <v>82.5</v>
      </c>
      <c r="G525">
        <v>132.5</v>
      </c>
      <c r="H525">
        <v>325</v>
      </c>
      <c r="I525">
        <v>2014</v>
      </c>
      <c r="J525" t="s">
        <v>852</v>
      </c>
      <c r="K525" t="s">
        <v>30</v>
      </c>
      <c r="L525" s="8">
        <f t="shared" si="8"/>
        <v>0.62264150943396224</v>
      </c>
    </row>
    <row r="526" spans="1:12">
      <c r="A526" t="s">
        <v>324</v>
      </c>
      <c r="B526">
        <v>1976</v>
      </c>
      <c r="C526" t="s">
        <v>49</v>
      </c>
      <c r="D526">
        <v>61.85</v>
      </c>
      <c r="E526">
        <v>160</v>
      </c>
      <c r="F526">
        <v>80</v>
      </c>
      <c r="G526">
        <v>182.5</v>
      </c>
      <c r="H526">
        <v>422.5</v>
      </c>
      <c r="I526">
        <v>2014</v>
      </c>
      <c r="J526" t="s">
        <v>852</v>
      </c>
      <c r="K526" t="s">
        <v>30</v>
      </c>
      <c r="L526" s="8">
        <f t="shared" si="8"/>
        <v>0.43835616438356162</v>
      </c>
    </row>
    <row r="527" spans="1:12">
      <c r="A527" t="s">
        <v>341</v>
      </c>
      <c r="B527">
        <v>1988</v>
      </c>
      <c r="C527" t="s">
        <v>80</v>
      </c>
      <c r="D527">
        <v>62.48</v>
      </c>
      <c r="E527">
        <v>162.5</v>
      </c>
      <c r="F527">
        <v>80</v>
      </c>
      <c r="G527">
        <v>180</v>
      </c>
      <c r="H527">
        <v>422.5</v>
      </c>
      <c r="I527">
        <v>2015</v>
      </c>
      <c r="J527" t="s">
        <v>852</v>
      </c>
      <c r="K527" t="s">
        <v>30</v>
      </c>
      <c r="L527" s="8">
        <f t="shared" si="8"/>
        <v>0.44444444444444442</v>
      </c>
    </row>
    <row r="528" spans="1:12">
      <c r="A528" t="s">
        <v>873</v>
      </c>
      <c r="B528">
        <v>1991</v>
      </c>
      <c r="C528" t="s">
        <v>85</v>
      </c>
      <c r="D528">
        <v>85.8</v>
      </c>
      <c r="E528">
        <v>152.5</v>
      </c>
      <c r="F528">
        <v>80</v>
      </c>
      <c r="G528">
        <v>180</v>
      </c>
      <c r="H528">
        <v>412.5</v>
      </c>
      <c r="I528">
        <v>2012</v>
      </c>
      <c r="J528" t="s">
        <v>852</v>
      </c>
      <c r="K528" t="s">
        <v>30</v>
      </c>
      <c r="L528" s="8">
        <f t="shared" si="8"/>
        <v>0.44444444444444442</v>
      </c>
    </row>
    <row r="529" spans="1:12">
      <c r="A529" t="s">
        <v>198</v>
      </c>
      <c r="B529">
        <v>1982</v>
      </c>
      <c r="C529" t="s">
        <v>74</v>
      </c>
      <c r="D529">
        <v>46.56</v>
      </c>
      <c r="E529">
        <v>152.5</v>
      </c>
      <c r="F529">
        <v>80</v>
      </c>
      <c r="G529">
        <v>175</v>
      </c>
      <c r="H529">
        <v>407.5</v>
      </c>
      <c r="I529">
        <v>2015</v>
      </c>
      <c r="J529" t="s">
        <v>852</v>
      </c>
      <c r="K529" t="s">
        <v>30</v>
      </c>
      <c r="L529" s="8">
        <f t="shared" si="8"/>
        <v>0.45714285714285713</v>
      </c>
    </row>
    <row r="530" spans="1:12">
      <c r="A530" t="s">
        <v>879</v>
      </c>
      <c r="B530">
        <v>1987</v>
      </c>
      <c r="C530" t="s">
        <v>35</v>
      </c>
      <c r="D530">
        <v>56.5</v>
      </c>
      <c r="E530">
        <v>115</v>
      </c>
      <c r="F530">
        <v>80</v>
      </c>
      <c r="G530">
        <v>175</v>
      </c>
      <c r="H530">
        <v>370</v>
      </c>
      <c r="I530">
        <v>2012</v>
      </c>
      <c r="J530" t="s">
        <v>852</v>
      </c>
      <c r="K530" t="s">
        <v>30</v>
      </c>
      <c r="L530" s="8">
        <f t="shared" si="8"/>
        <v>0.45714285714285713</v>
      </c>
    </row>
    <row r="531" spans="1:12">
      <c r="A531" t="s">
        <v>921</v>
      </c>
      <c r="B531">
        <v>1984</v>
      </c>
      <c r="C531" t="s">
        <v>56</v>
      </c>
      <c r="D531">
        <v>80.349999999999994</v>
      </c>
      <c r="E531">
        <v>147.5</v>
      </c>
      <c r="F531">
        <v>80</v>
      </c>
      <c r="G531">
        <v>167.5</v>
      </c>
      <c r="H531">
        <v>395</v>
      </c>
      <c r="I531">
        <v>2013</v>
      </c>
      <c r="J531" t="s">
        <v>852</v>
      </c>
      <c r="K531" t="s">
        <v>30</v>
      </c>
      <c r="L531" s="8">
        <f t="shared" si="8"/>
        <v>0.47761194029850745</v>
      </c>
    </row>
    <row r="532" spans="1:12">
      <c r="A532" t="s">
        <v>921</v>
      </c>
      <c r="B532">
        <v>1984</v>
      </c>
      <c r="C532" t="s">
        <v>56</v>
      </c>
      <c r="D532">
        <v>85</v>
      </c>
      <c r="E532">
        <v>145</v>
      </c>
      <c r="F532">
        <v>80</v>
      </c>
      <c r="G532">
        <v>165</v>
      </c>
      <c r="H532">
        <v>390</v>
      </c>
      <c r="I532">
        <v>2014</v>
      </c>
      <c r="J532" t="s">
        <v>852</v>
      </c>
      <c r="K532" t="s">
        <v>30</v>
      </c>
      <c r="L532" s="8">
        <f t="shared" si="8"/>
        <v>0.48484848484848486</v>
      </c>
    </row>
    <row r="533" spans="1:12">
      <c r="A533" t="s">
        <v>288</v>
      </c>
      <c r="B533">
        <v>1968</v>
      </c>
      <c r="C533" t="s">
        <v>289</v>
      </c>
      <c r="D533">
        <v>51.59</v>
      </c>
      <c r="E533">
        <v>140</v>
      </c>
      <c r="F533">
        <v>80</v>
      </c>
      <c r="G533">
        <v>165</v>
      </c>
      <c r="H533">
        <v>385</v>
      </c>
      <c r="I533">
        <v>2015</v>
      </c>
      <c r="J533" t="s">
        <v>852</v>
      </c>
      <c r="K533" t="s">
        <v>30</v>
      </c>
      <c r="L533" s="8">
        <f t="shared" si="8"/>
        <v>0.48484848484848486</v>
      </c>
    </row>
    <row r="534" spans="1:12">
      <c r="A534" t="s">
        <v>320</v>
      </c>
      <c r="B534">
        <v>1978</v>
      </c>
      <c r="C534" t="s">
        <v>125</v>
      </c>
      <c r="D534">
        <v>62.75</v>
      </c>
      <c r="E534">
        <v>105</v>
      </c>
      <c r="F534">
        <v>80</v>
      </c>
      <c r="G534">
        <v>162.5</v>
      </c>
      <c r="H534">
        <v>347.5</v>
      </c>
      <c r="I534">
        <v>2014</v>
      </c>
      <c r="J534" t="s">
        <v>852</v>
      </c>
      <c r="K534" t="s">
        <v>30</v>
      </c>
      <c r="L534" s="8">
        <f t="shared" si="8"/>
        <v>0.49230769230769234</v>
      </c>
    </row>
    <row r="535" spans="1:12">
      <c r="A535" t="s">
        <v>1035</v>
      </c>
      <c r="B535">
        <v>1982</v>
      </c>
      <c r="C535" t="s">
        <v>125</v>
      </c>
      <c r="D535">
        <v>67.650000000000006</v>
      </c>
      <c r="E535">
        <v>152.5</v>
      </c>
      <c r="F535">
        <v>80</v>
      </c>
      <c r="G535">
        <v>160</v>
      </c>
      <c r="H535">
        <v>392.5</v>
      </c>
      <c r="I535">
        <v>2014</v>
      </c>
      <c r="J535" t="s">
        <v>852</v>
      </c>
      <c r="K535" t="s">
        <v>30</v>
      </c>
      <c r="L535" s="8">
        <f t="shared" si="8"/>
        <v>0.5</v>
      </c>
    </row>
    <row r="536" spans="1:12">
      <c r="A536" t="s">
        <v>874</v>
      </c>
      <c r="B536">
        <v>1963</v>
      </c>
      <c r="C536" t="s">
        <v>51</v>
      </c>
      <c r="D536">
        <v>77.55</v>
      </c>
      <c r="E536">
        <v>135</v>
      </c>
      <c r="F536">
        <v>80</v>
      </c>
      <c r="G536">
        <v>160</v>
      </c>
      <c r="H536">
        <v>375</v>
      </c>
      <c r="I536">
        <v>2012</v>
      </c>
      <c r="J536" t="s">
        <v>852</v>
      </c>
      <c r="K536" t="s">
        <v>30</v>
      </c>
      <c r="L536" s="8">
        <f t="shared" si="8"/>
        <v>0.5</v>
      </c>
    </row>
    <row r="537" spans="1:12">
      <c r="A537" t="s">
        <v>956</v>
      </c>
      <c r="B537">
        <v>1977</v>
      </c>
      <c r="C537" t="s">
        <v>51</v>
      </c>
      <c r="D537">
        <v>55.85</v>
      </c>
      <c r="E537">
        <v>127.5</v>
      </c>
      <c r="F537">
        <v>80</v>
      </c>
      <c r="G537">
        <v>155</v>
      </c>
      <c r="H537">
        <v>362.5</v>
      </c>
      <c r="I537">
        <v>2014</v>
      </c>
      <c r="J537" t="s">
        <v>852</v>
      </c>
      <c r="K537" t="s">
        <v>30</v>
      </c>
      <c r="L537" s="8">
        <f t="shared" si="8"/>
        <v>0.5161290322580645</v>
      </c>
    </row>
    <row r="538" spans="1:12">
      <c r="A538" t="s">
        <v>232</v>
      </c>
      <c r="B538">
        <v>1968</v>
      </c>
      <c r="C538" t="s">
        <v>62</v>
      </c>
      <c r="D538">
        <v>51.55</v>
      </c>
      <c r="E538">
        <v>145</v>
      </c>
      <c r="F538">
        <v>80</v>
      </c>
      <c r="G538">
        <v>147.5</v>
      </c>
      <c r="H538">
        <v>372.5</v>
      </c>
      <c r="I538">
        <v>2012</v>
      </c>
      <c r="J538" t="s">
        <v>852</v>
      </c>
      <c r="K538" t="s">
        <v>30</v>
      </c>
      <c r="L538" s="8">
        <f t="shared" si="8"/>
        <v>0.5423728813559322</v>
      </c>
    </row>
    <row r="539" spans="1:12">
      <c r="A539" t="s">
        <v>334</v>
      </c>
      <c r="B539">
        <v>1977</v>
      </c>
      <c r="C539" t="s">
        <v>194</v>
      </c>
      <c r="D539">
        <v>61.93</v>
      </c>
      <c r="E539">
        <v>127.5</v>
      </c>
      <c r="F539">
        <v>80</v>
      </c>
      <c r="G539">
        <v>145</v>
      </c>
      <c r="H539">
        <v>352.5</v>
      </c>
      <c r="I539">
        <v>2015</v>
      </c>
      <c r="J539" t="s">
        <v>852</v>
      </c>
      <c r="K539" t="s">
        <v>30</v>
      </c>
      <c r="L539" s="8">
        <f t="shared" si="8"/>
        <v>0.55172413793103448</v>
      </c>
    </row>
    <row r="540" spans="1:12">
      <c r="A540" t="s">
        <v>236</v>
      </c>
      <c r="B540">
        <v>1980</v>
      </c>
      <c r="C540" t="s">
        <v>56</v>
      </c>
      <c r="D540">
        <v>56.45</v>
      </c>
      <c r="E540">
        <v>110</v>
      </c>
      <c r="F540">
        <v>80</v>
      </c>
      <c r="G540">
        <v>145</v>
      </c>
      <c r="H540">
        <v>335</v>
      </c>
      <c r="I540">
        <v>2012</v>
      </c>
      <c r="J540" t="s">
        <v>852</v>
      </c>
      <c r="K540" t="s">
        <v>30</v>
      </c>
      <c r="L540" s="8">
        <f t="shared" si="8"/>
        <v>0.55172413793103448</v>
      </c>
    </row>
    <row r="541" spans="1:12">
      <c r="A541" t="s">
        <v>1006</v>
      </c>
      <c r="B541">
        <v>1974</v>
      </c>
      <c r="C541" t="s">
        <v>80</v>
      </c>
      <c r="D541">
        <v>51.55</v>
      </c>
      <c r="E541">
        <v>102.5</v>
      </c>
      <c r="F541">
        <v>80</v>
      </c>
      <c r="G541">
        <v>135</v>
      </c>
      <c r="H541">
        <v>317.5</v>
      </c>
      <c r="I541">
        <v>2012</v>
      </c>
      <c r="J541" t="s">
        <v>852</v>
      </c>
      <c r="K541" t="s">
        <v>30</v>
      </c>
      <c r="L541" s="8">
        <f t="shared" si="8"/>
        <v>0.59259259259259256</v>
      </c>
    </row>
    <row r="542" spans="1:12">
      <c r="A542" t="s">
        <v>1055</v>
      </c>
      <c r="B542">
        <v>1981</v>
      </c>
      <c r="C542" t="s">
        <v>119</v>
      </c>
      <c r="D542">
        <v>62.35</v>
      </c>
      <c r="E542">
        <v>120</v>
      </c>
      <c r="F542">
        <v>80</v>
      </c>
      <c r="G542">
        <v>130</v>
      </c>
      <c r="H542">
        <v>330</v>
      </c>
      <c r="I542">
        <v>2013</v>
      </c>
      <c r="J542" t="s">
        <v>852</v>
      </c>
      <c r="K542" t="s">
        <v>30</v>
      </c>
      <c r="L542" s="8">
        <f t="shared" si="8"/>
        <v>0.61538461538461542</v>
      </c>
    </row>
    <row r="543" spans="1:12">
      <c r="A543" t="s">
        <v>218</v>
      </c>
      <c r="B543">
        <v>1976</v>
      </c>
      <c r="C543" t="s">
        <v>28</v>
      </c>
      <c r="D543">
        <v>55.95</v>
      </c>
      <c r="E543">
        <v>167.5</v>
      </c>
      <c r="F543">
        <v>77.5</v>
      </c>
      <c r="G543">
        <v>185</v>
      </c>
      <c r="H543">
        <v>430</v>
      </c>
      <c r="I543">
        <v>2014</v>
      </c>
      <c r="J543" t="s">
        <v>852</v>
      </c>
      <c r="K543" t="s">
        <v>30</v>
      </c>
      <c r="L543" s="8">
        <f t="shared" si="8"/>
        <v>0.41891891891891891</v>
      </c>
    </row>
    <row r="544" spans="1:12">
      <c r="A544" t="s">
        <v>238</v>
      </c>
      <c r="B544">
        <v>1990</v>
      </c>
      <c r="C544" t="s">
        <v>239</v>
      </c>
      <c r="D544">
        <v>62.49</v>
      </c>
      <c r="E544">
        <v>157.5</v>
      </c>
      <c r="F544">
        <v>77.5</v>
      </c>
      <c r="G544">
        <v>185</v>
      </c>
      <c r="H544">
        <v>420</v>
      </c>
      <c r="I544">
        <v>2015</v>
      </c>
      <c r="J544" t="s">
        <v>852</v>
      </c>
      <c r="K544" t="s">
        <v>30</v>
      </c>
      <c r="L544" s="8">
        <f t="shared" si="8"/>
        <v>0.41891891891891891</v>
      </c>
    </row>
    <row r="545" spans="1:12">
      <c r="A545" t="s">
        <v>985</v>
      </c>
      <c r="B545">
        <v>1984</v>
      </c>
      <c r="C545" t="s">
        <v>62</v>
      </c>
      <c r="D545">
        <v>61.25</v>
      </c>
      <c r="E545">
        <v>137.5</v>
      </c>
      <c r="F545">
        <v>77.5</v>
      </c>
      <c r="G545">
        <v>182.5</v>
      </c>
      <c r="H545">
        <v>397.5</v>
      </c>
      <c r="I545">
        <v>2014</v>
      </c>
      <c r="J545" t="s">
        <v>852</v>
      </c>
      <c r="K545" t="s">
        <v>30</v>
      </c>
      <c r="L545" s="8">
        <f t="shared" si="8"/>
        <v>0.42465753424657532</v>
      </c>
    </row>
    <row r="546" spans="1:12">
      <c r="A546" t="s">
        <v>225</v>
      </c>
      <c r="B546">
        <v>1978</v>
      </c>
      <c r="C546" t="s">
        <v>51</v>
      </c>
      <c r="D546">
        <v>62.12</v>
      </c>
      <c r="E546">
        <v>125</v>
      </c>
      <c r="F546">
        <v>77.5</v>
      </c>
      <c r="G546">
        <v>175</v>
      </c>
      <c r="H546">
        <v>377.5</v>
      </c>
      <c r="I546">
        <v>2015</v>
      </c>
      <c r="J546" t="s">
        <v>852</v>
      </c>
      <c r="K546" t="s">
        <v>30</v>
      </c>
      <c r="L546" s="8">
        <f t="shared" si="8"/>
        <v>0.44285714285714284</v>
      </c>
    </row>
    <row r="547" spans="1:12">
      <c r="A547" t="s">
        <v>906</v>
      </c>
      <c r="B547">
        <v>1983</v>
      </c>
      <c r="C547" t="s">
        <v>35</v>
      </c>
      <c r="D547">
        <v>55.65</v>
      </c>
      <c r="E547">
        <v>122.5</v>
      </c>
      <c r="F547">
        <v>77.5</v>
      </c>
      <c r="G547">
        <v>175</v>
      </c>
      <c r="H547">
        <v>375</v>
      </c>
      <c r="I547">
        <v>2012</v>
      </c>
      <c r="J547" t="s">
        <v>852</v>
      </c>
      <c r="K547" t="s">
        <v>30</v>
      </c>
      <c r="L547" s="8">
        <f t="shared" si="8"/>
        <v>0.44285714285714284</v>
      </c>
    </row>
    <row r="548" spans="1:12">
      <c r="A548" t="s">
        <v>198</v>
      </c>
      <c r="B548">
        <v>1982</v>
      </c>
      <c r="C548" t="s">
        <v>74</v>
      </c>
      <c r="D548">
        <v>46.7</v>
      </c>
      <c r="E548">
        <v>145</v>
      </c>
      <c r="F548">
        <v>77.5</v>
      </c>
      <c r="G548">
        <v>172.5</v>
      </c>
      <c r="H548">
        <v>395</v>
      </c>
      <c r="I548">
        <v>2012</v>
      </c>
      <c r="J548" t="s">
        <v>852</v>
      </c>
      <c r="K548" t="s">
        <v>30</v>
      </c>
      <c r="L548" s="8">
        <f t="shared" si="8"/>
        <v>0.44927536231884058</v>
      </c>
    </row>
    <row r="549" spans="1:12">
      <c r="A549" t="s">
        <v>1037</v>
      </c>
      <c r="B549">
        <v>1981</v>
      </c>
      <c r="C549" t="s">
        <v>56</v>
      </c>
      <c r="D549">
        <v>101.35</v>
      </c>
      <c r="E549">
        <v>145</v>
      </c>
      <c r="F549">
        <v>77.5</v>
      </c>
      <c r="G549">
        <v>170</v>
      </c>
      <c r="H549">
        <v>392.5</v>
      </c>
      <c r="I549">
        <v>2012</v>
      </c>
      <c r="J549" t="s">
        <v>852</v>
      </c>
      <c r="K549" t="s">
        <v>30</v>
      </c>
      <c r="L549" s="8">
        <f t="shared" si="8"/>
        <v>0.45588235294117646</v>
      </c>
    </row>
    <row r="550" spans="1:12">
      <c r="A550" t="s">
        <v>938</v>
      </c>
      <c r="B550">
        <v>1984</v>
      </c>
      <c r="C550" t="s">
        <v>35</v>
      </c>
      <c r="D550">
        <v>71.400000000000006</v>
      </c>
      <c r="E550">
        <v>142.5</v>
      </c>
      <c r="F550">
        <v>77.5</v>
      </c>
      <c r="G550">
        <v>155</v>
      </c>
      <c r="H550">
        <v>375</v>
      </c>
      <c r="I550">
        <v>2012</v>
      </c>
      <c r="J550" t="s">
        <v>852</v>
      </c>
      <c r="K550" t="s">
        <v>30</v>
      </c>
      <c r="L550" s="8">
        <f t="shared" si="8"/>
        <v>0.5</v>
      </c>
    </row>
    <row r="551" spans="1:12">
      <c r="A551" t="s">
        <v>236</v>
      </c>
      <c r="B551">
        <v>1980</v>
      </c>
      <c r="C551" t="s">
        <v>56</v>
      </c>
      <c r="D551">
        <v>56.75</v>
      </c>
      <c r="E551">
        <v>100</v>
      </c>
      <c r="F551">
        <v>77.5</v>
      </c>
      <c r="G551">
        <v>150</v>
      </c>
      <c r="H551">
        <v>327.5</v>
      </c>
      <c r="I551">
        <v>2013</v>
      </c>
      <c r="J551" t="s">
        <v>852</v>
      </c>
      <c r="K551" t="s">
        <v>30</v>
      </c>
      <c r="L551" s="8">
        <f t="shared" si="8"/>
        <v>0.51666666666666672</v>
      </c>
    </row>
    <row r="552" spans="1:12">
      <c r="A552" t="s">
        <v>992</v>
      </c>
      <c r="B552">
        <v>1983</v>
      </c>
      <c r="C552" t="s">
        <v>119</v>
      </c>
      <c r="D552">
        <v>57</v>
      </c>
      <c r="E552">
        <v>110</v>
      </c>
      <c r="F552">
        <v>77.5</v>
      </c>
      <c r="G552">
        <v>140</v>
      </c>
      <c r="H552">
        <v>327.5</v>
      </c>
      <c r="I552">
        <v>2013</v>
      </c>
      <c r="J552" t="s">
        <v>852</v>
      </c>
      <c r="K552" t="s">
        <v>30</v>
      </c>
      <c r="L552" s="8">
        <f t="shared" si="8"/>
        <v>0.5535714285714286</v>
      </c>
    </row>
    <row r="553" spans="1:12">
      <c r="A553" t="s">
        <v>975</v>
      </c>
      <c r="B553">
        <v>1986</v>
      </c>
      <c r="C553" t="s">
        <v>56</v>
      </c>
      <c r="D553">
        <v>55.7</v>
      </c>
      <c r="E553">
        <v>125</v>
      </c>
      <c r="F553">
        <v>77.5</v>
      </c>
      <c r="G553">
        <v>132.5</v>
      </c>
      <c r="H553">
        <v>335</v>
      </c>
      <c r="I553">
        <v>2014</v>
      </c>
      <c r="J553" t="s">
        <v>852</v>
      </c>
      <c r="K553" t="s">
        <v>30</v>
      </c>
      <c r="L553" s="8">
        <f t="shared" si="8"/>
        <v>0.58490566037735847</v>
      </c>
    </row>
    <row r="554" spans="1:12">
      <c r="A554" t="s">
        <v>264</v>
      </c>
      <c r="B554">
        <v>1984</v>
      </c>
      <c r="C554" t="s">
        <v>51</v>
      </c>
      <c r="D554">
        <v>105.92</v>
      </c>
      <c r="E554">
        <v>192.5</v>
      </c>
      <c r="F554">
        <v>75</v>
      </c>
      <c r="G554">
        <v>192.5</v>
      </c>
      <c r="H554">
        <v>460</v>
      </c>
      <c r="I554">
        <v>2015</v>
      </c>
      <c r="J554" t="s">
        <v>852</v>
      </c>
      <c r="K554" t="s">
        <v>30</v>
      </c>
      <c r="L554" s="8">
        <f t="shared" si="8"/>
        <v>0.38961038961038963</v>
      </c>
    </row>
    <row r="555" spans="1:12">
      <c r="A555" t="s">
        <v>204</v>
      </c>
      <c r="B555">
        <v>1980</v>
      </c>
      <c r="C555" t="s">
        <v>56</v>
      </c>
      <c r="D555">
        <v>61.98</v>
      </c>
      <c r="E555">
        <v>160</v>
      </c>
      <c r="F555">
        <v>75</v>
      </c>
      <c r="G555">
        <v>187.5</v>
      </c>
      <c r="H555">
        <v>422.5</v>
      </c>
      <c r="I555">
        <v>2015</v>
      </c>
      <c r="J555" t="s">
        <v>852</v>
      </c>
      <c r="K555" t="s">
        <v>30</v>
      </c>
      <c r="L555" s="8">
        <f t="shared" si="8"/>
        <v>0.4</v>
      </c>
    </row>
    <row r="556" spans="1:12">
      <c r="A556" t="s">
        <v>177</v>
      </c>
      <c r="B556">
        <v>1991</v>
      </c>
      <c r="C556" t="s">
        <v>51</v>
      </c>
      <c r="D556">
        <v>80.8</v>
      </c>
      <c r="E556">
        <v>135</v>
      </c>
      <c r="F556">
        <v>75</v>
      </c>
      <c r="G556">
        <v>182.5</v>
      </c>
      <c r="H556">
        <v>392.5</v>
      </c>
      <c r="I556">
        <v>2015</v>
      </c>
      <c r="J556" t="s">
        <v>852</v>
      </c>
      <c r="K556" t="s">
        <v>30</v>
      </c>
      <c r="L556" s="8">
        <f t="shared" si="8"/>
        <v>0.41095890410958902</v>
      </c>
    </row>
    <row r="557" spans="1:12">
      <c r="A557" t="s">
        <v>250</v>
      </c>
      <c r="B557">
        <v>1991</v>
      </c>
      <c r="C557" t="s">
        <v>80</v>
      </c>
      <c r="D557">
        <v>71.48</v>
      </c>
      <c r="E557">
        <v>140</v>
      </c>
      <c r="F557">
        <v>75</v>
      </c>
      <c r="G557">
        <v>177.5</v>
      </c>
      <c r="H557">
        <v>392.5</v>
      </c>
      <c r="I557">
        <v>2015</v>
      </c>
      <c r="J557" t="s">
        <v>852</v>
      </c>
      <c r="K557" t="s">
        <v>30</v>
      </c>
      <c r="L557" s="8">
        <f t="shared" si="8"/>
        <v>0.42253521126760563</v>
      </c>
    </row>
    <row r="558" spans="1:12">
      <c r="A558" t="s">
        <v>870</v>
      </c>
      <c r="B558">
        <v>1984</v>
      </c>
      <c r="C558" t="s">
        <v>194</v>
      </c>
      <c r="D558">
        <v>62.75</v>
      </c>
      <c r="E558">
        <v>110</v>
      </c>
      <c r="F558">
        <v>75</v>
      </c>
      <c r="G558">
        <v>162.5</v>
      </c>
      <c r="H558">
        <v>347.5</v>
      </c>
      <c r="I558">
        <v>2014</v>
      </c>
      <c r="J558" t="s">
        <v>852</v>
      </c>
      <c r="K558" t="s">
        <v>30</v>
      </c>
      <c r="L558" s="8">
        <f t="shared" si="8"/>
        <v>0.46153846153846156</v>
      </c>
    </row>
    <row r="559" spans="1:12">
      <c r="A559" t="s">
        <v>978</v>
      </c>
      <c r="B559">
        <v>1975</v>
      </c>
      <c r="C559" t="s">
        <v>80</v>
      </c>
      <c r="D559">
        <v>62.7</v>
      </c>
      <c r="E559">
        <v>125</v>
      </c>
      <c r="F559">
        <v>75</v>
      </c>
      <c r="G559">
        <v>157.5</v>
      </c>
      <c r="H559">
        <v>357.5</v>
      </c>
      <c r="I559">
        <v>2012</v>
      </c>
      <c r="J559" t="s">
        <v>852</v>
      </c>
      <c r="K559" t="s">
        <v>30</v>
      </c>
      <c r="L559" s="8">
        <f t="shared" si="8"/>
        <v>0.47619047619047616</v>
      </c>
    </row>
    <row r="560" spans="1:12">
      <c r="A560" t="s">
        <v>931</v>
      </c>
      <c r="B560">
        <v>1976</v>
      </c>
      <c r="C560" t="s">
        <v>62</v>
      </c>
      <c r="D560">
        <v>49.9</v>
      </c>
      <c r="E560">
        <v>122.5</v>
      </c>
      <c r="F560">
        <v>75</v>
      </c>
      <c r="G560">
        <v>155</v>
      </c>
      <c r="H560">
        <v>352.5</v>
      </c>
      <c r="I560">
        <v>2014</v>
      </c>
      <c r="J560" t="s">
        <v>852</v>
      </c>
      <c r="K560" t="s">
        <v>30</v>
      </c>
      <c r="L560" s="8">
        <f t="shared" si="8"/>
        <v>0.4838709677419355</v>
      </c>
    </row>
    <row r="561" spans="1:12">
      <c r="A561" t="s">
        <v>288</v>
      </c>
      <c r="B561">
        <v>1968</v>
      </c>
      <c r="C561" t="s">
        <v>289</v>
      </c>
      <c r="D561">
        <v>50.7</v>
      </c>
      <c r="E561">
        <v>125</v>
      </c>
      <c r="F561">
        <v>75</v>
      </c>
      <c r="G561">
        <v>152.5</v>
      </c>
      <c r="H561">
        <v>352.5</v>
      </c>
      <c r="I561">
        <v>2012</v>
      </c>
      <c r="J561" t="s">
        <v>852</v>
      </c>
      <c r="K561" t="s">
        <v>30</v>
      </c>
      <c r="L561" s="8">
        <f t="shared" si="8"/>
        <v>0.49180327868852458</v>
      </c>
    </row>
    <row r="562" spans="1:12">
      <c r="A562" t="s">
        <v>270</v>
      </c>
      <c r="B562">
        <v>1980</v>
      </c>
      <c r="C562" t="s">
        <v>49</v>
      </c>
      <c r="D562">
        <v>70.17</v>
      </c>
      <c r="E562">
        <v>142.5</v>
      </c>
      <c r="F562">
        <v>75</v>
      </c>
      <c r="G562">
        <v>150</v>
      </c>
      <c r="H562">
        <v>367.5</v>
      </c>
      <c r="I562">
        <v>2015</v>
      </c>
      <c r="J562" t="s">
        <v>852</v>
      </c>
      <c r="K562" t="s">
        <v>30</v>
      </c>
      <c r="L562" s="8">
        <f t="shared" si="8"/>
        <v>0.5</v>
      </c>
    </row>
    <row r="563" spans="1:12">
      <c r="A563" t="s">
        <v>232</v>
      </c>
      <c r="B563">
        <v>1968</v>
      </c>
      <c r="C563" t="s">
        <v>62</v>
      </c>
      <c r="D563">
        <v>51.09</v>
      </c>
      <c r="E563">
        <v>145</v>
      </c>
      <c r="F563">
        <v>75</v>
      </c>
      <c r="G563">
        <v>145</v>
      </c>
      <c r="H563">
        <v>365</v>
      </c>
      <c r="I563">
        <v>2015</v>
      </c>
      <c r="J563" t="s">
        <v>852</v>
      </c>
      <c r="K563" t="s">
        <v>30</v>
      </c>
      <c r="L563" s="8">
        <f t="shared" si="8"/>
        <v>0.51724137931034486</v>
      </c>
    </row>
    <row r="564" spans="1:12">
      <c r="A564" t="s">
        <v>232</v>
      </c>
      <c r="B564">
        <v>1968</v>
      </c>
      <c r="C564" t="s">
        <v>62</v>
      </c>
      <c r="D564">
        <v>51.65</v>
      </c>
      <c r="E564">
        <v>140</v>
      </c>
      <c r="F564">
        <v>75</v>
      </c>
      <c r="G564">
        <v>140</v>
      </c>
      <c r="H564">
        <v>355</v>
      </c>
      <c r="I564">
        <v>2013</v>
      </c>
      <c r="J564" t="s">
        <v>852</v>
      </c>
      <c r="K564" t="s">
        <v>30</v>
      </c>
      <c r="L564" s="8">
        <f t="shared" si="8"/>
        <v>0.5357142857142857</v>
      </c>
    </row>
    <row r="565" spans="1:12">
      <c r="A565" t="s">
        <v>899</v>
      </c>
      <c r="B565">
        <v>1975</v>
      </c>
      <c r="C565" t="s">
        <v>56</v>
      </c>
      <c r="D565">
        <v>51.4</v>
      </c>
      <c r="E565">
        <v>132.5</v>
      </c>
      <c r="F565">
        <v>75</v>
      </c>
      <c r="G565">
        <v>135</v>
      </c>
      <c r="H565">
        <v>342.5</v>
      </c>
      <c r="I565">
        <v>2014</v>
      </c>
      <c r="J565" t="s">
        <v>852</v>
      </c>
      <c r="K565" t="s">
        <v>30</v>
      </c>
      <c r="L565" s="8">
        <f t="shared" si="8"/>
        <v>0.55555555555555558</v>
      </c>
    </row>
    <row r="566" spans="1:12">
      <c r="A566" t="s">
        <v>304</v>
      </c>
      <c r="B566">
        <v>1986</v>
      </c>
      <c r="C566" t="s">
        <v>113</v>
      </c>
      <c r="D566">
        <v>52</v>
      </c>
      <c r="E566">
        <v>127.5</v>
      </c>
      <c r="F566">
        <v>75</v>
      </c>
      <c r="G566">
        <v>135</v>
      </c>
      <c r="H566">
        <v>337.5</v>
      </c>
      <c r="I566">
        <v>2015</v>
      </c>
      <c r="J566" t="s">
        <v>852</v>
      </c>
      <c r="K566" t="s">
        <v>30</v>
      </c>
      <c r="L566" s="8">
        <f t="shared" si="8"/>
        <v>0.55555555555555558</v>
      </c>
    </row>
    <row r="567" spans="1:12">
      <c r="A567" t="s">
        <v>923</v>
      </c>
      <c r="B567">
        <v>1988</v>
      </c>
      <c r="C567" t="s">
        <v>480</v>
      </c>
      <c r="D567">
        <v>51.5</v>
      </c>
      <c r="E567">
        <v>105</v>
      </c>
      <c r="F567">
        <v>75</v>
      </c>
      <c r="G567">
        <v>135</v>
      </c>
      <c r="H567">
        <v>315</v>
      </c>
      <c r="I567">
        <v>2013</v>
      </c>
      <c r="J567" t="s">
        <v>852</v>
      </c>
      <c r="K567" t="s">
        <v>30</v>
      </c>
      <c r="L567" s="8">
        <f t="shared" si="8"/>
        <v>0.55555555555555558</v>
      </c>
    </row>
    <row r="568" spans="1:12">
      <c r="A568" t="s">
        <v>236</v>
      </c>
      <c r="B568">
        <v>1980</v>
      </c>
      <c r="C568" t="s">
        <v>56</v>
      </c>
      <c r="D568">
        <v>51.7</v>
      </c>
      <c r="E568">
        <v>102.5</v>
      </c>
      <c r="F568">
        <v>75</v>
      </c>
      <c r="G568">
        <v>135</v>
      </c>
      <c r="H568">
        <v>312.5</v>
      </c>
      <c r="I568">
        <v>2015</v>
      </c>
      <c r="J568" t="s">
        <v>852</v>
      </c>
      <c r="K568" t="s">
        <v>30</v>
      </c>
      <c r="L568" s="8">
        <f t="shared" si="8"/>
        <v>0.55555555555555558</v>
      </c>
    </row>
    <row r="569" spans="1:12">
      <c r="A569" t="s">
        <v>992</v>
      </c>
      <c r="B569">
        <v>1983</v>
      </c>
      <c r="C569" t="s">
        <v>119</v>
      </c>
      <c r="D569">
        <v>56.25</v>
      </c>
      <c r="E569">
        <v>107.5</v>
      </c>
      <c r="F569">
        <v>75</v>
      </c>
      <c r="G569">
        <v>132.5</v>
      </c>
      <c r="H569">
        <v>315</v>
      </c>
      <c r="I569">
        <v>2012</v>
      </c>
      <c r="J569" t="s">
        <v>852</v>
      </c>
      <c r="K569" t="s">
        <v>30</v>
      </c>
      <c r="L569" s="8">
        <f t="shared" si="8"/>
        <v>0.56603773584905659</v>
      </c>
    </row>
    <row r="570" spans="1:12">
      <c r="A570" t="s">
        <v>948</v>
      </c>
      <c r="B570">
        <v>1974</v>
      </c>
      <c r="C570" t="s">
        <v>119</v>
      </c>
      <c r="D570">
        <v>46.85</v>
      </c>
      <c r="E570">
        <v>95</v>
      </c>
      <c r="F570">
        <v>75</v>
      </c>
      <c r="G570">
        <v>132.5</v>
      </c>
      <c r="H570">
        <v>302.5</v>
      </c>
      <c r="I570">
        <v>2013</v>
      </c>
      <c r="J570" t="s">
        <v>852</v>
      </c>
      <c r="K570" t="s">
        <v>30</v>
      </c>
      <c r="L570" s="8">
        <f t="shared" si="8"/>
        <v>0.56603773584905659</v>
      </c>
    </row>
    <row r="571" spans="1:12">
      <c r="A571" t="s">
        <v>191</v>
      </c>
      <c r="B571">
        <v>1983</v>
      </c>
      <c r="C571" t="s">
        <v>51</v>
      </c>
      <c r="D571">
        <v>69.849999999999994</v>
      </c>
      <c r="E571">
        <v>137.5</v>
      </c>
      <c r="F571">
        <v>72.5</v>
      </c>
      <c r="G571">
        <v>185</v>
      </c>
      <c r="H571">
        <v>395</v>
      </c>
      <c r="I571">
        <v>2015</v>
      </c>
      <c r="J571" t="s">
        <v>852</v>
      </c>
      <c r="K571" t="s">
        <v>30</v>
      </c>
      <c r="L571" s="8">
        <f t="shared" si="8"/>
        <v>0.39189189189189189</v>
      </c>
    </row>
    <row r="572" spans="1:12">
      <c r="A572" t="s">
        <v>226</v>
      </c>
      <c r="B572">
        <v>1986</v>
      </c>
      <c r="C572" t="s">
        <v>35</v>
      </c>
      <c r="D572">
        <v>50.65</v>
      </c>
      <c r="E572">
        <v>140</v>
      </c>
      <c r="F572">
        <v>72.5</v>
      </c>
      <c r="G572">
        <v>167.5</v>
      </c>
      <c r="H572">
        <v>380</v>
      </c>
      <c r="I572">
        <v>2014</v>
      </c>
      <c r="J572" t="s">
        <v>852</v>
      </c>
      <c r="K572" t="s">
        <v>30</v>
      </c>
      <c r="L572" s="8">
        <f t="shared" si="8"/>
        <v>0.43283582089552236</v>
      </c>
    </row>
    <row r="573" spans="1:12">
      <c r="A573" t="s">
        <v>1049</v>
      </c>
      <c r="B573">
        <v>1986</v>
      </c>
      <c r="C573" t="s">
        <v>51</v>
      </c>
      <c r="D573">
        <v>62.5</v>
      </c>
      <c r="E573">
        <v>132.5</v>
      </c>
      <c r="F573">
        <v>72.5</v>
      </c>
      <c r="G573">
        <v>165</v>
      </c>
      <c r="H573">
        <v>370</v>
      </c>
      <c r="I573">
        <v>2013</v>
      </c>
      <c r="J573" t="s">
        <v>852</v>
      </c>
      <c r="K573" t="s">
        <v>30</v>
      </c>
      <c r="L573" s="8">
        <f t="shared" si="8"/>
        <v>0.43939393939393939</v>
      </c>
    </row>
    <row r="574" spans="1:12">
      <c r="A574" t="s">
        <v>204</v>
      </c>
      <c r="B574">
        <v>1980</v>
      </c>
      <c r="C574" t="s">
        <v>56</v>
      </c>
      <c r="D574">
        <v>62.35</v>
      </c>
      <c r="E574">
        <v>152.5</v>
      </c>
      <c r="F574">
        <v>72.5</v>
      </c>
      <c r="G574">
        <v>162.5</v>
      </c>
      <c r="H574">
        <v>387.5</v>
      </c>
      <c r="I574">
        <v>2014</v>
      </c>
      <c r="J574" t="s">
        <v>852</v>
      </c>
      <c r="K574" t="s">
        <v>30</v>
      </c>
      <c r="L574" s="8">
        <f t="shared" si="8"/>
        <v>0.44615384615384618</v>
      </c>
    </row>
    <row r="575" spans="1:12">
      <c r="A575" t="s">
        <v>1037</v>
      </c>
      <c r="B575">
        <v>1981</v>
      </c>
      <c r="C575" t="s">
        <v>56</v>
      </c>
      <c r="D575">
        <v>83.5</v>
      </c>
      <c r="E575">
        <v>115</v>
      </c>
      <c r="F575">
        <v>72.5</v>
      </c>
      <c r="G575">
        <v>162.5</v>
      </c>
      <c r="H575">
        <v>350</v>
      </c>
      <c r="I575">
        <v>2013</v>
      </c>
      <c r="J575" t="s">
        <v>852</v>
      </c>
      <c r="K575" t="s">
        <v>30</v>
      </c>
      <c r="L575" s="8">
        <f t="shared" si="8"/>
        <v>0.44615384615384618</v>
      </c>
    </row>
    <row r="576" spans="1:12">
      <c r="A576" t="s">
        <v>233</v>
      </c>
      <c r="B576">
        <v>1988</v>
      </c>
      <c r="C576" t="s">
        <v>62</v>
      </c>
      <c r="D576">
        <v>56.48</v>
      </c>
      <c r="E576">
        <v>122.5</v>
      </c>
      <c r="F576">
        <v>72.5</v>
      </c>
      <c r="G576">
        <v>160</v>
      </c>
      <c r="H576">
        <v>355</v>
      </c>
      <c r="I576">
        <v>2015</v>
      </c>
      <c r="J576" t="s">
        <v>852</v>
      </c>
      <c r="K576" t="s">
        <v>30</v>
      </c>
      <c r="L576" s="8">
        <f t="shared" si="8"/>
        <v>0.453125</v>
      </c>
    </row>
    <row r="577" spans="1:12">
      <c r="A577" t="s">
        <v>967</v>
      </c>
      <c r="B577">
        <v>1982</v>
      </c>
      <c r="C577" t="s">
        <v>125</v>
      </c>
      <c r="D577">
        <v>68.150000000000006</v>
      </c>
      <c r="E577">
        <v>142.5</v>
      </c>
      <c r="F577">
        <v>72.5</v>
      </c>
      <c r="G577">
        <v>157.5</v>
      </c>
      <c r="H577">
        <v>372.5</v>
      </c>
      <c r="I577">
        <v>2013</v>
      </c>
      <c r="J577" t="s">
        <v>852</v>
      </c>
      <c r="K577" t="s">
        <v>30</v>
      </c>
      <c r="L577" s="8">
        <f t="shared" si="8"/>
        <v>0.46031746031746029</v>
      </c>
    </row>
    <row r="578" spans="1:12">
      <c r="A578" t="s">
        <v>209</v>
      </c>
      <c r="B578">
        <v>1983</v>
      </c>
      <c r="C578" t="s">
        <v>163</v>
      </c>
      <c r="D578">
        <v>62.84</v>
      </c>
      <c r="E578">
        <v>125</v>
      </c>
      <c r="F578">
        <v>72.5</v>
      </c>
      <c r="G578">
        <v>152.5</v>
      </c>
      <c r="H578">
        <v>350</v>
      </c>
      <c r="I578">
        <v>2015</v>
      </c>
      <c r="J578" t="s">
        <v>852</v>
      </c>
      <c r="K578" t="s">
        <v>30</v>
      </c>
      <c r="L578" s="8">
        <f t="shared" si="8"/>
        <v>0.47540983606557374</v>
      </c>
    </row>
    <row r="579" spans="1:12">
      <c r="A579" t="s">
        <v>245</v>
      </c>
      <c r="B579">
        <v>1979</v>
      </c>
      <c r="C579" t="s">
        <v>77</v>
      </c>
      <c r="D579">
        <v>46.36</v>
      </c>
      <c r="E579">
        <v>110</v>
      </c>
      <c r="F579">
        <v>72.5</v>
      </c>
      <c r="G579">
        <v>152.5</v>
      </c>
      <c r="H579">
        <v>335</v>
      </c>
      <c r="I579">
        <v>2015</v>
      </c>
      <c r="J579" t="s">
        <v>852</v>
      </c>
      <c r="K579" t="s">
        <v>30</v>
      </c>
      <c r="L579" s="8">
        <f t="shared" ref="L579:L642" si="9">IF(AND(F579&lt;&gt;0,G579&lt;&gt;0),F579/G579,"")</f>
        <v>0.47540983606557374</v>
      </c>
    </row>
    <row r="580" spans="1:12">
      <c r="A580" t="s">
        <v>284</v>
      </c>
      <c r="B580">
        <v>1991</v>
      </c>
      <c r="C580" t="s">
        <v>83</v>
      </c>
      <c r="D580">
        <v>46.42</v>
      </c>
      <c r="E580">
        <v>140</v>
      </c>
      <c r="F580">
        <v>72.5</v>
      </c>
      <c r="G580">
        <v>150</v>
      </c>
      <c r="H580">
        <v>362.5</v>
      </c>
      <c r="I580">
        <v>2015</v>
      </c>
      <c r="J580" t="s">
        <v>852</v>
      </c>
      <c r="K580" t="s">
        <v>30</v>
      </c>
      <c r="L580" s="8">
        <f t="shared" si="9"/>
        <v>0.48333333333333334</v>
      </c>
    </row>
    <row r="581" spans="1:12">
      <c r="A581" t="s">
        <v>225</v>
      </c>
      <c r="B581">
        <v>1978</v>
      </c>
      <c r="C581" t="s">
        <v>51</v>
      </c>
      <c r="D581">
        <v>60.65</v>
      </c>
      <c r="E581">
        <v>122.5</v>
      </c>
      <c r="F581">
        <v>72.5</v>
      </c>
      <c r="G581">
        <v>150</v>
      </c>
      <c r="H581">
        <v>345</v>
      </c>
      <c r="I581">
        <v>2014</v>
      </c>
      <c r="J581" t="s">
        <v>852</v>
      </c>
      <c r="K581" t="s">
        <v>30</v>
      </c>
      <c r="L581" s="8">
        <f t="shared" si="9"/>
        <v>0.48333333333333334</v>
      </c>
    </row>
    <row r="582" spans="1:12">
      <c r="A582" t="s">
        <v>245</v>
      </c>
      <c r="B582">
        <v>1979</v>
      </c>
      <c r="C582" t="s">
        <v>77</v>
      </c>
      <c r="D582">
        <v>46.5</v>
      </c>
      <c r="E582">
        <v>107.5</v>
      </c>
      <c r="F582">
        <v>72.5</v>
      </c>
      <c r="G582">
        <v>145</v>
      </c>
      <c r="H582">
        <v>325</v>
      </c>
      <c r="I582">
        <v>2014</v>
      </c>
      <c r="J582" t="s">
        <v>852</v>
      </c>
      <c r="K582" t="s">
        <v>30</v>
      </c>
      <c r="L582" s="8">
        <f t="shared" si="9"/>
        <v>0.5</v>
      </c>
    </row>
    <row r="583" spans="1:12">
      <c r="A583" t="s">
        <v>895</v>
      </c>
      <c r="B583">
        <v>1963</v>
      </c>
      <c r="C583" t="s">
        <v>113</v>
      </c>
      <c r="D583">
        <v>114.35</v>
      </c>
      <c r="E583">
        <v>107.5</v>
      </c>
      <c r="F583">
        <v>72.5</v>
      </c>
      <c r="G583">
        <v>142.5</v>
      </c>
      <c r="H583">
        <v>322.5</v>
      </c>
      <c r="I583">
        <v>2013</v>
      </c>
      <c r="J583" t="s">
        <v>852</v>
      </c>
      <c r="K583" t="s">
        <v>30</v>
      </c>
      <c r="L583" s="8">
        <f t="shared" si="9"/>
        <v>0.50877192982456143</v>
      </c>
    </row>
    <row r="584" spans="1:12">
      <c r="A584" t="s">
        <v>1012</v>
      </c>
      <c r="B584">
        <v>1972</v>
      </c>
      <c r="C584" t="s">
        <v>80</v>
      </c>
      <c r="D584">
        <v>51.75</v>
      </c>
      <c r="E584">
        <v>92.5</v>
      </c>
      <c r="F584">
        <v>72.5</v>
      </c>
      <c r="G584">
        <v>142.5</v>
      </c>
      <c r="H584">
        <v>307.5</v>
      </c>
      <c r="I584">
        <v>2013</v>
      </c>
      <c r="J584" t="s">
        <v>852</v>
      </c>
      <c r="K584" t="s">
        <v>30</v>
      </c>
      <c r="L584" s="8">
        <f t="shared" si="9"/>
        <v>0.50877192982456143</v>
      </c>
    </row>
    <row r="585" spans="1:12">
      <c r="A585" t="s">
        <v>930</v>
      </c>
      <c r="B585">
        <v>1958</v>
      </c>
      <c r="C585" t="s">
        <v>51</v>
      </c>
      <c r="D585">
        <v>51.95</v>
      </c>
      <c r="E585">
        <v>90</v>
      </c>
      <c r="F585">
        <v>72.5</v>
      </c>
      <c r="G585">
        <v>140</v>
      </c>
      <c r="H585">
        <v>302.5</v>
      </c>
      <c r="I585">
        <v>2012</v>
      </c>
      <c r="J585" t="s">
        <v>852</v>
      </c>
      <c r="K585" t="s">
        <v>30</v>
      </c>
      <c r="L585" s="8">
        <f t="shared" si="9"/>
        <v>0.5178571428571429</v>
      </c>
    </row>
    <row r="586" spans="1:12">
      <c r="A586" t="s">
        <v>182</v>
      </c>
      <c r="B586">
        <v>1984</v>
      </c>
      <c r="C586" t="s">
        <v>72</v>
      </c>
      <c r="D586">
        <v>103.29</v>
      </c>
      <c r="E586">
        <v>127.5</v>
      </c>
      <c r="F586">
        <v>72.5</v>
      </c>
      <c r="G586">
        <v>135</v>
      </c>
      <c r="H586">
        <v>335</v>
      </c>
      <c r="I586">
        <v>2015</v>
      </c>
      <c r="J586" t="s">
        <v>852</v>
      </c>
      <c r="K586" t="s">
        <v>30</v>
      </c>
      <c r="L586" s="8">
        <f t="shared" si="9"/>
        <v>0.53703703703703709</v>
      </c>
    </row>
    <row r="587" spans="1:12">
      <c r="A587" t="s">
        <v>253</v>
      </c>
      <c r="B587">
        <v>1971</v>
      </c>
      <c r="C587" t="s">
        <v>194</v>
      </c>
      <c r="D587">
        <v>51.75</v>
      </c>
      <c r="E587">
        <v>100</v>
      </c>
      <c r="F587">
        <v>72.5</v>
      </c>
      <c r="G587">
        <v>130</v>
      </c>
      <c r="H587">
        <v>302.5</v>
      </c>
      <c r="I587">
        <v>2013</v>
      </c>
      <c r="J587" t="s">
        <v>852</v>
      </c>
      <c r="K587" t="s">
        <v>30</v>
      </c>
      <c r="L587" s="8">
        <f t="shared" si="9"/>
        <v>0.55769230769230771</v>
      </c>
    </row>
    <row r="588" spans="1:12">
      <c r="A588" t="s">
        <v>180</v>
      </c>
      <c r="B588">
        <v>1980</v>
      </c>
      <c r="C588" t="s">
        <v>113</v>
      </c>
      <c r="D588">
        <v>61.42</v>
      </c>
      <c r="E588">
        <v>130</v>
      </c>
      <c r="F588">
        <v>70</v>
      </c>
      <c r="G588">
        <v>180</v>
      </c>
      <c r="H588">
        <v>380</v>
      </c>
      <c r="I588">
        <v>2015</v>
      </c>
      <c r="J588" t="s">
        <v>852</v>
      </c>
      <c r="K588" t="s">
        <v>30</v>
      </c>
      <c r="L588" s="8">
        <f t="shared" si="9"/>
        <v>0.3888888888888889</v>
      </c>
    </row>
    <row r="589" spans="1:12">
      <c r="A589" t="s">
        <v>302</v>
      </c>
      <c r="B589">
        <v>1977</v>
      </c>
      <c r="C589" t="s">
        <v>51</v>
      </c>
      <c r="D589">
        <v>68.25</v>
      </c>
      <c r="E589">
        <v>150</v>
      </c>
      <c r="F589">
        <v>70</v>
      </c>
      <c r="G589">
        <v>172.5</v>
      </c>
      <c r="H589">
        <v>392.5</v>
      </c>
      <c r="I589">
        <v>2014</v>
      </c>
      <c r="J589" t="s">
        <v>852</v>
      </c>
      <c r="K589" t="s">
        <v>30</v>
      </c>
      <c r="L589" s="8">
        <f t="shared" si="9"/>
        <v>0.40579710144927539</v>
      </c>
    </row>
    <row r="590" spans="1:12">
      <c r="A590" t="s">
        <v>302</v>
      </c>
      <c r="B590">
        <v>1977</v>
      </c>
      <c r="C590" t="s">
        <v>51</v>
      </c>
      <c r="D590">
        <v>68.44</v>
      </c>
      <c r="E590">
        <v>152.5</v>
      </c>
      <c r="F590">
        <v>70</v>
      </c>
      <c r="G590">
        <v>160</v>
      </c>
      <c r="H590">
        <v>382.5</v>
      </c>
      <c r="I590">
        <v>2015</v>
      </c>
      <c r="J590" t="s">
        <v>852</v>
      </c>
      <c r="K590" t="s">
        <v>30</v>
      </c>
      <c r="L590" s="8">
        <f t="shared" si="9"/>
        <v>0.4375</v>
      </c>
    </row>
    <row r="591" spans="1:12">
      <c r="A591" t="s">
        <v>315</v>
      </c>
      <c r="B591">
        <v>1990</v>
      </c>
      <c r="C591" t="s">
        <v>54</v>
      </c>
      <c r="D591">
        <v>62.04</v>
      </c>
      <c r="E591">
        <v>127.5</v>
      </c>
      <c r="F591">
        <v>70</v>
      </c>
      <c r="G591">
        <v>160</v>
      </c>
      <c r="H591">
        <v>357.5</v>
      </c>
      <c r="I591">
        <v>2015</v>
      </c>
      <c r="J591" t="s">
        <v>852</v>
      </c>
      <c r="K591" t="s">
        <v>30</v>
      </c>
      <c r="L591" s="8">
        <f t="shared" si="9"/>
        <v>0.4375</v>
      </c>
    </row>
    <row r="592" spans="1:12">
      <c r="A592" t="s">
        <v>226</v>
      </c>
      <c r="B592">
        <v>1986</v>
      </c>
      <c r="C592" t="s">
        <v>35</v>
      </c>
      <c r="D592">
        <v>50.13</v>
      </c>
      <c r="E592">
        <v>125</v>
      </c>
      <c r="F592">
        <v>70</v>
      </c>
      <c r="G592">
        <v>160</v>
      </c>
      <c r="H592">
        <v>355</v>
      </c>
      <c r="I592">
        <v>2015</v>
      </c>
      <c r="J592" t="s">
        <v>852</v>
      </c>
      <c r="K592" t="s">
        <v>30</v>
      </c>
      <c r="L592" s="8">
        <f t="shared" si="9"/>
        <v>0.4375</v>
      </c>
    </row>
    <row r="593" spans="1:12">
      <c r="A593" t="s">
        <v>1043</v>
      </c>
      <c r="B593">
        <v>1984</v>
      </c>
      <c r="C593" t="s">
        <v>77</v>
      </c>
      <c r="D593">
        <v>50.9</v>
      </c>
      <c r="E593">
        <v>90</v>
      </c>
      <c r="F593">
        <v>70</v>
      </c>
      <c r="G593">
        <v>155</v>
      </c>
      <c r="H593">
        <v>315</v>
      </c>
      <c r="I593">
        <v>2012</v>
      </c>
      <c r="J593" t="s">
        <v>852</v>
      </c>
      <c r="K593" t="s">
        <v>30</v>
      </c>
      <c r="L593" s="8">
        <f t="shared" si="9"/>
        <v>0.45161290322580644</v>
      </c>
    </row>
    <row r="594" spans="1:12">
      <c r="A594" t="s">
        <v>232</v>
      </c>
      <c r="B594">
        <v>1968</v>
      </c>
      <c r="C594" t="s">
        <v>62</v>
      </c>
      <c r="D594">
        <v>51.15</v>
      </c>
      <c r="E594">
        <v>150</v>
      </c>
      <c r="F594">
        <v>70</v>
      </c>
      <c r="G594">
        <v>152.5</v>
      </c>
      <c r="H594">
        <v>372.5</v>
      </c>
      <c r="I594">
        <v>2014</v>
      </c>
      <c r="J594" t="s">
        <v>852</v>
      </c>
      <c r="K594" t="s">
        <v>30</v>
      </c>
      <c r="L594" s="8">
        <f t="shared" si="9"/>
        <v>0.45901639344262296</v>
      </c>
    </row>
    <row r="595" spans="1:12">
      <c r="A595" t="s">
        <v>233</v>
      </c>
      <c r="B595">
        <v>1988</v>
      </c>
      <c r="C595" t="s">
        <v>62</v>
      </c>
      <c r="D595">
        <v>56.2</v>
      </c>
      <c r="E595">
        <v>115</v>
      </c>
      <c r="F595">
        <v>70</v>
      </c>
      <c r="G595">
        <v>150</v>
      </c>
      <c r="H595">
        <v>335</v>
      </c>
      <c r="I595">
        <v>2014</v>
      </c>
      <c r="J595" t="s">
        <v>852</v>
      </c>
      <c r="K595" t="s">
        <v>30</v>
      </c>
      <c r="L595" s="8">
        <f t="shared" si="9"/>
        <v>0.46666666666666667</v>
      </c>
    </row>
    <row r="596" spans="1:12">
      <c r="A596" t="s">
        <v>332</v>
      </c>
      <c r="B596">
        <v>1976</v>
      </c>
      <c r="C596" t="s">
        <v>80</v>
      </c>
      <c r="D596">
        <v>56.76</v>
      </c>
      <c r="E596">
        <v>125</v>
      </c>
      <c r="F596">
        <v>70</v>
      </c>
      <c r="G596">
        <v>140</v>
      </c>
      <c r="H596">
        <v>335</v>
      </c>
      <c r="I596">
        <v>2015</v>
      </c>
      <c r="J596" t="s">
        <v>852</v>
      </c>
      <c r="K596" t="s">
        <v>30</v>
      </c>
      <c r="L596" s="8">
        <f t="shared" si="9"/>
        <v>0.5</v>
      </c>
    </row>
    <row r="597" spans="1:12">
      <c r="A597" t="s">
        <v>234</v>
      </c>
      <c r="B597">
        <v>1951</v>
      </c>
      <c r="C597" t="s">
        <v>77</v>
      </c>
      <c r="D597">
        <v>61.69</v>
      </c>
      <c r="E597">
        <v>120</v>
      </c>
      <c r="F597">
        <v>70</v>
      </c>
      <c r="G597">
        <v>135</v>
      </c>
      <c r="H597">
        <v>325</v>
      </c>
      <c r="I597">
        <v>2015</v>
      </c>
      <c r="J597" t="s">
        <v>852</v>
      </c>
      <c r="K597" t="s">
        <v>30</v>
      </c>
      <c r="L597" s="8">
        <f t="shared" si="9"/>
        <v>0.51851851851851849</v>
      </c>
    </row>
    <row r="598" spans="1:12">
      <c r="A598" t="s">
        <v>952</v>
      </c>
      <c r="B598">
        <v>1981</v>
      </c>
      <c r="C598" t="s">
        <v>137</v>
      </c>
      <c r="D598">
        <v>46.1</v>
      </c>
      <c r="E598">
        <v>115</v>
      </c>
      <c r="F598">
        <v>70</v>
      </c>
      <c r="G598">
        <v>135</v>
      </c>
      <c r="H598">
        <v>320</v>
      </c>
      <c r="I598">
        <v>2014</v>
      </c>
      <c r="J598" t="s">
        <v>852</v>
      </c>
      <c r="K598" t="s">
        <v>30</v>
      </c>
      <c r="L598" s="8">
        <f t="shared" si="9"/>
        <v>0.51851851851851849</v>
      </c>
    </row>
    <row r="599" spans="1:12">
      <c r="A599" t="s">
        <v>258</v>
      </c>
      <c r="B599">
        <v>1978</v>
      </c>
      <c r="C599" t="s">
        <v>137</v>
      </c>
      <c r="D599">
        <v>46.75</v>
      </c>
      <c r="E599">
        <v>110</v>
      </c>
      <c r="F599">
        <v>70</v>
      </c>
      <c r="G599">
        <v>132.5</v>
      </c>
      <c r="H599">
        <v>312.5</v>
      </c>
      <c r="I599">
        <v>2015</v>
      </c>
      <c r="J599" t="s">
        <v>852</v>
      </c>
      <c r="K599" t="s">
        <v>30</v>
      </c>
      <c r="L599" s="8">
        <f t="shared" si="9"/>
        <v>0.52830188679245282</v>
      </c>
    </row>
    <row r="600" spans="1:12">
      <c r="A600" t="s">
        <v>266</v>
      </c>
      <c r="B600">
        <v>1982</v>
      </c>
      <c r="C600" t="s">
        <v>137</v>
      </c>
      <c r="D600">
        <v>46.6</v>
      </c>
      <c r="E600">
        <v>105</v>
      </c>
      <c r="F600">
        <v>70</v>
      </c>
      <c r="G600">
        <v>125</v>
      </c>
      <c r="H600">
        <v>300</v>
      </c>
      <c r="I600">
        <v>2013</v>
      </c>
      <c r="J600" t="s">
        <v>852</v>
      </c>
      <c r="K600" t="s">
        <v>30</v>
      </c>
      <c r="L600" s="8">
        <f t="shared" si="9"/>
        <v>0.56000000000000005</v>
      </c>
    </row>
    <row r="601" spans="1:12">
      <c r="A601" t="s">
        <v>266</v>
      </c>
      <c r="B601">
        <v>1982</v>
      </c>
      <c r="C601" t="s">
        <v>137</v>
      </c>
      <c r="D601">
        <v>46.6</v>
      </c>
      <c r="E601">
        <v>105</v>
      </c>
      <c r="F601">
        <v>70</v>
      </c>
      <c r="G601">
        <v>122.5</v>
      </c>
      <c r="H601">
        <v>297.5</v>
      </c>
      <c r="I601">
        <v>2014</v>
      </c>
      <c r="J601" t="s">
        <v>852</v>
      </c>
      <c r="K601" t="s">
        <v>30</v>
      </c>
      <c r="L601" s="8">
        <f t="shared" si="9"/>
        <v>0.5714285714285714</v>
      </c>
    </row>
    <row r="602" spans="1:12">
      <c r="A602" t="s">
        <v>971</v>
      </c>
      <c r="B602">
        <v>1978</v>
      </c>
      <c r="C602" t="s">
        <v>480</v>
      </c>
      <c r="D602">
        <v>45.95</v>
      </c>
      <c r="E602">
        <v>92.5</v>
      </c>
      <c r="F602">
        <v>70</v>
      </c>
      <c r="G602">
        <v>112.5</v>
      </c>
      <c r="H602">
        <v>275</v>
      </c>
      <c r="I602">
        <v>2013</v>
      </c>
      <c r="J602" t="s">
        <v>852</v>
      </c>
      <c r="K602" t="s">
        <v>30</v>
      </c>
      <c r="L602" s="8">
        <f t="shared" si="9"/>
        <v>0.62222222222222223</v>
      </c>
    </row>
    <row r="603" spans="1:12">
      <c r="A603" t="s">
        <v>179</v>
      </c>
      <c r="B603">
        <v>1987</v>
      </c>
      <c r="C603" t="s">
        <v>49</v>
      </c>
      <c r="D603">
        <v>79.27</v>
      </c>
      <c r="E603">
        <v>145</v>
      </c>
      <c r="F603">
        <v>67.5</v>
      </c>
      <c r="G603">
        <v>175</v>
      </c>
      <c r="H603">
        <v>387.5</v>
      </c>
      <c r="I603">
        <v>2015</v>
      </c>
      <c r="J603" t="s">
        <v>852</v>
      </c>
      <c r="K603" t="s">
        <v>30</v>
      </c>
      <c r="L603" s="8">
        <f t="shared" si="9"/>
        <v>0.38571428571428573</v>
      </c>
    </row>
    <row r="604" spans="1:12">
      <c r="A604" t="s">
        <v>200</v>
      </c>
      <c r="B604">
        <v>1982</v>
      </c>
      <c r="C604" t="s">
        <v>62</v>
      </c>
      <c r="D604">
        <v>56</v>
      </c>
      <c r="E604">
        <v>125</v>
      </c>
      <c r="F604">
        <v>67.5</v>
      </c>
      <c r="G604">
        <v>165</v>
      </c>
      <c r="H604">
        <v>357.5</v>
      </c>
      <c r="I604">
        <v>2015</v>
      </c>
      <c r="J604" t="s">
        <v>852</v>
      </c>
      <c r="K604" t="s">
        <v>30</v>
      </c>
      <c r="L604" s="8">
        <f t="shared" si="9"/>
        <v>0.40909090909090912</v>
      </c>
    </row>
    <row r="605" spans="1:12">
      <c r="A605" t="s">
        <v>933</v>
      </c>
      <c r="B605">
        <v>1987</v>
      </c>
      <c r="C605" t="s">
        <v>56</v>
      </c>
      <c r="D605">
        <v>62.7</v>
      </c>
      <c r="E605">
        <v>110</v>
      </c>
      <c r="F605">
        <v>67.5</v>
      </c>
      <c r="G605">
        <v>160</v>
      </c>
      <c r="H605">
        <v>337.5</v>
      </c>
      <c r="I605">
        <v>2013</v>
      </c>
      <c r="J605" t="s">
        <v>852</v>
      </c>
      <c r="K605" t="s">
        <v>30</v>
      </c>
      <c r="L605" s="8">
        <f t="shared" si="9"/>
        <v>0.421875</v>
      </c>
    </row>
    <row r="606" spans="1:12">
      <c r="A606" t="s">
        <v>225</v>
      </c>
      <c r="B606">
        <v>1978</v>
      </c>
      <c r="C606" t="s">
        <v>51</v>
      </c>
      <c r="D606">
        <v>60.6</v>
      </c>
      <c r="E606">
        <v>110</v>
      </c>
      <c r="F606">
        <v>67.5</v>
      </c>
      <c r="G606">
        <v>157.5</v>
      </c>
      <c r="H606">
        <v>335</v>
      </c>
      <c r="I606">
        <v>2013</v>
      </c>
      <c r="J606" t="s">
        <v>852</v>
      </c>
      <c r="K606" t="s">
        <v>30</v>
      </c>
      <c r="L606" s="8">
        <f t="shared" si="9"/>
        <v>0.42857142857142855</v>
      </c>
    </row>
    <row r="607" spans="1:12">
      <c r="A607" t="s">
        <v>935</v>
      </c>
      <c r="B607">
        <v>1958</v>
      </c>
      <c r="C607" t="s">
        <v>51</v>
      </c>
      <c r="D607">
        <v>53.7</v>
      </c>
      <c r="E607">
        <v>105</v>
      </c>
      <c r="F607">
        <v>67.5</v>
      </c>
      <c r="G607">
        <v>155</v>
      </c>
      <c r="H607">
        <v>327.5</v>
      </c>
      <c r="I607">
        <v>2012</v>
      </c>
      <c r="J607" t="s">
        <v>852</v>
      </c>
      <c r="K607" t="s">
        <v>30</v>
      </c>
      <c r="L607" s="8">
        <f t="shared" si="9"/>
        <v>0.43548387096774194</v>
      </c>
    </row>
    <row r="608" spans="1:12">
      <c r="A608" t="s">
        <v>312</v>
      </c>
      <c r="B608">
        <v>1989</v>
      </c>
      <c r="C608" t="s">
        <v>85</v>
      </c>
      <c r="D608">
        <v>62.44</v>
      </c>
      <c r="E608">
        <v>120</v>
      </c>
      <c r="F608">
        <v>67.5</v>
      </c>
      <c r="G608">
        <v>150</v>
      </c>
      <c r="H608">
        <v>337.5</v>
      </c>
      <c r="I608">
        <v>2015</v>
      </c>
      <c r="J608" t="s">
        <v>852</v>
      </c>
      <c r="K608" t="s">
        <v>30</v>
      </c>
      <c r="L608" s="8">
        <f t="shared" si="9"/>
        <v>0.45</v>
      </c>
    </row>
    <row r="609" spans="1:12">
      <c r="A609" t="s">
        <v>939</v>
      </c>
      <c r="B609">
        <v>1982</v>
      </c>
      <c r="C609" t="s">
        <v>85</v>
      </c>
      <c r="D609">
        <v>82.5</v>
      </c>
      <c r="E609">
        <v>127.5</v>
      </c>
      <c r="F609">
        <v>67.5</v>
      </c>
      <c r="G609">
        <v>147.5</v>
      </c>
      <c r="H609">
        <v>342.5</v>
      </c>
      <c r="I609">
        <v>2013</v>
      </c>
      <c r="J609" t="s">
        <v>852</v>
      </c>
      <c r="K609" t="s">
        <v>30</v>
      </c>
      <c r="L609" s="8">
        <f t="shared" si="9"/>
        <v>0.4576271186440678</v>
      </c>
    </row>
    <row r="610" spans="1:12">
      <c r="A610" t="s">
        <v>245</v>
      </c>
      <c r="B610">
        <v>1979</v>
      </c>
      <c r="C610" t="s">
        <v>77</v>
      </c>
      <c r="D610">
        <v>46.6</v>
      </c>
      <c r="E610">
        <v>102.5</v>
      </c>
      <c r="F610">
        <v>67.5</v>
      </c>
      <c r="G610">
        <v>135</v>
      </c>
      <c r="H610">
        <v>305</v>
      </c>
      <c r="I610">
        <v>2013</v>
      </c>
      <c r="J610" t="s">
        <v>852</v>
      </c>
      <c r="K610" t="s">
        <v>30</v>
      </c>
      <c r="L610" s="8">
        <f t="shared" si="9"/>
        <v>0.5</v>
      </c>
    </row>
    <row r="611" spans="1:12">
      <c r="A611" t="s">
        <v>1021</v>
      </c>
      <c r="B611">
        <v>1968</v>
      </c>
      <c r="C611" t="s">
        <v>62</v>
      </c>
      <c r="D611">
        <v>56.4</v>
      </c>
      <c r="E611">
        <v>107.5</v>
      </c>
      <c r="F611">
        <v>67.5</v>
      </c>
      <c r="G611">
        <v>130</v>
      </c>
      <c r="H611">
        <v>305</v>
      </c>
      <c r="I611">
        <v>2013</v>
      </c>
      <c r="J611" t="s">
        <v>852</v>
      </c>
      <c r="K611" t="s">
        <v>30</v>
      </c>
      <c r="L611" s="8">
        <f t="shared" si="9"/>
        <v>0.51923076923076927</v>
      </c>
    </row>
    <row r="612" spans="1:12">
      <c r="A612" t="s">
        <v>244</v>
      </c>
      <c r="B612">
        <v>1986</v>
      </c>
      <c r="C612" t="s">
        <v>77</v>
      </c>
      <c r="D612">
        <v>67.5</v>
      </c>
      <c r="E612">
        <v>120</v>
      </c>
      <c r="F612">
        <v>67.5</v>
      </c>
      <c r="G612">
        <v>120</v>
      </c>
      <c r="H612">
        <v>307.5</v>
      </c>
      <c r="I612">
        <v>2015</v>
      </c>
      <c r="J612" t="s">
        <v>852</v>
      </c>
      <c r="K612" t="s">
        <v>30</v>
      </c>
      <c r="L612" s="8">
        <f t="shared" si="9"/>
        <v>0.5625</v>
      </c>
    </row>
    <row r="613" spans="1:12">
      <c r="A613" t="s">
        <v>966</v>
      </c>
      <c r="B613">
        <v>1987</v>
      </c>
      <c r="C613" t="s">
        <v>194</v>
      </c>
      <c r="D613">
        <v>68.849999999999994</v>
      </c>
      <c r="E613">
        <v>122.5</v>
      </c>
      <c r="F613">
        <v>65</v>
      </c>
      <c r="G613">
        <v>160</v>
      </c>
      <c r="H613">
        <v>347.5</v>
      </c>
      <c r="I613">
        <v>2014</v>
      </c>
      <c r="J613" t="s">
        <v>852</v>
      </c>
      <c r="K613" t="s">
        <v>30</v>
      </c>
      <c r="L613" s="8">
        <f t="shared" si="9"/>
        <v>0.40625</v>
      </c>
    </row>
    <row r="614" spans="1:12">
      <c r="A614" t="s">
        <v>230</v>
      </c>
      <c r="B614">
        <v>1986</v>
      </c>
      <c r="C614" t="s">
        <v>56</v>
      </c>
      <c r="D614">
        <v>56.41</v>
      </c>
      <c r="E614">
        <v>120</v>
      </c>
      <c r="F614">
        <v>65</v>
      </c>
      <c r="G614">
        <v>160</v>
      </c>
      <c r="H614">
        <v>345</v>
      </c>
      <c r="I614">
        <v>2015</v>
      </c>
      <c r="J614" t="s">
        <v>852</v>
      </c>
      <c r="K614" t="s">
        <v>30</v>
      </c>
      <c r="L614" s="8">
        <f t="shared" si="9"/>
        <v>0.40625</v>
      </c>
    </row>
    <row r="615" spans="1:12">
      <c r="A615" t="s">
        <v>1000</v>
      </c>
      <c r="B615">
        <v>1984</v>
      </c>
      <c r="C615" t="s">
        <v>51</v>
      </c>
      <c r="D615">
        <v>71.849999999999994</v>
      </c>
      <c r="E615">
        <v>100</v>
      </c>
      <c r="F615">
        <v>65</v>
      </c>
      <c r="G615">
        <v>160</v>
      </c>
      <c r="H615">
        <v>325</v>
      </c>
      <c r="I615">
        <v>2012</v>
      </c>
      <c r="J615" t="s">
        <v>852</v>
      </c>
      <c r="K615" t="s">
        <v>30</v>
      </c>
      <c r="L615" s="8">
        <f t="shared" si="9"/>
        <v>0.40625</v>
      </c>
    </row>
    <row r="616" spans="1:12">
      <c r="A616" t="s">
        <v>955</v>
      </c>
      <c r="B616">
        <v>1986</v>
      </c>
      <c r="C616" t="s">
        <v>35</v>
      </c>
      <c r="D616">
        <v>50.45</v>
      </c>
      <c r="E616">
        <v>122.5</v>
      </c>
      <c r="F616">
        <v>65</v>
      </c>
      <c r="G616">
        <v>157.5</v>
      </c>
      <c r="H616">
        <v>345</v>
      </c>
      <c r="I616">
        <v>2012</v>
      </c>
      <c r="J616" t="s">
        <v>852</v>
      </c>
      <c r="K616" t="s">
        <v>30</v>
      </c>
      <c r="L616" s="8">
        <f t="shared" si="9"/>
        <v>0.41269841269841268</v>
      </c>
    </row>
    <row r="617" spans="1:12">
      <c r="A617" t="s">
        <v>189</v>
      </c>
      <c r="B617">
        <v>1978</v>
      </c>
      <c r="C617" t="s">
        <v>56</v>
      </c>
      <c r="D617">
        <v>56.35</v>
      </c>
      <c r="E617">
        <v>110</v>
      </c>
      <c r="F617">
        <v>65</v>
      </c>
      <c r="G617">
        <v>152.5</v>
      </c>
      <c r="H617">
        <v>327.5</v>
      </c>
      <c r="I617">
        <v>2015</v>
      </c>
      <c r="J617" t="s">
        <v>852</v>
      </c>
      <c r="K617" t="s">
        <v>30</v>
      </c>
      <c r="L617" s="8">
        <f t="shared" si="9"/>
        <v>0.42622950819672129</v>
      </c>
    </row>
    <row r="618" spans="1:12">
      <c r="A618" t="s">
        <v>216</v>
      </c>
      <c r="B618">
        <v>1981</v>
      </c>
      <c r="C618" t="s">
        <v>217</v>
      </c>
      <c r="D618">
        <v>46.78</v>
      </c>
      <c r="E618">
        <v>110</v>
      </c>
      <c r="F618">
        <v>65</v>
      </c>
      <c r="G618">
        <v>152.5</v>
      </c>
      <c r="H618">
        <v>327.5</v>
      </c>
      <c r="I618">
        <v>2015</v>
      </c>
      <c r="J618" t="s">
        <v>852</v>
      </c>
      <c r="K618" t="s">
        <v>30</v>
      </c>
      <c r="L618" s="8">
        <f t="shared" si="9"/>
        <v>0.42622950819672129</v>
      </c>
    </row>
    <row r="619" spans="1:12">
      <c r="A619" t="s">
        <v>983</v>
      </c>
      <c r="B619">
        <v>1987</v>
      </c>
      <c r="C619" t="s">
        <v>62</v>
      </c>
      <c r="D619">
        <v>52.9</v>
      </c>
      <c r="E619">
        <v>120</v>
      </c>
      <c r="F619">
        <v>65</v>
      </c>
      <c r="G619">
        <v>150</v>
      </c>
      <c r="H619">
        <v>335</v>
      </c>
      <c r="I619">
        <v>2012</v>
      </c>
      <c r="J619" t="s">
        <v>852</v>
      </c>
      <c r="K619" t="s">
        <v>30</v>
      </c>
      <c r="L619" s="8">
        <f t="shared" si="9"/>
        <v>0.43333333333333335</v>
      </c>
    </row>
    <row r="620" spans="1:12">
      <c r="A620" t="s">
        <v>1000</v>
      </c>
      <c r="B620">
        <v>1984</v>
      </c>
      <c r="C620" t="s">
        <v>51</v>
      </c>
      <c r="D620">
        <v>71.900000000000006</v>
      </c>
      <c r="E620">
        <v>100</v>
      </c>
      <c r="F620">
        <v>65</v>
      </c>
      <c r="G620">
        <v>150</v>
      </c>
      <c r="H620">
        <v>315</v>
      </c>
      <c r="I620">
        <v>2013</v>
      </c>
      <c r="J620" t="s">
        <v>852</v>
      </c>
      <c r="K620" t="s">
        <v>30</v>
      </c>
      <c r="L620" s="8">
        <f t="shared" si="9"/>
        <v>0.43333333333333335</v>
      </c>
    </row>
    <row r="621" spans="1:12">
      <c r="A621" t="s">
        <v>294</v>
      </c>
      <c r="B621">
        <v>1986</v>
      </c>
      <c r="C621" t="s">
        <v>113</v>
      </c>
      <c r="D621">
        <v>46.57</v>
      </c>
      <c r="E621">
        <v>135</v>
      </c>
      <c r="F621">
        <v>65</v>
      </c>
      <c r="G621">
        <v>147.5</v>
      </c>
      <c r="H621">
        <v>347.5</v>
      </c>
      <c r="I621">
        <v>2015</v>
      </c>
      <c r="J621" t="s">
        <v>852</v>
      </c>
      <c r="K621" t="s">
        <v>30</v>
      </c>
      <c r="L621" s="8">
        <f t="shared" si="9"/>
        <v>0.44067796610169491</v>
      </c>
    </row>
    <row r="622" spans="1:12">
      <c r="A622" t="s">
        <v>988</v>
      </c>
      <c r="B622">
        <v>1982</v>
      </c>
      <c r="C622" t="s">
        <v>194</v>
      </c>
      <c r="D622">
        <v>56.15</v>
      </c>
      <c r="E622">
        <v>95</v>
      </c>
      <c r="F622">
        <v>65</v>
      </c>
      <c r="G622">
        <v>142.5</v>
      </c>
      <c r="H622">
        <v>302.5</v>
      </c>
      <c r="I622">
        <v>2014</v>
      </c>
      <c r="J622" t="s">
        <v>852</v>
      </c>
      <c r="K622" t="s">
        <v>30</v>
      </c>
      <c r="L622" s="8">
        <f t="shared" si="9"/>
        <v>0.45614035087719296</v>
      </c>
    </row>
    <row r="623" spans="1:12">
      <c r="A623" t="s">
        <v>1022</v>
      </c>
      <c r="B623">
        <v>1970</v>
      </c>
      <c r="C623" t="s">
        <v>163</v>
      </c>
      <c r="D623">
        <v>56.9</v>
      </c>
      <c r="E623">
        <v>130</v>
      </c>
      <c r="F623">
        <v>65</v>
      </c>
      <c r="G623">
        <v>137.5</v>
      </c>
      <c r="H623">
        <v>332.5</v>
      </c>
      <c r="I623">
        <v>2014</v>
      </c>
      <c r="J623" t="s">
        <v>852</v>
      </c>
      <c r="K623" t="s">
        <v>30</v>
      </c>
      <c r="L623" s="8">
        <f t="shared" si="9"/>
        <v>0.47272727272727272</v>
      </c>
    </row>
    <row r="624" spans="1:12">
      <c r="A624" t="s">
        <v>1050</v>
      </c>
      <c r="B624">
        <v>1991</v>
      </c>
      <c r="C624" t="s">
        <v>125</v>
      </c>
      <c r="D624">
        <v>51.4</v>
      </c>
      <c r="E624">
        <v>115</v>
      </c>
      <c r="F624">
        <v>65</v>
      </c>
      <c r="G624">
        <v>135</v>
      </c>
      <c r="H624">
        <v>315</v>
      </c>
      <c r="I624">
        <v>2012</v>
      </c>
      <c r="J624" t="s">
        <v>852</v>
      </c>
      <c r="K624" t="s">
        <v>30</v>
      </c>
      <c r="L624" s="8">
        <f t="shared" si="9"/>
        <v>0.48148148148148145</v>
      </c>
    </row>
    <row r="625" spans="1:12">
      <c r="A625" t="s">
        <v>899</v>
      </c>
      <c r="B625">
        <v>1975</v>
      </c>
      <c r="C625" t="s">
        <v>56</v>
      </c>
      <c r="D625">
        <v>51</v>
      </c>
      <c r="E625">
        <v>102.5</v>
      </c>
      <c r="F625">
        <v>65</v>
      </c>
      <c r="G625">
        <v>127.5</v>
      </c>
      <c r="H625">
        <v>295</v>
      </c>
      <c r="I625">
        <v>2013</v>
      </c>
      <c r="J625" t="s">
        <v>852</v>
      </c>
      <c r="K625" t="s">
        <v>30</v>
      </c>
      <c r="L625" s="8">
        <f t="shared" si="9"/>
        <v>0.50980392156862742</v>
      </c>
    </row>
    <row r="626" spans="1:12">
      <c r="A626" t="s">
        <v>1034</v>
      </c>
      <c r="B626">
        <v>1962</v>
      </c>
      <c r="C626" t="s">
        <v>77</v>
      </c>
      <c r="D626">
        <v>53.5</v>
      </c>
      <c r="E626">
        <v>90</v>
      </c>
      <c r="F626">
        <v>65</v>
      </c>
      <c r="G626">
        <v>127.5</v>
      </c>
      <c r="H626">
        <v>282.5</v>
      </c>
      <c r="I626">
        <v>2012</v>
      </c>
      <c r="J626" t="s">
        <v>852</v>
      </c>
      <c r="K626" t="s">
        <v>30</v>
      </c>
      <c r="L626" s="8">
        <f t="shared" si="9"/>
        <v>0.50980392156862742</v>
      </c>
    </row>
    <row r="627" spans="1:12">
      <c r="A627" t="s">
        <v>979</v>
      </c>
      <c r="B627">
        <v>1991</v>
      </c>
      <c r="C627" t="s">
        <v>77</v>
      </c>
      <c r="D627">
        <v>57.65</v>
      </c>
      <c r="E627">
        <v>85</v>
      </c>
      <c r="F627">
        <v>65</v>
      </c>
      <c r="G627">
        <v>125</v>
      </c>
      <c r="H627">
        <v>275</v>
      </c>
      <c r="I627">
        <v>2012</v>
      </c>
      <c r="J627" t="s">
        <v>852</v>
      </c>
      <c r="K627" t="s">
        <v>30</v>
      </c>
      <c r="L627" s="8">
        <f t="shared" si="9"/>
        <v>0.52</v>
      </c>
    </row>
    <row r="628" spans="1:12">
      <c r="A628" t="s">
        <v>990</v>
      </c>
      <c r="B628">
        <v>1992</v>
      </c>
      <c r="C628" t="s">
        <v>62</v>
      </c>
      <c r="D628">
        <v>51.2</v>
      </c>
      <c r="E628">
        <v>100</v>
      </c>
      <c r="F628">
        <v>65</v>
      </c>
      <c r="G628">
        <v>120</v>
      </c>
      <c r="H628">
        <v>285</v>
      </c>
      <c r="I628">
        <v>2012</v>
      </c>
      <c r="J628" t="s">
        <v>852</v>
      </c>
      <c r="K628" t="s">
        <v>30</v>
      </c>
      <c r="L628" s="8">
        <f t="shared" si="9"/>
        <v>0.54166666666666663</v>
      </c>
    </row>
    <row r="629" spans="1:12">
      <c r="A629" t="s">
        <v>1005</v>
      </c>
      <c r="B629">
        <v>1956</v>
      </c>
      <c r="C629" t="s">
        <v>113</v>
      </c>
      <c r="D629">
        <v>51.3</v>
      </c>
      <c r="E629">
        <v>100</v>
      </c>
      <c r="F629">
        <v>62.5</v>
      </c>
      <c r="G629">
        <v>155</v>
      </c>
      <c r="H629">
        <v>317.5</v>
      </c>
      <c r="I629">
        <v>2012</v>
      </c>
      <c r="J629" t="s">
        <v>852</v>
      </c>
      <c r="K629" t="s">
        <v>30</v>
      </c>
      <c r="L629" s="8">
        <f t="shared" si="9"/>
        <v>0.40322580645161288</v>
      </c>
    </row>
    <row r="630" spans="1:12">
      <c r="A630" t="s">
        <v>185</v>
      </c>
      <c r="B630">
        <v>1983</v>
      </c>
      <c r="C630" t="s">
        <v>142</v>
      </c>
      <c r="D630">
        <v>56.59</v>
      </c>
      <c r="E630">
        <v>115</v>
      </c>
      <c r="F630">
        <v>62.5</v>
      </c>
      <c r="G630">
        <v>145</v>
      </c>
      <c r="H630">
        <v>322.5</v>
      </c>
      <c r="I630">
        <v>2015</v>
      </c>
      <c r="J630" t="s">
        <v>852</v>
      </c>
      <c r="K630" t="s">
        <v>30</v>
      </c>
      <c r="L630" s="8">
        <f t="shared" si="9"/>
        <v>0.43103448275862066</v>
      </c>
    </row>
    <row r="631" spans="1:12">
      <c r="A631" t="s">
        <v>1042</v>
      </c>
      <c r="B631">
        <v>1977</v>
      </c>
      <c r="C631" t="s">
        <v>194</v>
      </c>
      <c r="D631">
        <v>61.35</v>
      </c>
      <c r="E631">
        <v>0</v>
      </c>
      <c r="F631">
        <v>62.5</v>
      </c>
      <c r="G631">
        <v>135</v>
      </c>
      <c r="H631">
        <v>0</v>
      </c>
      <c r="I631">
        <v>2014</v>
      </c>
      <c r="J631" t="s">
        <v>852</v>
      </c>
      <c r="K631" t="s">
        <v>30</v>
      </c>
      <c r="L631" s="8">
        <f t="shared" si="9"/>
        <v>0.46296296296296297</v>
      </c>
    </row>
    <row r="632" spans="1:12">
      <c r="A632" t="s">
        <v>237</v>
      </c>
      <c r="B632">
        <v>1981</v>
      </c>
      <c r="C632" t="s">
        <v>56</v>
      </c>
      <c r="D632">
        <v>51.21</v>
      </c>
      <c r="E632">
        <v>115</v>
      </c>
      <c r="F632">
        <v>62.5</v>
      </c>
      <c r="G632">
        <v>132.5</v>
      </c>
      <c r="H632">
        <v>310</v>
      </c>
      <c r="I632">
        <v>2015</v>
      </c>
      <c r="J632" t="s">
        <v>852</v>
      </c>
      <c r="K632" t="s">
        <v>30</v>
      </c>
      <c r="L632" s="8">
        <f t="shared" si="9"/>
        <v>0.47169811320754718</v>
      </c>
    </row>
    <row r="633" spans="1:12">
      <c r="A633" t="s">
        <v>949</v>
      </c>
      <c r="B633">
        <v>1974</v>
      </c>
      <c r="C633" t="s">
        <v>80</v>
      </c>
      <c r="D633">
        <v>56.5</v>
      </c>
      <c r="E633">
        <v>102.5</v>
      </c>
      <c r="F633">
        <v>62.5</v>
      </c>
      <c r="G633">
        <v>130</v>
      </c>
      <c r="H633">
        <v>295</v>
      </c>
      <c r="I633">
        <v>2012</v>
      </c>
      <c r="J633" t="s">
        <v>852</v>
      </c>
      <c r="K633" t="s">
        <v>30</v>
      </c>
      <c r="L633" s="8">
        <f t="shared" si="9"/>
        <v>0.48076923076923078</v>
      </c>
    </row>
    <row r="634" spans="1:12">
      <c r="A634" t="s">
        <v>1030</v>
      </c>
      <c r="B634">
        <v>1977</v>
      </c>
      <c r="C634" t="s">
        <v>77</v>
      </c>
      <c r="D634">
        <v>66.2</v>
      </c>
      <c r="E634">
        <v>125</v>
      </c>
      <c r="F634">
        <v>60</v>
      </c>
      <c r="G634">
        <v>135</v>
      </c>
      <c r="H634">
        <v>320</v>
      </c>
      <c r="I634">
        <v>2014</v>
      </c>
      <c r="J634" t="s">
        <v>852</v>
      </c>
      <c r="K634" t="s">
        <v>30</v>
      </c>
      <c r="L634" s="8">
        <f t="shared" si="9"/>
        <v>0.44444444444444442</v>
      </c>
    </row>
    <row r="635" spans="1:12">
      <c r="A635" t="s">
        <v>293</v>
      </c>
      <c r="B635">
        <v>1984</v>
      </c>
      <c r="C635" t="s">
        <v>163</v>
      </c>
      <c r="D635">
        <v>53.74</v>
      </c>
      <c r="E635">
        <v>95</v>
      </c>
      <c r="F635">
        <v>60</v>
      </c>
      <c r="G635">
        <v>132.5</v>
      </c>
      <c r="H635">
        <v>287.5</v>
      </c>
      <c r="I635">
        <v>2015</v>
      </c>
      <c r="J635" t="s">
        <v>852</v>
      </c>
      <c r="K635" t="s">
        <v>30</v>
      </c>
      <c r="L635" s="8">
        <f t="shared" si="9"/>
        <v>0.45283018867924529</v>
      </c>
    </row>
    <row r="636" spans="1:12">
      <c r="A636" t="s">
        <v>298</v>
      </c>
      <c r="B636">
        <v>1977</v>
      </c>
      <c r="C636" t="s">
        <v>51</v>
      </c>
      <c r="D636">
        <v>45.55</v>
      </c>
      <c r="E636">
        <v>97.5</v>
      </c>
      <c r="F636">
        <v>60</v>
      </c>
      <c r="G636">
        <v>122.5</v>
      </c>
      <c r="H636">
        <v>280</v>
      </c>
      <c r="I636">
        <v>2015</v>
      </c>
      <c r="J636" t="s">
        <v>852</v>
      </c>
      <c r="K636" t="s">
        <v>30</v>
      </c>
      <c r="L636" s="8">
        <f t="shared" si="9"/>
        <v>0.48979591836734693</v>
      </c>
    </row>
    <row r="637" spans="1:12">
      <c r="A637" t="s">
        <v>1029</v>
      </c>
      <c r="B637">
        <v>1990</v>
      </c>
      <c r="C637" t="s">
        <v>77</v>
      </c>
      <c r="D637">
        <v>52.05</v>
      </c>
      <c r="E637">
        <v>92.5</v>
      </c>
      <c r="F637">
        <v>60</v>
      </c>
      <c r="G637">
        <v>120</v>
      </c>
      <c r="H637">
        <v>272.5</v>
      </c>
      <c r="I637">
        <v>2012</v>
      </c>
      <c r="J637" t="s">
        <v>852</v>
      </c>
      <c r="K637" t="s">
        <v>30</v>
      </c>
      <c r="L637" s="8">
        <f t="shared" si="9"/>
        <v>0.5</v>
      </c>
    </row>
    <row r="638" spans="1:12">
      <c r="A638" t="s">
        <v>242</v>
      </c>
      <c r="B638">
        <v>1961</v>
      </c>
      <c r="C638" t="s">
        <v>243</v>
      </c>
      <c r="D638">
        <v>61.35</v>
      </c>
      <c r="E638">
        <v>95</v>
      </c>
      <c r="F638">
        <v>60</v>
      </c>
      <c r="G638">
        <v>112.5</v>
      </c>
      <c r="H638">
        <v>267.5</v>
      </c>
      <c r="I638">
        <v>2012</v>
      </c>
      <c r="J638" t="s">
        <v>852</v>
      </c>
      <c r="K638" t="s">
        <v>30</v>
      </c>
      <c r="L638" s="8">
        <f t="shared" si="9"/>
        <v>0.53333333333333333</v>
      </c>
    </row>
    <row r="639" spans="1:12">
      <c r="A639" t="s">
        <v>346</v>
      </c>
      <c r="B639">
        <v>1976</v>
      </c>
      <c r="C639" t="s">
        <v>80</v>
      </c>
      <c r="D639">
        <v>56.75</v>
      </c>
      <c r="E639">
        <v>110</v>
      </c>
      <c r="F639">
        <v>60</v>
      </c>
      <c r="G639">
        <v>90</v>
      </c>
      <c r="H639">
        <v>260</v>
      </c>
      <c r="I639">
        <v>2015</v>
      </c>
      <c r="J639" t="s">
        <v>852</v>
      </c>
      <c r="K639" t="s">
        <v>30</v>
      </c>
      <c r="L639" s="8">
        <f t="shared" si="9"/>
        <v>0.66666666666666663</v>
      </c>
    </row>
    <row r="640" spans="1:12">
      <c r="A640" t="s">
        <v>1058</v>
      </c>
      <c r="B640">
        <v>1987</v>
      </c>
      <c r="C640" t="s">
        <v>62</v>
      </c>
      <c r="D640">
        <v>46.15</v>
      </c>
      <c r="E640">
        <v>97.5</v>
      </c>
      <c r="F640">
        <v>57.5</v>
      </c>
      <c r="G640">
        <v>130</v>
      </c>
      <c r="H640">
        <v>285</v>
      </c>
      <c r="I640">
        <v>2013</v>
      </c>
      <c r="J640" t="s">
        <v>852</v>
      </c>
      <c r="K640" t="s">
        <v>30</v>
      </c>
      <c r="L640" s="8">
        <f t="shared" si="9"/>
        <v>0.44230769230769229</v>
      </c>
    </row>
    <row r="641" spans="1:12">
      <c r="A641" t="s">
        <v>973</v>
      </c>
      <c r="B641">
        <v>1971</v>
      </c>
      <c r="C641" t="s">
        <v>77</v>
      </c>
      <c r="D641">
        <v>46.35</v>
      </c>
      <c r="E641">
        <v>72.5</v>
      </c>
      <c r="F641">
        <v>57.5</v>
      </c>
      <c r="G641">
        <v>95</v>
      </c>
      <c r="H641">
        <v>225</v>
      </c>
      <c r="I641">
        <v>2012</v>
      </c>
      <c r="J641" t="s">
        <v>852</v>
      </c>
      <c r="K641" t="s">
        <v>30</v>
      </c>
      <c r="L641" s="8">
        <f t="shared" si="9"/>
        <v>0.60526315789473684</v>
      </c>
    </row>
    <row r="642" spans="1:12">
      <c r="A642" t="s">
        <v>916</v>
      </c>
      <c r="B642">
        <v>1960</v>
      </c>
      <c r="C642" t="s">
        <v>51</v>
      </c>
      <c r="D642">
        <v>107.8</v>
      </c>
      <c r="E642">
        <v>100</v>
      </c>
      <c r="F642">
        <v>55</v>
      </c>
      <c r="G642">
        <v>160</v>
      </c>
      <c r="H642">
        <v>315</v>
      </c>
      <c r="I642">
        <v>2012</v>
      </c>
      <c r="J642" t="s">
        <v>852</v>
      </c>
      <c r="K642" t="s">
        <v>30</v>
      </c>
      <c r="L642" s="8">
        <f t="shared" si="9"/>
        <v>0.34375</v>
      </c>
    </row>
    <row r="643" spans="1:12">
      <c r="A643" t="s">
        <v>894</v>
      </c>
      <c r="B643">
        <v>1985</v>
      </c>
      <c r="C643" t="s">
        <v>194</v>
      </c>
      <c r="D643">
        <v>67</v>
      </c>
      <c r="E643">
        <v>110</v>
      </c>
      <c r="F643">
        <v>55</v>
      </c>
      <c r="G643">
        <v>145</v>
      </c>
      <c r="H643">
        <v>310</v>
      </c>
      <c r="I643">
        <v>2014</v>
      </c>
      <c r="J643" t="s">
        <v>852</v>
      </c>
      <c r="K643" t="s">
        <v>30</v>
      </c>
      <c r="L643" s="8">
        <f t="shared" ref="L643:L706" si="10">IF(AND(F643&lt;&gt;0,G643&lt;&gt;0),F643/G643,"")</f>
        <v>0.37931034482758619</v>
      </c>
    </row>
    <row r="644" spans="1:12">
      <c r="A644" t="s">
        <v>961</v>
      </c>
      <c r="B644">
        <v>1961</v>
      </c>
      <c r="C644" t="s">
        <v>56</v>
      </c>
      <c r="D644">
        <v>46.6</v>
      </c>
      <c r="E644">
        <v>112.5</v>
      </c>
      <c r="F644">
        <v>55</v>
      </c>
      <c r="G644">
        <v>140</v>
      </c>
      <c r="H644">
        <v>307.5</v>
      </c>
      <c r="I644">
        <v>2012</v>
      </c>
      <c r="J644" t="s">
        <v>852</v>
      </c>
      <c r="K644" t="s">
        <v>30</v>
      </c>
      <c r="L644" s="8">
        <f t="shared" si="10"/>
        <v>0.39285714285714285</v>
      </c>
    </row>
    <row r="645" spans="1:12">
      <c r="A645" t="s">
        <v>961</v>
      </c>
      <c r="B645">
        <v>1961</v>
      </c>
      <c r="C645" t="s">
        <v>56</v>
      </c>
      <c r="D645">
        <v>46.7</v>
      </c>
      <c r="E645">
        <v>110</v>
      </c>
      <c r="F645">
        <v>55</v>
      </c>
      <c r="G645">
        <v>132.5</v>
      </c>
      <c r="H645">
        <v>297.5</v>
      </c>
      <c r="I645">
        <v>2013</v>
      </c>
      <c r="J645" t="s">
        <v>852</v>
      </c>
      <c r="K645" t="s">
        <v>30</v>
      </c>
      <c r="L645" s="8">
        <f t="shared" si="10"/>
        <v>0.41509433962264153</v>
      </c>
    </row>
    <row r="646" spans="1:12">
      <c r="A646" t="s">
        <v>1014</v>
      </c>
      <c r="B646">
        <v>1979</v>
      </c>
      <c r="C646" t="s">
        <v>56</v>
      </c>
      <c r="D646">
        <v>46.15</v>
      </c>
      <c r="E646">
        <v>90</v>
      </c>
      <c r="F646">
        <v>55</v>
      </c>
      <c r="G646">
        <v>125</v>
      </c>
      <c r="H646">
        <v>270</v>
      </c>
      <c r="I646">
        <v>2014</v>
      </c>
      <c r="J646" t="s">
        <v>852</v>
      </c>
      <c r="K646" t="s">
        <v>30</v>
      </c>
      <c r="L646" s="8">
        <f t="shared" si="10"/>
        <v>0.44</v>
      </c>
    </row>
    <row r="647" spans="1:12">
      <c r="A647" t="s">
        <v>276</v>
      </c>
      <c r="B647">
        <v>1987</v>
      </c>
      <c r="C647" t="s">
        <v>194</v>
      </c>
      <c r="D647">
        <v>51.35</v>
      </c>
      <c r="E647">
        <v>112.5</v>
      </c>
      <c r="F647">
        <v>55</v>
      </c>
      <c r="G647">
        <v>120</v>
      </c>
      <c r="H647">
        <v>287.5</v>
      </c>
      <c r="I647">
        <v>2015</v>
      </c>
      <c r="J647" t="s">
        <v>852</v>
      </c>
      <c r="K647" t="s">
        <v>30</v>
      </c>
      <c r="L647" s="8">
        <f t="shared" si="10"/>
        <v>0.45833333333333331</v>
      </c>
    </row>
    <row r="648" spans="1:12">
      <c r="A648" t="s">
        <v>255</v>
      </c>
      <c r="B648">
        <v>1990</v>
      </c>
      <c r="C648" t="s">
        <v>100</v>
      </c>
      <c r="D648">
        <v>56.84</v>
      </c>
      <c r="E648">
        <v>100</v>
      </c>
      <c r="F648">
        <v>55</v>
      </c>
      <c r="G648">
        <v>110</v>
      </c>
      <c r="H648">
        <v>265</v>
      </c>
      <c r="I648">
        <v>2015</v>
      </c>
      <c r="J648" t="s">
        <v>852</v>
      </c>
      <c r="K648" t="s">
        <v>30</v>
      </c>
      <c r="L648" s="8">
        <f t="shared" si="10"/>
        <v>0.5</v>
      </c>
    </row>
    <row r="649" spans="1:12">
      <c r="A649" t="s">
        <v>294</v>
      </c>
      <c r="B649">
        <v>1986</v>
      </c>
      <c r="C649" t="s">
        <v>113</v>
      </c>
      <c r="D649">
        <v>46.05</v>
      </c>
      <c r="E649">
        <v>115</v>
      </c>
      <c r="F649">
        <v>52.5</v>
      </c>
      <c r="G649">
        <v>152.5</v>
      </c>
      <c r="H649">
        <v>320</v>
      </c>
      <c r="I649">
        <v>2014</v>
      </c>
      <c r="J649" t="s">
        <v>852</v>
      </c>
      <c r="K649" t="s">
        <v>30</v>
      </c>
      <c r="L649" s="8">
        <f t="shared" si="10"/>
        <v>0.34426229508196721</v>
      </c>
    </row>
    <row r="650" spans="1:12">
      <c r="A650" t="s">
        <v>919</v>
      </c>
      <c r="B650">
        <v>1980</v>
      </c>
      <c r="C650" t="s">
        <v>56</v>
      </c>
      <c r="D650">
        <v>51.25</v>
      </c>
      <c r="E650">
        <v>85</v>
      </c>
      <c r="F650">
        <v>52.5</v>
      </c>
      <c r="G650">
        <v>140</v>
      </c>
      <c r="H650">
        <v>277.5</v>
      </c>
      <c r="I650">
        <v>2013</v>
      </c>
      <c r="J650" t="s">
        <v>852</v>
      </c>
      <c r="K650" t="s">
        <v>30</v>
      </c>
      <c r="L650" s="8">
        <f t="shared" si="10"/>
        <v>0.375</v>
      </c>
    </row>
    <row r="651" spans="1:12">
      <c r="A651" t="s">
        <v>926</v>
      </c>
      <c r="B651">
        <v>1986</v>
      </c>
      <c r="C651" t="s">
        <v>51</v>
      </c>
      <c r="D651">
        <v>46.25</v>
      </c>
      <c r="E651">
        <v>82.5</v>
      </c>
      <c r="F651">
        <v>52.5</v>
      </c>
      <c r="G651">
        <v>120</v>
      </c>
      <c r="H651">
        <v>255</v>
      </c>
      <c r="I651">
        <v>2014</v>
      </c>
      <c r="J651" t="s">
        <v>852</v>
      </c>
      <c r="K651" t="s">
        <v>30</v>
      </c>
      <c r="L651" s="8">
        <f t="shared" si="10"/>
        <v>0.4375</v>
      </c>
    </row>
    <row r="652" spans="1:12">
      <c r="A652" t="s">
        <v>863</v>
      </c>
      <c r="B652">
        <v>1993</v>
      </c>
      <c r="C652" t="s">
        <v>113</v>
      </c>
      <c r="D652">
        <v>61.1</v>
      </c>
      <c r="E652">
        <v>92.5</v>
      </c>
      <c r="F652">
        <v>52.5</v>
      </c>
      <c r="G652">
        <v>115</v>
      </c>
      <c r="H652">
        <v>260</v>
      </c>
      <c r="I652">
        <v>2012</v>
      </c>
      <c r="J652" t="s">
        <v>852</v>
      </c>
      <c r="K652" t="s">
        <v>30</v>
      </c>
      <c r="L652" s="8">
        <f t="shared" si="10"/>
        <v>0.45652173913043476</v>
      </c>
    </row>
    <row r="653" spans="1:12">
      <c r="A653" t="s">
        <v>973</v>
      </c>
      <c r="B653">
        <v>1971</v>
      </c>
      <c r="C653" t="s">
        <v>77</v>
      </c>
      <c r="D653">
        <v>46.7</v>
      </c>
      <c r="E653">
        <v>70</v>
      </c>
      <c r="F653">
        <v>52.5</v>
      </c>
      <c r="G653">
        <v>110</v>
      </c>
      <c r="H653">
        <v>232.5</v>
      </c>
      <c r="I653">
        <v>2013</v>
      </c>
      <c r="J653" t="s">
        <v>852</v>
      </c>
      <c r="K653" t="s">
        <v>30</v>
      </c>
      <c r="L653" s="8">
        <f t="shared" si="10"/>
        <v>0.47727272727272729</v>
      </c>
    </row>
    <row r="654" spans="1:12">
      <c r="A654" t="s">
        <v>193</v>
      </c>
      <c r="B654">
        <v>1978</v>
      </c>
      <c r="C654" t="s">
        <v>194</v>
      </c>
      <c r="D654">
        <v>45.68</v>
      </c>
      <c r="E654">
        <v>92.5</v>
      </c>
      <c r="F654">
        <v>50</v>
      </c>
      <c r="G654">
        <v>120</v>
      </c>
      <c r="H654">
        <v>262.5</v>
      </c>
      <c r="I654">
        <v>2015</v>
      </c>
      <c r="J654" t="s">
        <v>852</v>
      </c>
      <c r="K654" t="s">
        <v>30</v>
      </c>
      <c r="L654" s="8">
        <f t="shared" si="10"/>
        <v>0.41666666666666669</v>
      </c>
    </row>
    <row r="655" spans="1:12">
      <c r="A655" t="s">
        <v>897</v>
      </c>
      <c r="B655">
        <v>1954</v>
      </c>
      <c r="C655" t="s">
        <v>51</v>
      </c>
      <c r="D655">
        <v>45.4</v>
      </c>
      <c r="E655">
        <v>72.5</v>
      </c>
      <c r="F655">
        <v>50</v>
      </c>
      <c r="G655">
        <v>117.5</v>
      </c>
      <c r="H655">
        <v>240</v>
      </c>
      <c r="I655">
        <v>2013</v>
      </c>
      <c r="J655" t="s">
        <v>852</v>
      </c>
      <c r="K655" t="s">
        <v>30</v>
      </c>
      <c r="L655" s="8">
        <f t="shared" si="10"/>
        <v>0.42553191489361702</v>
      </c>
    </row>
    <row r="656" spans="1:12">
      <c r="A656" t="s">
        <v>896</v>
      </c>
      <c r="B656">
        <v>1954</v>
      </c>
      <c r="C656" t="s">
        <v>51</v>
      </c>
      <c r="D656">
        <v>44.55</v>
      </c>
      <c r="E656">
        <v>70</v>
      </c>
      <c r="F656">
        <v>50</v>
      </c>
      <c r="G656">
        <v>117.5</v>
      </c>
      <c r="H656">
        <v>237.5</v>
      </c>
      <c r="I656">
        <v>2012</v>
      </c>
      <c r="J656" t="s">
        <v>852</v>
      </c>
      <c r="K656" t="s">
        <v>30</v>
      </c>
      <c r="L656" s="8">
        <f t="shared" si="10"/>
        <v>0.42553191489361702</v>
      </c>
    </row>
    <row r="657" spans="1:12">
      <c r="A657" t="s">
        <v>914</v>
      </c>
      <c r="B657">
        <v>1967</v>
      </c>
      <c r="C657" t="s">
        <v>125</v>
      </c>
      <c r="D657">
        <v>42.95</v>
      </c>
      <c r="E657">
        <v>90</v>
      </c>
      <c r="F657">
        <v>45</v>
      </c>
      <c r="G657">
        <v>132.5</v>
      </c>
      <c r="H657">
        <v>267.5</v>
      </c>
      <c r="I657">
        <v>2013</v>
      </c>
      <c r="J657" t="s">
        <v>852</v>
      </c>
      <c r="K657" t="s">
        <v>30</v>
      </c>
      <c r="L657" s="8">
        <f t="shared" si="10"/>
        <v>0.33962264150943394</v>
      </c>
    </row>
    <row r="658" spans="1:12">
      <c r="A658" t="s">
        <v>960</v>
      </c>
      <c r="B658">
        <v>1991</v>
      </c>
      <c r="C658" t="s">
        <v>56</v>
      </c>
      <c r="D658">
        <v>50.65</v>
      </c>
      <c r="E658">
        <v>72.5</v>
      </c>
      <c r="F658">
        <v>45</v>
      </c>
      <c r="G658">
        <v>95</v>
      </c>
      <c r="H658">
        <v>212.5</v>
      </c>
      <c r="I658">
        <v>2012</v>
      </c>
      <c r="J658" t="s">
        <v>852</v>
      </c>
      <c r="K658" t="s">
        <v>30</v>
      </c>
      <c r="L658" s="8">
        <f t="shared" si="10"/>
        <v>0.47368421052631576</v>
      </c>
    </row>
    <row r="659" spans="1:12">
      <c r="A659" t="s">
        <v>1052</v>
      </c>
      <c r="B659">
        <v>1977</v>
      </c>
      <c r="C659" t="s">
        <v>194</v>
      </c>
      <c r="D659">
        <v>56.1</v>
      </c>
      <c r="E659">
        <v>105</v>
      </c>
      <c r="F659">
        <v>42.5</v>
      </c>
      <c r="G659">
        <v>147.5</v>
      </c>
      <c r="H659">
        <v>295</v>
      </c>
      <c r="I659">
        <v>2014</v>
      </c>
      <c r="J659" t="s">
        <v>852</v>
      </c>
      <c r="K659" t="s">
        <v>30</v>
      </c>
      <c r="L659" s="8">
        <f t="shared" si="10"/>
        <v>0.28813559322033899</v>
      </c>
    </row>
    <row r="660" spans="1:12">
      <c r="A660" t="s">
        <v>914</v>
      </c>
      <c r="B660">
        <v>1967</v>
      </c>
      <c r="C660" t="s">
        <v>125</v>
      </c>
      <c r="D660">
        <v>42.15</v>
      </c>
      <c r="E660">
        <v>90</v>
      </c>
      <c r="F660">
        <v>40</v>
      </c>
      <c r="G660">
        <v>135</v>
      </c>
      <c r="H660">
        <v>265</v>
      </c>
      <c r="I660">
        <v>2012</v>
      </c>
      <c r="J660" t="s">
        <v>852</v>
      </c>
      <c r="K660" t="s">
        <v>30</v>
      </c>
      <c r="L660" s="8">
        <f t="shared" si="10"/>
        <v>0.29629629629629628</v>
      </c>
    </row>
    <row r="661" spans="1:12">
      <c r="A661" t="s">
        <v>1041</v>
      </c>
      <c r="B661">
        <v>1988</v>
      </c>
      <c r="C661" t="s">
        <v>194</v>
      </c>
      <c r="D661">
        <v>47.7</v>
      </c>
      <c r="E661">
        <v>105</v>
      </c>
      <c r="F661">
        <v>40</v>
      </c>
      <c r="G661">
        <v>125</v>
      </c>
      <c r="H661">
        <v>270</v>
      </c>
      <c r="I661">
        <v>2014</v>
      </c>
      <c r="J661" t="s">
        <v>852</v>
      </c>
      <c r="K661" t="s">
        <v>30</v>
      </c>
      <c r="L661" s="8">
        <f t="shared" si="10"/>
        <v>0.32</v>
      </c>
    </row>
    <row r="663" spans="1:12">
      <c r="A663" t="s">
        <v>794</v>
      </c>
      <c r="B663">
        <v>1989</v>
      </c>
      <c r="C663" t="s">
        <v>119</v>
      </c>
      <c r="D663">
        <v>143.19999999999999</v>
      </c>
      <c r="E663">
        <v>445</v>
      </c>
      <c r="F663">
        <v>370</v>
      </c>
      <c r="G663">
        <v>355</v>
      </c>
      <c r="H663">
        <v>1170</v>
      </c>
      <c r="I663">
        <v>2013</v>
      </c>
      <c r="J663" t="s">
        <v>29</v>
      </c>
      <c r="K663" t="s">
        <v>171</v>
      </c>
      <c r="L663" s="8">
        <f t="shared" si="10"/>
        <v>1.0422535211267605</v>
      </c>
    </row>
    <row r="664" spans="1:12">
      <c r="A664" t="s">
        <v>154</v>
      </c>
      <c r="B664">
        <v>1987</v>
      </c>
      <c r="C664" t="s">
        <v>62</v>
      </c>
      <c r="D664">
        <v>167.27</v>
      </c>
      <c r="E664">
        <v>455</v>
      </c>
      <c r="F664">
        <v>365</v>
      </c>
      <c r="G664">
        <v>345</v>
      </c>
      <c r="H664">
        <v>1165</v>
      </c>
      <c r="I664">
        <v>2015</v>
      </c>
      <c r="J664" t="s">
        <v>29</v>
      </c>
      <c r="K664" t="s">
        <v>171</v>
      </c>
      <c r="L664" s="8">
        <f t="shared" si="10"/>
        <v>1.0579710144927537</v>
      </c>
    </row>
    <row r="665" spans="1:12">
      <c r="A665" t="s">
        <v>787</v>
      </c>
      <c r="B665">
        <v>1979</v>
      </c>
      <c r="C665" t="s">
        <v>35</v>
      </c>
      <c r="D665">
        <v>150.9</v>
      </c>
      <c r="E665">
        <v>370</v>
      </c>
      <c r="F665">
        <v>360</v>
      </c>
      <c r="G665">
        <v>305</v>
      </c>
      <c r="H665">
        <v>1035</v>
      </c>
      <c r="I665">
        <v>2014</v>
      </c>
      <c r="J665" t="s">
        <v>29</v>
      </c>
      <c r="K665" t="s">
        <v>171</v>
      </c>
      <c r="L665" s="8">
        <f t="shared" si="10"/>
        <v>1.180327868852459</v>
      </c>
    </row>
    <row r="666" spans="1:12">
      <c r="A666" t="s">
        <v>794</v>
      </c>
      <c r="B666">
        <v>1989</v>
      </c>
      <c r="C666" t="s">
        <v>119</v>
      </c>
      <c r="D666">
        <v>137.94</v>
      </c>
      <c r="E666">
        <v>435</v>
      </c>
      <c r="F666">
        <v>357.5</v>
      </c>
      <c r="G666">
        <v>355</v>
      </c>
      <c r="H666">
        <v>1147.5</v>
      </c>
      <c r="I666">
        <v>2012</v>
      </c>
      <c r="J666" t="s">
        <v>29</v>
      </c>
      <c r="K666" t="s">
        <v>171</v>
      </c>
      <c r="L666" s="8">
        <f t="shared" si="10"/>
        <v>1.0070422535211268</v>
      </c>
    </row>
    <row r="667" spans="1:12">
      <c r="A667" t="s">
        <v>586</v>
      </c>
      <c r="B667">
        <v>1986</v>
      </c>
      <c r="C667" t="s">
        <v>28</v>
      </c>
      <c r="D667">
        <v>160.94999999999999</v>
      </c>
      <c r="E667">
        <v>470</v>
      </c>
      <c r="F667">
        <v>357.5</v>
      </c>
      <c r="G667">
        <v>350</v>
      </c>
      <c r="H667">
        <v>1177.5</v>
      </c>
      <c r="I667">
        <v>2015</v>
      </c>
      <c r="J667" t="s">
        <v>29</v>
      </c>
      <c r="K667" t="s">
        <v>171</v>
      </c>
      <c r="L667" s="8">
        <f t="shared" si="10"/>
        <v>1.0214285714285714</v>
      </c>
    </row>
    <row r="668" spans="1:12">
      <c r="A668" t="s">
        <v>742</v>
      </c>
      <c r="B668">
        <v>1975</v>
      </c>
      <c r="C668" t="s">
        <v>80</v>
      </c>
      <c r="D668">
        <v>143.56</v>
      </c>
      <c r="E668">
        <v>402.5</v>
      </c>
      <c r="F668">
        <v>357.5</v>
      </c>
      <c r="G668">
        <v>302.5</v>
      </c>
      <c r="H668">
        <v>1062.5</v>
      </c>
      <c r="I668">
        <v>2015</v>
      </c>
      <c r="J668" t="s">
        <v>29</v>
      </c>
      <c r="K668" t="s">
        <v>171</v>
      </c>
      <c r="L668" s="8">
        <f t="shared" si="10"/>
        <v>1.1818181818181819</v>
      </c>
    </row>
    <row r="669" spans="1:12">
      <c r="A669" t="s">
        <v>586</v>
      </c>
      <c r="B669">
        <v>1986</v>
      </c>
      <c r="C669" t="s">
        <v>28</v>
      </c>
      <c r="D669">
        <v>162</v>
      </c>
      <c r="E669">
        <v>467.5</v>
      </c>
      <c r="F669">
        <v>355</v>
      </c>
      <c r="G669">
        <v>365</v>
      </c>
      <c r="H669">
        <v>1187.5</v>
      </c>
      <c r="I669">
        <v>2013</v>
      </c>
      <c r="J669" t="s">
        <v>29</v>
      </c>
      <c r="K669" t="s">
        <v>171</v>
      </c>
      <c r="L669" s="8">
        <f t="shared" si="10"/>
        <v>0.9726027397260274</v>
      </c>
    </row>
    <row r="670" spans="1:12">
      <c r="A670" t="s">
        <v>787</v>
      </c>
      <c r="B670">
        <v>1979</v>
      </c>
      <c r="C670" t="s">
        <v>35</v>
      </c>
      <c r="D670">
        <v>147.30000000000001</v>
      </c>
      <c r="E670">
        <v>372.5</v>
      </c>
      <c r="F670">
        <v>355</v>
      </c>
      <c r="G670">
        <v>322.5</v>
      </c>
      <c r="H670">
        <v>1050</v>
      </c>
      <c r="I670">
        <v>2013</v>
      </c>
      <c r="J670" t="s">
        <v>29</v>
      </c>
      <c r="K670" t="s">
        <v>171</v>
      </c>
      <c r="L670" s="8">
        <f t="shared" si="10"/>
        <v>1.1007751937984496</v>
      </c>
    </row>
    <row r="671" spans="1:12">
      <c r="A671" t="s">
        <v>726</v>
      </c>
      <c r="B671">
        <v>1984</v>
      </c>
      <c r="C671" t="s">
        <v>45</v>
      </c>
      <c r="D671">
        <v>164.33</v>
      </c>
      <c r="E671">
        <v>405</v>
      </c>
      <c r="F671">
        <v>352.5</v>
      </c>
      <c r="G671">
        <v>310</v>
      </c>
      <c r="H671">
        <v>1067.5</v>
      </c>
      <c r="I671">
        <v>2015</v>
      </c>
      <c r="J671" t="s">
        <v>29</v>
      </c>
      <c r="K671" t="s">
        <v>171</v>
      </c>
      <c r="L671" s="8">
        <f t="shared" si="10"/>
        <v>1.1370967741935485</v>
      </c>
    </row>
    <row r="672" spans="1:12">
      <c r="A672" t="s">
        <v>581</v>
      </c>
      <c r="B672">
        <v>1979</v>
      </c>
      <c r="C672" t="s">
        <v>125</v>
      </c>
      <c r="D672">
        <v>160.80000000000001</v>
      </c>
      <c r="E672">
        <v>370</v>
      </c>
      <c r="F672">
        <v>352.5</v>
      </c>
      <c r="G672">
        <v>290</v>
      </c>
      <c r="H672">
        <v>1012.5</v>
      </c>
      <c r="I672">
        <v>2015</v>
      </c>
      <c r="J672" t="s">
        <v>29</v>
      </c>
      <c r="K672" t="s">
        <v>171</v>
      </c>
      <c r="L672" s="8">
        <f t="shared" si="10"/>
        <v>1.2155172413793103</v>
      </c>
    </row>
    <row r="673" spans="1:12">
      <c r="A673" t="s">
        <v>428</v>
      </c>
      <c r="B673">
        <v>1990</v>
      </c>
      <c r="C673" t="s">
        <v>45</v>
      </c>
      <c r="D673">
        <v>168.02</v>
      </c>
      <c r="E673">
        <v>490</v>
      </c>
      <c r="F673">
        <v>350</v>
      </c>
      <c r="G673">
        <v>390</v>
      </c>
      <c r="H673">
        <v>1230</v>
      </c>
      <c r="I673">
        <v>2014</v>
      </c>
      <c r="J673" t="s">
        <v>29</v>
      </c>
      <c r="K673" t="s">
        <v>171</v>
      </c>
      <c r="L673" s="8">
        <f t="shared" si="10"/>
        <v>0.89743589743589747</v>
      </c>
    </row>
    <row r="674" spans="1:12">
      <c r="A674" t="s">
        <v>742</v>
      </c>
      <c r="B674">
        <v>1975</v>
      </c>
      <c r="C674" t="s">
        <v>80</v>
      </c>
      <c r="D674">
        <v>141.80000000000001</v>
      </c>
      <c r="E674">
        <v>415</v>
      </c>
      <c r="F674">
        <v>345</v>
      </c>
      <c r="G674">
        <v>312.5</v>
      </c>
      <c r="H674">
        <v>1072.5</v>
      </c>
      <c r="I674">
        <v>2014</v>
      </c>
      <c r="J674" t="s">
        <v>29</v>
      </c>
      <c r="K674" t="s">
        <v>171</v>
      </c>
      <c r="L674" s="8">
        <f t="shared" si="10"/>
        <v>1.1040000000000001</v>
      </c>
    </row>
    <row r="675" spans="1:12">
      <c r="A675" t="s">
        <v>777</v>
      </c>
      <c r="B675">
        <v>1972</v>
      </c>
      <c r="C675" t="s">
        <v>72</v>
      </c>
      <c r="D675">
        <v>166.25</v>
      </c>
      <c r="E675">
        <v>385</v>
      </c>
      <c r="F675">
        <v>345</v>
      </c>
      <c r="G675">
        <v>285</v>
      </c>
      <c r="H675">
        <v>1015</v>
      </c>
      <c r="I675">
        <v>2015</v>
      </c>
      <c r="J675" t="s">
        <v>29</v>
      </c>
      <c r="K675" t="s">
        <v>171</v>
      </c>
      <c r="L675" s="8">
        <f t="shared" si="10"/>
        <v>1.2105263157894737</v>
      </c>
    </row>
    <row r="676" spans="1:12">
      <c r="A676" t="s">
        <v>742</v>
      </c>
      <c r="B676">
        <v>1975</v>
      </c>
      <c r="C676" t="s">
        <v>80</v>
      </c>
      <c r="D676">
        <v>141.6</v>
      </c>
      <c r="E676">
        <v>412.5</v>
      </c>
      <c r="F676">
        <v>342.5</v>
      </c>
      <c r="G676">
        <v>320</v>
      </c>
      <c r="H676">
        <v>1075</v>
      </c>
      <c r="I676">
        <v>2013</v>
      </c>
      <c r="J676" t="s">
        <v>29</v>
      </c>
      <c r="K676" t="s">
        <v>171</v>
      </c>
      <c r="L676" s="8">
        <f t="shared" si="10"/>
        <v>1.0703125</v>
      </c>
    </row>
    <row r="677" spans="1:12">
      <c r="A677" t="s">
        <v>742</v>
      </c>
      <c r="B677">
        <v>1975</v>
      </c>
      <c r="C677" t="s">
        <v>80</v>
      </c>
      <c r="D677">
        <v>140.22</v>
      </c>
      <c r="E677">
        <v>412.5</v>
      </c>
      <c r="F677">
        <v>342.5</v>
      </c>
      <c r="G677">
        <v>310</v>
      </c>
      <c r="H677">
        <v>1065</v>
      </c>
      <c r="I677">
        <v>2012</v>
      </c>
      <c r="J677" t="s">
        <v>29</v>
      </c>
      <c r="K677" t="s">
        <v>171</v>
      </c>
      <c r="L677" s="8">
        <f t="shared" si="10"/>
        <v>1.1048387096774193</v>
      </c>
    </row>
    <row r="678" spans="1:12">
      <c r="A678" t="s">
        <v>586</v>
      </c>
      <c r="B678">
        <v>1986</v>
      </c>
      <c r="C678" t="s">
        <v>28</v>
      </c>
      <c r="D678">
        <v>162.44999999999999</v>
      </c>
      <c r="E678">
        <v>460</v>
      </c>
      <c r="F678">
        <v>340</v>
      </c>
      <c r="G678">
        <v>345</v>
      </c>
      <c r="H678">
        <v>1145</v>
      </c>
      <c r="I678">
        <v>2012</v>
      </c>
      <c r="J678" t="s">
        <v>29</v>
      </c>
      <c r="K678" t="s">
        <v>171</v>
      </c>
      <c r="L678" s="8">
        <f t="shared" si="10"/>
        <v>0.98550724637681164</v>
      </c>
    </row>
    <row r="679" spans="1:12">
      <c r="A679" t="s">
        <v>420</v>
      </c>
      <c r="B679">
        <v>1988</v>
      </c>
      <c r="C679" t="s">
        <v>62</v>
      </c>
      <c r="D679">
        <v>170.52</v>
      </c>
      <c r="E679">
        <v>447.5</v>
      </c>
      <c r="F679">
        <v>337.5</v>
      </c>
      <c r="G679">
        <v>362.5</v>
      </c>
      <c r="H679">
        <v>1147.5</v>
      </c>
      <c r="I679">
        <v>2015</v>
      </c>
      <c r="J679" t="s">
        <v>29</v>
      </c>
      <c r="K679" t="s">
        <v>171</v>
      </c>
      <c r="L679" s="8">
        <f t="shared" si="10"/>
        <v>0.93103448275862066</v>
      </c>
    </row>
    <row r="680" spans="1:12">
      <c r="A680" t="s">
        <v>369</v>
      </c>
      <c r="B680">
        <v>1983</v>
      </c>
      <c r="C680" t="s">
        <v>45</v>
      </c>
      <c r="D680">
        <v>168.7</v>
      </c>
      <c r="E680">
        <v>410</v>
      </c>
      <c r="F680">
        <v>337.5</v>
      </c>
      <c r="G680">
        <v>362.5</v>
      </c>
      <c r="H680">
        <v>1110</v>
      </c>
      <c r="I680">
        <v>2015</v>
      </c>
      <c r="J680" t="s">
        <v>29</v>
      </c>
      <c r="K680" t="s">
        <v>171</v>
      </c>
      <c r="L680" s="8">
        <f t="shared" si="10"/>
        <v>0.93103448275862066</v>
      </c>
    </row>
    <row r="681" spans="1:12">
      <c r="A681" t="s">
        <v>420</v>
      </c>
      <c r="B681">
        <v>1988</v>
      </c>
      <c r="C681" t="s">
        <v>62</v>
      </c>
      <c r="D681">
        <v>163.5</v>
      </c>
      <c r="E681">
        <v>407.5</v>
      </c>
      <c r="F681">
        <v>332.5</v>
      </c>
      <c r="G681">
        <v>352.5</v>
      </c>
      <c r="H681">
        <v>1092.5</v>
      </c>
      <c r="I681">
        <v>2013</v>
      </c>
      <c r="J681" t="s">
        <v>29</v>
      </c>
      <c r="K681" t="s">
        <v>171</v>
      </c>
      <c r="L681" s="8">
        <f t="shared" si="10"/>
        <v>0.94326241134751776</v>
      </c>
    </row>
    <row r="682" spans="1:12">
      <c r="A682" t="s">
        <v>428</v>
      </c>
      <c r="B682">
        <v>1990</v>
      </c>
      <c r="C682" t="s">
        <v>45</v>
      </c>
      <c r="D682">
        <v>164</v>
      </c>
      <c r="E682">
        <v>475</v>
      </c>
      <c r="F682">
        <v>330</v>
      </c>
      <c r="G682">
        <v>370</v>
      </c>
      <c r="H682">
        <v>1175</v>
      </c>
      <c r="I682">
        <v>2013</v>
      </c>
      <c r="J682" t="s">
        <v>29</v>
      </c>
      <c r="K682" t="s">
        <v>171</v>
      </c>
      <c r="L682" s="8">
        <f t="shared" si="10"/>
        <v>0.89189189189189189</v>
      </c>
    </row>
    <row r="683" spans="1:12">
      <c r="A683" t="s">
        <v>428</v>
      </c>
      <c r="B683">
        <v>1990</v>
      </c>
      <c r="C683" t="s">
        <v>45</v>
      </c>
      <c r="D683">
        <v>163.47</v>
      </c>
      <c r="E683">
        <v>445</v>
      </c>
      <c r="F683">
        <v>330</v>
      </c>
      <c r="G683">
        <v>357.5</v>
      </c>
      <c r="H683">
        <v>1132.5</v>
      </c>
      <c r="I683">
        <v>2012</v>
      </c>
      <c r="J683" t="s">
        <v>29</v>
      </c>
      <c r="K683" t="s">
        <v>171</v>
      </c>
      <c r="L683" s="8">
        <f t="shared" si="10"/>
        <v>0.92307692307692313</v>
      </c>
    </row>
    <row r="684" spans="1:12">
      <c r="A684" t="s">
        <v>389</v>
      </c>
      <c r="B684">
        <v>1978</v>
      </c>
      <c r="C684" t="s">
        <v>390</v>
      </c>
      <c r="D684">
        <v>119.83</v>
      </c>
      <c r="E684">
        <v>420</v>
      </c>
      <c r="F684">
        <v>330</v>
      </c>
      <c r="G684">
        <v>327.5</v>
      </c>
      <c r="H684">
        <v>1077.5</v>
      </c>
      <c r="I684">
        <v>2015</v>
      </c>
      <c r="J684" t="s">
        <v>29</v>
      </c>
      <c r="K684" t="s">
        <v>171</v>
      </c>
      <c r="L684" s="8">
        <f t="shared" si="10"/>
        <v>1.0076335877862594</v>
      </c>
    </row>
    <row r="685" spans="1:12">
      <c r="A685" t="s">
        <v>475</v>
      </c>
      <c r="B685">
        <v>1983</v>
      </c>
      <c r="C685" t="s">
        <v>228</v>
      </c>
      <c r="D685">
        <v>169.7</v>
      </c>
      <c r="E685">
        <v>360</v>
      </c>
      <c r="F685">
        <v>330</v>
      </c>
      <c r="G685">
        <v>310</v>
      </c>
      <c r="H685">
        <v>1000</v>
      </c>
      <c r="I685">
        <v>2014</v>
      </c>
      <c r="J685" t="s">
        <v>29</v>
      </c>
      <c r="K685" t="s">
        <v>171</v>
      </c>
      <c r="L685" s="8">
        <f t="shared" si="10"/>
        <v>1.064516129032258</v>
      </c>
    </row>
    <row r="686" spans="1:12">
      <c r="A686" t="s">
        <v>368</v>
      </c>
      <c r="B686">
        <v>1983</v>
      </c>
      <c r="C686" t="s">
        <v>45</v>
      </c>
      <c r="D686">
        <v>159.5</v>
      </c>
      <c r="E686">
        <v>405</v>
      </c>
      <c r="F686">
        <v>325</v>
      </c>
      <c r="G686">
        <v>352.5</v>
      </c>
      <c r="H686">
        <v>1082.5</v>
      </c>
      <c r="I686">
        <v>2013</v>
      </c>
      <c r="J686" t="s">
        <v>29</v>
      </c>
      <c r="K686" t="s">
        <v>171</v>
      </c>
      <c r="L686" s="8">
        <f t="shared" si="10"/>
        <v>0.92198581560283688</v>
      </c>
    </row>
    <row r="687" spans="1:12">
      <c r="A687" t="s">
        <v>450</v>
      </c>
      <c r="B687">
        <v>1987</v>
      </c>
      <c r="C687" t="s">
        <v>119</v>
      </c>
      <c r="D687">
        <v>104.92</v>
      </c>
      <c r="E687">
        <v>402.5</v>
      </c>
      <c r="F687">
        <v>323</v>
      </c>
      <c r="G687">
        <v>325</v>
      </c>
      <c r="H687">
        <v>1050.5</v>
      </c>
      <c r="I687">
        <v>2013</v>
      </c>
      <c r="J687" t="s">
        <v>29</v>
      </c>
      <c r="K687" t="s">
        <v>171</v>
      </c>
      <c r="L687" s="8">
        <f t="shared" si="10"/>
        <v>0.99384615384615382</v>
      </c>
    </row>
    <row r="688" spans="1:12">
      <c r="A688" t="s">
        <v>788</v>
      </c>
      <c r="B688">
        <v>1987</v>
      </c>
      <c r="C688" t="s">
        <v>119</v>
      </c>
      <c r="D688">
        <v>160.06</v>
      </c>
      <c r="E688">
        <v>442.5</v>
      </c>
      <c r="F688">
        <v>320</v>
      </c>
      <c r="G688">
        <v>330</v>
      </c>
      <c r="H688">
        <v>1092.5</v>
      </c>
      <c r="I688">
        <v>2012</v>
      </c>
      <c r="J688" t="s">
        <v>29</v>
      </c>
      <c r="K688" t="s">
        <v>171</v>
      </c>
      <c r="L688" s="8">
        <f t="shared" si="10"/>
        <v>0.96969696969696972</v>
      </c>
    </row>
    <row r="689" spans="1:12">
      <c r="A689" t="s">
        <v>450</v>
      </c>
      <c r="B689">
        <v>1987</v>
      </c>
      <c r="C689" t="s">
        <v>119</v>
      </c>
      <c r="D689">
        <v>104.16</v>
      </c>
      <c r="E689">
        <v>410</v>
      </c>
      <c r="F689">
        <v>320</v>
      </c>
      <c r="G689">
        <v>320</v>
      </c>
      <c r="H689">
        <v>1050</v>
      </c>
      <c r="I689">
        <v>2014</v>
      </c>
      <c r="J689" t="s">
        <v>29</v>
      </c>
      <c r="K689" t="s">
        <v>171</v>
      </c>
      <c r="L689" s="8">
        <f t="shared" si="10"/>
        <v>1</v>
      </c>
    </row>
    <row r="690" spans="1:12">
      <c r="A690" t="s">
        <v>415</v>
      </c>
      <c r="B690">
        <v>1985</v>
      </c>
      <c r="C690" t="s">
        <v>119</v>
      </c>
      <c r="D690">
        <v>116.58</v>
      </c>
      <c r="E690">
        <v>415</v>
      </c>
      <c r="F690">
        <v>317.5</v>
      </c>
      <c r="G690">
        <v>362.5</v>
      </c>
      <c r="H690">
        <v>1095</v>
      </c>
      <c r="I690">
        <v>2015</v>
      </c>
      <c r="J690" t="s">
        <v>29</v>
      </c>
      <c r="K690" t="s">
        <v>171</v>
      </c>
      <c r="L690" s="8">
        <f t="shared" si="10"/>
        <v>0.87586206896551722</v>
      </c>
    </row>
    <row r="691" spans="1:12">
      <c r="A691" t="s">
        <v>379</v>
      </c>
      <c r="B691">
        <v>1981</v>
      </c>
      <c r="C691" t="s">
        <v>380</v>
      </c>
      <c r="D691">
        <v>119.47</v>
      </c>
      <c r="E691">
        <v>300</v>
      </c>
      <c r="F691">
        <v>317.5</v>
      </c>
      <c r="G691">
        <v>250</v>
      </c>
      <c r="H691">
        <v>867.5</v>
      </c>
      <c r="I691">
        <v>2015</v>
      </c>
      <c r="J691" t="s">
        <v>29</v>
      </c>
      <c r="K691" t="s">
        <v>171</v>
      </c>
      <c r="L691" s="8">
        <f t="shared" si="10"/>
        <v>1.27</v>
      </c>
    </row>
    <row r="692" spans="1:12">
      <c r="A692" t="s">
        <v>450</v>
      </c>
      <c r="B692">
        <v>1987</v>
      </c>
      <c r="C692" t="s">
        <v>119</v>
      </c>
      <c r="D692">
        <v>104.42</v>
      </c>
      <c r="E692">
        <v>410</v>
      </c>
      <c r="F692">
        <v>315</v>
      </c>
      <c r="G692">
        <v>310</v>
      </c>
      <c r="H692">
        <v>1035</v>
      </c>
      <c r="I692">
        <v>2012</v>
      </c>
      <c r="J692" t="s">
        <v>29</v>
      </c>
      <c r="K692" t="s">
        <v>171</v>
      </c>
      <c r="L692" s="8">
        <f t="shared" si="10"/>
        <v>1.0161290322580645</v>
      </c>
    </row>
    <row r="693" spans="1:12">
      <c r="A693" t="s">
        <v>728</v>
      </c>
      <c r="B693">
        <v>1981</v>
      </c>
      <c r="C693" t="s">
        <v>119</v>
      </c>
      <c r="D693">
        <v>119.91</v>
      </c>
      <c r="E693">
        <v>412.5</v>
      </c>
      <c r="F693">
        <v>312.5</v>
      </c>
      <c r="G693">
        <v>345</v>
      </c>
      <c r="H693">
        <v>1070</v>
      </c>
      <c r="I693">
        <v>2015</v>
      </c>
      <c r="J693" t="s">
        <v>29</v>
      </c>
      <c r="K693" t="s">
        <v>171</v>
      </c>
      <c r="L693" s="8">
        <f t="shared" si="10"/>
        <v>0.90579710144927539</v>
      </c>
    </row>
    <row r="694" spans="1:12">
      <c r="A694" t="s">
        <v>845</v>
      </c>
      <c r="B694">
        <v>1990</v>
      </c>
      <c r="C694" t="s">
        <v>39</v>
      </c>
      <c r="D694">
        <v>113.58</v>
      </c>
      <c r="E694">
        <v>400</v>
      </c>
      <c r="F694">
        <v>310</v>
      </c>
      <c r="G694">
        <v>360</v>
      </c>
      <c r="H694">
        <v>1070</v>
      </c>
      <c r="I694">
        <v>2015</v>
      </c>
      <c r="J694" t="s">
        <v>29</v>
      </c>
      <c r="K694" t="s">
        <v>171</v>
      </c>
      <c r="L694" s="8">
        <f t="shared" si="10"/>
        <v>0.86111111111111116</v>
      </c>
    </row>
    <row r="695" spans="1:12">
      <c r="A695" t="s">
        <v>779</v>
      </c>
      <c r="B695">
        <v>1980</v>
      </c>
      <c r="C695" t="s">
        <v>72</v>
      </c>
      <c r="D695">
        <v>146.47</v>
      </c>
      <c r="E695">
        <v>440</v>
      </c>
      <c r="F695">
        <v>310</v>
      </c>
      <c r="G695">
        <v>320</v>
      </c>
      <c r="H695">
        <v>1070</v>
      </c>
      <c r="I695">
        <v>2012</v>
      </c>
      <c r="J695" t="s">
        <v>29</v>
      </c>
      <c r="K695" t="s">
        <v>171</v>
      </c>
      <c r="L695" s="8">
        <f t="shared" si="10"/>
        <v>0.96875</v>
      </c>
    </row>
    <row r="696" spans="1:12">
      <c r="A696" t="s">
        <v>775</v>
      </c>
      <c r="B696">
        <v>1986</v>
      </c>
      <c r="C696" t="s">
        <v>318</v>
      </c>
      <c r="D696">
        <v>119.1</v>
      </c>
      <c r="E696">
        <v>355</v>
      </c>
      <c r="F696">
        <v>310</v>
      </c>
      <c r="G696">
        <v>310</v>
      </c>
      <c r="H696">
        <v>975</v>
      </c>
      <c r="I696">
        <v>2015</v>
      </c>
      <c r="J696" t="s">
        <v>29</v>
      </c>
      <c r="K696" t="s">
        <v>171</v>
      </c>
      <c r="L696" s="8">
        <f t="shared" si="10"/>
        <v>1</v>
      </c>
    </row>
    <row r="697" spans="1:12">
      <c r="A697" t="s">
        <v>619</v>
      </c>
      <c r="B697">
        <v>1991</v>
      </c>
      <c r="C697" t="s">
        <v>72</v>
      </c>
      <c r="D697">
        <v>145.72999999999999</v>
      </c>
      <c r="E697">
        <v>0</v>
      </c>
      <c r="F697">
        <v>307.5</v>
      </c>
      <c r="G697">
        <v>350</v>
      </c>
      <c r="H697">
        <v>0</v>
      </c>
      <c r="I697">
        <v>2015</v>
      </c>
      <c r="J697" t="s">
        <v>29</v>
      </c>
      <c r="K697" t="s">
        <v>171</v>
      </c>
      <c r="L697" s="8">
        <f t="shared" si="10"/>
        <v>0.87857142857142856</v>
      </c>
    </row>
    <row r="698" spans="1:12">
      <c r="A698" t="s">
        <v>531</v>
      </c>
      <c r="B698">
        <v>1979</v>
      </c>
      <c r="C698" t="s">
        <v>352</v>
      </c>
      <c r="D698">
        <v>119.26</v>
      </c>
      <c r="E698">
        <v>410</v>
      </c>
      <c r="F698">
        <v>305</v>
      </c>
      <c r="G698">
        <v>347.5</v>
      </c>
      <c r="H698">
        <v>1062.5</v>
      </c>
      <c r="I698">
        <v>2014</v>
      </c>
      <c r="J698" t="s">
        <v>29</v>
      </c>
      <c r="K698" t="s">
        <v>171</v>
      </c>
      <c r="L698" s="8">
        <f t="shared" si="10"/>
        <v>0.87769784172661869</v>
      </c>
    </row>
    <row r="699" spans="1:12">
      <c r="A699" t="s">
        <v>531</v>
      </c>
      <c r="B699">
        <v>1979</v>
      </c>
      <c r="C699" t="s">
        <v>352</v>
      </c>
      <c r="D699">
        <v>118.31</v>
      </c>
      <c r="E699">
        <v>405</v>
      </c>
      <c r="F699">
        <v>305</v>
      </c>
      <c r="G699">
        <v>340</v>
      </c>
      <c r="H699">
        <v>1050</v>
      </c>
      <c r="I699">
        <v>2012</v>
      </c>
      <c r="J699" t="s">
        <v>29</v>
      </c>
      <c r="K699" t="s">
        <v>171</v>
      </c>
      <c r="L699" s="8">
        <f t="shared" si="10"/>
        <v>0.8970588235294118</v>
      </c>
    </row>
    <row r="700" spans="1:12">
      <c r="A700" t="s">
        <v>434</v>
      </c>
      <c r="B700">
        <v>1989</v>
      </c>
      <c r="C700" t="s">
        <v>62</v>
      </c>
      <c r="D700">
        <v>102.45</v>
      </c>
      <c r="E700">
        <v>372.5</v>
      </c>
      <c r="F700">
        <v>305</v>
      </c>
      <c r="G700">
        <v>282.5</v>
      </c>
      <c r="H700">
        <v>960</v>
      </c>
      <c r="I700">
        <v>2015</v>
      </c>
      <c r="J700" t="s">
        <v>29</v>
      </c>
      <c r="K700" t="s">
        <v>171</v>
      </c>
      <c r="L700" s="8">
        <f t="shared" si="10"/>
        <v>1.0796460176991149</v>
      </c>
    </row>
    <row r="701" spans="1:12">
      <c r="A701" t="s">
        <v>415</v>
      </c>
      <c r="B701">
        <v>1985</v>
      </c>
      <c r="C701" t="s">
        <v>119</v>
      </c>
      <c r="D701">
        <v>111.8</v>
      </c>
      <c r="E701">
        <v>385</v>
      </c>
      <c r="F701">
        <v>300</v>
      </c>
      <c r="G701">
        <v>365</v>
      </c>
      <c r="H701">
        <v>1050</v>
      </c>
      <c r="I701">
        <v>2014</v>
      </c>
      <c r="J701" t="s">
        <v>29</v>
      </c>
      <c r="K701" t="s">
        <v>171</v>
      </c>
      <c r="L701" s="8">
        <f t="shared" si="10"/>
        <v>0.82191780821917804</v>
      </c>
    </row>
    <row r="702" spans="1:12">
      <c r="A702" t="s">
        <v>728</v>
      </c>
      <c r="B702">
        <v>1981</v>
      </c>
      <c r="C702" t="s">
        <v>119</v>
      </c>
      <c r="D702">
        <v>118.98</v>
      </c>
      <c r="E702">
        <v>400</v>
      </c>
      <c r="F702">
        <v>300</v>
      </c>
      <c r="G702">
        <v>355</v>
      </c>
      <c r="H702">
        <v>1055</v>
      </c>
      <c r="I702">
        <v>2014</v>
      </c>
      <c r="J702" t="s">
        <v>29</v>
      </c>
      <c r="K702" t="s">
        <v>171</v>
      </c>
      <c r="L702" s="8">
        <f t="shared" si="10"/>
        <v>0.84507042253521125</v>
      </c>
    </row>
    <row r="703" spans="1:12">
      <c r="A703" t="s">
        <v>495</v>
      </c>
      <c r="B703">
        <v>1990</v>
      </c>
      <c r="C703" t="s">
        <v>28</v>
      </c>
      <c r="D703">
        <v>119.99</v>
      </c>
      <c r="E703">
        <v>0</v>
      </c>
      <c r="F703">
        <v>300</v>
      </c>
      <c r="G703">
        <v>322.5</v>
      </c>
      <c r="H703">
        <v>0</v>
      </c>
      <c r="I703">
        <v>2015</v>
      </c>
      <c r="J703" t="s">
        <v>29</v>
      </c>
      <c r="K703" t="s">
        <v>171</v>
      </c>
      <c r="L703" s="8">
        <f t="shared" si="10"/>
        <v>0.93023255813953487</v>
      </c>
    </row>
    <row r="704" spans="1:12">
      <c r="A704" t="s">
        <v>389</v>
      </c>
      <c r="B704">
        <v>1978</v>
      </c>
      <c r="C704" t="s">
        <v>390</v>
      </c>
      <c r="D704">
        <v>119.05</v>
      </c>
      <c r="E704">
        <v>425</v>
      </c>
      <c r="F704">
        <v>300</v>
      </c>
      <c r="G704">
        <v>300</v>
      </c>
      <c r="H704">
        <v>1025</v>
      </c>
      <c r="I704">
        <v>2013</v>
      </c>
      <c r="J704" t="s">
        <v>29</v>
      </c>
      <c r="K704" t="s">
        <v>171</v>
      </c>
      <c r="L704" s="8">
        <f t="shared" si="10"/>
        <v>1</v>
      </c>
    </row>
    <row r="705" spans="1:12">
      <c r="A705" t="s">
        <v>571</v>
      </c>
      <c r="B705">
        <v>1975</v>
      </c>
      <c r="C705" t="s">
        <v>109</v>
      </c>
      <c r="D705">
        <v>119.38</v>
      </c>
      <c r="E705">
        <v>330</v>
      </c>
      <c r="F705">
        <v>300</v>
      </c>
      <c r="G705">
        <v>285</v>
      </c>
      <c r="H705">
        <v>915</v>
      </c>
      <c r="I705">
        <v>2015</v>
      </c>
      <c r="J705" t="s">
        <v>29</v>
      </c>
      <c r="K705" t="s">
        <v>171</v>
      </c>
      <c r="L705" s="8">
        <f t="shared" si="10"/>
        <v>1.0526315789473684</v>
      </c>
    </row>
    <row r="706" spans="1:12">
      <c r="A706" t="s">
        <v>830</v>
      </c>
      <c r="B706">
        <v>1965</v>
      </c>
      <c r="C706" t="s">
        <v>85</v>
      </c>
      <c r="D706">
        <v>92.36</v>
      </c>
      <c r="E706">
        <v>340</v>
      </c>
      <c r="F706">
        <v>300</v>
      </c>
      <c r="G706">
        <v>270</v>
      </c>
      <c r="H706">
        <v>910</v>
      </c>
      <c r="I706">
        <v>2012</v>
      </c>
      <c r="J706" t="s">
        <v>29</v>
      </c>
      <c r="K706" t="s">
        <v>171</v>
      </c>
      <c r="L706" s="8">
        <f t="shared" si="10"/>
        <v>1.1111111111111112</v>
      </c>
    </row>
    <row r="707" spans="1:12">
      <c r="A707" t="s">
        <v>401</v>
      </c>
      <c r="B707">
        <v>1974</v>
      </c>
      <c r="C707" t="s">
        <v>51</v>
      </c>
      <c r="D707">
        <v>119.52</v>
      </c>
      <c r="E707">
        <v>395</v>
      </c>
      <c r="F707">
        <v>297.5</v>
      </c>
      <c r="G707">
        <v>352.5</v>
      </c>
      <c r="H707">
        <v>1045</v>
      </c>
      <c r="I707">
        <v>2014</v>
      </c>
      <c r="J707" t="s">
        <v>29</v>
      </c>
      <c r="K707" t="s">
        <v>171</v>
      </c>
      <c r="L707" s="8">
        <f t="shared" ref="L707:L770" si="11">IF(AND(F707&lt;&gt;0,G707&lt;&gt;0),F707/G707,"")</f>
        <v>0.84397163120567376</v>
      </c>
    </row>
    <row r="708" spans="1:12">
      <c r="A708" t="s">
        <v>592</v>
      </c>
      <c r="B708">
        <v>1974</v>
      </c>
      <c r="C708" t="s">
        <v>72</v>
      </c>
      <c r="D708">
        <v>119.33</v>
      </c>
      <c r="E708">
        <v>330</v>
      </c>
      <c r="F708">
        <v>297.5</v>
      </c>
      <c r="G708">
        <v>280</v>
      </c>
      <c r="H708">
        <v>907.5</v>
      </c>
      <c r="I708">
        <v>2013</v>
      </c>
      <c r="J708" t="s">
        <v>29</v>
      </c>
      <c r="K708" t="s">
        <v>171</v>
      </c>
      <c r="L708" s="8">
        <f t="shared" si="11"/>
        <v>1.0625</v>
      </c>
    </row>
    <row r="709" spans="1:12">
      <c r="A709" t="s">
        <v>728</v>
      </c>
      <c r="B709">
        <v>1981</v>
      </c>
      <c r="C709" t="s">
        <v>119</v>
      </c>
      <c r="D709">
        <v>119.5</v>
      </c>
      <c r="E709">
        <v>412.5</v>
      </c>
      <c r="F709">
        <v>295</v>
      </c>
      <c r="G709">
        <v>367.5</v>
      </c>
      <c r="H709">
        <v>1075</v>
      </c>
      <c r="I709">
        <v>2013</v>
      </c>
      <c r="J709" t="s">
        <v>29</v>
      </c>
      <c r="K709" t="s">
        <v>171</v>
      </c>
      <c r="L709" s="8">
        <f t="shared" si="11"/>
        <v>0.80272108843537415</v>
      </c>
    </row>
    <row r="710" spans="1:12">
      <c r="A710" t="s">
        <v>605</v>
      </c>
      <c r="B710">
        <v>1981</v>
      </c>
      <c r="C710" t="s">
        <v>28</v>
      </c>
      <c r="D710">
        <v>104.74</v>
      </c>
      <c r="E710">
        <v>400</v>
      </c>
      <c r="F710">
        <v>295</v>
      </c>
      <c r="G710">
        <v>352.5</v>
      </c>
      <c r="H710">
        <v>1047.5</v>
      </c>
      <c r="I710">
        <v>2012</v>
      </c>
      <c r="J710" t="s">
        <v>29</v>
      </c>
      <c r="K710" t="s">
        <v>171</v>
      </c>
      <c r="L710" s="8">
        <f t="shared" si="11"/>
        <v>0.83687943262411346</v>
      </c>
    </row>
    <row r="711" spans="1:12">
      <c r="A711" t="s">
        <v>154</v>
      </c>
      <c r="B711">
        <v>1987</v>
      </c>
      <c r="C711" t="s">
        <v>62</v>
      </c>
      <c r="D711">
        <v>158.27000000000001</v>
      </c>
      <c r="E711">
        <v>440</v>
      </c>
      <c r="F711">
        <v>295</v>
      </c>
      <c r="G711">
        <v>332.5</v>
      </c>
      <c r="H711">
        <v>1067.5</v>
      </c>
      <c r="I711">
        <v>2012</v>
      </c>
      <c r="J711" t="s">
        <v>29</v>
      </c>
      <c r="K711" t="s">
        <v>171</v>
      </c>
      <c r="L711" s="8">
        <f t="shared" si="11"/>
        <v>0.88721804511278191</v>
      </c>
    </row>
    <row r="712" spans="1:12">
      <c r="A712" t="s">
        <v>570</v>
      </c>
      <c r="B712">
        <v>1984</v>
      </c>
      <c r="C712" t="s">
        <v>119</v>
      </c>
      <c r="D712">
        <v>118.92</v>
      </c>
      <c r="E712">
        <v>405</v>
      </c>
      <c r="F712">
        <v>295</v>
      </c>
      <c r="G712">
        <v>332.5</v>
      </c>
      <c r="H712">
        <v>1032.5</v>
      </c>
      <c r="I712">
        <v>2012</v>
      </c>
      <c r="J712" t="s">
        <v>29</v>
      </c>
      <c r="K712" t="s">
        <v>171</v>
      </c>
      <c r="L712" s="8">
        <f t="shared" si="11"/>
        <v>0.88721804511278191</v>
      </c>
    </row>
    <row r="713" spans="1:12">
      <c r="A713" t="s">
        <v>686</v>
      </c>
      <c r="B713">
        <v>1977</v>
      </c>
      <c r="C713" t="s">
        <v>45</v>
      </c>
      <c r="D713">
        <v>117.89</v>
      </c>
      <c r="E713">
        <v>397.5</v>
      </c>
      <c r="F713">
        <v>295</v>
      </c>
      <c r="G713">
        <v>327.5</v>
      </c>
      <c r="H713">
        <v>1020</v>
      </c>
      <c r="I713">
        <v>2012</v>
      </c>
      <c r="J713" t="s">
        <v>29</v>
      </c>
      <c r="K713" t="s">
        <v>171</v>
      </c>
      <c r="L713" s="8">
        <f t="shared" si="11"/>
        <v>0.9007633587786259</v>
      </c>
    </row>
    <row r="714" spans="1:12">
      <c r="A714" t="s">
        <v>627</v>
      </c>
      <c r="B714">
        <v>1975</v>
      </c>
      <c r="C714" t="s">
        <v>62</v>
      </c>
      <c r="D714">
        <v>119.55</v>
      </c>
      <c r="E714">
        <v>390</v>
      </c>
      <c r="F714">
        <v>295</v>
      </c>
      <c r="G714">
        <v>300</v>
      </c>
      <c r="H714">
        <v>985</v>
      </c>
      <c r="I714">
        <v>2013</v>
      </c>
      <c r="J714" t="s">
        <v>29</v>
      </c>
      <c r="K714" t="s">
        <v>171</v>
      </c>
      <c r="L714" s="8">
        <f t="shared" si="11"/>
        <v>0.98333333333333328</v>
      </c>
    </row>
    <row r="715" spans="1:12">
      <c r="A715" t="s">
        <v>830</v>
      </c>
      <c r="B715">
        <v>1965</v>
      </c>
      <c r="C715" t="s">
        <v>85</v>
      </c>
      <c r="D715">
        <v>92.92</v>
      </c>
      <c r="E715">
        <v>340</v>
      </c>
      <c r="F715">
        <v>295</v>
      </c>
      <c r="G715">
        <v>290</v>
      </c>
      <c r="H715">
        <v>925</v>
      </c>
      <c r="I715">
        <v>2015</v>
      </c>
      <c r="J715" t="s">
        <v>29</v>
      </c>
      <c r="K715" t="s">
        <v>171</v>
      </c>
      <c r="L715" s="8">
        <f t="shared" si="11"/>
        <v>1.0172413793103448</v>
      </c>
    </row>
    <row r="716" spans="1:12">
      <c r="A716" t="s">
        <v>431</v>
      </c>
      <c r="B716">
        <v>1984</v>
      </c>
      <c r="C716" t="s">
        <v>51</v>
      </c>
      <c r="D716">
        <v>118.93</v>
      </c>
      <c r="E716">
        <v>390</v>
      </c>
      <c r="F716">
        <v>292.5</v>
      </c>
      <c r="G716">
        <v>350</v>
      </c>
      <c r="H716">
        <v>1032.5</v>
      </c>
      <c r="I716">
        <v>2015</v>
      </c>
      <c r="J716" t="s">
        <v>29</v>
      </c>
      <c r="K716" t="s">
        <v>171</v>
      </c>
      <c r="L716" s="8">
        <f t="shared" si="11"/>
        <v>0.83571428571428574</v>
      </c>
    </row>
    <row r="717" spans="1:12">
      <c r="A717" t="s">
        <v>161</v>
      </c>
      <c r="B717">
        <v>1988</v>
      </c>
      <c r="C717" t="s">
        <v>45</v>
      </c>
      <c r="D717">
        <v>104.54</v>
      </c>
      <c r="E717">
        <v>390</v>
      </c>
      <c r="F717">
        <v>290</v>
      </c>
      <c r="G717">
        <v>350</v>
      </c>
      <c r="H717">
        <v>1030</v>
      </c>
      <c r="I717">
        <v>2015</v>
      </c>
      <c r="J717" t="s">
        <v>29</v>
      </c>
      <c r="K717" t="s">
        <v>171</v>
      </c>
      <c r="L717" s="8">
        <f t="shared" si="11"/>
        <v>0.82857142857142863</v>
      </c>
    </row>
    <row r="718" spans="1:12">
      <c r="A718" t="s">
        <v>605</v>
      </c>
      <c r="B718">
        <v>1981</v>
      </c>
      <c r="C718" t="s">
        <v>28</v>
      </c>
      <c r="D718">
        <v>104.14</v>
      </c>
      <c r="E718">
        <v>395</v>
      </c>
      <c r="F718">
        <v>290</v>
      </c>
      <c r="G718">
        <v>347.5</v>
      </c>
      <c r="H718">
        <v>1032.5</v>
      </c>
      <c r="I718">
        <v>2014</v>
      </c>
      <c r="J718" t="s">
        <v>29</v>
      </c>
      <c r="K718" t="s">
        <v>171</v>
      </c>
      <c r="L718" s="8">
        <f t="shared" si="11"/>
        <v>0.83453237410071945</v>
      </c>
    </row>
    <row r="719" spans="1:12">
      <c r="A719" t="s">
        <v>830</v>
      </c>
      <c r="B719">
        <v>1965</v>
      </c>
      <c r="C719" t="s">
        <v>85</v>
      </c>
      <c r="D719">
        <v>91.48</v>
      </c>
      <c r="E719">
        <v>360</v>
      </c>
      <c r="F719">
        <v>290</v>
      </c>
      <c r="G719">
        <v>292.5</v>
      </c>
      <c r="H719">
        <v>942.5</v>
      </c>
      <c r="I719">
        <v>2014</v>
      </c>
      <c r="J719" t="s">
        <v>29</v>
      </c>
      <c r="K719" t="s">
        <v>171</v>
      </c>
      <c r="L719" s="8">
        <f t="shared" si="11"/>
        <v>0.99145299145299148</v>
      </c>
    </row>
    <row r="720" spans="1:12">
      <c r="A720" t="s">
        <v>830</v>
      </c>
      <c r="B720">
        <v>1965</v>
      </c>
      <c r="C720" t="s">
        <v>85</v>
      </c>
      <c r="D720">
        <v>89.96</v>
      </c>
      <c r="E720">
        <v>345</v>
      </c>
      <c r="F720">
        <v>290</v>
      </c>
      <c r="G720">
        <v>280</v>
      </c>
      <c r="H720">
        <v>915</v>
      </c>
      <c r="I720">
        <v>2013</v>
      </c>
      <c r="J720" t="s">
        <v>29</v>
      </c>
      <c r="K720" t="s">
        <v>171</v>
      </c>
      <c r="L720" s="8">
        <f t="shared" si="11"/>
        <v>1.0357142857142858</v>
      </c>
    </row>
    <row r="721" spans="1:12">
      <c r="A721" t="s">
        <v>540</v>
      </c>
      <c r="B721">
        <v>1987</v>
      </c>
      <c r="C721" t="s">
        <v>28</v>
      </c>
      <c r="D721">
        <v>92.06</v>
      </c>
      <c r="E721">
        <v>380</v>
      </c>
      <c r="F721">
        <v>287.5</v>
      </c>
      <c r="G721">
        <v>350</v>
      </c>
      <c r="H721">
        <v>1017.5</v>
      </c>
      <c r="I721">
        <v>2015</v>
      </c>
      <c r="J721" t="s">
        <v>29</v>
      </c>
      <c r="K721" t="s">
        <v>171</v>
      </c>
      <c r="L721" s="8">
        <f t="shared" si="11"/>
        <v>0.8214285714285714</v>
      </c>
    </row>
    <row r="722" spans="1:12">
      <c r="A722" t="s">
        <v>540</v>
      </c>
      <c r="B722">
        <v>1987</v>
      </c>
      <c r="C722" t="s">
        <v>28</v>
      </c>
      <c r="D722">
        <v>91.7</v>
      </c>
      <c r="E722">
        <v>372.5</v>
      </c>
      <c r="F722">
        <v>287.5</v>
      </c>
      <c r="G722">
        <v>340</v>
      </c>
      <c r="H722">
        <v>1000</v>
      </c>
      <c r="I722">
        <v>2014</v>
      </c>
      <c r="J722" t="s">
        <v>29</v>
      </c>
      <c r="K722" t="s">
        <v>171</v>
      </c>
      <c r="L722" s="8">
        <f t="shared" si="11"/>
        <v>0.84558823529411764</v>
      </c>
    </row>
    <row r="723" spans="1:12">
      <c r="A723" t="s">
        <v>808</v>
      </c>
      <c r="B723">
        <v>1972</v>
      </c>
      <c r="C723" t="s">
        <v>318</v>
      </c>
      <c r="D723">
        <v>103.38</v>
      </c>
      <c r="E723">
        <v>355</v>
      </c>
      <c r="F723">
        <v>287.5</v>
      </c>
      <c r="G723">
        <v>307.5</v>
      </c>
      <c r="H723">
        <v>950</v>
      </c>
      <c r="I723">
        <v>2015</v>
      </c>
      <c r="J723" t="s">
        <v>29</v>
      </c>
      <c r="K723" t="s">
        <v>171</v>
      </c>
      <c r="L723" s="8">
        <f t="shared" si="11"/>
        <v>0.93495934959349591</v>
      </c>
    </row>
    <row r="724" spans="1:12">
      <c r="A724" t="s">
        <v>627</v>
      </c>
      <c r="B724">
        <v>1975</v>
      </c>
      <c r="C724" t="s">
        <v>62</v>
      </c>
      <c r="D724">
        <v>119.74</v>
      </c>
      <c r="E724">
        <v>392.5</v>
      </c>
      <c r="F724">
        <v>287.5</v>
      </c>
      <c r="G724">
        <v>305</v>
      </c>
      <c r="H724">
        <v>985</v>
      </c>
      <c r="I724">
        <v>2012</v>
      </c>
      <c r="J724" t="s">
        <v>29</v>
      </c>
      <c r="K724" t="s">
        <v>171</v>
      </c>
      <c r="L724" s="8">
        <f t="shared" si="11"/>
        <v>0.94262295081967218</v>
      </c>
    </row>
    <row r="725" spans="1:12">
      <c r="A725" t="s">
        <v>392</v>
      </c>
      <c r="B725">
        <v>1990</v>
      </c>
      <c r="C725" t="s">
        <v>119</v>
      </c>
      <c r="D725">
        <v>92.15</v>
      </c>
      <c r="E725">
        <v>387.5</v>
      </c>
      <c r="F725">
        <v>285</v>
      </c>
      <c r="G725">
        <v>350</v>
      </c>
      <c r="H725">
        <v>1022.5</v>
      </c>
      <c r="I725">
        <v>2015</v>
      </c>
      <c r="J725" t="s">
        <v>29</v>
      </c>
      <c r="K725" t="s">
        <v>171</v>
      </c>
      <c r="L725" s="8">
        <f t="shared" si="11"/>
        <v>0.81428571428571428</v>
      </c>
    </row>
    <row r="726" spans="1:12">
      <c r="A726" t="s">
        <v>605</v>
      </c>
      <c r="B726">
        <v>1981</v>
      </c>
      <c r="C726" t="s">
        <v>28</v>
      </c>
      <c r="D726">
        <v>103.62</v>
      </c>
      <c r="E726">
        <v>405</v>
      </c>
      <c r="F726">
        <v>285</v>
      </c>
      <c r="G726">
        <v>347.5</v>
      </c>
      <c r="H726">
        <v>1037.5</v>
      </c>
      <c r="I726">
        <v>2013</v>
      </c>
      <c r="J726" t="s">
        <v>29</v>
      </c>
      <c r="K726" t="s">
        <v>171</v>
      </c>
      <c r="L726" s="8">
        <f t="shared" si="11"/>
        <v>0.82014388489208634</v>
      </c>
    </row>
    <row r="727" spans="1:12">
      <c r="A727" t="s">
        <v>459</v>
      </c>
      <c r="B727">
        <v>1989</v>
      </c>
      <c r="C727" t="s">
        <v>45</v>
      </c>
      <c r="D727">
        <v>104.49</v>
      </c>
      <c r="E727">
        <v>352.5</v>
      </c>
      <c r="F727">
        <v>285</v>
      </c>
      <c r="G727">
        <v>322.5</v>
      </c>
      <c r="H727">
        <v>960</v>
      </c>
      <c r="I727">
        <v>2015</v>
      </c>
      <c r="J727" t="s">
        <v>29</v>
      </c>
      <c r="K727" t="s">
        <v>171</v>
      </c>
      <c r="L727" s="8">
        <f t="shared" si="11"/>
        <v>0.88372093023255816</v>
      </c>
    </row>
    <row r="728" spans="1:12">
      <c r="A728" t="s">
        <v>708</v>
      </c>
      <c r="B728">
        <v>1983</v>
      </c>
      <c r="C728" t="s">
        <v>80</v>
      </c>
      <c r="D728">
        <v>119.9</v>
      </c>
      <c r="E728">
        <v>340</v>
      </c>
      <c r="F728">
        <v>285</v>
      </c>
      <c r="G728">
        <v>295</v>
      </c>
      <c r="H728">
        <v>920</v>
      </c>
      <c r="I728">
        <v>2012</v>
      </c>
      <c r="J728" t="s">
        <v>29</v>
      </c>
      <c r="K728" t="s">
        <v>171</v>
      </c>
      <c r="L728" s="8">
        <f t="shared" si="11"/>
        <v>0.96610169491525422</v>
      </c>
    </row>
    <row r="729" spans="1:12">
      <c r="A729" t="s">
        <v>377</v>
      </c>
      <c r="B729">
        <v>1981</v>
      </c>
      <c r="C729" t="s">
        <v>28</v>
      </c>
      <c r="D729">
        <v>119.91</v>
      </c>
      <c r="E729">
        <v>410</v>
      </c>
      <c r="F729">
        <v>282.5</v>
      </c>
      <c r="G729">
        <v>360</v>
      </c>
      <c r="H729">
        <v>1052.5</v>
      </c>
      <c r="I729">
        <v>2012</v>
      </c>
      <c r="J729" t="s">
        <v>29</v>
      </c>
      <c r="K729" t="s">
        <v>171</v>
      </c>
      <c r="L729" s="8">
        <f t="shared" si="11"/>
        <v>0.78472222222222221</v>
      </c>
    </row>
    <row r="730" spans="1:12">
      <c r="A730" t="s">
        <v>459</v>
      </c>
      <c r="B730">
        <v>1989</v>
      </c>
      <c r="C730" t="s">
        <v>45</v>
      </c>
      <c r="D730">
        <v>104.02</v>
      </c>
      <c r="E730">
        <v>350</v>
      </c>
      <c r="F730">
        <v>282.5</v>
      </c>
      <c r="G730">
        <v>337.5</v>
      </c>
      <c r="H730">
        <v>970</v>
      </c>
      <c r="I730">
        <v>2014</v>
      </c>
      <c r="J730" t="s">
        <v>29</v>
      </c>
      <c r="K730" t="s">
        <v>171</v>
      </c>
      <c r="L730" s="8">
        <f t="shared" si="11"/>
        <v>0.83703703703703702</v>
      </c>
    </row>
    <row r="731" spans="1:12">
      <c r="A731" t="s">
        <v>619</v>
      </c>
      <c r="B731">
        <v>1991</v>
      </c>
      <c r="C731" t="s">
        <v>72</v>
      </c>
      <c r="D731">
        <v>138.19999999999999</v>
      </c>
      <c r="E731">
        <v>425</v>
      </c>
      <c r="F731">
        <v>282.5</v>
      </c>
      <c r="G731">
        <v>322.5</v>
      </c>
      <c r="H731">
        <v>1030</v>
      </c>
      <c r="I731">
        <v>2013</v>
      </c>
      <c r="J731" t="s">
        <v>29</v>
      </c>
      <c r="K731" t="s">
        <v>171</v>
      </c>
      <c r="L731" s="8">
        <f t="shared" si="11"/>
        <v>0.87596899224806202</v>
      </c>
    </row>
    <row r="732" spans="1:12">
      <c r="A732" t="s">
        <v>385</v>
      </c>
      <c r="B732">
        <v>1990</v>
      </c>
      <c r="C732" t="s">
        <v>28</v>
      </c>
      <c r="D732">
        <v>102.78</v>
      </c>
      <c r="E732">
        <v>405</v>
      </c>
      <c r="F732">
        <v>280</v>
      </c>
      <c r="G732">
        <v>357.5</v>
      </c>
      <c r="H732">
        <v>1042.5</v>
      </c>
      <c r="I732">
        <v>2014</v>
      </c>
      <c r="J732" t="s">
        <v>29</v>
      </c>
      <c r="K732" t="s">
        <v>171</v>
      </c>
      <c r="L732" s="8">
        <f t="shared" si="11"/>
        <v>0.78321678321678323</v>
      </c>
    </row>
    <row r="733" spans="1:12">
      <c r="A733" t="s">
        <v>845</v>
      </c>
      <c r="B733">
        <v>1990</v>
      </c>
      <c r="C733" t="s">
        <v>39</v>
      </c>
      <c r="D733">
        <v>112.68</v>
      </c>
      <c r="E733">
        <v>400</v>
      </c>
      <c r="F733">
        <v>280</v>
      </c>
      <c r="G733">
        <v>350</v>
      </c>
      <c r="H733">
        <v>1030</v>
      </c>
      <c r="I733">
        <v>2014</v>
      </c>
      <c r="J733" t="s">
        <v>29</v>
      </c>
      <c r="K733" t="s">
        <v>171</v>
      </c>
      <c r="L733" s="8">
        <f t="shared" si="11"/>
        <v>0.8</v>
      </c>
    </row>
    <row r="734" spans="1:12">
      <c r="A734" t="s">
        <v>622</v>
      </c>
      <c r="B734">
        <v>1983</v>
      </c>
      <c r="C734" t="s">
        <v>113</v>
      </c>
      <c r="D734">
        <v>118.68</v>
      </c>
      <c r="E734">
        <v>370</v>
      </c>
      <c r="F734">
        <v>280</v>
      </c>
      <c r="G734">
        <v>315</v>
      </c>
      <c r="H734">
        <v>965</v>
      </c>
      <c r="I734">
        <v>2014</v>
      </c>
      <c r="J734" t="s">
        <v>29</v>
      </c>
      <c r="K734" t="s">
        <v>171</v>
      </c>
      <c r="L734" s="8">
        <f t="shared" si="11"/>
        <v>0.88888888888888884</v>
      </c>
    </row>
    <row r="735" spans="1:12">
      <c r="A735" t="s">
        <v>434</v>
      </c>
      <c r="B735">
        <v>1989</v>
      </c>
      <c r="C735" t="s">
        <v>62</v>
      </c>
      <c r="D735">
        <v>92.5</v>
      </c>
      <c r="E735">
        <v>330</v>
      </c>
      <c r="F735">
        <v>280</v>
      </c>
      <c r="G735">
        <v>280</v>
      </c>
      <c r="H735">
        <v>890</v>
      </c>
      <c r="I735">
        <v>2013</v>
      </c>
      <c r="J735" t="s">
        <v>29</v>
      </c>
      <c r="K735" t="s">
        <v>171</v>
      </c>
      <c r="L735" s="8">
        <f t="shared" si="11"/>
        <v>1</v>
      </c>
    </row>
    <row r="736" spans="1:12">
      <c r="A736" t="s">
        <v>528</v>
      </c>
      <c r="B736">
        <v>1993</v>
      </c>
      <c r="C736" t="s">
        <v>77</v>
      </c>
      <c r="D736">
        <v>92.39</v>
      </c>
      <c r="E736">
        <v>300</v>
      </c>
      <c r="F736">
        <v>280</v>
      </c>
      <c r="G736">
        <v>270</v>
      </c>
      <c r="H736">
        <v>850</v>
      </c>
      <c r="I736">
        <v>2015</v>
      </c>
      <c r="J736" t="s">
        <v>29</v>
      </c>
      <c r="K736" t="s">
        <v>171</v>
      </c>
      <c r="L736" s="8">
        <f t="shared" si="11"/>
        <v>1.037037037037037</v>
      </c>
    </row>
    <row r="737" spans="1:12">
      <c r="A737" t="s">
        <v>401</v>
      </c>
      <c r="B737">
        <v>1974</v>
      </c>
      <c r="C737" t="s">
        <v>51</v>
      </c>
      <c r="D737">
        <v>119.96</v>
      </c>
      <c r="E737">
        <v>400</v>
      </c>
      <c r="F737">
        <v>277.5</v>
      </c>
      <c r="G737">
        <v>350</v>
      </c>
      <c r="H737">
        <v>1027.5</v>
      </c>
      <c r="I737">
        <v>2013</v>
      </c>
      <c r="J737" t="s">
        <v>29</v>
      </c>
      <c r="K737" t="s">
        <v>171</v>
      </c>
      <c r="L737" s="8">
        <f t="shared" si="11"/>
        <v>0.79285714285714282</v>
      </c>
    </row>
    <row r="738" spans="1:12">
      <c r="A738" t="s">
        <v>584</v>
      </c>
      <c r="B738">
        <v>1983</v>
      </c>
      <c r="C738" t="s">
        <v>125</v>
      </c>
      <c r="D738">
        <v>143.30000000000001</v>
      </c>
      <c r="E738">
        <v>362.5</v>
      </c>
      <c r="F738">
        <v>277.5</v>
      </c>
      <c r="G738">
        <v>340</v>
      </c>
      <c r="H738">
        <v>980</v>
      </c>
      <c r="I738">
        <v>2015</v>
      </c>
      <c r="J738" t="s">
        <v>29</v>
      </c>
      <c r="K738" t="s">
        <v>171</v>
      </c>
      <c r="L738" s="8">
        <f t="shared" si="11"/>
        <v>0.81617647058823528</v>
      </c>
    </row>
    <row r="739" spans="1:12">
      <c r="A739" t="s">
        <v>392</v>
      </c>
      <c r="B739">
        <v>1990</v>
      </c>
      <c r="C739" t="s">
        <v>119</v>
      </c>
      <c r="D739">
        <v>92.4</v>
      </c>
      <c r="E739">
        <v>365</v>
      </c>
      <c r="F739">
        <v>277.5</v>
      </c>
      <c r="G739">
        <v>337.5</v>
      </c>
      <c r="H739">
        <v>980</v>
      </c>
      <c r="I739">
        <v>2013</v>
      </c>
      <c r="J739" t="s">
        <v>29</v>
      </c>
      <c r="K739" t="s">
        <v>171</v>
      </c>
      <c r="L739" s="8">
        <f t="shared" si="11"/>
        <v>0.82222222222222219</v>
      </c>
    </row>
    <row r="740" spans="1:12">
      <c r="A740" t="s">
        <v>673</v>
      </c>
      <c r="B740">
        <v>1977</v>
      </c>
      <c r="C740" t="s">
        <v>336</v>
      </c>
      <c r="D740">
        <v>130.4</v>
      </c>
      <c r="E740">
        <v>357.5</v>
      </c>
      <c r="F740">
        <v>277.5</v>
      </c>
      <c r="G740">
        <v>335</v>
      </c>
      <c r="H740">
        <v>970</v>
      </c>
      <c r="I740">
        <v>2014</v>
      </c>
      <c r="J740" t="s">
        <v>29</v>
      </c>
      <c r="K740" t="s">
        <v>171</v>
      </c>
      <c r="L740" s="8">
        <f t="shared" si="11"/>
        <v>0.82835820895522383</v>
      </c>
    </row>
    <row r="741" spans="1:12">
      <c r="A741" t="s">
        <v>104</v>
      </c>
      <c r="B741">
        <v>1986</v>
      </c>
      <c r="C741" t="s">
        <v>39</v>
      </c>
      <c r="D741">
        <v>103.65</v>
      </c>
      <c r="E741">
        <v>380</v>
      </c>
      <c r="F741">
        <v>277.5</v>
      </c>
      <c r="G741">
        <v>325</v>
      </c>
      <c r="H741">
        <v>982.5</v>
      </c>
      <c r="I741">
        <v>2015</v>
      </c>
      <c r="J741" t="s">
        <v>29</v>
      </c>
      <c r="K741" t="s">
        <v>171</v>
      </c>
      <c r="L741" s="8">
        <f t="shared" si="11"/>
        <v>0.85384615384615381</v>
      </c>
    </row>
    <row r="742" spans="1:12">
      <c r="A742" t="s">
        <v>557</v>
      </c>
      <c r="B742">
        <v>1972</v>
      </c>
      <c r="C742" t="s">
        <v>228</v>
      </c>
      <c r="D742">
        <v>138.83000000000001</v>
      </c>
      <c r="E742">
        <v>412.5</v>
      </c>
      <c r="F742">
        <v>275</v>
      </c>
      <c r="G742">
        <v>362.5</v>
      </c>
      <c r="H742">
        <v>1050</v>
      </c>
      <c r="I742">
        <v>2012</v>
      </c>
      <c r="J742" t="s">
        <v>29</v>
      </c>
      <c r="K742" t="s">
        <v>171</v>
      </c>
      <c r="L742" s="8">
        <f t="shared" si="11"/>
        <v>0.75862068965517238</v>
      </c>
    </row>
    <row r="743" spans="1:12">
      <c r="A743" t="s">
        <v>499</v>
      </c>
      <c r="B743">
        <v>1986</v>
      </c>
      <c r="C743" t="s">
        <v>85</v>
      </c>
      <c r="D743">
        <v>118.94</v>
      </c>
      <c r="E743">
        <v>415</v>
      </c>
      <c r="F743">
        <v>275</v>
      </c>
      <c r="G743">
        <v>350</v>
      </c>
      <c r="H743">
        <v>1040</v>
      </c>
      <c r="I743">
        <v>2014</v>
      </c>
      <c r="J743" t="s">
        <v>29</v>
      </c>
      <c r="K743" t="s">
        <v>171</v>
      </c>
      <c r="L743" s="8">
        <f t="shared" si="11"/>
        <v>0.7857142857142857</v>
      </c>
    </row>
    <row r="744" spans="1:12">
      <c r="A744" t="s">
        <v>756</v>
      </c>
      <c r="B744">
        <v>1988</v>
      </c>
      <c r="C744" t="s">
        <v>119</v>
      </c>
      <c r="D744">
        <v>104.69</v>
      </c>
      <c r="E744">
        <v>415.5</v>
      </c>
      <c r="F744">
        <v>275</v>
      </c>
      <c r="G744">
        <v>345</v>
      </c>
      <c r="H744">
        <v>1035.5</v>
      </c>
      <c r="I744">
        <v>2015</v>
      </c>
      <c r="J744" t="s">
        <v>29</v>
      </c>
      <c r="K744" t="s">
        <v>171</v>
      </c>
      <c r="L744" s="8">
        <f t="shared" si="11"/>
        <v>0.79710144927536231</v>
      </c>
    </row>
    <row r="745" spans="1:12">
      <c r="A745" t="s">
        <v>392</v>
      </c>
      <c r="B745">
        <v>1990</v>
      </c>
      <c r="C745" t="s">
        <v>119</v>
      </c>
      <c r="D745">
        <v>92.6</v>
      </c>
      <c r="E745">
        <v>377.5</v>
      </c>
      <c r="F745">
        <v>275</v>
      </c>
      <c r="G745">
        <v>337.5</v>
      </c>
      <c r="H745">
        <v>990</v>
      </c>
      <c r="I745">
        <v>2014</v>
      </c>
      <c r="J745" t="s">
        <v>29</v>
      </c>
      <c r="K745" t="s">
        <v>171</v>
      </c>
      <c r="L745" s="8">
        <f t="shared" si="11"/>
        <v>0.81481481481481477</v>
      </c>
    </row>
    <row r="746" spans="1:12">
      <c r="A746" t="s">
        <v>782</v>
      </c>
      <c r="B746">
        <v>1981</v>
      </c>
      <c r="C746" t="s">
        <v>113</v>
      </c>
      <c r="D746">
        <v>134.19999999999999</v>
      </c>
      <c r="E746">
        <v>372.5</v>
      </c>
      <c r="F746">
        <v>275</v>
      </c>
      <c r="G746">
        <v>337.5</v>
      </c>
      <c r="H746">
        <v>985</v>
      </c>
      <c r="I746">
        <v>2014</v>
      </c>
      <c r="J746" t="s">
        <v>29</v>
      </c>
      <c r="K746" t="s">
        <v>171</v>
      </c>
      <c r="L746" s="8">
        <f t="shared" si="11"/>
        <v>0.81481481481481477</v>
      </c>
    </row>
    <row r="747" spans="1:12">
      <c r="A747" t="s">
        <v>459</v>
      </c>
      <c r="B747">
        <v>1989</v>
      </c>
      <c r="C747" t="s">
        <v>45</v>
      </c>
      <c r="D747">
        <v>103.69</v>
      </c>
      <c r="E747">
        <v>332.5</v>
      </c>
      <c r="F747">
        <v>275</v>
      </c>
      <c r="G747">
        <v>330</v>
      </c>
      <c r="H747">
        <v>937.5</v>
      </c>
      <c r="I747">
        <v>2013</v>
      </c>
      <c r="J747" t="s">
        <v>29</v>
      </c>
      <c r="K747" t="s">
        <v>171</v>
      </c>
      <c r="L747" s="8">
        <f t="shared" si="11"/>
        <v>0.83333333333333337</v>
      </c>
    </row>
    <row r="748" spans="1:12">
      <c r="A748" t="s">
        <v>592</v>
      </c>
      <c r="B748">
        <v>1974</v>
      </c>
      <c r="C748" t="s">
        <v>72</v>
      </c>
      <c r="D748">
        <v>118.86</v>
      </c>
      <c r="E748">
        <v>340</v>
      </c>
      <c r="F748">
        <v>275</v>
      </c>
      <c r="G748">
        <v>285</v>
      </c>
      <c r="H748">
        <v>900</v>
      </c>
      <c r="I748">
        <v>2012</v>
      </c>
      <c r="J748" t="s">
        <v>29</v>
      </c>
      <c r="K748" t="s">
        <v>171</v>
      </c>
      <c r="L748" s="8">
        <f t="shared" si="11"/>
        <v>0.96491228070175439</v>
      </c>
    </row>
    <row r="749" spans="1:12">
      <c r="A749" t="s">
        <v>161</v>
      </c>
      <c r="B749">
        <v>1988</v>
      </c>
      <c r="C749" t="s">
        <v>45</v>
      </c>
      <c r="D749">
        <v>104.38</v>
      </c>
      <c r="E749">
        <v>375</v>
      </c>
      <c r="F749">
        <v>272.5</v>
      </c>
      <c r="G749">
        <v>350</v>
      </c>
      <c r="H749">
        <v>997.5</v>
      </c>
      <c r="I749">
        <v>2014</v>
      </c>
      <c r="J749" t="s">
        <v>29</v>
      </c>
      <c r="K749" t="s">
        <v>171</v>
      </c>
      <c r="L749" s="8">
        <f t="shared" si="11"/>
        <v>0.77857142857142858</v>
      </c>
    </row>
    <row r="750" spans="1:12">
      <c r="A750" t="s">
        <v>649</v>
      </c>
      <c r="B750">
        <v>1991</v>
      </c>
      <c r="C750" t="s">
        <v>62</v>
      </c>
      <c r="D750">
        <v>118.26</v>
      </c>
      <c r="E750">
        <v>370</v>
      </c>
      <c r="F750">
        <v>272.5</v>
      </c>
      <c r="G750">
        <v>315</v>
      </c>
      <c r="H750">
        <v>957.5</v>
      </c>
      <c r="I750">
        <v>2015</v>
      </c>
      <c r="J750" t="s">
        <v>29</v>
      </c>
      <c r="K750" t="s">
        <v>171</v>
      </c>
      <c r="L750" s="8">
        <f t="shared" si="11"/>
        <v>0.86507936507936511</v>
      </c>
    </row>
    <row r="751" spans="1:12">
      <c r="A751" t="s">
        <v>723</v>
      </c>
      <c r="B751">
        <v>1982</v>
      </c>
      <c r="C751" t="s">
        <v>336</v>
      </c>
      <c r="D751">
        <v>118.62</v>
      </c>
      <c r="E751">
        <v>375</v>
      </c>
      <c r="F751">
        <v>272.5</v>
      </c>
      <c r="G751">
        <v>307.5</v>
      </c>
      <c r="H751">
        <v>955</v>
      </c>
      <c r="I751">
        <v>2014</v>
      </c>
      <c r="J751" t="s">
        <v>29</v>
      </c>
      <c r="K751" t="s">
        <v>171</v>
      </c>
      <c r="L751" s="8">
        <f t="shared" si="11"/>
        <v>0.88617886178861793</v>
      </c>
    </row>
    <row r="752" spans="1:12">
      <c r="A752" t="s">
        <v>782</v>
      </c>
      <c r="B752">
        <v>1981</v>
      </c>
      <c r="C752" t="s">
        <v>113</v>
      </c>
      <c r="D752">
        <v>132.69999999999999</v>
      </c>
      <c r="E752">
        <v>357.5</v>
      </c>
      <c r="F752">
        <v>272.5</v>
      </c>
      <c r="G752">
        <v>285</v>
      </c>
      <c r="H752">
        <v>915</v>
      </c>
      <c r="I752">
        <v>2013</v>
      </c>
      <c r="J752" t="s">
        <v>29</v>
      </c>
      <c r="K752" t="s">
        <v>171</v>
      </c>
      <c r="L752" s="8">
        <f t="shared" si="11"/>
        <v>0.95614035087719296</v>
      </c>
    </row>
    <row r="753" spans="1:12">
      <c r="A753" t="s">
        <v>355</v>
      </c>
      <c r="B753">
        <v>1982</v>
      </c>
      <c r="C753" t="s">
        <v>77</v>
      </c>
      <c r="D753">
        <v>102.69</v>
      </c>
      <c r="E753">
        <v>340</v>
      </c>
      <c r="F753">
        <v>270</v>
      </c>
      <c r="G753">
        <v>302.5</v>
      </c>
      <c r="H753">
        <v>912.5</v>
      </c>
      <c r="I753">
        <v>2015</v>
      </c>
      <c r="J753" t="s">
        <v>29</v>
      </c>
      <c r="K753" t="s">
        <v>171</v>
      </c>
      <c r="L753" s="8">
        <f t="shared" si="11"/>
        <v>0.8925619834710744</v>
      </c>
    </row>
    <row r="754" spans="1:12">
      <c r="A754" t="s">
        <v>775</v>
      </c>
      <c r="B754">
        <v>1986</v>
      </c>
      <c r="C754" t="s">
        <v>318</v>
      </c>
      <c r="D754">
        <v>119.63</v>
      </c>
      <c r="E754">
        <v>335</v>
      </c>
      <c r="F754">
        <v>270</v>
      </c>
      <c r="G754">
        <v>295</v>
      </c>
      <c r="H754">
        <v>900</v>
      </c>
      <c r="I754">
        <v>2013</v>
      </c>
      <c r="J754" t="s">
        <v>29</v>
      </c>
      <c r="K754" t="s">
        <v>171</v>
      </c>
      <c r="L754" s="8">
        <f t="shared" si="11"/>
        <v>0.9152542372881356</v>
      </c>
    </row>
    <row r="755" spans="1:12">
      <c r="A755" t="s">
        <v>101</v>
      </c>
      <c r="B755">
        <v>1987</v>
      </c>
      <c r="C755" t="s">
        <v>77</v>
      </c>
      <c r="D755">
        <v>93</v>
      </c>
      <c r="E755">
        <v>340</v>
      </c>
      <c r="F755">
        <v>270</v>
      </c>
      <c r="G755">
        <v>252.5</v>
      </c>
      <c r="H755">
        <v>862.5</v>
      </c>
      <c r="I755">
        <v>2015</v>
      </c>
      <c r="J755" t="s">
        <v>29</v>
      </c>
      <c r="K755" t="s">
        <v>171</v>
      </c>
      <c r="L755" s="8">
        <f t="shared" si="11"/>
        <v>1.0693069306930694</v>
      </c>
    </row>
    <row r="756" spans="1:12">
      <c r="A756" t="s">
        <v>634</v>
      </c>
      <c r="B756">
        <v>1978</v>
      </c>
      <c r="C756" t="s">
        <v>243</v>
      </c>
      <c r="D756">
        <v>92.53</v>
      </c>
      <c r="E756">
        <v>220</v>
      </c>
      <c r="F756">
        <v>270</v>
      </c>
      <c r="G756">
        <v>215</v>
      </c>
      <c r="H756">
        <v>705</v>
      </c>
      <c r="I756">
        <v>2015</v>
      </c>
      <c r="J756" t="s">
        <v>29</v>
      </c>
      <c r="K756" t="s">
        <v>171</v>
      </c>
      <c r="L756" s="8">
        <f t="shared" si="11"/>
        <v>1.2558139534883721</v>
      </c>
    </row>
    <row r="757" spans="1:12">
      <c r="A757" t="s">
        <v>384</v>
      </c>
      <c r="B757">
        <v>1984</v>
      </c>
      <c r="C757" t="s">
        <v>137</v>
      </c>
      <c r="D757">
        <v>104.7</v>
      </c>
      <c r="E757">
        <v>385</v>
      </c>
      <c r="F757">
        <v>267.5</v>
      </c>
      <c r="G757">
        <v>360</v>
      </c>
      <c r="H757">
        <v>1012.5</v>
      </c>
      <c r="I757">
        <v>2015</v>
      </c>
      <c r="J757" t="s">
        <v>29</v>
      </c>
      <c r="K757" t="s">
        <v>171</v>
      </c>
      <c r="L757" s="8">
        <f t="shared" si="11"/>
        <v>0.74305555555555558</v>
      </c>
    </row>
    <row r="758" spans="1:12">
      <c r="A758" t="s">
        <v>516</v>
      </c>
      <c r="B758">
        <v>1986</v>
      </c>
      <c r="C758" t="s">
        <v>45</v>
      </c>
      <c r="D758">
        <v>119.52</v>
      </c>
      <c r="E758">
        <v>402.5</v>
      </c>
      <c r="F758">
        <v>267.5</v>
      </c>
      <c r="G758">
        <v>342.5</v>
      </c>
      <c r="H758">
        <v>1012.5</v>
      </c>
      <c r="I758">
        <v>2012</v>
      </c>
      <c r="J758" t="s">
        <v>29</v>
      </c>
      <c r="K758" t="s">
        <v>171</v>
      </c>
      <c r="L758" s="8">
        <f t="shared" si="11"/>
        <v>0.78102189781021902</v>
      </c>
    </row>
    <row r="759" spans="1:12">
      <c r="A759" t="s">
        <v>584</v>
      </c>
      <c r="B759">
        <v>1983</v>
      </c>
      <c r="C759" t="s">
        <v>125</v>
      </c>
      <c r="D759">
        <v>140.26</v>
      </c>
      <c r="E759">
        <v>350</v>
      </c>
      <c r="F759">
        <v>267.5</v>
      </c>
      <c r="G759">
        <v>332.5</v>
      </c>
      <c r="H759">
        <v>950</v>
      </c>
      <c r="I759">
        <v>2014</v>
      </c>
      <c r="J759" t="s">
        <v>29</v>
      </c>
      <c r="K759" t="s">
        <v>171</v>
      </c>
      <c r="L759" s="8">
        <f t="shared" si="11"/>
        <v>0.80451127819548873</v>
      </c>
    </row>
    <row r="760" spans="1:12">
      <c r="A760" t="s">
        <v>782</v>
      </c>
      <c r="B760">
        <v>1981</v>
      </c>
      <c r="C760" t="s">
        <v>113</v>
      </c>
      <c r="D760">
        <v>131.96</v>
      </c>
      <c r="E760">
        <v>327.5</v>
      </c>
      <c r="F760">
        <v>267.5</v>
      </c>
      <c r="G760">
        <v>295</v>
      </c>
      <c r="H760">
        <v>890</v>
      </c>
      <c r="I760">
        <v>2012</v>
      </c>
      <c r="J760" t="s">
        <v>29</v>
      </c>
      <c r="K760" t="s">
        <v>171</v>
      </c>
      <c r="L760" s="8">
        <f t="shared" si="11"/>
        <v>0.90677966101694918</v>
      </c>
    </row>
    <row r="761" spans="1:12">
      <c r="A761" t="s">
        <v>46</v>
      </c>
      <c r="B761">
        <v>1972</v>
      </c>
      <c r="C761" t="s">
        <v>47</v>
      </c>
      <c r="D761">
        <v>102.95</v>
      </c>
      <c r="E761">
        <v>400</v>
      </c>
      <c r="F761">
        <v>265</v>
      </c>
      <c r="G761">
        <v>365</v>
      </c>
      <c r="H761">
        <v>1030</v>
      </c>
      <c r="I761">
        <v>2013</v>
      </c>
      <c r="J761" t="s">
        <v>29</v>
      </c>
      <c r="K761" t="s">
        <v>171</v>
      </c>
      <c r="L761" s="8">
        <f t="shared" si="11"/>
        <v>0.72602739726027399</v>
      </c>
    </row>
    <row r="762" spans="1:12">
      <c r="A762" t="s">
        <v>835</v>
      </c>
      <c r="B762">
        <v>1979</v>
      </c>
      <c r="C762" t="s">
        <v>62</v>
      </c>
      <c r="D762">
        <v>118.54</v>
      </c>
      <c r="E762">
        <v>395</v>
      </c>
      <c r="F762">
        <v>265</v>
      </c>
      <c r="G762">
        <v>365</v>
      </c>
      <c r="H762">
        <v>1025</v>
      </c>
      <c r="I762">
        <v>2014</v>
      </c>
      <c r="J762" t="s">
        <v>29</v>
      </c>
      <c r="K762" t="s">
        <v>171</v>
      </c>
      <c r="L762" s="8">
        <f t="shared" si="11"/>
        <v>0.72602739726027399</v>
      </c>
    </row>
    <row r="763" spans="1:12">
      <c r="A763" t="s">
        <v>584</v>
      </c>
      <c r="B763">
        <v>1983</v>
      </c>
      <c r="C763" t="s">
        <v>125</v>
      </c>
      <c r="D763">
        <v>144.65</v>
      </c>
      <c r="E763">
        <v>375</v>
      </c>
      <c r="F763">
        <v>265</v>
      </c>
      <c r="G763">
        <v>345</v>
      </c>
      <c r="H763">
        <v>985</v>
      </c>
      <c r="I763">
        <v>2012</v>
      </c>
      <c r="J763" t="s">
        <v>29</v>
      </c>
      <c r="K763" t="s">
        <v>171</v>
      </c>
      <c r="L763" s="8">
        <f t="shared" si="11"/>
        <v>0.76811594202898548</v>
      </c>
    </row>
    <row r="764" spans="1:12">
      <c r="A764" t="s">
        <v>516</v>
      </c>
      <c r="B764">
        <v>1986</v>
      </c>
      <c r="C764" t="s">
        <v>45</v>
      </c>
      <c r="D764">
        <v>118.82</v>
      </c>
      <c r="E764">
        <v>395</v>
      </c>
      <c r="F764">
        <v>265</v>
      </c>
      <c r="G764">
        <v>327.5</v>
      </c>
      <c r="H764">
        <v>987.5</v>
      </c>
      <c r="I764">
        <v>2014</v>
      </c>
      <c r="J764" t="s">
        <v>29</v>
      </c>
      <c r="K764" t="s">
        <v>171</v>
      </c>
      <c r="L764" s="8">
        <f t="shared" si="11"/>
        <v>0.80916030534351147</v>
      </c>
    </row>
    <row r="765" spans="1:12">
      <c r="A765" t="s">
        <v>664</v>
      </c>
      <c r="B765">
        <v>1984</v>
      </c>
      <c r="C765" t="s">
        <v>119</v>
      </c>
      <c r="D765">
        <v>82.58</v>
      </c>
      <c r="E765">
        <v>357.5</v>
      </c>
      <c r="F765">
        <v>265</v>
      </c>
      <c r="G765">
        <v>317.5</v>
      </c>
      <c r="H765">
        <v>940</v>
      </c>
      <c r="I765">
        <v>2015</v>
      </c>
      <c r="J765" t="s">
        <v>29</v>
      </c>
      <c r="K765" t="s">
        <v>171</v>
      </c>
      <c r="L765" s="8">
        <f t="shared" si="11"/>
        <v>0.83464566929133854</v>
      </c>
    </row>
    <row r="766" spans="1:12">
      <c r="A766" t="s">
        <v>378</v>
      </c>
      <c r="B766">
        <v>1977</v>
      </c>
      <c r="C766" t="s">
        <v>125</v>
      </c>
      <c r="D766">
        <v>92.58</v>
      </c>
      <c r="E766">
        <v>327.5</v>
      </c>
      <c r="F766">
        <v>265</v>
      </c>
      <c r="G766">
        <v>307.5</v>
      </c>
      <c r="H766">
        <v>900</v>
      </c>
      <c r="I766">
        <v>2014</v>
      </c>
      <c r="J766" t="s">
        <v>29</v>
      </c>
      <c r="K766" t="s">
        <v>171</v>
      </c>
      <c r="L766" s="8">
        <f t="shared" si="11"/>
        <v>0.86178861788617889</v>
      </c>
    </row>
    <row r="767" spans="1:12">
      <c r="A767" t="s">
        <v>808</v>
      </c>
      <c r="B767">
        <v>1972</v>
      </c>
      <c r="C767" t="s">
        <v>318</v>
      </c>
      <c r="D767">
        <v>92.67</v>
      </c>
      <c r="E767">
        <v>335</v>
      </c>
      <c r="F767">
        <v>265</v>
      </c>
      <c r="G767">
        <v>300</v>
      </c>
      <c r="H767">
        <v>900</v>
      </c>
      <c r="I767">
        <v>2013</v>
      </c>
      <c r="J767" t="s">
        <v>29</v>
      </c>
      <c r="K767" t="s">
        <v>171</v>
      </c>
      <c r="L767" s="8">
        <f t="shared" si="11"/>
        <v>0.8833333333333333</v>
      </c>
    </row>
    <row r="768" spans="1:12">
      <c r="A768" t="s">
        <v>378</v>
      </c>
      <c r="B768">
        <v>1977</v>
      </c>
      <c r="C768" t="s">
        <v>125</v>
      </c>
      <c r="D768">
        <v>92.26</v>
      </c>
      <c r="E768">
        <v>325</v>
      </c>
      <c r="F768">
        <v>265</v>
      </c>
      <c r="G768">
        <v>297.5</v>
      </c>
      <c r="H768">
        <v>887.5</v>
      </c>
      <c r="I768">
        <v>2012</v>
      </c>
      <c r="J768" t="s">
        <v>29</v>
      </c>
      <c r="K768" t="s">
        <v>171</v>
      </c>
      <c r="L768" s="8">
        <f t="shared" si="11"/>
        <v>0.89075630252100846</v>
      </c>
    </row>
    <row r="769" spans="1:12">
      <c r="A769" t="s">
        <v>547</v>
      </c>
      <c r="B769">
        <v>1989</v>
      </c>
      <c r="C769" t="s">
        <v>62</v>
      </c>
      <c r="D769">
        <v>104.66</v>
      </c>
      <c r="E769">
        <v>330</v>
      </c>
      <c r="F769">
        <v>265</v>
      </c>
      <c r="G769">
        <v>280</v>
      </c>
      <c r="H769">
        <v>875</v>
      </c>
      <c r="I769">
        <v>2012</v>
      </c>
      <c r="J769" t="s">
        <v>29</v>
      </c>
      <c r="K769" t="s">
        <v>171</v>
      </c>
      <c r="L769" s="8">
        <f t="shared" si="11"/>
        <v>0.9464285714285714</v>
      </c>
    </row>
    <row r="770" spans="1:12">
      <c r="A770" t="s">
        <v>384</v>
      </c>
      <c r="B770">
        <v>1984</v>
      </c>
      <c r="C770" t="s">
        <v>137</v>
      </c>
      <c r="D770">
        <v>104.48</v>
      </c>
      <c r="E770">
        <v>365</v>
      </c>
      <c r="F770">
        <v>262.5</v>
      </c>
      <c r="G770">
        <v>360</v>
      </c>
      <c r="H770">
        <v>987.5</v>
      </c>
      <c r="I770">
        <v>2014</v>
      </c>
      <c r="J770" t="s">
        <v>29</v>
      </c>
      <c r="K770" t="s">
        <v>171</v>
      </c>
      <c r="L770" s="8">
        <f t="shared" si="11"/>
        <v>0.72916666666666663</v>
      </c>
    </row>
    <row r="771" spans="1:12">
      <c r="A771" t="s">
        <v>161</v>
      </c>
      <c r="B771">
        <v>1988</v>
      </c>
      <c r="C771" t="s">
        <v>45</v>
      </c>
      <c r="D771">
        <v>104.38</v>
      </c>
      <c r="E771">
        <v>375</v>
      </c>
      <c r="F771">
        <v>262.5</v>
      </c>
      <c r="G771">
        <v>325</v>
      </c>
      <c r="H771">
        <v>962.5</v>
      </c>
      <c r="I771">
        <v>2013</v>
      </c>
      <c r="J771" t="s">
        <v>29</v>
      </c>
      <c r="K771" t="s">
        <v>171</v>
      </c>
      <c r="L771" s="8">
        <f t="shared" ref="L771:L834" si="12">IF(AND(F771&lt;&gt;0,G771&lt;&gt;0),F771/G771,"")</f>
        <v>0.80769230769230771</v>
      </c>
    </row>
    <row r="772" spans="1:12">
      <c r="A772" t="s">
        <v>695</v>
      </c>
      <c r="B772">
        <v>1982</v>
      </c>
      <c r="C772" t="s">
        <v>51</v>
      </c>
      <c r="D772">
        <v>91.83</v>
      </c>
      <c r="E772">
        <v>362.5</v>
      </c>
      <c r="F772">
        <v>262.5</v>
      </c>
      <c r="G772">
        <v>292.5</v>
      </c>
      <c r="H772">
        <v>917.5</v>
      </c>
      <c r="I772">
        <v>2015</v>
      </c>
      <c r="J772" t="s">
        <v>29</v>
      </c>
      <c r="K772" t="s">
        <v>171</v>
      </c>
      <c r="L772" s="8">
        <f t="shared" si="12"/>
        <v>0.89743589743589747</v>
      </c>
    </row>
    <row r="773" spans="1:12">
      <c r="A773" t="s">
        <v>664</v>
      </c>
      <c r="B773">
        <v>1984</v>
      </c>
      <c r="C773" t="s">
        <v>119</v>
      </c>
      <c r="D773">
        <v>82.7</v>
      </c>
      <c r="E773">
        <v>345</v>
      </c>
      <c r="F773">
        <v>260.5</v>
      </c>
      <c r="G773">
        <v>302.5</v>
      </c>
      <c r="H773">
        <v>908</v>
      </c>
      <c r="I773">
        <v>2013</v>
      </c>
      <c r="J773" t="s">
        <v>29</v>
      </c>
      <c r="K773" t="s">
        <v>171</v>
      </c>
      <c r="L773" s="8">
        <f t="shared" si="12"/>
        <v>0.8611570247933884</v>
      </c>
    </row>
    <row r="774" spans="1:12">
      <c r="A774" t="s">
        <v>46</v>
      </c>
      <c r="B774">
        <v>1972</v>
      </c>
      <c r="C774" t="s">
        <v>47</v>
      </c>
      <c r="D774">
        <v>104.39</v>
      </c>
      <c r="E774">
        <v>400</v>
      </c>
      <c r="F774">
        <v>260</v>
      </c>
      <c r="G774">
        <v>387.5</v>
      </c>
      <c r="H774">
        <v>1047.5</v>
      </c>
      <c r="I774">
        <v>2012</v>
      </c>
      <c r="J774" t="s">
        <v>29</v>
      </c>
      <c r="K774" t="s">
        <v>171</v>
      </c>
      <c r="L774" s="8">
        <f t="shared" si="12"/>
        <v>0.67096774193548392</v>
      </c>
    </row>
    <row r="775" spans="1:12">
      <c r="A775" t="s">
        <v>408</v>
      </c>
      <c r="B775">
        <v>1975</v>
      </c>
      <c r="C775" t="s">
        <v>119</v>
      </c>
      <c r="D775">
        <v>92.65</v>
      </c>
      <c r="E775">
        <v>372.5</v>
      </c>
      <c r="F775">
        <v>260</v>
      </c>
      <c r="G775">
        <v>350</v>
      </c>
      <c r="H775">
        <v>982.5</v>
      </c>
      <c r="I775">
        <v>2013</v>
      </c>
      <c r="J775" t="s">
        <v>29</v>
      </c>
      <c r="K775" t="s">
        <v>171</v>
      </c>
      <c r="L775" s="8">
        <f t="shared" si="12"/>
        <v>0.74285714285714288</v>
      </c>
    </row>
    <row r="776" spans="1:12">
      <c r="A776" t="s">
        <v>408</v>
      </c>
      <c r="B776">
        <v>1975</v>
      </c>
      <c r="C776" t="s">
        <v>119</v>
      </c>
      <c r="D776">
        <v>92.59</v>
      </c>
      <c r="E776">
        <v>370</v>
      </c>
      <c r="F776">
        <v>260</v>
      </c>
      <c r="G776">
        <v>342.5</v>
      </c>
      <c r="H776">
        <v>972.5</v>
      </c>
      <c r="I776">
        <v>2015</v>
      </c>
      <c r="J776" t="s">
        <v>29</v>
      </c>
      <c r="K776" t="s">
        <v>171</v>
      </c>
      <c r="L776" s="8">
        <f t="shared" si="12"/>
        <v>0.75912408759124084</v>
      </c>
    </row>
    <row r="777" spans="1:12">
      <c r="A777" t="s">
        <v>557</v>
      </c>
      <c r="B777">
        <v>1972</v>
      </c>
      <c r="C777" t="s">
        <v>228</v>
      </c>
      <c r="D777">
        <v>119.82</v>
      </c>
      <c r="E777">
        <v>365</v>
      </c>
      <c r="F777">
        <v>260</v>
      </c>
      <c r="G777">
        <v>337.5</v>
      </c>
      <c r="H777">
        <v>962.5</v>
      </c>
      <c r="I777">
        <v>2014</v>
      </c>
      <c r="J777" t="s">
        <v>29</v>
      </c>
      <c r="K777" t="s">
        <v>171</v>
      </c>
      <c r="L777" s="8">
        <f t="shared" si="12"/>
        <v>0.77037037037037037</v>
      </c>
    </row>
    <row r="778" spans="1:12">
      <c r="A778" t="s">
        <v>374</v>
      </c>
      <c r="B778">
        <v>1984</v>
      </c>
      <c r="C778" t="s">
        <v>51</v>
      </c>
      <c r="D778">
        <v>117.11</v>
      </c>
      <c r="E778">
        <v>320</v>
      </c>
      <c r="F778">
        <v>260</v>
      </c>
      <c r="G778">
        <v>327.5</v>
      </c>
      <c r="H778">
        <v>907.5</v>
      </c>
      <c r="I778">
        <v>2012</v>
      </c>
      <c r="J778" t="s">
        <v>29</v>
      </c>
      <c r="K778" t="s">
        <v>171</v>
      </c>
      <c r="L778" s="8">
        <f t="shared" si="12"/>
        <v>0.79389312977099236</v>
      </c>
    </row>
    <row r="779" spans="1:12">
      <c r="A779" t="s">
        <v>635</v>
      </c>
      <c r="B779">
        <v>1987</v>
      </c>
      <c r="C779" t="s">
        <v>28</v>
      </c>
      <c r="D779">
        <v>92.72</v>
      </c>
      <c r="E779">
        <v>365</v>
      </c>
      <c r="F779">
        <v>260</v>
      </c>
      <c r="G779">
        <v>325</v>
      </c>
      <c r="H779">
        <v>950</v>
      </c>
      <c r="I779">
        <v>2014</v>
      </c>
      <c r="J779" t="s">
        <v>29</v>
      </c>
      <c r="K779" t="s">
        <v>171</v>
      </c>
      <c r="L779" s="8">
        <f t="shared" si="12"/>
        <v>0.8</v>
      </c>
    </row>
    <row r="780" spans="1:12">
      <c r="A780" t="s">
        <v>392</v>
      </c>
      <c r="B780">
        <v>1990</v>
      </c>
      <c r="C780" t="s">
        <v>119</v>
      </c>
      <c r="D780">
        <v>92.52</v>
      </c>
      <c r="E780">
        <v>362.5</v>
      </c>
      <c r="F780">
        <v>260</v>
      </c>
      <c r="G780">
        <v>322.5</v>
      </c>
      <c r="H780">
        <v>945</v>
      </c>
      <c r="I780">
        <v>2012</v>
      </c>
      <c r="J780" t="s">
        <v>29</v>
      </c>
      <c r="K780" t="s">
        <v>171</v>
      </c>
      <c r="L780" s="8">
        <f t="shared" si="12"/>
        <v>0.80620155038759689</v>
      </c>
    </row>
    <row r="781" spans="1:12">
      <c r="A781" t="s">
        <v>722</v>
      </c>
      <c r="B781">
        <v>1989</v>
      </c>
      <c r="C781" t="s">
        <v>390</v>
      </c>
      <c r="D781">
        <v>133.69999999999999</v>
      </c>
      <c r="E781">
        <v>370</v>
      </c>
      <c r="F781">
        <v>260</v>
      </c>
      <c r="G781">
        <v>320</v>
      </c>
      <c r="H781">
        <v>950</v>
      </c>
      <c r="I781">
        <v>2015</v>
      </c>
      <c r="J781" t="s">
        <v>29</v>
      </c>
      <c r="K781" t="s">
        <v>171</v>
      </c>
      <c r="L781" s="8">
        <f t="shared" si="12"/>
        <v>0.8125</v>
      </c>
    </row>
    <row r="782" spans="1:12">
      <c r="A782" t="s">
        <v>664</v>
      </c>
      <c r="B782">
        <v>1984</v>
      </c>
      <c r="C782" t="s">
        <v>119</v>
      </c>
      <c r="D782">
        <v>82.4</v>
      </c>
      <c r="E782">
        <v>335</v>
      </c>
      <c r="F782">
        <v>260</v>
      </c>
      <c r="G782">
        <v>310</v>
      </c>
      <c r="H782">
        <v>905</v>
      </c>
      <c r="I782">
        <v>2014</v>
      </c>
      <c r="J782" t="s">
        <v>29</v>
      </c>
      <c r="K782" t="s">
        <v>171</v>
      </c>
      <c r="L782" s="8">
        <f t="shared" si="12"/>
        <v>0.83870967741935487</v>
      </c>
    </row>
    <row r="783" spans="1:12">
      <c r="A783" t="s">
        <v>840</v>
      </c>
      <c r="B783">
        <v>1989</v>
      </c>
      <c r="C783" t="s">
        <v>45</v>
      </c>
      <c r="D783">
        <v>105.32</v>
      </c>
      <c r="E783">
        <v>330</v>
      </c>
      <c r="F783">
        <v>260</v>
      </c>
      <c r="G783">
        <v>310</v>
      </c>
      <c r="H783">
        <v>900</v>
      </c>
      <c r="I783">
        <v>2013</v>
      </c>
      <c r="J783" t="s">
        <v>29</v>
      </c>
      <c r="K783" t="s">
        <v>171</v>
      </c>
      <c r="L783" s="8">
        <f t="shared" si="12"/>
        <v>0.83870967741935487</v>
      </c>
    </row>
    <row r="784" spans="1:12">
      <c r="A784" t="s">
        <v>378</v>
      </c>
      <c r="B784">
        <v>1977</v>
      </c>
      <c r="C784" t="s">
        <v>125</v>
      </c>
      <c r="D784">
        <v>92.85</v>
      </c>
      <c r="E784">
        <v>327.5</v>
      </c>
      <c r="F784">
        <v>260</v>
      </c>
      <c r="G784">
        <v>305</v>
      </c>
      <c r="H784">
        <v>892.5</v>
      </c>
      <c r="I784">
        <v>2013</v>
      </c>
      <c r="J784" t="s">
        <v>29</v>
      </c>
      <c r="K784" t="s">
        <v>171</v>
      </c>
      <c r="L784" s="8">
        <f t="shared" si="12"/>
        <v>0.85245901639344257</v>
      </c>
    </row>
    <row r="785" spans="1:12">
      <c r="A785" t="s">
        <v>778</v>
      </c>
      <c r="B785">
        <v>1972</v>
      </c>
      <c r="C785" t="s">
        <v>49</v>
      </c>
      <c r="D785">
        <v>151.52000000000001</v>
      </c>
      <c r="E785">
        <v>385</v>
      </c>
      <c r="F785">
        <v>260</v>
      </c>
      <c r="G785">
        <v>295</v>
      </c>
      <c r="H785">
        <v>940</v>
      </c>
      <c r="I785">
        <v>2014</v>
      </c>
      <c r="J785" t="s">
        <v>29</v>
      </c>
      <c r="K785" t="s">
        <v>171</v>
      </c>
      <c r="L785" s="8">
        <f t="shared" si="12"/>
        <v>0.88135593220338981</v>
      </c>
    </row>
    <row r="786" spans="1:12">
      <c r="A786" t="s">
        <v>355</v>
      </c>
      <c r="B786">
        <v>1982</v>
      </c>
      <c r="C786" t="s">
        <v>77</v>
      </c>
      <c r="D786">
        <v>102.14</v>
      </c>
      <c r="E786">
        <v>330</v>
      </c>
      <c r="F786">
        <v>260</v>
      </c>
      <c r="G786">
        <v>290</v>
      </c>
      <c r="H786">
        <v>880</v>
      </c>
      <c r="I786">
        <v>2013</v>
      </c>
      <c r="J786" t="s">
        <v>29</v>
      </c>
      <c r="K786" t="s">
        <v>171</v>
      </c>
      <c r="L786" s="8">
        <f t="shared" si="12"/>
        <v>0.89655172413793105</v>
      </c>
    </row>
    <row r="787" spans="1:12">
      <c r="A787" t="s">
        <v>778</v>
      </c>
      <c r="B787">
        <v>1972</v>
      </c>
      <c r="C787" t="s">
        <v>49</v>
      </c>
      <c r="D787">
        <v>155.6</v>
      </c>
      <c r="E787">
        <v>365</v>
      </c>
      <c r="F787">
        <v>260</v>
      </c>
      <c r="G787">
        <v>280</v>
      </c>
      <c r="H787">
        <v>905</v>
      </c>
      <c r="I787">
        <v>2013</v>
      </c>
      <c r="J787" t="s">
        <v>29</v>
      </c>
      <c r="K787" t="s">
        <v>171</v>
      </c>
      <c r="L787" s="8">
        <f t="shared" si="12"/>
        <v>0.9285714285714286</v>
      </c>
    </row>
    <row r="788" spans="1:12">
      <c r="A788" t="s">
        <v>805</v>
      </c>
      <c r="B788">
        <v>1982</v>
      </c>
      <c r="C788" t="s">
        <v>282</v>
      </c>
      <c r="D788">
        <v>141</v>
      </c>
      <c r="E788">
        <v>405</v>
      </c>
      <c r="F788">
        <v>260</v>
      </c>
      <c r="G788">
        <v>275</v>
      </c>
      <c r="H788">
        <v>940</v>
      </c>
      <c r="I788">
        <v>2013</v>
      </c>
      <c r="J788" t="s">
        <v>29</v>
      </c>
      <c r="K788" t="s">
        <v>171</v>
      </c>
      <c r="L788" s="8">
        <f t="shared" si="12"/>
        <v>0.94545454545454544</v>
      </c>
    </row>
    <row r="789" spans="1:12">
      <c r="A789" t="s">
        <v>408</v>
      </c>
      <c r="B789">
        <v>1975</v>
      </c>
      <c r="C789" t="s">
        <v>119</v>
      </c>
      <c r="D789">
        <v>92.42</v>
      </c>
      <c r="E789">
        <v>380</v>
      </c>
      <c r="F789">
        <v>257.5</v>
      </c>
      <c r="G789">
        <v>355</v>
      </c>
      <c r="H789">
        <v>992.5</v>
      </c>
      <c r="I789">
        <v>2014</v>
      </c>
      <c r="J789" t="s">
        <v>29</v>
      </c>
      <c r="K789" t="s">
        <v>171</v>
      </c>
      <c r="L789" s="8">
        <f t="shared" si="12"/>
        <v>0.72535211267605637</v>
      </c>
    </row>
    <row r="790" spans="1:12">
      <c r="A790" t="s">
        <v>733</v>
      </c>
      <c r="B790">
        <v>1982</v>
      </c>
      <c r="C790" t="s">
        <v>119</v>
      </c>
      <c r="D790">
        <v>82.66</v>
      </c>
      <c r="E790">
        <v>347.5</v>
      </c>
      <c r="F790">
        <v>257.5</v>
      </c>
      <c r="G790">
        <v>332.5</v>
      </c>
      <c r="H790">
        <v>937.5</v>
      </c>
      <c r="I790">
        <v>2015</v>
      </c>
      <c r="J790" t="s">
        <v>29</v>
      </c>
      <c r="K790" t="s">
        <v>171</v>
      </c>
      <c r="L790" s="8">
        <f t="shared" si="12"/>
        <v>0.77443609022556392</v>
      </c>
    </row>
    <row r="791" spans="1:12">
      <c r="A791" t="s">
        <v>723</v>
      </c>
      <c r="B791">
        <v>1982</v>
      </c>
      <c r="C791" t="s">
        <v>336</v>
      </c>
      <c r="D791">
        <v>119.2</v>
      </c>
      <c r="E791">
        <v>355</v>
      </c>
      <c r="F791">
        <v>257.5</v>
      </c>
      <c r="G791">
        <v>300</v>
      </c>
      <c r="H791">
        <v>912.5</v>
      </c>
      <c r="I791">
        <v>2013</v>
      </c>
      <c r="J791" t="s">
        <v>29</v>
      </c>
      <c r="K791" t="s">
        <v>171</v>
      </c>
      <c r="L791" s="8">
        <f t="shared" si="12"/>
        <v>0.85833333333333328</v>
      </c>
    </row>
    <row r="792" spans="1:12">
      <c r="A792" t="s">
        <v>594</v>
      </c>
      <c r="B792">
        <v>1985</v>
      </c>
      <c r="C792" t="s">
        <v>54</v>
      </c>
      <c r="D792">
        <v>119.64</v>
      </c>
      <c r="E792">
        <v>362.5</v>
      </c>
      <c r="F792">
        <v>257.5</v>
      </c>
      <c r="G792">
        <v>295</v>
      </c>
      <c r="H792">
        <v>915</v>
      </c>
      <c r="I792">
        <v>2014</v>
      </c>
      <c r="J792" t="s">
        <v>29</v>
      </c>
      <c r="K792" t="s">
        <v>171</v>
      </c>
      <c r="L792" s="8">
        <f t="shared" si="12"/>
        <v>0.8728813559322034</v>
      </c>
    </row>
    <row r="793" spans="1:12">
      <c r="A793" t="s">
        <v>516</v>
      </c>
      <c r="B793">
        <v>1986</v>
      </c>
      <c r="C793" t="s">
        <v>45</v>
      </c>
      <c r="D793">
        <v>114.26</v>
      </c>
      <c r="E793">
        <v>390</v>
      </c>
      <c r="F793">
        <v>255</v>
      </c>
      <c r="G793">
        <v>337.5</v>
      </c>
      <c r="H793">
        <v>982.5</v>
      </c>
      <c r="I793">
        <v>2013</v>
      </c>
      <c r="J793" t="s">
        <v>29</v>
      </c>
      <c r="K793" t="s">
        <v>171</v>
      </c>
      <c r="L793" s="8">
        <f t="shared" si="12"/>
        <v>0.75555555555555554</v>
      </c>
    </row>
    <row r="794" spans="1:12">
      <c r="A794" t="s">
        <v>744</v>
      </c>
      <c r="B794">
        <v>1984</v>
      </c>
      <c r="C794" t="s">
        <v>352</v>
      </c>
      <c r="D794">
        <v>92.66</v>
      </c>
      <c r="E794">
        <v>352.5</v>
      </c>
      <c r="F794">
        <v>255</v>
      </c>
      <c r="G794">
        <v>337.5</v>
      </c>
      <c r="H794">
        <v>945</v>
      </c>
      <c r="I794">
        <v>2012</v>
      </c>
      <c r="J794" t="s">
        <v>29</v>
      </c>
      <c r="K794" t="s">
        <v>171</v>
      </c>
      <c r="L794" s="8">
        <f t="shared" si="12"/>
        <v>0.75555555555555554</v>
      </c>
    </row>
    <row r="795" spans="1:12">
      <c r="A795" t="s">
        <v>781</v>
      </c>
      <c r="B795">
        <v>1991</v>
      </c>
      <c r="C795" t="s">
        <v>125</v>
      </c>
      <c r="D795">
        <v>92</v>
      </c>
      <c r="E795">
        <v>337.5</v>
      </c>
      <c r="F795">
        <v>255</v>
      </c>
      <c r="G795">
        <v>335</v>
      </c>
      <c r="H795">
        <v>927.5</v>
      </c>
      <c r="I795">
        <v>2015</v>
      </c>
      <c r="J795" t="s">
        <v>29</v>
      </c>
      <c r="K795" t="s">
        <v>171</v>
      </c>
      <c r="L795" s="8">
        <f t="shared" si="12"/>
        <v>0.76119402985074625</v>
      </c>
    </row>
    <row r="796" spans="1:12">
      <c r="A796" t="s">
        <v>695</v>
      </c>
      <c r="B796">
        <v>1982</v>
      </c>
      <c r="C796" t="s">
        <v>51</v>
      </c>
      <c r="D796">
        <v>90.5</v>
      </c>
      <c r="E796">
        <v>340</v>
      </c>
      <c r="F796">
        <v>255</v>
      </c>
      <c r="G796">
        <v>300</v>
      </c>
      <c r="H796">
        <v>895</v>
      </c>
      <c r="I796">
        <v>2013</v>
      </c>
      <c r="J796" t="s">
        <v>29</v>
      </c>
      <c r="K796" t="s">
        <v>171</v>
      </c>
      <c r="L796" s="8">
        <f t="shared" si="12"/>
        <v>0.85</v>
      </c>
    </row>
    <row r="797" spans="1:12">
      <c r="A797" t="s">
        <v>447</v>
      </c>
      <c r="B797">
        <v>1988</v>
      </c>
      <c r="C797" t="s">
        <v>62</v>
      </c>
      <c r="D797">
        <v>82.32</v>
      </c>
      <c r="E797">
        <v>320</v>
      </c>
      <c r="F797">
        <v>255</v>
      </c>
      <c r="G797">
        <v>285</v>
      </c>
      <c r="H797">
        <v>860</v>
      </c>
      <c r="I797">
        <v>2014</v>
      </c>
      <c r="J797" t="s">
        <v>29</v>
      </c>
      <c r="K797" t="s">
        <v>171</v>
      </c>
      <c r="L797" s="8">
        <f t="shared" si="12"/>
        <v>0.89473684210526316</v>
      </c>
    </row>
    <row r="798" spans="1:12">
      <c r="A798" t="s">
        <v>355</v>
      </c>
      <c r="B798">
        <v>1982</v>
      </c>
      <c r="C798" t="s">
        <v>77</v>
      </c>
      <c r="D798">
        <v>102.02</v>
      </c>
      <c r="E798">
        <v>315</v>
      </c>
      <c r="F798">
        <v>255</v>
      </c>
      <c r="G798">
        <v>285</v>
      </c>
      <c r="H798">
        <v>855</v>
      </c>
      <c r="I798">
        <v>2014</v>
      </c>
      <c r="J798" t="s">
        <v>29</v>
      </c>
      <c r="K798" t="s">
        <v>171</v>
      </c>
      <c r="L798" s="8">
        <f t="shared" si="12"/>
        <v>0.89473684210526316</v>
      </c>
    </row>
    <row r="799" spans="1:12">
      <c r="A799" t="s">
        <v>579</v>
      </c>
      <c r="B799">
        <v>1979</v>
      </c>
      <c r="C799" t="s">
        <v>45</v>
      </c>
      <c r="D799">
        <v>92.65</v>
      </c>
      <c r="E799">
        <v>330</v>
      </c>
      <c r="F799">
        <v>255</v>
      </c>
      <c r="G799">
        <v>280</v>
      </c>
      <c r="H799">
        <v>865</v>
      </c>
      <c r="I799">
        <v>2015</v>
      </c>
      <c r="J799" t="s">
        <v>29</v>
      </c>
      <c r="K799" t="s">
        <v>171</v>
      </c>
      <c r="L799" s="8">
        <f t="shared" si="12"/>
        <v>0.9107142857142857</v>
      </c>
    </row>
    <row r="800" spans="1:12">
      <c r="A800" t="s">
        <v>371</v>
      </c>
      <c r="B800">
        <v>1988</v>
      </c>
      <c r="C800" t="s">
        <v>45</v>
      </c>
      <c r="D800">
        <v>82.58</v>
      </c>
      <c r="E800">
        <v>352.5</v>
      </c>
      <c r="F800">
        <v>252.5</v>
      </c>
      <c r="G800">
        <v>337.5</v>
      </c>
      <c r="H800">
        <v>942.5</v>
      </c>
      <c r="I800">
        <v>2013</v>
      </c>
      <c r="J800" t="s">
        <v>29</v>
      </c>
      <c r="K800" t="s">
        <v>171</v>
      </c>
      <c r="L800" s="8">
        <f t="shared" si="12"/>
        <v>0.74814814814814812</v>
      </c>
    </row>
    <row r="801" spans="1:12">
      <c r="A801" t="s">
        <v>648</v>
      </c>
      <c r="B801">
        <v>1987</v>
      </c>
      <c r="C801" t="s">
        <v>464</v>
      </c>
      <c r="D801">
        <v>103.93</v>
      </c>
      <c r="E801">
        <v>355</v>
      </c>
      <c r="F801">
        <v>252.5</v>
      </c>
      <c r="G801">
        <v>332.5</v>
      </c>
      <c r="H801">
        <v>940</v>
      </c>
      <c r="I801">
        <v>2012</v>
      </c>
      <c r="J801" t="s">
        <v>29</v>
      </c>
      <c r="K801" t="s">
        <v>171</v>
      </c>
      <c r="L801" s="8">
        <f t="shared" si="12"/>
        <v>0.75939849624060152</v>
      </c>
    </row>
    <row r="802" spans="1:12">
      <c r="A802" t="s">
        <v>844</v>
      </c>
      <c r="B802">
        <v>1982</v>
      </c>
      <c r="C802" t="s">
        <v>39</v>
      </c>
      <c r="D802">
        <v>92.54</v>
      </c>
      <c r="E802">
        <v>342.5</v>
      </c>
      <c r="F802">
        <v>252.5</v>
      </c>
      <c r="G802">
        <v>330</v>
      </c>
      <c r="H802">
        <v>925</v>
      </c>
      <c r="I802">
        <v>2014</v>
      </c>
      <c r="J802" t="s">
        <v>29</v>
      </c>
      <c r="K802" t="s">
        <v>171</v>
      </c>
      <c r="L802" s="8">
        <f t="shared" si="12"/>
        <v>0.76515151515151514</v>
      </c>
    </row>
    <row r="803" spans="1:12">
      <c r="A803" t="s">
        <v>810</v>
      </c>
      <c r="B803">
        <v>1990</v>
      </c>
      <c r="C803" t="s">
        <v>390</v>
      </c>
      <c r="D803">
        <v>104.45</v>
      </c>
      <c r="E803">
        <v>335</v>
      </c>
      <c r="F803">
        <v>252.5</v>
      </c>
      <c r="G803">
        <v>312.5</v>
      </c>
      <c r="H803">
        <v>900</v>
      </c>
      <c r="I803">
        <v>2015</v>
      </c>
      <c r="J803" t="s">
        <v>29</v>
      </c>
      <c r="K803" t="s">
        <v>171</v>
      </c>
      <c r="L803" s="8">
        <f t="shared" si="12"/>
        <v>0.80800000000000005</v>
      </c>
    </row>
    <row r="804" spans="1:12">
      <c r="A804" t="s">
        <v>370</v>
      </c>
      <c r="B804">
        <v>1974</v>
      </c>
      <c r="C804" t="s">
        <v>54</v>
      </c>
      <c r="D804">
        <v>104.27</v>
      </c>
      <c r="E804">
        <v>325</v>
      </c>
      <c r="F804">
        <v>252.5</v>
      </c>
      <c r="G804">
        <v>312.5</v>
      </c>
      <c r="H804">
        <v>890</v>
      </c>
      <c r="I804">
        <v>2013</v>
      </c>
      <c r="J804" t="s">
        <v>29</v>
      </c>
      <c r="K804" t="s">
        <v>171</v>
      </c>
      <c r="L804" s="8">
        <f t="shared" si="12"/>
        <v>0.80800000000000005</v>
      </c>
    </row>
    <row r="805" spans="1:12">
      <c r="A805" t="s">
        <v>603</v>
      </c>
      <c r="B805">
        <v>1987</v>
      </c>
      <c r="C805" t="s">
        <v>125</v>
      </c>
      <c r="D805">
        <v>104.23</v>
      </c>
      <c r="E805">
        <v>357.5</v>
      </c>
      <c r="F805">
        <v>252.5</v>
      </c>
      <c r="G805">
        <v>305</v>
      </c>
      <c r="H805">
        <v>915</v>
      </c>
      <c r="I805">
        <v>2015</v>
      </c>
      <c r="J805" t="s">
        <v>29</v>
      </c>
      <c r="K805" t="s">
        <v>171</v>
      </c>
      <c r="L805" s="8">
        <f t="shared" si="12"/>
        <v>0.82786885245901642</v>
      </c>
    </row>
    <row r="806" spans="1:12">
      <c r="A806" t="s">
        <v>722</v>
      </c>
      <c r="B806">
        <v>1989</v>
      </c>
      <c r="C806" t="s">
        <v>390</v>
      </c>
      <c r="D806">
        <v>135.19999999999999</v>
      </c>
      <c r="E806">
        <v>357.5</v>
      </c>
      <c r="F806">
        <v>252.5</v>
      </c>
      <c r="G806">
        <v>305</v>
      </c>
      <c r="H806">
        <v>915</v>
      </c>
      <c r="I806">
        <v>2014</v>
      </c>
      <c r="J806" t="s">
        <v>29</v>
      </c>
      <c r="K806" t="s">
        <v>171</v>
      </c>
      <c r="L806" s="8">
        <f t="shared" si="12"/>
        <v>0.82786885245901642</v>
      </c>
    </row>
    <row r="807" spans="1:12">
      <c r="A807" t="s">
        <v>374</v>
      </c>
      <c r="B807">
        <v>1984</v>
      </c>
      <c r="C807" t="s">
        <v>51</v>
      </c>
      <c r="D807">
        <v>112.25</v>
      </c>
      <c r="E807">
        <v>290</v>
      </c>
      <c r="F807">
        <v>252.5</v>
      </c>
      <c r="G807">
        <v>305</v>
      </c>
      <c r="H807">
        <v>847.5</v>
      </c>
      <c r="I807">
        <v>2013</v>
      </c>
      <c r="J807" t="s">
        <v>29</v>
      </c>
      <c r="K807" t="s">
        <v>171</v>
      </c>
      <c r="L807" s="8">
        <f t="shared" si="12"/>
        <v>0.82786885245901642</v>
      </c>
    </row>
    <row r="808" spans="1:12">
      <c r="A808" t="s">
        <v>769</v>
      </c>
      <c r="B808">
        <v>1984</v>
      </c>
      <c r="C808" t="s">
        <v>49</v>
      </c>
      <c r="D808">
        <v>82.7</v>
      </c>
      <c r="E808">
        <v>310</v>
      </c>
      <c r="F808">
        <v>252.5</v>
      </c>
      <c r="G808">
        <v>275</v>
      </c>
      <c r="H808">
        <v>837.5</v>
      </c>
      <c r="I808">
        <v>2014</v>
      </c>
      <c r="J808" t="s">
        <v>29</v>
      </c>
      <c r="K808" t="s">
        <v>171</v>
      </c>
      <c r="L808" s="8">
        <f t="shared" si="12"/>
        <v>0.91818181818181821</v>
      </c>
    </row>
    <row r="809" spans="1:12">
      <c r="A809" t="s">
        <v>630</v>
      </c>
      <c r="B809">
        <v>1975</v>
      </c>
      <c r="C809" t="s">
        <v>80</v>
      </c>
      <c r="D809">
        <v>144.65</v>
      </c>
      <c r="E809">
        <v>375</v>
      </c>
      <c r="F809">
        <v>250</v>
      </c>
      <c r="G809">
        <v>355</v>
      </c>
      <c r="H809">
        <v>980</v>
      </c>
      <c r="I809">
        <v>2015</v>
      </c>
      <c r="J809" t="s">
        <v>29</v>
      </c>
      <c r="K809" t="s">
        <v>171</v>
      </c>
      <c r="L809" s="8">
        <f t="shared" si="12"/>
        <v>0.70422535211267601</v>
      </c>
    </row>
    <row r="810" spans="1:12">
      <c r="A810" t="s">
        <v>48</v>
      </c>
      <c r="B810">
        <v>1983</v>
      </c>
      <c r="C810" t="s">
        <v>49</v>
      </c>
      <c r="D810">
        <v>92.15</v>
      </c>
      <c r="E810">
        <v>337.5</v>
      </c>
      <c r="F810">
        <v>250</v>
      </c>
      <c r="G810">
        <v>352.5</v>
      </c>
      <c r="H810">
        <v>940</v>
      </c>
      <c r="I810">
        <v>2015</v>
      </c>
      <c r="J810" t="s">
        <v>29</v>
      </c>
      <c r="K810" t="s">
        <v>171</v>
      </c>
      <c r="L810" s="8">
        <f t="shared" si="12"/>
        <v>0.70921985815602839</v>
      </c>
    </row>
    <row r="811" spans="1:12">
      <c r="A811" t="s">
        <v>733</v>
      </c>
      <c r="B811">
        <v>1982</v>
      </c>
      <c r="C811" t="s">
        <v>119</v>
      </c>
      <c r="D811">
        <v>82.98</v>
      </c>
      <c r="E811">
        <v>345</v>
      </c>
      <c r="F811">
        <v>250</v>
      </c>
      <c r="G811">
        <v>322.5</v>
      </c>
      <c r="H811">
        <v>917.5</v>
      </c>
      <c r="I811">
        <v>2014</v>
      </c>
      <c r="J811" t="s">
        <v>29</v>
      </c>
      <c r="K811" t="s">
        <v>171</v>
      </c>
      <c r="L811" s="8">
        <f t="shared" si="12"/>
        <v>0.77519379844961245</v>
      </c>
    </row>
    <row r="812" spans="1:12">
      <c r="A812" t="s">
        <v>593</v>
      </c>
      <c r="B812">
        <v>1985</v>
      </c>
      <c r="C812" t="s">
        <v>54</v>
      </c>
      <c r="D812">
        <v>119.66</v>
      </c>
      <c r="E812">
        <v>340</v>
      </c>
      <c r="F812">
        <v>250</v>
      </c>
      <c r="G812">
        <v>315</v>
      </c>
      <c r="H812">
        <v>905</v>
      </c>
      <c r="I812">
        <v>2013</v>
      </c>
      <c r="J812" t="s">
        <v>29</v>
      </c>
      <c r="K812" t="s">
        <v>171</v>
      </c>
      <c r="L812" s="8">
        <f t="shared" si="12"/>
        <v>0.79365079365079361</v>
      </c>
    </row>
    <row r="813" spans="1:12">
      <c r="A813" t="s">
        <v>370</v>
      </c>
      <c r="B813">
        <v>1974</v>
      </c>
      <c r="C813" t="s">
        <v>54</v>
      </c>
      <c r="D813">
        <v>104.3</v>
      </c>
      <c r="E813">
        <v>330</v>
      </c>
      <c r="F813">
        <v>250</v>
      </c>
      <c r="G813">
        <v>312.5</v>
      </c>
      <c r="H813">
        <v>892.5</v>
      </c>
      <c r="I813">
        <v>2012</v>
      </c>
      <c r="J813" t="s">
        <v>29</v>
      </c>
      <c r="K813" t="s">
        <v>171</v>
      </c>
      <c r="L813" s="8">
        <f t="shared" si="12"/>
        <v>0.8</v>
      </c>
    </row>
    <row r="814" spans="1:12">
      <c r="A814" t="s">
        <v>519</v>
      </c>
      <c r="B814">
        <v>1985</v>
      </c>
      <c r="C814" t="s">
        <v>349</v>
      </c>
      <c r="D814">
        <v>179.9</v>
      </c>
      <c r="E814">
        <v>455</v>
      </c>
      <c r="F814">
        <v>250</v>
      </c>
      <c r="G814">
        <v>300</v>
      </c>
      <c r="H814">
        <v>1005</v>
      </c>
      <c r="I814">
        <v>2013</v>
      </c>
      <c r="J814" t="s">
        <v>29</v>
      </c>
      <c r="K814" t="s">
        <v>171</v>
      </c>
      <c r="L814" s="8">
        <f t="shared" si="12"/>
        <v>0.83333333333333337</v>
      </c>
    </row>
    <row r="815" spans="1:12">
      <c r="A815" t="s">
        <v>704</v>
      </c>
      <c r="B815">
        <v>1982</v>
      </c>
      <c r="C815" t="s">
        <v>485</v>
      </c>
      <c r="D815">
        <v>114.45</v>
      </c>
      <c r="E815">
        <v>360</v>
      </c>
      <c r="F815">
        <v>250</v>
      </c>
      <c r="G815">
        <v>300</v>
      </c>
      <c r="H815">
        <v>910</v>
      </c>
      <c r="I815">
        <v>2014</v>
      </c>
      <c r="J815" t="s">
        <v>29</v>
      </c>
      <c r="K815" t="s">
        <v>171</v>
      </c>
      <c r="L815" s="8">
        <f t="shared" si="12"/>
        <v>0.83333333333333337</v>
      </c>
    </row>
    <row r="816" spans="1:12">
      <c r="A816" t="s">
        <v>476</v>
      </c>
      <c r="B816">
        <v>1982</v>
      </c>
      <c r="C816" t="s">
        <v>113</v>
      </c>
      <c r="D816">
        <v>135.1</v>
      </c>
      <c r="E816">
        <v>340</v>
      </c>
      <c r="F816">
        <v>250</v>
      </c>
      <c r="G816">
        <v>300</v>
      </c>
      <c r="H816">
        <v>890</v>
      </c>
      <c r="I816">
        <v>2014</v>
      </c>
      <c r="J816" t="s">
        <v>29</v>
      </c>
      <c r="K816" t="s">
        <v>171</v>
      </c>
      <c r="L816" s="8">
        <f t="shared" si="12"/>
        <v>0.83333333333333337</v>
      </c>
    </row>
    <row r="817" spans="1:12">
      <c r="A817" t="s">
        <v>523</v>
      </c>
      <c r="B817">
        <v>1984</v>
      </c>
      <c r="C817" t="s">
        <v>125</v>
      </c>
      <c r="D817">
        <v>92.52</v>
      </c>
      <c r="E817">
        <v>322.5</v>
      </c>
      <c r="F817">
        <v>250</v>
      </c>
      <c r="G817">
        <v>292.5</v>
      </c>
      <c r="H817">
        <v>865</v>
      </c>
      <c r="I817">
        <v>2013</v>
      </c>
      <c r="J817" t="s">
        <v>29</v>
      </c>
      <c r="K817" t="s">
        <v>171</v>
      </c>
      <c r="L817" s="8">
        <f t="shared" si="12"/>
        <v>0.85470085470085466</v>
      </c>
    </row>
    <row r="818" spans="1:12">
      <c r="A818" t="s">
        <v>722</v>
      </c>
      <c r="B818">
        <v>1989</v>
      </c>
      <c r="C818" t="s">
        <v>390</v>
      </c>
      <c r="D818">
        <v>135.4</v>
      </c>
      <c r="E818">
        <v>345</v>
      </c>
      <c r="F818">
        <v>250</v>
      </c>
      <c r="G818">
        <v>270</v>
      </c>
      <c r="H818">
        <v>865</v>
      </c>
      <c r="I818">
        <v>2013</v>
      </c>
      <c r="J818" t="s">
        <v>29</v>
      </c>
      <c r="K818" t="s">
        <v>171</v>
      </c>
      <c r="L818" s="8">
        <f t="shared" si="12"/>
        <v>0.92592592592592593</v>
      </c>
    </row>
    <row r="819" spans="1:12">
      <c r="A819" t="s">
        <v>573</v>
      </c>
      <c r="B819">
        <v>1985</v>
      </c>
      <c r="C819" t="s">
        <v>380</v>
      </c>
      <c r="D819">
        <v>101.36</v>
      </c>
      <c r="E819">
        <v>320</v>
      </c>
      <c r="F819">
        <v>250</v>
      </c>
      <c r="G819">
        <v>255</v>
      </c>
      <c r="H819">
        <v>825</v>
      </c>
      <c r="I819">
        <v>2013</v>
      </c>
      <c r="J819" t="s">
        <v>29</v>
      </c>
      <c r="K819" t="s">
        <v>171</v>
      </c>
      <c r="L819" s="8">
        <f t="shared" si="12"/>
        <v>0.98039215686274506</v>
      </c>
    </row>
    <row r="820" spans="1:12">
      <c r="A820" t="s">
        <v>635</v>
      </c>
      <c r="B820">
        <v>1987</v>
      </c>
      <c r="C820" t="s">
        <v>28</v>
      </c>
      <c r="D820">
        <v>92.82</v>
      </c>
      <c r="E820">
        <v>372.5</v>
      </c>
      <c r="F820">
        <v>247.5</v>
      </c>
      <c r="G820">
        <v>335</v>
      </c>
      <c r="H820">
        <v>955</v>
      </c>
      <c r="I820">
        <v>2013</v>
      </c>
      <c r="J820" t="s">
        <v>29</v>
      </c>
      <c r="K820" t="s">
        <v>171</v>
      </c>
      <c r="L820" s="8">
        <f t="shared" si="12"/>
        <v>0.73880597014925375</v>
      </c>
    </row>
    <row r="821" spans="1:12">
      <c r="A821" t="s">
        <v>422</v>
      </c>
      <c r="B821">
        <v>1986</v>
      </c>
      <c r="C821" t="s">
        <v>282</v>
      </c>
      <c r="D821">
        <v>82.54</v>
      </c>
      <c r="E821">
        <v>377.5</v>
      </c>
      <c r="F821">
        <v>247.5</v>
      </c>
      <c r="G821">
        <v>330</v>
      </c>
      <c r="H821">
        <v>955</v>
      </c>
      <c r="I821">
        <v>2014</v>
      </c>
      <c r="J821" t="s">
        <v>29</v>
      </c>
      <c r="K821" t="s">
        <v>171</v>
      </c>
      <c r="L821" s="8">
        <f t="shared" si="12"/>
        <v>0.75</v>
      </c>
    </row>
    <row r="822" spans="1:12">
      <c r="A822" t="s">
        <v>518</v>
      </c>
      <c r="B822">
        <v>1982</v>
      </c>
      <c r="C822" t="s">
        <v>239</v>
      </c>
      <c r="D822">
        <v>104.27</v>
      </c>
      <c r="E822">
        <v>350</v>
      </c>
      <c r="F822">
        <v>247.5</v>
      </c>
      <c r="G822">
        <v>330</v>
      </c>
      <c r="H822">
        <v>927.5</v>
      </c>
      <c r="I822">
        <v>2013</v>
      </c>
      <c r="J822" t="s">
        <v>29</v>
      </c>
      <c r="K822" t="s">
        <v>171</v>
      </c>
      <c r="L822" s="8">
        <f t="shared" si="12"/>
        <v>0.75</v>
      </c>
    </row>
    <row r="823" spans="1:12">
      <c r="A823" t="s">
        <v>691</v>
      </c>
      <c r="B823">
        <v>1982</v>
      </c>
      <c r="C823" t="s">
        <v>239</v>
      </c>
      <c r="D823">
        <v>118.84</v>
      </c>
      <c r="E823">
        <v>390</v>
      </c>
      <c r="F823">
        <v>247.5</v>
      </c>
      <c r="G823">
        <v>325</v>
      </c>
      <c r="H823">
        <v>962.5</v>
      </c>
      <c r="I823">
        <v>2014</v>
      </c>
      <c r="J823" t="s">
        <v>29</v>
      </c>
      <c r="K823" t="s">
        <v>171</v>
      </c>
      <c r="L823" s="8">
        <f t="shared" si="12"/>
        <v>0.7615384615384615</v>
      </c>
    </row>
    <row r="824" spans="1:12">
      <c r="A824" t="s">
        <v>565</v>
      </c>
      <c r="B824">
        <v>1988</v>
      </c>
      <c r="C824" t="s">
        <v>125</v>
      </c>
      <c r="D824">
        <v>119.05</v>
      </c>
      <c r="E824">
        <v>290</v>
      </c>
      <c r="F824">
        <v>247.5</v>
      </c>
      <c r="G824">
        <v>315</v>
      </c>
      <c r="H824">
        <v>852.5</v>
      </c>
      <c r="I824">
        <v>2013</v>
      </c>
      <c r="J824" t="s">
        <v>29</v>
      </c>
      <c r="K824" t="s">
        <v>171</v>
      </c>
      <c r="L824" s="8">
        <f t="shared" si="12"/>
        <v>0.7857142857142857</v>
      </c>
    </row>
    <row r="825" spans="1:12">
      <c r="A825" t="s">
        <v>664</v>
      </c>
      <c r="B825">
        <v>1984</v>
      </c>
      <c r="C825" t="s">
        <v>119</v>
      </c>
      <c r="D825">
        <v>82.32</v>
      </c>
      <c r="E825">
        <v>360</v>
      </c>
      <c r="F825">
        <v>247.5</v>
      </c>
      <c r="G825">
        <v>307.5</v>
      </c>
      <c r="H825">
        <v>915</v>
      </c>
      <c r="I825">
        <v>2012</v>
      </c>
      <c r="J825" t="s">
        <v>29</v>
      </c>
      <c r="K825" t="s">
        <v>171</v>
      </c>
      <c r="L825" s="8">
        <f t="shared" si="12"/>
        <v>0.80487804878048785</v>
      </c>
    </row>
    <row r="826" spans="1:12">
      <c r="A826" t="s">
        <v>697</v>
      </c>
      <c r="B826">
        <v>1973</v>
      </c>
      <c r="C826" t="s">
        <v>485</v>
      </c>
      <c r="D826">
        <v>101.77</v>
      </c>
      <c r="E826">
        <v>307.5</v>
      </c>
      <c r="F826">
        <v>247.5</v>
      </c>
      <c r="G826">
        <v>270</v>
      </c>
      <c r="H826">
        <v>825</v>
      </c>
      <c r="I826">
        <v>2012</v>
      </c>
      <c r="J826" t="s">
        <v>29</v>
      </c>
      <c r="K826" t="s">
        <v>171</v>
      </c>
      <c r="L826" s="8">
        <f t="shared" si="12"/>
        <v>0.91666666666666663</v>
      </c>
    </row>
    <row r="827" spans="1:12">
      <c r="A827" t="s">
        <v>408</v>
      </c>
      <c r="B827">
        <v>1975</v>
      </c>
      <c r="C827" t="s">
        <v>119</v>
      </c>
      <c r="D827">
        <v>92.92</v>
      </c>
      <c r="E827">
        <v>377.5</v>
      </c>
      <c r="F827">
        <v>245</v>
      </c>
      <c r="G827">
        <v>337.5</v>
      </c>
      <c r="H827">
        <v>960</v>
      </c>
      <c r="I827">
        <v>2012</v>
      </c>
      <c r="J827" t="s">
        <v>29</v>
      </c>
      <c r="K827" t="s">
        <v>171</v>
      </c>
      <c r="L827" s="8">
        <f t="shared" si="12"/>
        <v>0.72592592592592597</v>
      </c>
    </row>
    <row r="828" spans="1:12">
      <c r="A828" t="s">
        <v>513</v>
      </c>
      <c r="B828">
        <v>1990</v>
      </c>
      <c r="C828" t="s">
        <v>51</v>
      </c>
      <c r="D828">
        <v>104.76</v>
      </c>
      <c r="E828">
        <v>350</v>
      </c>
      <c r="F828">
        <v>245</v>
      </c>
      <c r="G828">
        <v>327.5</v>
      </c>
      <c r="H828">
        <v>922.5</v>
      </c>
      <c r="I828">
        <v>2014</v>
      </c>
      <c r="J828" t="s">
        <v>29</v>
      </c>
      <c r="K828" t="s">
        <v>171</v>
      </c>
      <c r="L828" s="8">
        <f t="shared" si="12"/>
        <v>0.74809160305343514</v>
      </c>
    </row>
    <row r="829" spans="1:12">
      <c r="A829" t="s">
        <v>819</v>
      </c>
      <c r="B829">
        <v>1985</v>
      </c>
      <c r="C829" t="s">
        <v>28</v>
      </c>
      <c r="D829">
        <v>82.68</v>
      </c>
      <c r="E829">
        <v>360</v>
      </c>
      <c r="F829">
        <v>245</v>
      </c>
      <c r="G829">
        <v>320</v>
      </c>
      <c r="H829">
        <v>925</v>
      </c>
      <c r="I829">
        <v>2012</v>
      </c>
      <c r="J829" t="s">
        <v>29</v>
      </c>
      <c r="K829" t="s">
        <v>171</v>
      </c>
      <c r="L829" s="8">
        <f t="shared" si="12"/>
        <v>0.765625</v>
      </c>
    </row>
    <row r="830" spans="1:12">
      <c r="A830" t="s">
        <v>733</v>
      </c>
      <c r="B830">
        <v>1982</v>
      </c>
      <c r="C830" t="s">
        <v>119</v>
      </c>
      <c r="D830">
        <v>82.7</v>
      </c>
      <c r="E830">
        <v>357.5</v>
      </c>
      <c r="F830">
        <v>245</v>
      </c>
      <c r="G830">
        <v>320</v>
      </c>
      <c r="H830">
        <v>922.5</v>
      </c>
      <c r="I830">
        <v>2013</v>
      </c>
      <c r="J830" t="s">
        <v>29</v>
      </c>
      <c r="K830" t="s">
        <v>171</v>
      </c>
      <c r="L830" s="8">
        <f t="shared" si="12"/>
        <v>0.765625</v>
      </c>
    </row>
    <row r="831" spans="1:12">
      <c r="A831" t="s">
        <v>723</v>
      </c>
      <c r="B831">
        <v>1982</v>
      </c>
      <c r="C831" t="s">
        <v>336</v>
      </c>
      <c r="D831">
        <v>118.56</v>
      </c>
      <c r="E831">
        <v>350</v>
      </c>
      <c r="F831">
        <v>245</v>
      </c>
      <c r="G831">
        <v>312.5</v>
      </c>
      <c r="H831">
        <v>907.5</v>
      </c>
      <c r="I831">
        <v>2012</v>
      </c>
      <c r="J831" t="s">
        <v>29</v>
      </c>
      <c r="K831" t="s">
        <v>171</v>
      </c>
      <c r="L831" s="8">
        <f t="shared" si="12"/>
        <v>0.78400000000000003</v>
      </c>
    </row>
    <row r="832" spans="1:12">
      <c r="A832" t="s">
        <v>371</v>
      </c>
      <c r="B832">
        <v>1988</v>
      </c>
      <c r="C832" t="s">
        <v>45</v>
      </c>
      <c r="D832">
        <v>82</v>
      </c>
      <c r="E832">
        <v>342.5</v>
      </c>
      <c r="F832">
        <v>245</v>
      </c>
      <c r="G832">
        <v>312.5</v>
      </c>
      <c r="H832">
        <v>900</v>
      </c>
      <c r="I832">
        <v>2012</v>
      </c>
      <c r="J832" t="s">
        <v>29</v>
      </c>
      <c r="K832" t="s">
        <v>171</v>
      </c>
      <c r="L832" s="8">
        <f t="shared" si="12"/>
        <v>0.78400000000000003</v>
      </c>
    </row>
    <row r="833" spans="1:12">
      <c r="A833" t="s">
        <v>355</v>
      </c>
      <c r="B833">
        <v>1982</v>
      </c>
      <c r="C833" t="s">
        <v>77</v>
      </c>
      <c r="D833">
        <v>101.37</v>
      </c>
      <c r="E833">
        <v>325</v>
      </c>
      <c r="F833">
        <v>245</v>
      </c>
      <c r="G833">
        <v>300</v>
      </c>
      <c r="H833">
        <v>870</v>
      </c>
      <c r="I833">
        <v>2012</v>
      </c>
      <c r="J833" t="s">
        <v>29</v>
      </c>
      <c r="K833" t="s">
        <v>171</v>
      </c>
      <c r="L833" s="8">
        <f t="shared" si="12"/>
        <v>0.81666666666666665</v>
      </c>
    </row>
    <row r="834" spans="1:12">
      <c r="A834" t="s">
        <v>696</v>
      </c>
      <c r="B834">
        <v>1990</v>
      </c>
      <c r="C834" t="s">
        <v>39</v>
      </c>
      <c r="D834">
        <v>104.2</v>
      </c>
      <c r="E834">
        <v>0</v>
      </c>
      <c r="F834">
        <v>245</v>
      </c>
      <c r="G834">
        <v>300</v>
      </c>
      <c r="H834">
        <v>0</v>
      </c>
      <c r="I834">
        <v>2014</v>
      </c>
      <c r="J834" t="s">
        <v>29</v>
      </c>
      <c r="K834" t="s">
        <v>171</v>
      </c>
      <c r="L834" s="8">
        <f t="shared" si="12"/>
        <v>0.81666666666666665</v>
      </c>
    </row>
    <row r="835" spans="1:12">
      <c r="A835" t="s">
        <v>547</v>
      </c>
      <c r="B835">
        <v>1989</v>
      </c>
      <c r="C835" t="s">
        <v>62</v>
      </c>
      <c r="D835">
        <v>92.49</v>
      </c>
      <c r="E835">
        <v>305</v>
      </c>
      <c r="F835">
        <v>245</v>
      </c>
      <c r="G835">
        <v>280</v>
      </c>
      <c r="H835">
        <v>830</v>
      </c>
      <c r="I835">
        <v>2013</v>
      </c>
      <c r="J835" t="s">
        <v>29</v>
      </c>
      <c r="K835" t="s">
        <v>171</v>
      </c>
      <c r="L835" s="8">
        <f t="shared" ref="L835:L898" si="13">IF(AND(F835&lt;&gt;0,G835&lt;&gt;0),F835/G835,"")</f>
        <v>0.875</v>
      </c>
    </row>
    <row r="836" spans="1:12">
      <c r="A836" t="s">
        <v>697</v>
      </c>
      <c r="B836">
        <v>1973</v>
      </c>
      <c r="C836" t="s">
        <v>485</v>
      </c>
      <c r="D836">
        <v>100.82</v>
      </c>
      <c r="E836">
        <v>0</v>
      </c>
      <c r="F836">
        <v>245</v>
      </c>
      <c r="G836">
        <v>260</v>
      </c>
      <c r="H836">
        <v>0</v>
      </c>
      <c r="I836">
        <v>2014</v>
      </c>
      <c r="J836" t="s">
        <v>29</v>
      </c>
      <c r="K836" t="s">
        <v>171</v>
      </c>
      <c r="L836" s="8">
        <f t="shared" si="13"/>
        <v>0.94230769230769229</v>
      </c>
    </row>
    <row r="837" spans="1:12">
      <c r="A837" t="s">
        <v>48</v>
      </c>
      <c r="B837">
        <v>1983</v>
      </c>
      <c r="C837" t="s">
        <v>49</v>
      </c>
      <c r="D837">
        <v>91.94</v>
      </c>
      <c r="E837">
        <v>360</v>
      </c>
      <c r="F837">
        <v>242.5</v>
      </c>
      <c r="G837">
        <v>350</v>
      </c>
      <c r="H837">
        <v>952.5</v>
      </c>
      <c r="I837">
        <v>2014</v>
      </c>
      <c r="J837" t="s">
        <v>29</v>
      </c>
      <c r="K837" t="s">
        <v>171</v>
      </c>
      <c r="L837" s="8">
        <f t="shared" si="13"/>
        <v>0.69285714285714284</v>
      </c>
    </row>
    <row r="838" spans="1:12">
      <c r="A838" t="s">
        <v>161</v>
      </c>
      <c r="B838">
        <v>1988</v>
      </c>
      <c r="C838" t="s">
        <v>45</v>
      </c>
      <c r="D838">
        <v>104.23</v>
      </c>
      <c r="E838">
        <v>365</v>
      </c>
      <c r="F838">
        <v>242.5</v>
      </c>
      <c r="G838">
        <v>320</v>
      </c>
      <c r="H838">
        <v>927.5</v>
      </c>
      <c r="I838">
        <v>2012</v>
      </c>
      <c r="J838" t="s">
        <v>29</v>
      </c>
      <c r="K838" t="s">
        <v>171</v>
      </c>
      <c r="L838" s="8">
        <f t="shared" si="13"/>
        <v>0.7578125</v>
      </c>
    </row>
    <row r="839" spans="1:12">
      <c r="A839" t="s">
        <v>694</v>
      </c>
      <c r="B839">
        <v>1992</v>
      </c>
      <c r="C839" t="s">
        <v>125</v>
      </c>
      <c r="D839">
        <v>114.13</v>
      </c>
      <c r="E839">
        <v>0</v>
      </c>
      <c r="F839">
        <v>242.5</v>
      </c>
      <c r="G839">
        <v>290</v>
      </c>
      <c r="H839">
        <v>0</v>
      </c>
      <c r="I839">
        <v>2015</v>
      </c>
      <c r="J839" t="s">
        <v>29</v>
      </c>
      <c r="K839" t="s">
        <v>171</v>
      </c>
      <c r="L839" s="8">
        <f t="shared" si="13"/>
        <v>0.83620689655172409</v>
      </c>
    </row>
    <row r="840" spans="1:12">
      <c r="A840" t="s">
        <v>769</v>
      </c>
      <c r="B840">
        <v>1984</v>
      </c>
      <c r="C840" t="s">
        <v>49</v>
      </c>
      <c r="D840">
        <v>82.65</v>
      </c>
      <c r="E840">
        <v>285</v>
      </c>
      <c r="F840">
        <v>242.5</v>
      </c>
      <c r="G840">
        <v>275</v>
      </c>
      <c r="H840">
        <v>802.5</v>
      </c>
      <c r="I840">
        <v>2015</v>
      </c>
      <c r="J840" t="s">
        <v>29</v>
      </c>
      <c r="K840" t="s">
        <v>171</v>
      </c>
      <c r="L840" s="8">
        <f t="shared" si="13"/>
        <v>0.88181818181818183</v>
      </c>
    </row>
    <row r="841" spans="1:12">
      <c r="A841" t="s">
        <v>699</v>
      </c>
      <c r="B841">
        <v>1988</v>
      </c>
      <c r="C841" t="s">
        <v>352</v>
      </c>
      <c r="D841">
        <v>73.540000000000006</v>
      </c>
      <c r="E841">
        <v>322.5</v>
      </c>
      <c r="F841">
        <v>241</v>
      </c>
      <c r="G841">
        <v>327.5</v>
      </c>
      <c r="H841">
        <v>891</v>
      </c>
      <c r="I841">
        <v>2012</v>
      </c>
      <c r="J841" t="s">
        <v>29</v>
      </c>
      <c r="K841" t="s">
        <v>171</v>
      </c>
      <c r="L841" s="8">
        <f t="shared" si="13"/>
        <v>0.73587786259541987</v>
      </c>
    </row>
    <row r="842" spans="1:12">
      <c r="A842" t="s">
        <v>518</v>
      </c>
      <c r="B842">
        <v>1982</v>
      </c>
      <c r="C842" t="s">
        <v>239</v>
      </c>
      <c r="D842">
        <v>104.03</v>
      </c>
      <c r="E842">
        <v>350</v>
      </c>
      <c r="F842">
        <v>240</v>
      </c>
      <c r="G842">
        <v>345</v>
      </c>
      <c r="H842">
        <v>935</v>
      </c>
      <c r="I842">
        <v>2015</v>
      </c>
      <c r="J842" t="s">
        <v>29</v>
      </c>
      <c r="K842" t="s">
        <v>171</v>
      </c>
      <c r="L842" s="8">
        <f t="shared" si="13"/>
        <v>0.69565217391304346</v>
      </c>
    </row>
    <row r="843" spans="1:12">
      <c r="A843" t="s">
        <v>360</v>
      </c>
      <c r="B843">
        <v>1993</v>
      </c>
      <c r="C843" t="s">
        <v>39</v>
      </c>
      <c r="D843">
        <v>82.48</v>
      </c>
      <c r="E843">
        <v>330</v>
      </c>
      <c r="F843">
        <v>240</v>
      </c>
      <c r="G843">
        <v>330</v>
      </c>
      <c r="H843">
        <v>900</v>
      </c>
      <c r="I843">
        <v>2014</v>
      </c>
      <c r="J843" t="s">
        <v>29</v>
      </c>
      <c r="K843" t="s">
        <v>171</v>
      </c>
      <c r="L843" s="8">
        <f t="shared" si="13"/>
        <v>0.72727272727272729</v>
      </c>
    </row>
    <row r="844" spans="1:12">
      <c r="A844" t="s">
        <v>752</v>
      </c>
      <c r="B844">
        <v>1975</v>
      </c>
      <c r="C844" t="s">
        <v>753</v>
      </c>
      <c r="D844">
        <v>137.06</v>
      </c>
      <c r="E844">
        <v>422.5</v>
      </c>
      <c r="F844">
        <v>240</v>
      </c>
      <c r="G844">
        <v>320</v>
      </c>
      <c r="H844">
        <v>982.5</v>
      </c>
      <c r="I844">
        <v>2012</v>
      </c>
      <c r="J844" t="s">
        <v>29</v>
      </c>
      <c r="K844" t="s">
        <v>171</v>
      </c>
      <c r="L844" s="8">
        <f t="shared" si="13"/>
        <v>0.75</v>
      </c>
    </row>
    <row r="845" spans="1:12">
      <c r="A845" t="s">
        <v>673</v>
      </c>
      <c r="B845">
        <v>1977</v>
      </c>
      <c r="C845" t="s">
        <v>336</v>
      </c>
      <c r="D845">
        <v>125.2</v>
      </c>
      <c r="E845">
        <v>337.5</v>
      </c>
      <c r="F845">
        <v>240</v>
      </c>
      <c r="G845">
        <v>310</v>
      </c>
      <c r="H845">
        <v>887.5</v>
      </c>
      <c r="I845">
        <v>2013</v>
      </c>
      <c r="J845" t="s">
        <v>29</v>
      </c>
      <c r="K845" t="s">
        <v>171</v>
      </c>
      <c r="L845" s="8">
        <f t="shared" si="13"/>
        <v>0.77419354838709675</v>
      </c>
    </row>
    <row r="846" spans="1:12">
      <c r="A846" t="s">
        <v>354</v>
      </c>
      <c r="B846">
        <v>1985</v>
      </c>
      <c r="C846" t="s">
        <v>349</v>
      </c>
      <c r="D846">
        <v>117.14</v>
      </c>
      <c r="E846">
        <v>300</v>
      </c>
      <c r="F846">
        <v>240</v>
      </c>
      <c r="G846">
        <v>310</v>
      </c>
      <c r="H846">
        <v>850</v>
      </c>
      <c r="I846">
        <v>2013</v>
      </c>
      <c r="J846" t="s">
        <v>29</v>
      </c>
      <c r="K846" t="s">
        <v>171</v>
      </c>
      <c r="L846" s="8">
        <f t="shared" si="13"/>
        <v>0.77419354838709675</v>
      </c>
    </row>
    <row r="847" spans="1:12">
      <c r="A847" t="s">
        <v>776</v>
      </c>
      <c r="B847">
        <v>1985</v>
      </c>
      <c r="C847" t="s">
        <v>28</v>
      </c>
      <c r="D847">
        <v>82.37</v>
      </c>
      <c r="E847">
        <v>375</v>
      </c>
      <c r="F847">
        <v>240</v>
      </c>
      <c r="G847">
        <v>307.5</v>
      </c>
      <c r="H847">
        <v>922.5</v>
      </c>
      <c r="I847">
        <v>2015</v>
      </c>
      <c r="J847" t="s">
        <v>29</v>
      </c>
      <c r="K847" t="s">
        <v>171</v>
      </c>
      <c r="L847" s="8">
        <f t="shared" si="13"/>
        <v>0.78048780487804881</v>
      </c>
    </row>
    <row r="848" spans="1:12">
      <c r="A848" t="s">
        <v>536</v>
      </c>
      <c r="B848">
        <v>1990</v>
      </c>
      <c r="C848" t="s">
        <v>109</v>
      </c>
      <c r="D848">
        <v>89.7</v>
      </c>
      <c r="E848">
        <v>345</v>
      </c>
      <c r="F848">
        <v>240</v>
      </c>
      <c r="G848">
        <v>302.5</v>
      </c>
      <c r="H848">
        <v>887.5</v>
      </c>
      <c r="I848">
        <v>2014</v>
      </c>
      <c r="J848" t="s">
        <v>29</v>
      </c>
      <c r="K848" t="s">
        <v>171</v>
      </c>
      <c r="L848" s="8">
        <f t="shared" si="13"/>
        <v>0.79338842975206614</v>
      </c>
    </row>
    <row r="849" spans="1:12">
      <c r="A849" t="s">
        <v>362</v>
      </c>
      <c r="B849">
        <v>1978</v>
      </c>
      <c r="C849" t="s">
        <v>77</v>
      </c>
      <c r="D849">
        <v>90.4</v>
      </c>
      <c r="E849">
        <v>305</v>
      </c>
      <c r="F849">
        <v>240</v>
      </c>
      <c r="G849">
        <v>295</v>
      </c>
      <c r="H849">
        <v>840</v>
      </c>
      <c r="I849">
        <v>2014</v>
      </c>
      <c r="J849" t="s">
        <v>29</v>
      </c>
      <c r="K849" t="s">
        <v>171</v>
      </c>
      <c r="L849" s="8">
        <f t="shared" si="13"/>
        <v>0.81355932203389836</v>
      </c>
    </row>
    <row r="850" spans="1:12">
      <c r="A850" t="s">
        <v>778</v>
      </c>
      <c r="B850">
        <v>1972</v>
      </c>
      <c r="C850" t="s">
        <v>49</v>
      </c>
      <c r="D850">
        <v>141.09</v>
      </c>
      <c r="E850">
        <v>350</v>
      </c>
      <c r="F850">
        <v>240</v>
      </c>
      <c r="G850">
        <v>290</v>
      </c>
      <c r="H850">
        <v>880</v>
      </c>
      <c r="I850">
        <v>2012</v>
      </c>
      <c r="J850" t="s">
        <v>29</v>
      </c>
      <c r="K850" t="s">
        <v>171</v>
      </c>
      <c r="L850" s="8">
        <f t="shared" si="13"/>
        <v>0.82758620689655171</v>
      </c>
    </row>
    <row r="851" spans="1:12">
      <c r="A851" t="s">
        <v>778</v>
      </c>
      <c r="B851">
        <v>1972</v>
      </c>
      <c r="C851" t="s">
        <v>49</v>
      </c>
      <c r="D851">
        <v>152.9</v>
      </c>
      <c r="E851">
        <v>372.5</v>
      </c>
      <c r="F851">
        <v>240</v>
      </c>
      <c r="G851">
        <v>285</v>
      </c>
      <c r="H851">
        <v>897.5</v>
      </c>
      <c r="I851">
        <v>2015</v>
      </c>
      <c r="J851" t="s">
        <v>29</v>
      </c>
      <c r="K851" t="s">
        <v>171</v>
      </c>
      <c r="L851" s="8">
        <f t="shared" si="13"/>
        <v>0.84210526315789469</v>
      </c>
    </row>
    <row r="852" spans="1:12">
      <c r="A852" t="s">
        <v>501</v>
      </c>
      <c r="B852">
        <v>1990</v>
      </c>
      <c r="C852" t="s">
        <v>137</v>
      </c>
      <c r="D852">
        <v>92.99</v>
      </c>
      <c r="E852">
        <v>315</v>
      </c>
      <c r="F852">
        <v>240</v>
      </c>
      <c r="G852">
        <v>280</v>
      </c>
      <c r="H852">
        <v>835</v>
      </c>
      <c r="I852">
        <v>2015</v>
      </c>
      <c r="J852" t="s">
        <v>29</v>
      </c>
      <c r="K852" t="s">
        <v>171</v>
      </c>
      <c r="L852" s="8">
        <f t="shared" si="13"/>
        <v>0.8571428571428571</v>
      </c>
    </row>
    <row r="853" spans="1:12">
      <c r="A853" t="s">
        <v>636</v>
      </c>
      <c r="B853">
        <v>1989</v>
      </c>
      <c r="C853" t="s">
        <v>39</v>
      </c>
      <c r="D853">
        <v>91.7</v>
      </c>
      <c r="E853">
        <v>0</v>
      </c>
      <c r="F853">
        <v>240</v>
      </c>
      <c r="G853">
        <v>270</v>
      </c>
      <c r="H853">
        <v>0</v>
      </c>
      <c r="I853">
        <v>2014</v>
      </c>
      <c r="J853" t="s">
        <v>29</v>
      </c>
      <c r="K853" t="s">
        <v>171</v>
      </c>
      <c r="L853" s="8">
        <f t="shared" si="13"/>
        <v>0.88888888888888884</v>
      </c>
    </row>
    <row r="854" spans="1:12">
      <c r="A854" t="s">
        <v>769</v>
      </c>
      <c r="B854">
        <v>1984</v>
      </c>
      <c r="C854" t="s">
        <v>49</v>
      </c>
      <c r="D854">
        <v>83</v>
      </c>
      <c r="E854">
        <v>305</v>
      </c>
      <c r="F854">
        <v>240</v>
      </c>
      <c r="G854">
        <v>260</v>
      </c>
      <c r="H854">
        <v>805</v>
      </c>
      <c r="I854">
        <v>2012</v>
      </c>
      <c r="J854" t="s">
        <v>29</v>
      </c>
      <c r="K854" t="s">
        <v>171</v>
      </c>
      <c r="L854" s="8">
        <f t="shared" si="13"/>
        <v>0.92307692307692313</v>
      </c>
    </row>
    <row r="855" spans="1:12">
      <c r="A855" t="s">
        <v>551</v>
      </c>
      <c r="B855">
        <v>1985</v>
      </c>
      <c r="C855" t="s">
        <v>109</v>
      </c>
      <c r="D855">
        <v>92.58</v>
      </c>
      <c r="E855">
        <v>322.5</v>
      </c>
      <c r="F855">
        <v>237.5</v>
      </c>
      <c r="G855">
        <v>302.5</v>
      </c>
      <c r="H855">
        <v>862.5</v>
      </c>
      <c r="I855">
        <v>2014</v>
      </c>
      <c r="J855" t="s">
        <v>29</v>
      </c>
      <c r="K855" t="s">
        <v>171</v>
      </c>
      <c r="L855" s="8">
        <f t="shared" si="13"/>
        <v>0.78512396694214881</v>
      </c>
    </row>
    <row r="856" spans="1:12">
      <c r="A856" t="s">
        <v>751</v>
      </c>
      <c r="B856">
        <v>1981</v>
      </c>
      <c r="C856" t="s">
        <v>125</v>
      </c>
      <c r="D856">
        <v>100.55</v>
      </c>
      <c r="E856">
        <v>345</v>
      </c>
      <c r="F856">
        <v>237.5</v>
      </c>
      <c r="G856">
        <v>292.5</v>
      </c>
      <c r="H856">
        <v>875</v>
      </c>
      <c r="I856">
        <v>2015</v>
      </c>
      <c r="J856" t="s">
        <v>29</v>
      </c>
      <c r="K856" t="s">
        <v>171</v>
      </c>
      <c r="L856" s="8">
        <f t="shared" si="13"/>
        <v>0.81196581196581197</v>
      </c>
    </row>
    <row r="857" spans="1:12">
      <c r="A857" t="s">
        <v>484</v>
      </c>
      <c r="B857">
        <v>1975</v>
      </c>
      <c r="C857" t="s">
        <v>485</v>
      </c>
      <c r="D857">
        <v>91.28</v>
      </c>
      <c r="E857">
        <v>320</v>
      </c>
      <c r="F857">
        <v>237.5</v>
      </c>
      <c r="G857">
        <v>280</v>
      </c>
      <c r="H857">
        <v>837.5</v>
      </c>
      <c r="I857">
        <v>2014</v>
      </c>
      <c r="J857" t="s">
        <v>29</v>
      </c>
      <c r="K857" t="s">
        <v>171</v>
      </c>
      <c r="L857" s="8">
        <f t="shared" si="13"/>
        <v>0.8482142857142857</v>
      </c>
    </row>
    <row r="858" spans="1:12">
      <c r="A858" t="s">
        <v>654</v>
      </c>
      <c r="B858">
        <v>1972</v>
      </c>
      <c r="C858" t="s">
        <v>77</v>
      </c>
      <c r="D858">
        <v>82.53</v>
      </c>
      <c r="E858">
        <v>305</v>
      </c>
      <c r="F858">
        <v>237.5</v>
      </c>
      <c r="G858">
        <v>270</v>
      </c>
      <c r="H858">
        <v>812.5</v>
      </c>
      <c r="I858">
        <v>2012</v>
      </c>
      <c r="J858" t="s">
        <v>29</v>
      </c>
      <c r="K858" t="s">
        <v>171</v>
      </c>
      <c r="L858" s="8">
        <f t="shared" si="13"/>
        <v>0.87962962962962965</v>
      </c>
    </row>
    <row r="859" spans="1:12">
      <c r="A859" t="s">
        <v>69</v>
      </c>
      <c r="B859">
        <v>1983</v>
      </c>
      <c r="C859" t="s">
        <v>45</v>
      </c>
      <c r="D859">
        <v>110.95</v>
      </c>
      <c r="E859">
        <v>395</v>
      </c>
      <c r="F859">
        <v>235</v>
      </c>
      <c r="G859">
        <v>375</v>
      </c>
      <c r="H859">
        <v>1005</v>
      </c>
      <c r="I859">
        <v>2015</v>
      </c>
      <c r="J859" t="s">
        <v>29</v>
      </c>
      <c r="K859" t="s">
        <v>171</v>
      </c>
      <c r="L859" s="8">
        <f t="shared" si="13"/>
        <v>0.62666666666666671</v>
      </c>
    </row>
    <row r="860" spans="1:12">
      <c r="A860" t="s">
        <v>768</v>
      </c>
      <c r="B860">
        <v>1976</v>
      </c>
      <c r="C860" t="s">
        <v>142</v>
      </c>
      <c r="D860">
        <v>93</v>
      </c>
      <c r="E860">
        <v>350</v>
      </c>
      <c r="F860">
        <v>235</v>
      </c>
      <c r="G860">
        <v>350</v>
      </c>
      <c r="H860">
        <v>935</v>
      </c>
      <c r="I860">
        <v>2015</v>
      </c>
      <c r="J860" t="s">
        <v>29</v>
      </c>
      <c r="K860" t="s">
        <v>171</v>
      </c>
      <c r="L860" s="8">
        <f t="shared" si="13"/>
        <v>0.67142857142857137</v>
      </c>
    </row>
    <row r="861" spans="1:12">
      <c r="A861" t="s">
        <v>48</v>
      </c>
      <c r="B861">
        <v>1983</v>
      </c>
      <c r="C861" t="s">
        <v>49</v>
      </c>
      <c r="D861">
        <v>92.55</v>
      </c>
      <c r="E861">
        <v>355</v>
      </c>
      <c r="F861">
        <v>235</v>
      </c>
      <c r="G861">
        <v>327.5</v>
      </c>
      <c r="H861">
        <v>917.5</v>
      </c>
      <c r="I861">
        <v>2013</v>
      </c>
      <c r="J861" t="s">
        <v>29</v>
      </c>
      <c r="K861" t="s">
        <v>171</v>
      </c>
      <c r="L861" s="8">
        <f t="shared" si="13"/>
        <v>0.71755725190839692</v>
      </c>
    </row>
    <row r="862" spans="1:12">
      <c r="A862" t="s">
        <v>733</v>
      </c>
      <c r="B862">
        <v>1982</v>
      </c>
      <c r="C862" t="s">
        <v>119</v>
      </c>
      <c r="D862">
        <v>82.33</v>
      </c>
      <c r="E862">
        <v>357.5</v>
      </c>
      <c r="F862">
        <v>235</v>
      </c>
      <c r="G862">
        <v>317.5</v>
      </c>
      <c r="H862">
        <v>910</v>
      </c>
      <c r="I862">
        <v>2012</v>
      </c>
      <c r="J862" t="s">
        <v>29</v>
      </c>
      <c r="K862" t="s">
        <v>171</v>
      </c>
      <c r="L862" s="8">
        <f t="shared" si="13"/>
        <v>0.74015748031496065</v>
      </c>
    </row>
    <row r="863" spans="1:12">
      <c r="A863" t="s">
        <v>673</v>
      </c>
      <c r="B863">
        <v>1977</v>
      </c>
      <c r="C863" t="s">
        <v>336</v>
      </c>
      <c r="D863">
        <v>126.98</v>
      </c>
      <c r="E863">
        <v>317.5</v>
      </c>
      <c r="F863">
        <v>235</v>
      </c>
      <c r="G863">
        <v>317.5</v>
      </c>
      <c r="H863">
        <v>870</v>
      </c>
      <c r="I863">
        <v>2012</v>
      </c>
      <c r="J863" t="s">
        <v>29</v>
      </c>
      <c r="K863" t="s">
        <v>171</v>
      </c>
      <c r="L863" s="8">
        <f t="shared" si="13"/>
        <v>0.74015748031496065</v>
      </c>
    </row>
    <row r="864" spans="1:12">
      <c r="A864" t="s">
        <v>704</v>
      </c>
      <c r="B864">
        <v>1982</v>
      </c>
      <c r="C864" t="s">
        <v>485</v>
      </c>
      <c r="D864">
        <v>114.75</v>
      </c>
      <c r="E864">
        <v>360</v>
      </c>
      <c r="F864">
        <v>235</v>
      </c>
      <c r="G864">
        <v>310</v>
      </c>
      <c r="H864">
        <v>905</v>
      </c>
      <c r="I864">
        <v>2012</v>
      </c>
      <c r="J864" t="s">
        <v>29</v>
      </c>
      <c r="K864" t="s">
        <v>171</v>
      </c>
      <c r="L864" s="8">
        <f t="shared" si="13"/>
        <v>0.75806451612903225</v>
      </c>
    </row>
    <row r="865" spans="1:12">
      <c r="A865" t="s">
        <v>621</v>
      </c>
      <c r="B865">
        <v>1982</v>
      </c>
      <c r="C865" t="s">
        <v>80</v>
      </c>
      <c r="D865">
        <v>104.55</v>
      </c>
      <c r="E865">
        <v>350</v>
      </c>
      <c r="F865">
        <v>235</v>
      </c>
      <c r="G865">
        <v>290</v>
      </c>
      <c r="H865">
        <v>875</v>
      </c>
      <c r="I865">
        <v>2015</v>
      </c>
      <c r="J865" t="s">
        <v>29</v>
      </c>
      <c r="K865" t="s">
        <v>171</v>
      </c>
      <c r="L865" s="8">
        <f t="shared" si="13"/>
        <v>0.81034482758620685</v>
      </c>
    </row>
    <row r="866" spans="1:12">
      <c r="A866" t="s">
        <v>745</v>
      </c>
      <c r="B866">
        <v>1975</v>
      </c>
      <c r="C866" t="s">
        <v>72</v>
      </c>
      <c r="D866">
        <v>104.93</v>
      </c>
      <c r="E866">
        <v>345</v>
      </c>
      <c r="F866">
        <v>232.5</v>
      </c>
      <c r="G866">
        <v>335</v>
      </c>
      <c r="H866">
        <v>912.5</v>
      </c>
      <c r="I866">
        <v>2012</v>
      </c>
      <c r="J866" t="s">
        <v>29</v>
      </c>
      <c r="K866" t="s">
        <v>171</v>
      </c>
      <c r="L866" s="8">
        <f t="shared" si="13"/>
        <v>0.69402985074626866</v>
      </c>
    </row>
    <row r="867" spans="1:12">
      <c r="A867" t="s">
        <v>801</v>
      </c>
      <c r="B867">
        <v>1974</v>
      </c>
      <c r="C867" t="s">
        <v>35</v>
      </c>
      <c r="D867">
        <v>92.44</v>
      </c>
      <c r="E867">
        <v>362.5</v>
      </c>
      <c r="F867">
        <v>232.5</v>
      </c>
      <c r="G867">
        <v>320</v>
      </c>
      <c r="H867">
        <v>915</v>
      </c>
      <c r="I867">
        <v>2012</v>
      </c>
      <c r="J867" t="s">
        <v>29</v>
      </c>
      <c r="K867" t="s">
        <v>171</v>
      </c>
      <c r="L867" s="8">
        <f t="shared" si="13"/>
        <v>0.7265625</v>
      </c>
    </row>
    <row r="868" spans="1:12">
      <c r="A868" t="s">
        <v>488</v>
      </c>
      <c r="B868">
        <v>1983</v>
      </c>
      <c r="C868" t="s">
        <v>137</v>
      </c>
      <c r="D868">
        <v>92.84</v>
      </c>
      <c r="E868">
        <v>0</v>
      </c>
      <c r="F868">
        <v>232.5</v>
      </c>
      <c r="G868">
        <v>315</v>
      </c>
      <c r="H868">
        <v>0</v>
      </c>
      <c r="I868">
        <v>2014</v>
      </c>
      <c r="J868" t="s">
        <v>29</v>
      </c>
      <c r="K868" t="s">
        <v>171</v>
      </c>
      <c r="L868" s="8">
        <f t="shared" si="13"/>
        <v>0.73809523809523814</v>
      </c>
    </row>
    <row r="869" spans="1:12">
      <c r="A869" t="s">
        <v>751</v>
      </c>
      <c r="B869">
        <v>1981</v>
      </c>
      <c r="C869" t="s">
        <v>125</v>
      </c>
      <c r="D869">
        <v>97.32</v>
      </c>
      <c r="E869">
        <v>335</v>
      </c>
      <c r="F869">
        <v>232.5</v>
      </c>
      <c r="G869">
        <v>295</v>
      </c>
      <c r="H869">
        <v>862.5</v>
      </c>
      <c r="I869">
        <v>2014</v>
      </c>
      <c r="J869" t="s">
        <v>29</v>
      </c>
      <c r="K869" t="s">
        <v>171</v>
      </c>
      <c r="L869" s="8">
        <f t="shared" si="13"/>
        <v>0.78813559322033899</v>
      </c>
    </row>
    <row r="870" spans="1:12">
      <c r="A870" t="s">
        <v>776</v>
      </c>
      <c r="B870">
        <v>1985</v>
      </c>
      <c r="C870" t="s">
        <v>28</v>
      </c>
      <c r="D870">
        <v>82.68</v>
      </c>
      <c r="E870">
        <v>362.5</v>
      </c>
      <c r="F870">
        <v>232.5</v>
      </c>
      <c r="G870">
        <v>290</v>
      </c>
      <c r="H870">
        <v>885</v>
      </c>
      <c r="I870">
        <v>2013</v>
      </c>
      <c r="J870" t="s">
        <v>29</v>
      </c>
      <c r="K870" t="s">
        <v>171</v>
      </c>
      <c r="L870" s="8">
        <f t="shared" si="13"/>
        <v>0.80172413793103448</v>
      </c>
    </row>
    <row r="871" spans="1:12">
      <c r="A871" t="s">
        <v>492</v>
      </c>
      <c r="B871">
        <v>1990</v>
      </c>
      <c r="C871" t="s">
        <v>109</v>
      </c>
      <c r="D871">
        <v>104.39</v>
      </c>
      <c r="E871">
        <v>342.5</v>
      </c>
      <c r="F871">
        <v>232.5</v>
      </c>
      <c r="G871">
        <v>277.5</v>
      </c>
      <c r="H871">
        <v>852.5</v>
      </c>
      <c r="I871">
        <v>2015</v>
      </c>
      <c r="J871" t="s">
        <v>29</v>
      </c>
      <c r="K871" t="s">
        <v>171</v>
      </c>
      <c r="L871" s="8">
        <f t="shared" si="13"/>
        <v>0.83783783783783783</v>
      </c>
    </row>
    <row r="872" spans="1:12">
      <c r="A872" t="s">
        <v>560</v>
      </c>
      <c r="B872">
        <v>1991</v>
      </c>
      <c r="C872" t="s">
        <v>85</v>
      </c>
      <c r="D872">
        <v>104.2</v>
      </c>
      <c r="E872">
        <v>340</v>
      </c>
      <c r="F872">
        <v>230</v>
      </c>
      <c r="G872">
        <v>345</v>
      </c>
      <c r="H872">
        <v>915</v>
      </c>
      <c r="I872">
        <v>2015</v>
      </c>
      <c r="J872" t="s">
        <v>29</v>
      </c>
      <c r="K872" t="s">
        <v>171</v>
      </c>
      <c r="L872" s="8">
        <f t="shared" si="13"/>
        <v>0.66666666666666663</v>
      </c>
    </row>
    <row r="873" spans="1:12">
      <c r="A873" t="s">
        <v>518</v>
      </c>
      <c r="B873">
        <v>1982</v>
      </c>
      <c r="C873" t="s">
        <v>239</v>
      </c>
      <c r="D873">
        <v>104.42</v>
      </c>
      <c r="E873">
        <v>345</v>
      </c>
      <c r="F873">
        <v>230</v>
      </c>
      <c r="G873">
        <v>335</v>
      </c>
      <c r="H873">
        <v>910</v>
      </c>
      <c r="I873">
        <v>2012</v>
      </c>
      <c r="J873" t="s">
        <v>29</v>
      </c>
      <c r="K873" t="s">
        <v>171</v>
      </c>
      <c r="L873" s="8">
        <f t="shared" si="13"/>
        <v>0.68656716417910446</v>
      </c>
    </row>
    <row r="874" spans="1:12">
      <c r="A874" t="s">
        <v>768</v>
      </c>
      <c r="B874">
        <v>1976</v>
      </c>
      <c r="C874" t="s">
        <v>142</v>
      </c>
      <c r="D874">
        <v>92.9</v>
      </c>
      <c r="E874">
        <v>355</v>
      </c>
      <c r="F874">
        <v>230</v>
      </c>
      <c r="G874">
        <v>330</v>
      </c>
      <c r="H874">
        <v>915</v>
      </c>
      <c r="I874">
        <v>2013</v>
      </c>
      <c r="J874" t="s">
        <v>29</v>
      </c>
      <c r="K874" t="s">
        <v>171</v>
      </c>
      <c r="L874" s="8">
        <f t="shared" si="13"/>
        <v>0.69696969696969702</v>
      </c>
    </row>
    <row r="875" spans="1:12">
      <c r="A875" t="s">
        <v>736</v>
      </c>
      <c r="B875">
        <v>1983</v>
      </c>
      <c r="C875" t="s">
        <v>51</v>
      </c>
      <c r="D875">
        <v>119.68</v>
      </c>
      <c r="E875">
        <v>350</v>
      </c>
      <c r="F875">
        <v>230</v>
      </c>
      <c r="G875">
        <v>325</v>
      </c>
      <c r="H875">
        <v>905</v>
      </c>
      <c r="I875">
        <v>2014</v>
      </c>
      <c r="J875" t="s">
        <v>29</v>
      </c>
      <c r="K875" t="s">
        <v>171</v>
      </c>
      <c r="L875" s="8">
        <f t="shared" si="13"/>
        <v>0.70769230769230773</v>
      </c>
    </row>
    <row r="876" spans="1:12">
      <c r="A876" t="s">
        <v>422</v>
      </c>
      <c r="B876">
        <v>1986</v>
      </c>
      <c r="C876" t="s">
        <v>282</v>
      </c>
      <c r="D876">
        <v>83</v>
      </c>
      <c r="E876">
        <v>350</v>
      </c>
      <c r="F876">
        <v>230</v>
      </c>
      <c r="G876">
        <v>322.5</v>
      </c>
      <c r="H876">
        <v>902.5</v>
      </c>
      <c r="I876">
        <v>2012</v>
      </c>
      <c r="J876" t="s">
        <v>29</v>
      </c>
      <c r="K876" t="s">
        <v>171</v>
      </c>
      <c r="L876" s="8">
        <f t="shared" si="13"/>
        <v>0.71317829457364346</v>
      </c>
    </row>
    <row r="877" spans="1:12">
      <c r="A877" t="s">
        <v>603</v>
      </c>
      <c r="B877">
        <v>1987</v>
      </c>
      <c r="C877" t="s">
        <v>125</v>
      </c>
      <c r="D877">
        <v>104.34</v>
      </c>
      <c r="E877">
        <v>347.5</v>
      </c>
      <c r="F877">
        <v>230</v>
      </c>
      <c r="G877">
        <v>317.5</v>
      </c>
      <c r="H877">
        <v>895</v>
      </c>
      <c r="I877">
        <v>2014</v>
      </c>
      <c r="J877" t="s">
        <v>29</v>
      </c>
      <c r="K877" t="s">
        <v>171</v>
      </c>
      <c r="L877" s="8">
        <f t="shared" si="13"/>
        <v>0.72440944881889768</v>
      </c>
    </row>
    <row r="878" spans="1:12">
      <c r="A878" t="s">
        <v>695</v>
      </c>
      <c r="B878">
        <v>1982</v>
      </c>
      <c r="C878" t="s">
        <v>51</v>
      </c>
      <c r="D878">
        <v>82.87</v>
      </c>
      <c r="E878">
        <v>332.5</v>
      </c>
      <c r="F878">
        <v>230</v>
      </c>
      <c r="G878">
        <v>295</v>
      </c>
      <c r="H878">
        <v>857.5</v>
      </c>
      <c r="I878">
        <v>2012</v>
      </c>
      <c r="J878" t="s">
        <v>29</v>
      </c>
      <c r="K878" t="s">
        <v>171</v>
      </c>
      <c r="L878" s="8">
        <f t="shared" si="13"/>
        <v>0.77966101694915257</v>
      </c>
    </row>
    <row r="879" spans="1:12">
      <c r="A879" t="s">
        <v>362</v>
      </c>
      <c r="B879">
        <v>1978</v>
      </c>
      <c r="C879" t="s">
        <v>77</v>
      </c>
      <c r="D879">
        <v>89.6</v>
      </c>
      <c r="E879">
        <v>307.5</v>
      </c>
      <c r="F879">
        <v>230</v>
      </c>
      <c r="G879">
        <v>290</v>
      </c>
      <c r="H879">
        <v>827.5</v>
      </c>
      <c r="I879">
        <v>2013</v>
      </c>
      <c r="J879" t="s">
        <v>29</v>
      </c>
      <c r="K879" t="s">
        <v>171</v>
      </c>
      <c r="L879" s="8">
        <f t="shared" si="13"/>
        <v>0.7931034482758621</v>
      </c>
    </row>
    <row r="880" spans="1:12">
      <c r="A880" t="s">
        <v>375</v>
      </c>
      <c r="B880">
        <v>1989</v>
      </c>
      <c r="C880" t="s">
        <v>119</v>
      </c>
      <c r="D880">
        <v>73.73</v>
      </c>
      <c r="E880">
        <v>325</v>
      </c>
      <c r="F880">
        <v>230</v>
      </c>
      <c r="G880">
        <v>277.5</v>
      </c>
      <c r="H880">
        <v>832.5</v>
      </c>
      <c r="I880">
        <v>2015</v>
      </c>
      <c r="J880" t="s">
        <v>29</v>
      </c>
      <c r="K880" t="s">
        <v>171</v>
      </c>
      <c r="L880" s="8">
        <f t="shared" si="13"/>
        <v>0.8288288288288288</v>
      </c>
    </row>
    <row r="881" spans="1:12">
      <c r="A881" t="s">
        <v>725</v>
      </c>
      <c r="B881">
        <v>1986</v>
      </c>
      <c r="C881" t="s">
        <v>45</v>
      </c>
      <c r="D881">
        <v>73.91</v>
      </c>
      <c r="E881">
        <v>310</v>
      </c>
      <c r="F881">
        <v>230</v>
      </c>
      <c r="G881">
        <v>267.5</v>
      </c>
      <c r="H881">
        <v>807.5</v>
      </c>
      <c r="I881">
        <v>2015</v>
      </c>
      <c r="J881" t="s">
        <v>29</v>
      </c>
      <c r="K881" t="s">
        <v>171</v>
      </c>
      <c r="L881" s="8">
        <f t="shared" si="13"/>
        <v>0.85981308411214952</v>
      </c>
    </row>
    <row r="882" spans="1:12">
      <c r="A882" t="s">
        <v>725</v>
      </c>
      <c r="B882">
        <v>1986</v>
      </c>
      <c r="C882" t="s">
        <v>45</v>
      </c>
      <c r="D882">
        <v>74</v>
      </c>
      <c r="E882">
        <v>280</v>
      </c>
      <c r="F882">
        <v>230</v>
      </c>
      <c r="G882">
        <v>265</v>
      </c>
      <c r="H882">
        <v>775</v>
      </c>
      <c r="I882">
        <v>2012</v>
      </c>
      <c r="J882" t="s">
        <v>29</v>
      </c>
      <c r="K882" t="s">
        <v>171</v>
      </c>
      <c r="L882" s="8">
        <f t="shared" si="13"/>
        <v>0.86792452830188682</v>
      </c>
    </row>
    <row r="883" spans="1:12">
      <c r="A883" t="s">
        <v>691</v>
      </c>
      <c r="B883">
        <v>1982</v>
      </c>
      <c r="C883" t="s">
        <v>239</v>
      </c>
      <c r="D883">
        <v>104.36</v>
      </c>
      <c r="E883">
        <v>372.5</v>
      </c>
      <c r="F883">
        <v>227.5</v>
      </c>
      <c r="G883">
        <v>312.5</v>
      </c>
      <c r="H883">
        <v>912.5</v>
      </c>
      <c r="I883">
        <v>2013</v>
      </c>
      <c r="J883" t="s">
        <v>29</v>
      </c>
      <c r="K883" t="s">
        <v>171</v>
      </c>
      <c r="L883" s="8">
        <f t="shared" si="13"/>
        <v>0.72799999999999998</v>
      </c>
    </row>
    <row r="884" spans="1:12">
      <c r="A884" t="s">
        <v>422</v>
      </c>
      <c r="B884">
        <v>1986</v>
      </c>
      <c r="C884" t="s">
        <v>282</v>
      </c>
      <c r="D884">
        <v>82.9</v>
      </c>
      <c r="E884">
        <v>360</v>
      </c>
      <c r="F884">
        <v>227.5</v>
      </c>
      <c r="G884">
        <v>307.5</v>
      </c>
      <c r="H884">
        <v>895</v>
      </c>
      <c r="I884">
        <v>2013</v>
      </c>
      <c r="J884" t="s">
        <v>29</v>
      </c>
      <c r="K884" t="s">
        <v>171</v>
      </c>
      <c r="L884" s="8">
        <f t="shared" si="13"/>
        <v>0.73983739837398377</v>
      </c>
    </row>
    <row r="885" spans="1:12">
      <c r="A885" t="s">
        <v>811</v>
      </c>
      <c r="B885">
        <v>1981</v>
      </c>
      <c r="C885" t="s">
        <v>318</v>
      </c>
      <c r="D885">
        <v>104.02</v>
      </c>
      <c r="E885">
        <v>310</v>
      </c>
      <c r="F885">
        <v>227.5</v>
      </c>
      <c r="G885">
        <v>272.5</v>
      </c>
      <c r="H885">
        <v>810</v>
      </c>
      <c r="I885">
        <v>2013</v>
      </c>
      <c r="J885" t="s">
        <v>29</v>
      </c>
      <c r="K885" t="s">
        <v>171</v>
      </c>
      <c r="L885" s="8">
        <f t="shared" si="13"/>
        <v>0.83486238532110091</v>
      </c>
    </row>
    <row r="886" spans="1:12">
      <c r="A886" t="s">
        <v>622</v>
      </c>
      <c r="B886">
        <v>1983</v>
      </c>
      <c r="C886" t="s">
        <v>113</v>
      </c>
      <c r="D886">
        <v>104.96</v>
      </c>
      <c r="E886">
        <v>340</v>
      </c>
      <c r="F886">
        <v>225</v>
      </c>
      <c r="G886">
        <v>322.5</v>
      </c>
      <c r="H886">
        <v>887.5</v>
      </c>
      <c r="I886">
        <v>2012</v>
      </c>
      <c r="J886" t="s">
        <v>29</v>
      </c>
      <c r="K886" t="s">
        <v>171</v>
      </c>
      <c r="L886" s="8">
        <f t="shared" si="13"/>
        <v>0.69767441860465118</v>
      </c>
    </row>
    <row r="887" spans="1:12">
      <c r="A887" t="s">
        <v>776</v>
      </c>
      <c r="B887">
        <v>1985</v>
      </c>
      <c r="C887" t="s">
        <v>28</v>
      </c>
      <c r="D887">
        <v>82.83</v>
      </c>
      <c r="E887">
        <v>365</v>
      </c>
      <c r="F887">
        <v>225</v>
      </c>
      <c r="G887">
        <v>310</v>
      </c>
      <c r="H887">
        <v>900</v>
      </c>
      <c r="I887">
        <v>2012</v>
      </c>
      <c r="J887" t="s">
        <v>29</v>
      </c>
      <c r="K887" t="s">
        <v>171</v>
      </c>
      <c r="L887" s="8">
        <f t="shared" si="13"/>
        <v>0.72580645161290325</v>
      </c>
    </row>
    <row r="888" spans="1:12">
      <c r="A888" t="s">
        <v>721</v>
      </c>
      <c r="B888">
        <v>1959</v>
      </c>
      <c r="C888" t="s">
        <v>62</v>
      </c>
      <c r="D888">
        <v>91.63</v>
      </c>
      <c r="E888">
        <v>345</v>
      </c>
      <c r="F888">
        <v>225</v>
      </c>
      <c r="G888">
        <v>305</v>
      </c>
      <c r="H888">
        <v>875</v>
      </c>
      <c r="I888">
        <v>2012</v>
      </c>
      <c r="J888" t="s">
        <v>29</v>
      </c>
      <c r="K888" t="s">
        <v>171</v>
      </c>
      <c r="L888" s="8">
        <f t="shared" si="13"/>
        <v>0.73770491803278693</v>
      </c>
    </row>
    <row r="889" spans="1:12">
      <c r="A889" t="s">
        <v>773</v>
      </c>
      <c r="B889">
        <v>1991</v>
      </c>
      <c r="C889" t="s">
        <v>194</v>
      </c>
      <c r="D889">
        <v>104.7</v>
      </c>
      <c r="E889">
        <v>337.5</v>
      </c>
      <c r="F889">
        <v>225</v>
      </c>
      <c r="G889">
        <v>300</v>
      </c>
      <c r="H889">
        <v>862.5</v>
      </c>
      <c r="I889">
        <v>2012</v>
      </c>
      <c r="J889" t="s">
        <v>29</v>
      </c>
      <c r="K889" t="s">
        <v>171</v>
      </c>
      <c r="L889" s="8">
        <f t="shared" si="13"/>
        <v>0.75</v>
      </c>
    </row>
    <row r="890" spans="1:12">
      <c r="A890" t="s">
        <v>793</v>
      </c>
      <c r="B890">
        <v>1979</v>
      </c>
      <c r="C890" t="s">
        <v>125</v>
      </c>
      <c r="D890">
        <v>82.13</v>
      </c>
      <c r="E890">
        <v>280</v>
      </c>
      <c r="F890">
        <v>225</v>
      </c>
      <c r="G890">
        <v>300</v>
      </c>
      <c r="H890">
        <v>805</v>
      </c>
      <c r="I890">
        <v>2012</v>
      </c>
      <c r="J890" t="s">
        <v>29</v>
      </c>
      <c r="K890" t="s">
        <v>171</v>
      </c>
      <c r="L890" s="8">
        <f t="shared" si="13"/>
        <v>0.75</v>
      </c>
    </row>
    <row r="891" spans="1:12">
      <c r="A891" t="s">
        <v>362</v>
      </c>
      <c r="B891">
        <v>1978</v>
      </c>
      <c r="C891" t="s">
        <v>77</v>
      </c>
      <c r="D891">
        <v>87.76</v>
      </c>
      <c r="E891">
        <v>310</v>
      </c>
      <c r="F891">
        <v>225</v>
      </c>
      <c r="G891">
        <v>290</v>
      </c>
      <c r="H891">
        <v>825</v>
      </c>
      <c r="I891">
        <v>2012</v>
      </c>
      <c r="J891" t="s">
        <v>29</v>
      </c>
      <c r="K891" t="s">
        <v>171</v>
      </c>
      <c r="L891" s="8">
        <f t="shared" si="13"/>
        <v>0.77586206896551724</v>
      </c>
    </row>
    <row r="892" spans="1:12">
      <c r="A892" t="s">
        <v>707</v>
      </c>
      <c r="B892">
        <v>1988</v>
      </c>
      <c r="C892" t="s">
        <v>39</v>
      </c>
      <c r="D892">
        <v>73.23</v>
      </c>
      <c r="E892">
        <v>297.5</v>
      </c>
      <c r="F892">
        <v>225</v>
      </c>
      <c r="G892">
        <v>285</v>
      </c>
      <c r="H892">
        <v>807.5</v>
      </c>
      <c r="I892">
        <v>2015</v>
      </c>
      <c r="J892" t="s">
        <v>29</v>
      </c>
      <c r="K892" t="s">
        <v>171</v>
      </c>
      <c r="L892" s="8">
        <f t="shared" si="13"/>
        <v>0.78947368421052633</v>
      </c>
    </row>
    <row r="893" spans="1:12">
      <c r="A893" t="s">
        <v>736</v>
      </c>
      <c r="B893">
        <v>1983</v>
      </c>
      <c r="C893" t="s">
        <v>51</v>
      </c>
      <c r="D893">
        <v>125.08</v>
      </c>
      <c r="E893">
        <v>380</v>
      </c>
      <c r="F893">
        <v>222.5</v>
      </c>
      <c r="G893">
        <v>327.5</v>
      </c>
      <c r="H893">
        <v>930</v>
      </c>
      <c r="I893">
        <v>2015</v>
      </c>
      <c r="J893" t="s">
        <v>29</v>
      </c>
      <c r="K893" t="s">
        <v>171</v>
      </c>
      <c r="L893" s="8">
        <f t="shared" si="13"/>
        <v>0.67938931297709926</v>
      </c>
    </row>
    <row r="894" spans="1:12">
      <c r="A894" t="s">
        <v>447</v>
      </c>
      <c r="B894">
        <v>1988</v>
      </c>
      <c r="C894" t="s">
        <v>62</v>
      </c>
      <c r="D894">
        <v>73.72</v>
      </c>
      <c r="E894">
        <v>310</v>
      </c>
      <c r="F894">
        <v>222.5</v>
      </c>
      <c r="G894">
        <v>295</v>
      </c>
      <c r="H894">
        <v>827.5</v>
      </c>
      <c r="I894">
        <v>2012</v>
      </c>
      <c r="J894" t="s">
        <v>29</v>
      </c>
      <c r="K894" t="s">
        <v>171</v>
      </c>
      <c r="L894" s="8">
        <f t="shared" si="13"/>
        <v>0.75423728813559321</v>
      </c>
    </row>
    <row r="895" spans="1:12">
      <c r="A895" t="s">
        <v>738</v>
      </c>
      <c r="B895">
        <v>1989</v>
      </c>
      <c r="C895" t="s">
        <v>282</v>
      </c>
      <c r="D895">
        <v>114.62</v>
      </c>
      <c r="E895">
        <v>345</v>
      </c>
      <c r="F895">
        <v>222.5</v>
      </c>
      <c r="G895">
        <v>275</v>
      </c>
      <c r="H895">
        <v>842.5</v>
      </c>
      <c r="I895">
        <v>2014</v>
      </c>
      <c r="J895" t="s">
        <v>29</v>
      </c>
      <c r="K895" t="s">
        <v>171</v>
      </c>
      <c r="L895" s="8">
        <f t="shared" si="13"/>
        <v>0.80909090909090908</v>
      </c>
    </row>
    <row r="896" spans="1:12">
      <c r="A896" t="s">
        <v>685</v>
      </c>
      <c r="B896">
        <v>1969</v>
      </c>
      <c r="C896" t="s">
        <v>113</v>
      </c>
      <c r="D896">
        <v>102.34</v>
      </c>
      <c r="E896">
        <v>0</v>
      </c>
      <c r="F896">
        <v>222.5</v>
      </c>
      <c r="G896">
        <v>270</v>
      </c>
      <c r="H896">
        <v>0</v>
      </c>
      <c r="I896">
        <v>2014</v>
      </c>
      <c r="J896" t="s">
        <v>29</v>
      </c>
      <c r="K896" t="s">
        <v>171</v>
      </c>
      <c r="L896" s="8">
        <f t="shared" si="13"/>
        <v>0.82407407407407407</v>
      </c>
    </row>
    <row r="897" spans="1:12">
      <c r="A897" t="s">
        <v>725</v>
      </c>
      <c r="B897">
        <v>1986</v>
      </c>
      <c r="C897" t="s">
        <v>45</v>
      </c>
      <c r="D897">
        <v>73.23</v>
      </c>
      <c r="E897">
        <v>282.5</v>
      </c>
      <c r="F897">
        <v>222.5</v>
      </c>
      <c r="G897">
        <v>262.5</v>
      </c>
      <c r="H897">
        <v>767.5</v>
      </c>
      <c r="I897">
        <v>2013</v>
      </c>
      <c r="J897" t="s">
        <v>29</v>
      </c>
      <c r="K897" t="s">
        <v>171</v>
      </c>
      <c r="L897" s="8">
        <f t="shared" si="13"/>
        <v>0.84761904761904761</v>
      </c>
    </row>
    <row r="898" spans="1:12">
      <c r="A898" t="s">
        <v>690</v>
      </c>
      <c r="B898">
        <v>1980</v>
      </c>
      <c r="C898" t="s">
        <v>77</v>
      </c>
      <c r="D898">
        <v>73.19</v>
      </c>
      <c r="E898">
        <v>290</v>
      </c>
      <c r="F898">
        <v>222.5</v>
      </c>
      <c r="G898">
        <v>250</v>
      </c>
      <c r="H898">
        <v>762.5</v>
      </c>
      <c r="I898">
        <v>2015</v>
      </c>
      <c r="J898" t="s">
        <v>29</v>
      </c>
      <c r="K898" t="s">
        <v>171</v>
      </c>
      <c r="L898" s="8">
        <f t="shared" si="13"/>
        <v>0.89</v>
      </c>
    </row>
    <row r="899" spans="1:12">
      <c r="A899" t="s">
        <v>679</v>
      </c>
      <c r="B899">
        <v>1976</v>
      </c>
      <c r="C899" t="s">
        <v>480</v>
      </c>
      <c r="D899">
        <v>73.349999999999994</v>
      </c>
      <c r="E899">
        <v>200</v>
      </c>
      <c r="F899">
        <v>222.5</v>
      </c>
      <c r="G899">
        <v>240</v>
      </c>
      <c r="H899">
        <v>662.5</v>
      </c>
      <c r="I899">
        <v>2012</v>
      </c>
      <c r="J899" t="s">
        <v>29</v>
      </c>
      <c r="K899" t="s">
        <v>171</v>
      </c>
      <c r="L899" s="8">
        <f t="shared" ref="L899:L962" si="14">IF(AND(F899&lt;&gt;0,G899&lt;&gt;0),F899/G899,"")</f>
        <v>0.92708333333333337</v>
      </c>
    </row>
    <row r="900" spans="1:12">
      <c r="A900" t="s">
        <v>555</v>
      </c>
      <c r="B900">
        <v>1990</v>
      </c>
      <c r="C900" t="s">
        <v>62</v>
      </c>
      <c r="D900">
        <v>99.14</v>
      </c>
      <c r="E900">
        <v>357.5</v>
      </c>
      <c r="F900">
        <v>220</v>
      </c>
      <c r="G900">
        <v>335</v>
      </c>
      <c r="H900">
        <v>912.5</v>
      </c>
      <c r="I900">
        <v>2015</v>
      </c>
      <c r="J900" t="s">
        <v>29</v>
      </c>
      <c r="K900" t="s">
        <v>171</v>
      </c>
      <c r="L900" s="8">
        <f t="shared" si="14"/>
        <v>0.65671641791044777</v>
      </c>
    </row>
    <row r="901" spans="1:12">
      <c r="A901" t="s">
        <v>353</v>
      </c>
      <c r="B901">
        <v>1989</v>
      </c>
      <c r="C901" t="s">
        <v>349</v>
      </c>
      <c r="D901">
        <v>118.95</v>
      </c>
      <c r="E901">
        <v>350</v>
      </c>
      <c r="F901">
        <v>220</v>
      </c>
      <c r="G901">
        <v>335</v>
      </c>
      <c r="H901">
        <v>905</v>
      </c>
      <c r="I901">
        <v>2013</v>
      </c>
      <c r="J901" t="s">
        <v>29</v>
      </c>
      <c r="K901" t="s">
        <v>171</v>
      </c>
      <c r="L901" s="8">
        <f t="shared" si="14"/>
        <v>0.65671641791044777</v>
      </c>
    </row>
    <row r="902" spans="1:12">
      <c r="A902" t="s">
        <v>652</v>
      </c>
      <c r="B902">
        <v>1978</v>
      </c>
      <c r="C902" t="s">
        <v>653</v>
      </c>
      <c r="D902">
        <v>82.07</v>
      </c>
      <c r="E902">
        <v>300</v>
      </c>
      <c r="F902">
        <v>220</v>
      </c>
      <c r="G902">
        <v>330</v>
      </c>
      <c r="H902">
        <v>850</v>
      </c>
      <c r="I902">
        <v>2012</v>
      </c>
      <c r="J902" t="s">
        <v>29</v>
      </c>
      <c r="K902" t="s">
        <v>171</v>
      </c>
      <c r="L902" s="8">
        <f t="shared" si="14"/>
        <v>0.66666666666666663</v>
      </c>
    </row>
    <row r="903" spans="1:12">
      <c r="A903" t="s">
        <v>449</v>
      </c>
      <c r="B903">
        <v>1989</v>
      </c>
      <c r="C903" t="s">
        <v>62</v>
      </c>
      <c r="D903">
        <v>82.56</v>
      </c>
      <c r="E903">
        <v>355</v>
      </c>
      <c r="F903">
        <v>220</v>
      </c>
      <c r="G903">
        <v>322.5</v>
      </c>
      <c r="H903">
        <v>897.5</v>
      </c>
      <c r="I903">
        <v>2015</v>
      </c>
      <c r="J903" t="s">
        <v>29</v>
      </c>
      <c r="K903" t="s">
        <v>171</v>
      </c>
      <c r="L903" s="8">
        <f t="shared" si="14"/>
        <v>0.68217054263565891</v>
      </c>
    </row>
    <row r="904" spans="1:12">
      <c r="A904" t="s">
        <v>417</v>
      </c>
      <c r="B904">
        <v>1979</v>
      </c>
      <c r="C904" t="s">
        <v>418</v>
      </c>
      <c r="D904">
        <v>125.94</v>
      </c>
      <c r="E904">
        <v>335</v>
      </c>
      <c r="F904">
        <v>220</v>
      </c>
      <c r="G904">
        <v>310</v>
      </c>
      <c r="H904">
        <v>865</v>
      </c>
      <c r="I904">
        <v>2012</v>
      </c>
      <c r="J904" t="s">
        <v>29</v>
      </c>
      <c r="K904" t="s">
        <v>171</v>
      </c>
      <c r="L904" s="8">
        <f t="shared" si="14"/>
        <v>0.70967741935483875</v>
      </c>
    </row>
    <row r="905" spans="1:12">
      <c r="A905" t="s">
        <v>691</v>
      </c>
      <c r="B905">
        <v>1982</v>
      </c>
      <c r="C905" t="s">
        <v>239</v>
      </c>
      <c r="D905">
        <v>104.45</v>
      </c>
      <c r="E905">
        <v>370</v>
      </c>
      <c r="F905">
        <v>220</v>
      </c>
      <c r="G905">
        <v>305</v>
      </c>
      <c r="H905">
        <v>895</v>
      </c>
      <c r="I905">
        <v>2012</v>
      </c>
      <c r="J905" t="s">
        <v>29</v>
      </c>
      <c r="K905" t="s">
        <v>171</v>
      </c>
      <c r="L905" s="8">
        <f t="shared" si="14"/>
        <v>0.72131147540983609</v>
      </c>
    </row>
    <row r="906" spans="1:12">
      <c r="A906" t="s">
        <v>433</v>
      </c>
      <c r="B906">
        <v>1959</v>
      </c>
      <c r="C906" t="s">
        <v>390</v>
      </c>
      <c r="D906">
        <v>118.95</v>
      </c>
      <c r="E906">
        <v>350</v>
      </c>
      <c r="F906">
        <v>220</v>
      </c>
      <c r="G906">
        <v>295</v>
      </c>
      <c r="H906">
        <v>865</v>
      </c>
      <c r="I906">
        <v>2012</v>
      </c>
      <c r="J906" t="s">
        <v>29</v>
      </c>
      <c r="K906" t="s">
        <v>171</v>
      </c>
      <c r="L906" s="8">
        <f t="shared" si="14"/>
        <v>0.74576271186440679</v>
      </c>
    </row>
    <row r="907" spans="1:12">
      <c r="A907" t="s">
        <v>793</v>
      </c>
      <c r="B907">
        <v>1977</v>
      </c>
      <c r="C907" t="s">
        <v>125</v>
      </c>
      <c r="D907">
        <v>82.32</v>
      </c>
      <c r="E907">
        <v>260</v>
      </c>
      <c r="F907">
        <v>220</v>
      </c>
      <c r="G907">
        <v>295</v>
      </c>
      <c r="H907">
        <v>775</v>
      </c>
      <c r="I907">
        <v>2014</v>
      </c>
      <c r="J907" t="s">
        <v>29</v>
      </c>
      <c r="K907" t="s">
        <v>171</v>
      </c>
      <c r="L907" s="8">
        <f t="shared" si="14"/>
        <v>0.74576271186440679</v>
      </c>
    </row>
    <row r="908" spans="1:12">
      <c r="A908" t="s">
        <v>454</v>
      </c>
      <c r="B908">
        <v>1975</v>
      </c>
      <c r="C908" t="s">
        <v>49</v>
      </c>
      <c r="D908">
        <v>101.56</v>
      </c>
      <c r="E908">
        <v>350</v>
      </c>
      <c r="F908">
        <v>220</v>
      </c>
      <c r="G908">
        <v>285</v>
      </c>
      <c r="H908">
        <v>855</v>
      </c>
      <c r="I908">
        <v>2014</v>
      </c>
      <c r="J908" t="s">
        <v>29</v>
      </c>
      <c r="K908" t="s">
        <v>171</v>
      </c>
      <c r="L908" s="8">
        <f t="shared" si="14"/>
        <v>0.77192982456140347</v>
      </c>
    </row>
    <row r="909" spans="1:12">
      <c r="A909" t="s">
        <v>512</v>
      </c>
      <c r="B909">
        <v>1969</v>
      </c>
      <c r="C909" t="s">
        <v>77</v>
      </c>
      <c r="D909">
        <v>73.099999999999994</v>
      </c>
      <c r="E909">
        <v>280</v>
      </c>
      <c r="F909">
        <v>220</v>
      </c>
      <c r="G909">
        <v>265</v>
      </c>
      <c r="H909">
        <v>765</v>
      </c>
      <c r="I909">
        <v>2015</v>
      </c>
      <c r="J909" t="s">
        <v>29</v>
      </c>
      <c r="K909" t="s">
        <v>171</v>
      </c>
      <c r="L909" s="8">
        <f t="shared" si="14"/>
        <v>0.83018867924528306</v>
      </c>
    </row>
    <row r="910" spans="1:12">
      <c r="A910" t="s">
        <v>637</v>
      </c>
      <c r="B910">
        <v>1982</v>
      </c>
      <c r="C910" t="s">
        <v>137</v>
      </c>
      <c r="D910">
        <v>73.09</v>
      </c>
      <c r="E910">
        <v>295</v>
      </c>
      <c r="F910">
        <v>220</v>
      </c>
      <c r="G910">
        <v>255</v>
      </c>
      <c r="H910">
        <v>770</v>
      </c>
      <c r="I910">
        <v>2015</v>
      </c>
      <c r="J910" t="s">
        <v>29</v>
      </c>
      <c r="K910" t="s">
        <v>171</v>
      </c>
      <c r="L910" s="8">
        <f t="shared" si="14"/>
        <v>0.86274509803921573</v>
      </c>
    </row>
    <row r="911" spans="1:12">
      <c r="A911" t="s">
        <v>482</v>
      </c>
      <c r="B911">
        <v>1982</v>
      </c>
      <c r="C911" t="s">
        <v>49</v>
      </c>
      <c r="D911">
        <v>73.040000000000006</v>
      </c>
      <c r="E911">
        <v>265</v>
      </c>
      <c r="F911">
        <v>220</v>
      </c>
      <c r="G911">
        <v>250</v>
      </c>
      <c r="H911">
        <v>735</v>
      </c>
      <c r="I911">
        <v>2014</v>
      </c>
      <c r="J911" t="s">
        <v>29</v>
      </c>
      <c r="K911" t="s">
        <v>171</v>
      </c>
      <c r="L911" s="8">
        <f t="shared" si="14"/>
        <v>0.88</v>
      </c>
    </row>
    <row r="912" spans="1:12">
      <c r="A912" t="s">
        <v>69</v>
      </c>
      <c r="B912">
        <v>1983</v>
      </c>
      <c r="C912" t="s">
        <v>45</v>
      </c>
      <c r="D912">
        <v>107.42</v>
      </c>
      <c r="E912">
        <v>360</v>
      </c>
      <c r="F912">
        <v>217.5</v>
      </c>
      <c r="G912">
        <v>360</v>
      </c>
      <c r="H912">
        <v>937.5</v>
      </c>
      <c r="I912">
        <v>2014</v>
      </c>
      <c r="J912" t="s">
        <v>29</v>
      </c>
      <c r="K912" t="s">
        <v>171</v>
      </c>
      <c r="L912" s="8">
        <f t="shared" si="14"/>
        <v>0.60416666666666663</v>
      </c>
    </row>
    <row r="913" spans="1:12">
      <c r="A913" t="s">
        <v>771</v>
      </c>
      <c r="B913">
        <v>1983</v>
      </c>
      <c r="C913" t="s">
        <v>51</v>
      </c>
      <c r="D913">
        <v>123.8</v>
      </c>
      <c r="E913">
        <v>380</v>
      </c>
      <c r="F913">
        <v>217.5</v>
      </c>
      <c r="G913">
        <v>330</v>
      </c>
      <c r="H913">
        <v>927.5</v>
      </c>
      <c r="I913">
        <v>2013</v>
      </c>
      <c r="J913" t="s">
        <v>29</v>
      </c>
      <c r="K913" t="s">
        <v>171</v>
      </c>
      <c r="L913" s="8">
        <f t="shared" si="14"/>
        <v>0.65909090909090906</v>
      </c>
    </row>
    <row r="914" spans="1:12">
      <c r="A914" t="s">
        <v>682</v>
      </c>
      <c r="B914">
        <v>1974</v>
      </c>
      <c r="C914" t="s">
        <v>85</v>
      </c>
      <c r="D914">
        <v>73.319999999999993</v>
      </c>
      <c r="E914">
        <v>367.5</v>
      </c>
      <c r="F914">
        <v>217.5</v>
      </c>
      <c r="G914">
        <v>320</v>
      </c>
      <c r="H914">
        <v>905</v>
      </c>
      <c r="I914">
        <v>2013</v>
      </c>
      <c r="J914" t="s">
        <v>29</v>
      </c>
      <c r="K914" t="s">
        <v>171</v>
      </c>
      <c r="L914" s="8">
        <f t="shared" si="14"/>
        <v>0.6796875</v>
      </c>
    </row>
    <row r="915" spans="1:12">
      <c r="A915" t="s">
        <v>660</v>
      </c>
      <c r="B915">
        <v>1988</v>
      </c>
      <c r="C915" t="s">
        <v>380</v>
      </c>
      <c r="D915">
        <v>82.72</v>
      </c>
      <c r="E915">
        <v>0</v>
      </c>
      <c r="F915">
        <v>217.5</v>
      </c>
      <c r="G915">
        <v>280</v>
      </c>
      <c r="H915">
        <v>0</v>
      </c>
      <c r="I915">
        <v>2015</v>
      </c>
      <c r="J915" t="s">
        <v>29</v>
      </c>
      <c r="K915" t="s">
        <v>171</v>
      </c>
      <c r="L915" s="8">
        <f t="shared" si="14"/>
        <v>0.7767857142857143</v>
      </c>
    </row>
    <row r="916" spans="1:12">
      <c r="A916" t="s">
        <v>738</v>
      </c>
      <c r="B916">
        <v>1989</v>
      </c>
      <c r="C916" t="s">
        <v>282</v>
      </c>
      <c r="D916">
        <v>118.1</v>
      </c>
      <c r="E916">
        <v>330</v>
      </c>
      <c r="F916">
        <v>217.5</v>
      </c>
      <c r="G916">
        <v>270</v>
      </c>
      <c r="H916">
        <v>817.5</v>
      </c>
      <c r="I916">
        <v>2013</v>
      </c>
      <c r="J916" t="s">
        <v>29</v>
      </c>
      <c r="K916" t="s">
        <v>171</v>
      </c>
      <c r="L916" s="8">
        <f t="shared" si="14"/>
        <v>0.80555555555555558</v>
      </c>
    </row>
    <row r="917" spans="1:12">
      <c r="A917" t="s">
        <v>456</v>
      </c>
      <c r="B917">
        <v>1988</v>
      </c>
      <c r="C917" t="s">
        <v>349</v>
      </c>
      <c r="D917">
        <v>159</v>
      </c>
      <c r="E917">
        <v>250</v>
      </c>
      <c r="F917">
        <v>215</v>
      </c>
      <c r="G917">
        <v>352.5</v>
      </c>
      <c r="H917">
        <v>817.5</v>
      </c>
      <c r="I917">
        <v>2013</v>
      </c>
      <c r="J917" t="s">
        <v>29</v>
      </c>
      <c r="K917" t="s">
        <v>171</v>
      </c>
      <c r="L917" s="8">
        <f t="shared" si="14"/>
        <v>0.60992907801418439</v>
      </c>
    </row>
    <row r="918" spans="1:12">
      <c r="A918" t="s">
        <v>535</v>
      </c>
      <c r="B918">
        <v>1981</v>
      </c>
      <c r="C918" t="s">
        <v>74</v>
      </c>
      <c r="D918">
        <v>73.63</v>
      </c>
      <c r="E918">
        <v>285</v>
      </c>
      <c r="F918">
        <v>215</v>
      </c>
      <c r="G918">
        <v>312.5</v>
      </c>
      <c r="H918">
        <v>812.5</v>
      </c>
      <c r="I918">
        <v>2013</v>
      </c>
      <c r="J918" t="s">
        <v>29</v>
      </c>
      <c r="K918" t="s">
        <v>171</v>
      </c>
      <c r="L918" s="8">
        <f t="shared" si="14"/>
        <v>0.68799999999999994</v>
      </c>
    </row>
    <row r="919" spans="1:12">
      <c r="A919" t="s">
        <v>511</v>
      </c>
      <c r="B919">
        <v>1978</v>
      </c>
      <c r="C919" t="s">
        <v>56</v>
      </c>
      <c r="D919">
        <v>139.46</v>
      </c>
      <c r="E919">
        <v>340</v>
      </c>
      <c r="F919">
        <v>215</v>
      </c>
      <c r="G919">
        <v>300</v>
      </c>
      <c r="H919">
        <v>855</v>
      </c>
      <c r="I919">
        <v>2015</v>
      </c>
      <c r="J919" t="s">
        <v>29</v>
      </c>
      <c r="K919" t="s">
        <v>171</v>
      </c>
      <c r="L919" s="8">
        <f t="shared" si="14"/>
        <v>0.71666666666666667</v>
      </c>
    </row>
    <row r="920" spans="1:12">
      <c r="A920" t="s">
        <v>731</v>
      </c>
      <c r="B920">
        <v>1988</v>
      </c>
      <c r="C920" t="s">
        <v>318</v>
      </c>
      <c r="D920">
        <v>138.29</v>
      </c>
      <c r="E920">
        <v>325</v>
      </c>
      <c r="F920">
        <v>215</v>
      </c>
      <c r="G920">
        <v>290</v>
      </c>
      <c r="H920">
        <v>830</v>
      </c>
      <c r="I920">
        <v>2012</v>
      </c>
      <c r="J920" t="s">
        <v>29</v>
      </c>
      <c r="K920" t="s">
        <v>171</v>
      </c>
      <c r="L920" s="8">
        <f t="shared" si="14"/>
        <v>0.74137931034482762</v>
      </c>
    </row>
    <row r="921" spans="1:12">
      <c r="A921" t="s">
        <v>780</v>
      </c>
      <c r="B921">
        <v>1974</v>
      </c>
      <c r="C921" t="s">
        <v>72</v>
      </c>
      <c r="D921">
        <v>96</v>
      </c>
      <c r="E921">
        <v>300</v>
      </c>
      <c r="F921">
        <v>215</v>
      </c>
      <c r="G921">
        <v>290</v>
      </c>
      <c r="H921">
        <v>805</v>
      </c>
      <c r="I921">
        <v>2012</v>
      </c>
      <c r="J921" t="s">
        <v>29</v>
      </c>
      <c r="K921" t="s">
        <v>171</v>
      </c>
      <c r="L921" s="8">
        <f t="shared" si="14"/>
        <v>0.74137931034482762</v>
      </c>
    </row>
    <row r="922" spans="1:12">
      <c r="A922" t="s">
        <v>484</v>
      </c>
      <c r="B922">
        <v>1975</v>
      </c>
      <c r="C922" t="s">
        <v>485</v>
      </c>
      <c r="D922">
        <v>90.82</v>
      </c>
      <c r="E922">
        <v>295</v>
      </c>
      <c r="F922">
        <v>215</v>
      </c>
      <c r="G922">
        <v>280</v>
      </c>
      <c r="H922">
        <v>790</v>
      </c>
      <c r="I922">
        <v>2012</v>
      </c>
      <c r="J922" t="s">
        <v>29</v>
      </c>
      <c r="K922" t="s">
        <v>171</v>
      </c>
      <c r="L922" s="8">
        <f t="shared" si="14"/>
        <v>0.7678571428571429</v>
      </c>
    </row>
    <row r="923" spans="1:12">
      <c r="A923" t="s">
        <v>382</v>
      </c>
      <c r="B923">
        <v>1981</v>
      </c>
      <c r="C923" t="s">
        <v>380</v>
      </c>
      <c r="D923">
        <v>114.2</v>
      </c>
      <c r="E923">
        <v>330</v>
      </c>
      <c r="F923">
        <v>215</v>
      </c>
      <c r="G923">
        <v>260</v>
      </c>
      <c r="H923">
        <v>805</v>
      </c>
      <c r="I923">
        <v>2014</v>
      </c>
      <c r="J923" t="s">
        <v>29</v>
      </c>
      <c r="K923" t="s">
        <v>171</v>
      </c>
      <c r="L923" s="8">
        <f t="shared" si="14"/>
        <v>0.82692307692307687</v>
      </c>
    </row>
    <row r="924" spans="1:12">
      <c r="A924" t="s">
        <v>382</v>
      </c>
      <c r="B924">
        <v>1981</v>
      </c>
      <c r="C924" t="s">
        <v>380</v>
      </c>
      <c r="D924">
        <v>114.54</v>
      </c>
      <c r="E924">
        <v>0</v>
      </c>
      <c r="F924">
        <v>215</v>
      </c>
      <c r="G924">
        <v>250</v>
      </c>
      <c r="H924">
        <v>0</v>
      </c>
      <c r="I924">
        <v>2015</v>
      </c>
      <c r="J924" t="s">
        <v>29</v>
      </c>
      <c r="K924" t="s">
        <v>171</v>
      </c>
      <c r="L924" s="8">
        <f t="shared" si="14"/>
        <v>0.86</v>
      </c>
    </row>
    <row r="925" spans="1:12">
      <c r="A925" t="s">
        <v>746</v>
      </c>
      <c r="B925">
        <v>1982</v>
      </c>
      <c r="C925" t="s">
        <v>77</v>
      </c>
      <c r="D925">
        <v>65.25</v>
      </c>
      <c r="E925">
        <v>270</v>
      </c>
      <c r="F925">
        <v>215</v>
      </c>
      <c r="G925">
        <v>247.5</v>
      </c>
      <c r="H925">
        <v>732.5</v>
      </c>
      <c r="I925">
        <v>2015</v>
      </c>
      <c r="J925" t="s">
        <v>29</v>
      </c>
      <c r="K925" t="s">
        <v>171</v>
      </c>
      <c r="L925" s="8">
        <f t="shared" si="14"/>
        <v>0.86868686868686873</v>
      </c>
    </row>
    <row r="926" spans="1:12">
      <c r="A926" t="s">
        <v>762</v>
      </c>
      <c r="B926">
        <v>1980</v>
      </c>
      <c r="C926" t="s">
        <v>349</v>
      </c>
      <c r="D926">
        <v>72.680000000000007</v>
      </c>
      <c r="E926">
        <v>270</v>
      </c>
      <c r="F926">
        <v>215</v>
      </c>
      <c r="G926">
        <v>240</v>
      </c>
      <c r="H926">
        <v>725</v>
      </c>
      <c r="I926">
        <v>2013</v>
      </c>
      <c r="J926" t="s">
        <v>29</v>
      </c>
      <c r="K926" t="s">
        <v>171</v>
      </c>
      <c r="L926" s="8">
        <f t="shared" si="14"/>
        <v>0.89583333333333337</v>
      </c>
    </row>
    <row r="927" spans="1:12">
      <c r="A927" t="s">
        <v>512</v>
      </c>
      <c r="B927">
        <v>1969</v>
      </c>
      <c r="C927" t="s">
        <v>77</v>
      </c>
      <c r="D927">
        <v>73.680000000000007</v>
      </c>
      <c r="E927">
        <v>0</v>
      </c>
      <c r="F927">
        <v>215</v>
      </c>
      <c r="G927">
        <v>240</v>
      </c>
      <c r="H927">
        <v>0</v>
      </c>
      <c r="I927">
        <v>2014</v>
      </c>
      <c r="J927" t="s">
        <v>29</v>
      </c>
      <c r="K927" t="s">
        <v>171</v>
      </c>
      <c r="L927" s="8">
        <f t="shared" si="14"/>
        <v>0.89583333333333337</v>
      </c>
    </row>
    <row r="928" spans="1:12">
      <c r="A928" t="s">
        <v>101</v>
      </c>
      <c r="B928">
        <v>1987</v>
      </c>
      <c r="C928" t="s">
        <v>77</v>
      </c>
      <c r="D928">
        <v>92.72</v>
      </c>
      <c r="E928">
        <v>355</v>
      </c>
      <c r="F928">
        <v>215</v>
      </c>
      <c r="G928">
        <v>235</v>
      </c>
      <c r="H928">
        <v>805</v>
      </c>
      <c r="I928">
        <v>2012</v>
      </c>
      <c r="J928" t="s">
        <v>29</v>
      </c>
      <c r="K928" t="s">
        <v>171</v>
      </c>
      <c r="L928" s="8">
        <f t="shared" si="14"/>
        <v>0.91489361702127658</v>
      </c>
    </row>
    <row r="929" spans="1:12">
      <c r="A929" t="s">
        <v>682</v>
      </c>
      <c r="B929">
        <v>1974</v>
      </c>
      <c r="C929" t="s">
        <v>85</v>
      </c>
      <c r="D929">
        <v>73.319999999999993</v>
      </c>
      <c r="E929">
        <v>360</v>
      </c>
      <c r="F929">
        <v>212.5</v>
      </c>
      <c r="G929">
        <v>310</v>
      </c>
      <c r="H929">
        <v>882.5</v>
      </c>
      <c r="I929">
        <v>2014</v>
      </c>
      <c r="J929" t="s">
        <v>29</v>
      </c>
      <c r="K929" t="s">
        <v>171</v>
      </c>
      <c r="L929" s="8">
        <f t="shared" si="14"/>
        <v>0.68548387096774188</v>
      </c>
    </row>
    <row r="930" spans="1:12">
      <c r="A930" t="s">
        <v>682</v>
      </c>
      <c r="B930">
        <v>1974</v>
      </c>
      <c r="C930" t="s">
        <v>85</v>
      </c>
      <c r="D930">
        <v>72.849999999999994</v>
      </c>
      <c r="E930">
        <v>360</v>
      </c>
      <c r="F930">
        <v>212.5</v>
      </c>
      <c r="G930">
        <v>310</v>
      </c>
      <c r="H930">
        <v>882.5</v>
      </c>
      <c r="I930">
        <v>2015</v>
      </c>
      <c r="J930" t="s">
        <v>29</v>
      </c>
      <c r="K930" t="s">
        <v>171</v>
      </c>
      <c r="L930" s="8">
        <f t="shared" si="14"/>
        <v>0.68548387096774188</v>
      </c>
    </row>
    <row r="931" spans="1:12">
      <c r="A931" t="s">
        <v>824</v>
      </c>
      <c r="B931">
        <v>1981</v>
      </c>
      <c r="C931" t="s">
        <v>125</v>
      </c>
      <c r="D931">
        <v>82.8</v>
      </c>
      <c r="E931">
        <v>300</v>
      </c>
      <c r="F931">
        <v>212.5</v>
      </c>
      <c r="G931">
        <v>302.5</v>
      </c>
      <c r="H931">
        <v>815</v>
      </c>
      <c r="I931">
        <v>2013</v>
      </c>
      <c r="J931" t="s">
        <v>29</v>
      </c>
      <c r="K931" t="s">
        <v>171</v>
      </c>
      <c r="L931" s="8">
        <f t="shared" si="14"/>
        <v>0.7024793388429752</v>
      </c>
    </row>
    <row r="932" spans="1:12">
      <c r="A932" t="s">
        <v>672</v>
      </c>
      <c r="B932">
        <v>1984</v>
      </c>
      <c r="C932" t="s">
        <v>54</v>
      </c>
      <c r="D932">
        <v>92.2</v>
      </c>
      <c r="E932">
        <v>330</v>
      </c>
      <c r="F932">
        <v>212.5</v>
      </c>
      <c r="G932">
        <v>282.5</v>
      </c>
      <c r="H932">
        <v>825</v>
      </c>
      <c r="I932">
        <v>2012</v>
      </c>
      <c r="J932" t="s">
        <v>29</v>
      </c>
      <c r="K932" t="s">
        <v>171</v>
      </c>
      <c r="L932" s="8">
        <f t="shared" si="14"/>
        <v>0.75221238938053092</v>
      </c>
    </row>
    <row r="933" spans="1:12">
      <c r="A933" t="s">
        <v>848</v>
      </c>
      <c r="B933">
        <v>1981</v>
      </c>
      <c r="C933" t="s">
        <v>113</v>
      </c>
      <c r="D933">
        <v>92.6</v>
      </c>
      <c r="E933">
        <v>312.5</v>
      </c>
      <c r="F933">
        <v>212.5</v>
      </c>
      <c r="G933">
        <v>265</v>
      </c>
      <c r="H933">
        <v>790</v>
      </c>
      <c r="I933">
        <v>2014</v>
      </c>
      <c r="J933" t="s">
        <v>29</v>
      </c>
      <c r="K933" t="s">
        <v>171</v>
      </c>
      <c r="L933" s="8">
        <f t="shared" si="14"/>
        <v>0.80188679245283023</v>
      </c>
    </row>
    <row r="934" spans="1:12">
      <c r="A934" t="s">
        <v>387</v>
      </c>
      <c r="B934">
        <v>1992</v>
      </c>
      <c r="C934" t="s">
        <v>62</v>
      </c>
      <c r="D934">
        <v>91.88</v>
      </c>
      <c r="E934">
        <v>372.5</v>
      </c>
      <c r="F934">
        <v>210</v>
      </c>
      <c r="G934">
        <v>370</v>
      </c>
      <c r="H934">
        <v>952.5</v>
      </c>
      <c r="I934">
        <v>2014</v>
      </c>
      <c r="J934" t="s">
        <v>29</v>
      </c>
      <c r="K934" t="s">
        <v>171</v>
      </c>
      <c r="L934" s="8">
        <f t="shared" si="14"/>
        <v>0.56756756756756754</v>
      </c>
    </row>
    <row r="935" spans="1:12">
      <c r="A935" t="s">
        <v>682</v>
      </c>
      <c r="B935">
        <v>1974</v>
      </c>
      <c r="C935" t="s">
        <v>85</v>
      </c>
      <c r="D935">
        <v>72.989999999999995</v>
      </c>
      <c r="E935">
        <v>355</v>
      </c>
      <c r="F935">
        <v>210</v>
      </c>
      <c r="G935">
        <v>310</v>
      </c>
      <c r="H935">
        <v>875</v>
      </c>
      <c r="I935">
        <v>2012</v>
      </c>
      <c r="J935" t="s">
        <v>29</v>
      </c>
      <c r="K935" t="s">
        <v>171</v>
      </c>
      <c r="L935" s="8">
        <f t="shared" si="14"/>
        <v>0.67741935483870963</v>
      </c>
    </row>
    <row r="936" spans="1:12">
      <c r="A936" t="s">
        <v>108</v>
      </c>
      <c r="B936">
        <v>1969</v>
      </c>
      <c r="C936" t="s">
        <v>109</v>
      </c>
      <c r="D936">
        <v>113.45</v>
      </c>
      <c r="E936">
        <v>345</v>
      </c>
      <c r="F936">
        <v>210</v>
      </c>
      <c r="G936">
        <v>310</v>
      </c>
      <c r="H936">
        <v>865</v>
      </c>
      <c r="I936">
        <v>2012</v>
      </c>
      <c r="J936" t="s">
        <v>29</v>
      </c>
      <c r="K936" t="s">
        <v>171</v>
      </c>
      <c r="L936" s="8">
        <f t="shared" si="14"/>
        <v>0.67741935483870963</v>
      </c>
    </row>
    <row r="937" spans="1:12">
      <c r="A937" t="s">
        <v>568</v>
      </c>
      <c r="B937">
        <v>1987</v>
      </c>
      <c r="C937" t="s">
        <v>80</v>
      </c>
      <c r="D937">
        <v>104.48</v>
      </c>
      <c r="E937">
        <v>0</v>
      </c>
      <c r="F937">
        <v>210</v>
      </c>
      <c r="G937">
        <v>310</v>
      </c>
      <c r="H937">
        <v>0</v>
      </c>
      <c r="I937">
        <v>2014</v>
      </c>
      <c r="J937" t="s">
        <v>29</v>
      </c>
      <c r="K937" t="s">
        <v>171</v>
      </c>
      <c r="L937" s="8">
        <f t="shared" si="14"/>
        <v>0.67741935483870963</v>
      </c>
    </row>
    <row r="938" spans="1:12">
      <c r="A938" t="s">
        <v>535</v>
      </c>
      <c r="B938">
        <v>1981</v>
      </c>
      <c r="C938" t="s">
        <v>74</v>
      </c>
      <c r="D938">
        <v>73.91</v>
      </c>
      <c r="E938">
        <v>285</v>
      </c>
      <c r="F938">
        <v>210</v>
      </c>
      <c r="G938">
        <v>305</v>
      </c>
      <c r="H938">
        <v>800</v>
      </c>
      <c r="I938">
        <v>2012</v>
      </c>
      <c r="J938" t="s">
        <v>29</v>
      </c>
      <c r="K938" t="s">
        <v>171</v>
      </c>
      <c r="L938" s="8">
        <f t="shared" si="14"/>
        <v>0.68852459016393441</v>
      </c>
    </row>
    <row r="939" spans="1:12">
      <c r="A939" t="s">
        <v>438</v>
      </c>
      <c r="B939">
        <v>1991</v>
      </c>
      <c r="C939" t="s">
        <v>125</v>
      </c>
      <c r="D939">
        <v>81.47</v>
      </c>
      <c r="E939">
        <v>337.5</v>
      </c>
      <c r="F939">
        <v>210</v>
      </c>
      <c r="G939">
        <v>262.5</v>
      </c>
      <c r="H939">
        <v>810</v>
      </c>
      <c r="I939">
        <v>2015</v>
      </c>
      <c r="J939" t="s">
        <v>29</v>
      </c>
      <c r="K939" t="s">
        <v>171</v>
      </c>
      <c r="L939" s="8">
        <f t="shared" si="14"/>
        <v>0.8</v>
      </c>
    </row>
    <row r="940" spans="1:12">
      <c r="A940" t="s">
        <v>73</v>
      </c>
      <c r="B940">
        <v>1982</v>
      </c>
      <c r="C940" t="s">
        <v>74</v>
      </c>
      <c r="D940">
        <v>64.88</v>
      </c>
      <c r="E940">
        <v>240</v>
      </c>
      <c r="F940">
        <v>210</v>
      </c>
      <c r="G940">
        <v>255</v>
      </c>
      <c r="H940">
        <v>705</v>
      </c>
      <c r="I940">
        <v>2012</v>
      </c>
      <c r="J940" t="s">
        <v>29</v>
      </c>
      <c r="K940" t="s">
        <v>171</v>
      </c>
      <c r="L940" s="8">
        <f t="shared" si="14"/>
        <v>0.82352941176470584</v>
      </c>
    </row>
    <row r="941" spans="1:12">
      <c r="A941" t="s">
        <v>746</v>
      </c>
      <c r="B941">
        <v>1982</v>
      </c>
      <c r="C941" t="s">
        <v>77</v>
      </c>
      <c r="D941">
        <v>65.42</v>
      </c>
      <c r="E941">
        <v>265</v>
      </c>
      <c r="F941">
        <v>210</v>
      </c>
      <c r="G941">
        <v>247.5</v>
      </c>
      <c r="H941">
        <v>722.5</v>
      </c>
      <c r="I941">
        <v>2014</v>
      </c>
      <c r="J941" t="s">
        <v>29</v>
      </c>
      <c r="K941" t="s">
        <v>171</v>
      </c>
      <c r="L941" s="8">
        <f t="shared" si="14"/>
        <v>0.84848484848484851</v>
      </c>
    </row>
    <row r="942" spans="1:12">
      <c r="A942" t="s">
        <v>481</v>
      </c>
      <c r="B942">
        <v>1986</v>
      </c>
      <c r="C942" t="s">
        <v>28</v>
      </c>
      <c r="D942">
        <v>73.16</v>
      </c>
      <c r="E942">
        <v>310</v>
      </c>
      <c r="F942">
        <v>207.5</v>
      </c>
      <c r="G942">
        <v>325</v>
      </c>
      <c r="H942">
        <v>842.5</v>
      </c>
      <c r="I942">
        <v>2014</v>
      </c>
      <c r="J942" t="s">
        <v>29</v>
      </c>
      <c r="K942" t="s">
        <v>171</v>
      </c>
      <c r="L942" s="8">
        <f t="shared" si="14"/>
        <v>0.63846153846153841</v>
      </c>
    </row>
    <row r="943" spans="1:12">
      <c r="A943" t="s">
        <v>48</v>
      </c>
      <c r="B943">
        <v>1983</v>
      </c>
      <c r="C943" t="s">
        <v>49</v>
      </c>
      <c r="D943">
        <v>91.59</v>
      </c>
      <c r="E943">
        <v>335</v>
      </c>
      <c r="F943">
        <v>207.5</v>
      </c>
      <c r="G943">
        <v>320</v>
      </c>
      <c r="H943">
        <v>862.5</v>
      </c>
      <c r="I943">
        <v>2012</v>
      </c>
      <c r="J943" t="s">
        <v>29</v>
      </c>
      <c r="K943" t="s">
        <v>171</v>
      </c>
      <c r="L943" s="8">
        <f t="shared" si="14"/>
        <v>0.6484375</v>
      </c>
    </row>
    <row r="944" spans="1:12">
      <c r="A944" t="s">
        <v>580</v>
      </c>
      <c r="B944">
        <v>1975</v>
      </c>
      <c r="C944" t="s">
        <v>77</v>
      </c>
      <c r="D944">
        <v>82.2</v>
      </c>
      <c r="E944">
        <v>322.5</v>
      </c>
      <c r="F944">
        <v>207.5</v>
      </c>
      <c r="G944">
        <v>290</v>
      </c>
      <c r="H944">
        <v>820</v>
      </c>
      <c r="I944">
        <v>2015</v>
      </c>
      <c r="J944" t="s">
        <v>29</v>
      </c>
      <c r="K944" t="s">
        <v>171</v>
      </c>
      <c r="L944" s="8">
        <f t="shared" si="14"/>
        <v>0.71551724137931039</v>
      </c>
    </row>
    <row r="945" spans="1:12">
      <c r="A945" t="s">
        <v>136</v>
      </c>
      <c r="B945">
        <v>1987</v>
      </c>
      <c r="C945" t="s">
        <v>137</v>
      </c>
      <c r="D945">
        <v>82.2</v>
      </c>
      <c r="E945">
        <v>317.5</v>
      </c>
      <c r="F945">
        <v>207.5</v>
      </c>
      <c r="G945">
        <v>285</v>
      </c>
      <c r="H945">
        <v>810</v>
      </c>
      <c r="I945">
        <v>2012</v>
      </c>
      <c r="J945" t="s">
        <v>29</v>
      </c>
      <c r="K945" t="s">
        <v>171</v>
      </c>
      <c r="L945" s="8">
        <f t="shared" si="14"/>
        <v>0.72807017543859653</v>
      </c>
    </row>
    <row r="946" spans="1:12">
      <c r="A946" t="s">
        <v>490</v>
      </c>
      <c r="B946">
        <v>1989</v>
      </c>
      <c r="C946" t="s">
        <v>28</v>
      </c>
      <c r="D946">
        <v>65.62</v>
      </c>
      <c r="E946">
        <v>300</v>
      </c>
      <c r="F946">
        <v>207.5</v>
      </c>
      <c r="G946">
        <v>275</v>
      </c>
      <c r="H946">
        <v>782.5</v>
      </c>
      <c r="I946">
        <v>2015</v>
      </c>
      <c r="J946" t="s">
        <v>29</v>
      </c>
      <c r="K946" t="s">
        <v>171</v>
      </c>
      <c r="L946" s="8">
        <f t="shared" si="14"/>
        <v>0.75454545454545452</v>
      </c>
    </row>
    <row r="947" spans="1:12">
      <c r="A947" t="s">
        <v>73</v>
      </c>
      <c r="B947">
        <v>1982</v>
      </c>
      <c r="C947" t="s">
        <v>74</v>
      </c>
      <c r="D947">
        <v>64.64</v>
      </c>
      <c r="E947">
        <v>270</v>
      </c>
      <c r="F947">
        <v>207.5</v>
      </c>
      <c r="G947">
        <v>275</v>
      </c>
      <c r="H947">
        <v>752.5</v>
      </c>
      <c r="I947">
        <v>2015</v>
      </c>
      <c r="J947" t="s">
        <v>29</v>
      </c>
      <c r="K947" t="s">
        <v>171</v>
      </c>
      <c r="L947" s="8">
        <f t="shared" si="14"/>
        <v>0.75454545454545452</v>
      </c>
    </row>
    <row r="948" spans="1:12">
      <c r="A948" t="s">
        <v>681</v>
      </c>
      <c r="B948">
        <v>1979</v>
      </c>
      <c r="C948" t="s">
        <v>49</v>
      </c>
      <c r="D948">
        <v>72.95</v>
      </c>
      <c r="E948">
        <v>312.5</v>
      </c>
      <c r="F948">
        <v>207.5</v>
      </c>
      <c r="G948">
        <v>260</v>
      </c>
      <c r="H948">
        <v>780</v>
      </c>
      <c r="I948">
        <v>2012</v>
      </c>
      <c r="J948" t="s">
        <v>29</v>
      </c>
      <c r="K948" t="s">
        <v>171</v>
      </c>
      <c r="L948" s="8">
        <f t="shared" si="14"/>
        <v>0.79807692307692313</v>
      </c>
    </row>
    <row r="949" spans="1:12">
      <c r="A949" t="s">
        <v>690</v>
      </c>
      <c r="B949">
        <v>1980</v>
      </c>
      <c r="C949" t="s">
        <v>77</v>
      </c>
      <c r="D949">
        <v>73.44</v>
      </c>
      <c r="E949">
        <v>290</v>
      </c>
      <c r="F949">
        <v>207.5</v>
      </c>
      <c r="G949">
        <v>250</v>
      </c>
      <c r="H949">
        <v>747.5</v>
      </c>
      <c r="I949">
        <v>2014</v>
      </c>
      <c r="J949" t="s">
        <v>29</v>
      </c>
      <c r="K949" t="s">
        <v>171</v>
      </c>
      <c r="L949" s="8">
        <f t="shared" si="14"/>
        <v>0.83</v>
      </c>
    </row>
    <row r="950" spans="1:12">
      <c r="A950" t="s">
        <v>490</v>
      </c>
      <c r="B950">
        <v>1989</v>
      </c>
      <c r="C950" t="s">
        <v>28</v>
      </c>
      <c r="D950">
        <v>65.94</v>
      </c>
      <c r="E950">
        <v>315</v>
      </c>
      <c r="F950">
        <v>205</v>
      </c>
      <c r="G950">
        <v>290</v>
      </c>
      <c r="H950">
        <v>810</v>
      </c>
      <c r="I950">
        <v>2012</v>
      </c>
      <c r="J950" t="s">
        <v>29</v>
      </c>
      <c r="K950" t="s">
        <v>171</v>
      </c>
      <c r="L950" s="8">
        <f t="shared" si="14"/>
        <v>0.7068965517241379</v>
      </c>
    </row>
    <row r="951" spans="1:12">
      <c r="A951" t="s">
        <v>73</v>
      </c>
      <c r="B951">
        <v>1982</v>
      </c>
      <c r="C951" t="s">
        <v>74</v>
      </c>
      <c r="D951">
        <v>62.5</v>
      </c>
      <c r="E951">
        <v>275</v>
      </c>
      <c r="F951">
        <v>205</v>
      </c>
      <c r="G951">
        <v>285</v>
      </c>
      <c r="H951">
        <v>765</v>
      </c>
      <c r="I951">
        <v>2013</v>
      </c>
      <c r="J951" t="s">
        <v>29</v>
      </c>
      <c r="K951" t="s">
        <v>171</v>
      </c>
      <c r="L951" s="8">
        <f t="shared" si="14"/>
        <v>0.7192982456140351</v>
      </c>
    </row>
    <row r="952" spans="1:12">
      <c r="A952" t="s">
        <v>490</v>
      </c>
      <c r="B952">
        <v>1989</v>
      </c>
      <c r="C952" t="s">
        <v>28</v>
      </c>
      <c r="D952">
        <v>65.45</v>
      </c>
      <c r="E952">
        <v>310</v>
      </c>
      <c r="F952">
        <v>205</v>
      </c>
      <c r="G952">
        <v>282.5</v>
      </c>
      <c r="H952">
        <v>797.5</v>
      </c>
      <c r="I952">
        <v>2013</v>
      </c>
      <c r="J952" t="s">
        <v>29</v>
      </c>
      <c r="K952" t="s">
        <v>171</v>
      </c>
      <c r="L952" s="8">
        <f t="shared" si="14"/>
        <v>0.72566371681415931</v>
      </c>
    </row>
    <row r="953" spans="1:12">
      <c r="A953" t="s">
        <v>425</v>
      </c>
      <c r="B953">
        <v>1992</v>
      </c>
      <c r="C953" t="s">
        <v>51</v>
      </c>
      <c r="D953">
        <v>72.349999999999994</v>
      </c>
      <c r="E953">
        <v>250</v>
      </c>
      <c r="F953">
        <v>205</v>
      </c>
      <c r="G953">
        <v>250</v>
      </c>
      <c r="H953">
        <v>705</v>
      </c>
      <c r="I953">
        <v>2015</v>
      </c>
      <c r="J953" t="s">
        <v>29</v>
      </c>
      <c r="K953" t="s">
        <v>171</v>
      </c>
      <c r="L953" s="8">
        <f t="shared" si="14"/>
        <v>0.82</v>
      </c>
    </row>
    <row r="954" spans="1:12">
      <c r="A954" t="s">
        <v>690</v>
      </c>
      <c r="B954">
        <v>1980</v>
      </c>
      <c r="C954" t="s">
        <v>77</v>
      </c>
      <c r="D954">
        <v>73.94</v>
      </c>
      <c r="E954">
        <v>295</v>
      </c>
      <c r="F954">
        <v>205</v>
      </c>
      <c r="G954">
        <v>240</v>
      </c>
      <c r="H954">
        <v>740</v>
      </c>
      <c r="I954">
        <v>2013</v>
      </c>
      <c r="J954" t="s">
        <v>29</v>
      </c>
      <c r="K954" t="s">
        <v>171</v>
      </c>
      <c r="L954" s="8">
        <f t="shared" si="14"/>
        <v>0.85416666666666663</v>
      </c>
    </row>
    <row r="955" spans="1:12">
      <c r="A955" t="s">
        <v>701</v>
      </c>
      <c r="B955">
        <v>1985</v>
      </c>
      <c r="C955" t="s">
        <v>62</v>
      </c>
      <c r="D955">
        <v>73</v>
      </c>
      <c r="E955">
        <v>280</v>
      </c>
      <c r="F955">
        <v>205</v>
      </c>
      <c r="G955">
        <v>232.5</v>
      </c>
      <c r="H955">
        <v>717.5</v>
      </c>
      <c r="I955">
        <v>2015</v>
      </c>
      <c r="J955" t="s">
        <v>29</v>
      </c>
      <c r="K955" t="s">
        <v>171</v>
      </c>
      <c r="L955" s="8">
        <f t="shared" si="14"/>
        <v>0.88172043010752688</v>
      </c>
    </row>
    <row r="956" spans="1:12">
      <c r="A956" t="s">
        <v>614</v>
      </c>
      <c r="B956">
        <v>1990</v>
      </c>
      <c r="C956" t="s">
        <v>380</v>
      </c>
      <c r="D956">
        <v>72.8</v>
      </c>
      <c r="E956">
        <v>230</v>
      </c>
      <c r="F956">
        <v>205</v>
      </c>
      <c r="G956">
        <v>230</v>
      </c>
      <c r="H956">
        <v>665</v>
      </c>
      <c r="I956">
        <v>2015</v>
      </c>
      <c r="J956" t="s">
        <v>29</v>
      </c>
      <c r="K956" t="s">
        <v>171</v>
      </c>
      <c r="L956" s="8">
        <f t="shared" si="14"/>
        <v>0.89130434782608692</v>
      </c>
    </row>
    <row r="957" spans="1:12">
      <c r="A957" t="s">
        <v>481</v>
      </c>
      <c r="B957">
        <v>1986</v>
      </c>
      <c r="C957" t="s">
        <v>28</v>
      </c>
      <c r="D957">
        <v>72.900000000000006</v>
      </c>
      <c r="E957">
        <v>340</v>
      </c>
      <c r="F957">
        <v>202.5</v>
      </c>
      <c r="G957">
        <v>322.5</v>
      </c>
      <c r="H957">
        <v>865</v>
      </c>
      <c r="I957">
        <v>2015</v>
      </c>
      <c r="J957" t="s">
        <v>29</v>
      </c>
      <c r="K957" t="s">
        <v>171</v>
      </c>
      <c r="L957" s="8">
        <f t="shared" si="14"/>
        <v>0.62790697674418605</v>
      </c>
    </row>
    <row r="958" spans="1:12">
      <c r="A958" t="s">
        <v>825</v>
      </c>
      <c r="B958">
        <v>1976</v>
      </c>
      <c r="C958" t="s">
        <v>62</v>
      </c>
      <c r="D958">
        <v>73.8</v>
      </c>
      <c r="E958">
        <v>275</v>
      </c>
      <c r="F958">
        <v>202.5</v>
      </c>
      <c r="G958">
        <v>307.5</v>
      </c>
      <c r="H958">
        <v>785</v>
      </c>
      <c r="I958">
        <v>2014</v>
      </c>
      <c r="J958" t="s">
        <v>29</v>
      </c>
      <c r="K958" t="s">
        <v>171</v>
      </c>
      <c r="L958" s="8">
        <f t="shared" si="14"/>
        <v>0.65853658536585369</v>
      </c>
    </row>
    <row r="959" spans="1:12">
      <c r="A959" t="s">
        <v>746</v>
      </c>
      <c r="B959">
        <v>1982</v>
      </c>
      <c r="C959" t="s">
        <v>77</v>
      </c>
      <c r="D959">
        <v>65.650000000000006</v>
      </c>
      <c r="E959">
        <v>255</v>
      </c>
      <c r="F959">
        <v>202.5</v>
      </c>
      <c r="G959">
        <v>235</v>
      </c>
      <c r="H959">
        <v>692.5</v>
      </c>
      <c r="I959">
        <v>2012</v>
      </c>
      <c r="J959" t="s">
        <v>29</v>
      </c>
      <c r="K959" t="s">
        <v>171</v>
      </c>
      <c r="L959" s="8">
        <f t="shared" si="14"/>
        <v>0.86170212765957444</v>
      </c>
    </row>
    <row r="960" spans="1:12">
      <c r="A960" t="s">
        <v>381</v>
      </c>
      <c r="B960">
        <v>1991</v>
      </c>
      <c r="C960" t="s">
        <v>380</v>
      </c>
      <c r="D960">
        <v>65.59</v>
      </c>
      <c r="E960">
        <v>240</v>
      </c>
      <c r="F960">
        <v>202.5</v>
      </c>
      <c r="G960">
        <v>215</v>
      </c>
      <c r="H960">
        <v>657.5</v>
      </c>
      <c r="I960">
        <v>2015</v>
      </c>
      <c r="J960" t="s">
        <v>29</v>
      </c>
      <c r="K960" t="s">
        <v>171</v>
      </c>
      <c r="L960" s="8">
        <f t="shared" si="14"/>
        <v>0.94186046511627908</v>
      </c>
    </row>
    <row r="961" spans="1:12">
      <c r="A961" t="s">
        <v>57</v>
      </c>
      <c r="B961">
        <v>1982</v>
      </c>
      <c r="C961" t="s">
        <v>28</v>
      </c>
      <c r="D961">
        <v>58.06</v>
      </c>
      <c r="E961">
        <v>300</v>
      </c>
      <c r="F961">
        <v>201</v>
      </c>
      <c r="G961">
        <v>260</v>
      </c>
      <c r="H961">
        <v>761</v>
      </c>
      <c r="I961">
        <v>2014</v>
      </c>
      <c r="J961" t="s">
        <v>29</v>
      </c>
      <c r="K961" t="s">
        <v>171</v>
      </c>
      <c r="L961" s="8">
        <f t="shared" si="14"/>
        <v>0.77307692307692311</v>
      </c>
    </row>
    <row r="962" spans="1:12">
      <c r="A962" t="s">
        <v>816</v>
      </c>
      <c r="B962">
        <v>1978</v>
      </c>
      <c r="C962" t="s">
        <v>352</v>
      </c>
      <c r="D962">
        <v>82.53</v>
      </c>
      <c r="E962">
        <v>325</v>
      </c>
      <c r="F962">
        <v>200</v>
      </c>
      <c r="G962">
        <v>325</v>
      </c>
      <c r="H962">
        <v>850</v>
      </c>
      <c r="I962">
        <v>2012</v>
      </c>
      <c r="J962" t="s">
        <v>29</v>
      </c>
      <c r="K962" t="s">
        <v>171</v>
      </c>
      <c r="L962" s="8">
        <f t="shared" si="14"/>
        <v>0.61538461538461542</v>
      </c>
    </row>
    <row r="963" spans="1:12">
      <c r="A963" t="s">
        <v>813</v>
      </c>
      <c r="B963">
        <v>1978</v>
      </c>
      <c r="C963" t="s">
        <v>239</v>
      </c>
      <c r="D963">
        <v>92.83</v>
      </c>
      <c r="E963">
        <v>325</v>
      </c>
      <c r="F963">
        <v>200</v>
      </c>
      <c r="G963">
        <v>312.5</v>
      </c>
      <c r="H963">
        <v>837.5</v>
      </c>
      <c r="I963">
        <v>2012</v>
      </c>
      <c r="J963" t="s">
        <v>29</v>
      </c>
      <c r="K963" t="s">
        <v>171</v>
      </c>
      <c r="L963" s="8">
        <f t="shared" ref="L963:L1026" si="15">IF(AND(F963&lt;&gt;0,G963&lt;&gt;0),F963/G963,"")</f>
        <v>0.64</v>
      </c>
    </row>
    <row r="964" spans="1:12">
      <c r="A964" t="s">
        <v>740</v>
      </c>
      <c r="B964">
        <v>1982</v>
      </c>
      <c r="C964" t="s">
        <v>274</v>
      </c>
      <c r="D964">
        <v>83</v>
      </c>
      <c r="E964">
        <v>302.5</v>
      </c>
      <c r="F964">
        <v>200</v>
      </c>
      <c r="G964">
        <v>307.5</v>
      </c>
      <c r="H964">
        <v>810</v>
      </c>
      <c r="I964">
        <v>2015</v>
      </c>
      <c r="J964" t="s">
        <v>29</v>
      </c>
      <c r="K964" t="s">
        <v>171</v>
      </c>
      <c r="L964" s="8">
        <f t="shared" si="15"/>
        <v>0.65040650406504064</v>
      </c>
    </row>
    <row r="965" spans="1:12">
      <c r="A965" t="s">
        <v>440</v>
      </c>
      <c r="B965">
        <v>1986</v>
      </c>
      <c r="C965" t="s">
        <v>28</v>
      </c>
      <c r="D965">
        <v>65.239999999999995</v>
      </c>
      <c r="E965">
        <v>325</v>
      </c>
      <c r="F965">
        <v>200</v>
      </c>
      <c r="G965">
        <v>270</v>
      </c>
      <c r="H965">
        <v>795</v>
      </c>
      <c r="I965">
        <v>2015</v>
      </c>
      <c r="J965" t="s">
        <v>29</v>
      </c>
      <c r="K965" t="s">
        <v>171</v>
      </c>
      <c r="L965" s="8">
        <f t="shared" si="15"/>
        <v>0.7407407407407407</v>
      </c>
    </row>
    <row r="966" spans="1:12">
      <c r="A966" t="s">
        <v>494</v>
      </c>
      <c r="B966">
        <v>1971</v>
      </c>
      <c r="C966" t="s">
        <v>336</v>
      </c>
      <c r="D966">
        <v>98.91</v>
      </c>
      <c r="E966">
        <v>307.5</v>
      </c>
      <c r="F966">
        <v>200</v>
      </c>
      <c r="G966">
        <v>270</v>
      </c>
      <c r="H966">
        <v>777.5</v>
      </c>
      <c r="I966">
        <v>2012</v>
      </c>
      <c r="J966" t="s">
        <v>29</v>
      </c>
      <c r="K966" t="s">
        <v>171</v>
      </c>
      <c r="L966" s="8">
        <f t="shared" si="15"/>
        <v>0.7407407407407407</v>
      </c>
    </row>
    <row r="967" spans="1:12">
      <c r="A967" t="s">
        <v>73</v>
      </c>
      <c r="B967">
        <v>1982</v>
      </c>
      <c r="C967" t="s">
        <v>74</v>
      </c>
      <c r="D967">
        <v>63.1</v>
      </c>
      <c r="E967">
        <v>265</v>
      </c>
      <c r="F967">
        <v>200</v>
      </c>
      <c r="G967">
        <v>267.5</v>
      </c>
      <c r="H967">
        <v>732.5</v>
      </c>
      <c r="I967">
        <v>2014</v>
      </c>
      <c r="J967" t="s">
        <v>29</v>
      </c>
      <c r="K967" t="s">
        <v>171</v>
      </c>
      <c r="L967" s="8">
        <f t="shared" si="15"/>
        <v>0.74766355140186913</v>
      </c>
    </row>
    <row r="968" spans="1:12">
      <c r="A968" t="s">
        <v>57</v>
      </c>
      <c r="B968">
        <v>1982</v>
      </c>
      <c r="C968" t="s">
        <v>28</v>
      </c>
      <c r="D968">
        <v>57.6</v>
      </c>
      <c r="E968">
        <v>285</v>
      </c>
      <c r="F968">
        <v>200</v>
      </c>
      <c r="G968">
        <v>260</v>
      </c>
      <c r="H968">
        <v>745</v>
      </c>
      <c r="I968">
        <v>2015</v>
      </c>
      <c r="J968" t="s">
        <v>29</v>
      </c>
      <c r="K968" t="s">
        <v>171</v>
      </c>
      <c r="L968" s="8">
        <f t="shared" si="15"/>
        <v>0.76923076923076927</v>
      </c>
    </row>
    <row r="969" spans="1:12">
      <c r="A969" t="s">
        <v>690</v>
      </c>
      <c r="B969">
        <v>1980</v>
      </c>
      <c r="C969" t="s">
        <v>77</v>
      </c>
      <c r="D969">
        <v>73.75</v>
      </c>
      <c r="E969">
        <v>0</v>
      </c>
      <c r="F969">
        <v>200</v>
      </c>
      <c r="G969">
        <v>260</v>
      </c>
      <c r="H969">
        <v>0</v>
      </c>
      <c r="I969">
        <v>2012</v>
      </c>
      <c r="J969" t="s">
        <v>29</v>
      </c>
      <c r="K969" t="s">
        <v>171</v>
      </c>
      <c r="L969" s="8">
        <f t="shared" si="15"/>
        <v>0.76923076923076927</v>
      </c>
    </row>
    <row r="970" spans="1:12">
      <c r="A970" t="s">
        <v>538</v>
      </c>
      <c r="B970">
        <v>1980</v>
      </c>
      <c r="C970" t="s">
        <v>349</v>
      </c>
      <c r="D970">
        <v>90.34</v>
      </c>
      <c r="E970">
        <v>0</v>
      </c>
      <c r="F970">
        <v>200</v>
      </c>
      <c r="G970">
        <v>250</v>
      </c>
      <c r="H970">
        <v>0</v>
      </c>
      <c r="I970">
        <v>2013</v>
      </c>
      <c r="J970" t="s">
        <v>29</v>
      </c>
      <c r="K970" t="s">
        <v>171</v>
      </c>
      <c r="L970" s="8">
        <f t="shared" si="15"/>
        <v>0.8</v>
      </c>
    </row>
    <row r="971" spans="1:12">
      <c r="A971" t="s">
        <v>741</v>
      </c>
      <c r="B971">
        <v>1974</v>
      </c>
      <c r="C971" t="s">
        <v>282</v>
      </c>
      <c r="D971">
        <v>82.54</v>
      </c>
      <c r="E971">
        <v>305</v>
      </c>
      <c r="F971">
        <v>200</v>
      </c>
      <c r="G971">
        <v>225</v>
      </c>
      <c r="H971">
        <v>730</v>
      </c>
      <c r="I971">
        <v>2012</v>
      </c>
      <c r="J971" t="s">
        <v>29</v>
      </c>
      <c r="K971" t="s">
        <v>171</v>
      </c>
      <c r="L971" s="8">
        <f t="shared" si="15"/>
        <v>0.88888888888888884</v>
      </c>
    </row>
    <row r="972" spans="1:12">
      <c r="A972" t="s">
        <v>496</v>
      </c>
      <c r="B972">
        <v>1979</v>
      </c>
      <c r="C972" t="s">
        <v>119</v>
      </c>
      <c r="D972">
        <v>73.540000000000006</v>
      </c>
      <c r="E972">
        <v>300</v>
      </c>
      <c r="F972">
        <v>197.5</v>
      </c>
      <c r="G972">
        <v>323</v>
      </c>
      <c r="H972">
        <v>820.5</v>
      </c>
      <c r="I972">
        <v>2014</v>
      </c>
      <c r="J972" t="s">
        <v>29</v>
      </c>
      <c r="K972" t="s">
        <v>171</v>
      </c>
      <c r="L972" s="8">
        <f t="shared" si="15"/>
        <v>0.61145510835913308</v>
      </c>
    </row>
    <row r="973" spans="1:12">
      <c r="A973" t="s">
        <v>497</v>
      </c>
      <c r="B973">
        <v>1979</v>
      </c>
      <c r="C973" t="s">
        <v>119</v>
      </c>
      <c r="D973">
        <v>73.77</v>
      </c>
      <c r="E973">
        <v>305</v>
      </c>
      <c r="F973">
        <v>197.5</v>
      </c>
      <c r="G973">
        <v>312.5</v>
      </c>
      <c r="H973">
        <v>815</v>
      </c>
      <c r="I973">
        <v>2013</v>
      </c>
      <c r="J973" t="s">
        <v>29</v>
      </c>
      <c r="K973" t="s">
        <v>171</v>
      </c>
      <c r="L973" s="8">
        <f t="shared" si="15"/>
        <v>0.63200000000000001</v>
      </c>
    </row>
    <row r="974" spans="1:12">
      <c r="A974" t="s">
        <v>748</v>
      </c>
      <c r="B974">
        <v>1978</v>
      </c>
      <c r="C974" t="s">
        <v>80</v>
      </c>
      <c r="D974">
        <v>65.69</v>
      </c>
      <c r="E974">
        <v>252.5</v>
      </c>
      <c r="F974">
        <v>197.5</v>
      </c>
      <c r="G974">
        <v>285</v>
      </c>
      <c r="H974">
        <v>735</v>
      </c>
      <c r="I974">
        <v>2013</v>
      </c>
      <c r="J974" t="s">
        <v>29</v>
      </c>
      <c r="K974" t="s">
        <v>171</v>
      </c>
      <c r="L974" s="8">
        <f t="shared" si="15"/>
        <v>0.69298245614035092</v>
      </c>
    </row>
    <row r="975" spans="1:12">
      <c r="A975" t="s">
        <v>366</v>
      </c>
      <c r="B975">
        <v>1968</v>
      </c>
      <c r="C975" t="s">
        <v>137</v>
      </c>
      <c r="D975">
        <v>73.62</v>
      </c>
      <c r="E975">
        <v>287.5</v>
      </c>
      <c r="F975">
        <v>197.5</v>
      </c>
      <c r="G975">
        <v>275</v>
      </c>
      <c r="H975">
        <v>760</v>
      </c>
      <c r="I975">
        <v>2014</v>
      </c>
      <c r="J975" t="s">
        <v>29</v>
      </c>
      <c r="K975" t="s">
        <v>171</v>
      </c>
      <c r="L975" s="8">
        <f t="shared" si="15"/>
        <v>0.71818181818181814</v>
      </c>
    </row>
    <row r="976" spans="1:12">
      <c r="A976" t="s">
        <v>514</v>
      </c>
      <c r="B976">
        <v>1991</v>
      </c>
      <c r="C976" t="s">
        <v>77</v>
      </c>
      <c r="D976">
        <v>91.91</v>
      </c>
      <c r="E976">
        <v>280</v>
      </c>
      <c r="F976">
        <v>197.5</v>
      </c>
      <c r="G976">
        <v>270</v>
      </c>
      <c r="H976">
        <v>747.5</v>
      </c>
      <c r="I976">
        <v>2013</v>
      </c>
      <c r="J976" t="s">
        <v>29</v>
      </c>
      <c r="K976" t="s">
        <v>171</v>
      </c>
      <c r="L976" s="8">
        <f t="shared" si="15"/>
        <v>0.73148148148148151</v>
      </c>
    </row>
    <row r="977" spans="1:12">
      <c r="A977" t="s">
        <v>791</v>
      </c>
      <c r="B977">
        <v>1968</v>
      </c>
      <c r="C977" t="s">
        <v>336</v>
      </c>
      <c r="D977">
        <v>82.22</v>
      </c>
      <c r="E977">
        <v>340</v>
      </c>
      <c r="F977">
        <v>197.5</v>
      </c>
      <c r="G977">
        <v>265</v>
      </c>
      <c r="H977">
        <v>802.5</v>
      </c>
      <c r="I977">
        <v>2012</v>
      </c>
      <c r="J977" t="s">
        <v>29</v>
      </c>
      <c r="K977" t="s">
        <v>171</v>
      </c>
      <c r="L977" s="8">
        <f t="shared" si="15"/>
        <v>0.74528301886792447</v>
      </c>
    </row>
    <row r="978" spans="1:12">
      <c r="A978" t="s">
        <v>57</v>
      </c>
      <c r="B978">
        <v>1982</v>
      </c>
      <c r="C978" t="s">
        <v>28</v>
      </c>
      <c r="D978">
        <v>57.63</v>
      </c>
      <c r="E978">
        <v>292.5</v>
      </c>
      <c r="F978">
        <v>197.5</v>
      </c>
      <c r="G978">
        <v>265</v>
      </c>
      <c r="H978">
        <v>755</v>
      </c>
      <c r="I978">
        <v>2013</v>
      </c>
      <c r="J978" t="s">
        <v>29</v>
      </c>
      <c r="K978" t="s">
        <v>171</v>
      </c>
      <c r="L978" s="8">
        <f t="shared" si="15"/>
        <v>0.74528301886792447</v>
      </c>
    </row>
    <row r="979" spans="1:12">
      <c r="A979" t="s">
        <v>647</v>
      </c>
      <c r="B979">
        <v>1983</v>
      </c>
      <c r="C979" t="s">
        <v>336</v>
      </c>
      <c r="D979">
        <v>73.8</v>
      </c>
      <c r="E979">
        <v>250</v>
      </c>
      <c r="F979">
        <v>197.5</v>
      </c>
      <c r="G979">
        <v>207.5</v>
      </c>
      <c r="H979">
        <v>655</v>
      </c>
      <c r="I979">
        <v>2013</v>
      </c>
      <c r="J979" t="s">
        <v>29</v>
      </c>
      <c r="K979" t="s">
        <v>171</v>
      </c>
      <c r="L979" s="8">
        <f t="shared" si="15"/>
        <v>0.95180722891566261</v>
      </c>
    </row>
    <row r="980" spans="1:12">
      <c r="A980" t="s">
        <v>748</v>
      </c>
      <c r="B980">
        <v>1978</v>
      </c>
      <c r="C980" t="s">
        <v>80</v>
      </c>
      <c r="D980">
        <v>65.55</v>
      </c>
      <c r="E980">
        <v>262.5</v>
      </c>
      <c r="F980">
        <v>195</v>
      </c>
      <c r="G980">
        <v>290</v>
      </c>
      <c r="H980">
        <v>747.5</v>
      </c>
      <c r="I980">
        <v>2015</v>
      </c>
      <c r="J980" t="s">
        <v>29</v>
      </c>
      <c r="K980" t="s">
        <v>171</v>
      </c>
      <c r="L980" s="8">
        <f t="shared" si="15"/>
        <v>0.67241379310344829</v>
      </c>
    </row>
    <row r="981" spans="1:12">
      <c r="A981" t="s">
        <v>675</v>
      </c>
      <c r="B981">
        <v>1990</v>
      </c>
      <c r="C981" t="s">
        <v>77</v>
      </c>
      <c r="D981">
        <v>65.86</v>
      </c>
      <c r="E981">
        <v>290</v>
      </c>
      <c r="F981">
        <v>195</v>
      </c>
      <c r="G981">
        <v>270</v>
      </c>
      <c r="H981">
        <v>755</v>
      </c>
      <c r="I981">
        <v>2014</v>
      </c>
      <c r="J981" t="s">
        <v>29</v>
      </c>
      <c r="K981" t="s">
        <v>171</v>
      </c>
      <c r="L981" s="8">
        <f t="shared" si="15"/>
        <v>0.72222222222222221</v>
      </c>
    </row>
    <row r="982" spans="1:12">
      <c r="A982" t="s">
        <v>812</v>
      </c>
      <c r="B982">
        <v>1990</v>
      </c>
      <c r="C982" t="s">
        <v>390</v>
      </c>
      <c r="D982">
        <v>73.36</v>
      </c>
      <c r="E982">
        <v>237.5</v>
      </c>
      <c r="F982">
        <v>195</v>
      </c>
      <c r="G982">
        <v>255</v>
      </c>
      <c r="H982">
        <v>687.5</v>
      </c>
      <c r="I982">
        <v>2015</v>
      </c>
      <c r="J982" t="s">
        <v>29</v>
      </c>
      <c r="K982" t="s">
        <v>171</v>
      </c>
      <c r="L982" s="8">
        <f t="shared" si="15"/>
        <v>0.76470588235294112</v>
      </c>
    </row>
    <row r="983" spans="1:12">
      <c r="A983" t="s">
        <v>358</v>
      </c>
      <c r="B983">
        <v>1991</v>
      </c>
      <c r="C983" t="s">
        <v>359</v>
      </c>
      <c r="D983">
        <v>82.12</v>
      </c>
      <c r="E983">
        <v>265</v>
      </c>
      <c r="F983">
        <v>195</v>
      </c>
      <c r="G983">
        <v>250</v>
      </c>
      <c r="H983">
        <v>710</v>
      </c>
      <c r="I983">
        <v>2013</v>
      </c>
      <c r="J983" t="s">
        <v>29</v>
      </c>
      <c r="K983" t="s">
        <v>171</v>
      </c>
      <c r="L983" s="8">
        <f t="shared" si="15"/>
        <v>0.78</v>
      </c>
    </row>
    <row r="984" spans="1:12">
      <c r="A984" t="s">
        <v>610</v>
      </c>
      <c r="B984">
        <v>1983</v>
      </c>
      <c r="C984" t="s">
        <v>74</v>
      </c>
      <c r="D984">
        <v>64.88</v>
      </c>
      <c r="E984">
        <v>245</v>
      </c>
      <c r="F984">
        <v>195</v>
      </c>
      <c r="G984">
        <v>220</v>
      </c>
      <c r="H984">
        <v>660</v>
      </c>
      <c r="I984">
        <v>2012</v>
      </c>
      <c r="J984" t="s">
        <v>29</v>
      </c>
      <c r="K984" t="s">
        <v>171</v>
      </c>
      <c r="L984" s="8">
        <f t="shared" si="15"/>
        <v>0.88636363636363635</v>
      </c>
    </row>
    <row r="985" spans="1:12">
      <c r="A985" t="s">
        <v>617</v>
      </c>
      <c r="B985">
        <v>1977</v>
      </c>
      <c r="C985" t="s">
        <v>51</v>
      </c>
      <c r="D985">
        <v>91.66</v>
      </c>
      <c r="E985">
        <v>322.5</v>
      </c>
      <c r="F985">
        <v>192.5</v>
      </c>
      <c r="G985">
        <v>290</v>
      </c>
      <c r="H985">
        <v>805</v>
      </c>
      <c r="I985">
        <v>2015</v>
      </c>
      <c r="J985" t="s">
        <v>29</v>
      </c>
      <c r="K985" t="s">
        <v>171</v>
      </c>
      <c r="L985" s="8">
        <f t="shared" si="15"/>
        <v>0.66379310344827591</v>
      </c>
    </row>
    <row r="986" spans="1:12">
      <c r="A986" t="s">
        <v>503</v>
      </c>
      <c r="B986">
        <v>1989</v>
      </c>
      <c r="C986" t="s">
        <v>85</v>
      </c>
      <c r="D986">
        <v>65.55</v>
      </c>
      <c r="E986">
        <v>250</v>
      </c>
      <c r="F986">
        <v>192.5</v>
      </c>
      <c r="G986">
        <v>252.5</v>
      </c>
      <c r="H986">
        <v>695</v>
      </c>
      <c r="I986">
        <v>2015</v>
      </c>
      <c r="J986" t="s">
        <v>29</v>
      </c>
      <c r="K986" t="s">
        <v>171</v>
      </c>
      <c r="L986" s="8">
        <f t="shared" si="15"/>
        <v>0.76237623762376239</v>
      </c>
    </row>
    <row r="987" spans="1:12">
      <c r="A987" t="s">
        <v>637</v>
      </c>
      <c r="B987">
        <v>1982</v>
      </c>
      <c r="C987" t="s">
        <v>137</v>
      </c>
      <c r="D987">
        <v>72.760000000000005</v>
      </c>
      <c r="E987">
        <v>290</v>
      </c>
      <c r="F987">
        <v>192.5</v>
      </c>
      <c r="G987">
        <v>240</v>
      </c>
      <c r="H987">
        <v>722.5</v>
      </c>
      <c r="I987">
        <v>2012</v>
      </c>
      <c r="J987" t="s">
        <v>29</v>
      </c>
      <c r="K987" t="s">
        <v>171</v>
      </c>
      <c r="L987" s="8">
        <f t="shared" si="15"/>
        <v>0.80208333333333337</v>
      </c>
    </row>
    <row r="988" spans="1:12">
      <c r="A988" t="s">
        <v>448</v>
      </c>
      <c r="B988">
        <v>1989</v>
      </c>
      <c r="C988" t="s">
        <v>62</v>
      </c>
      <c r="D988">
        <v>82.91</v>
      </c>
      <c r="E988">
        <v>340</v>
      </c>
      <c r="F988">
        <v>190</v>
      </c>
      <c r="G988">
        <v>320</v>
      </c>
      <c r="H988">
        <v>850</v>
      </c>
      <c r="I988">
        <v>2012</v>
      </c>
      <c r="J988" t="s">
        <v>29</v>
      </c>
      <c r="K988" t="s">
        <v>171</v>
      </c>
      <c r="L988" s="8">
        <f t="shared" si="15"/>
        <v>0.59375</v>
      </c>
    </row>
    <row r="989" spans="1:12">
      <c r="A989" t="s">
        <v>417</v>
      </c>
      <c r="B989">
        <v>1979</v>
      </c>
      <c r="C989" t="s">
        <v>418</v>
      </c>
      <c r="D989">
        <v>103.64</v>
      </c>
      <c r="E989">
        <v>300</v>
      </c>
      <c r="F989">
        <v>190</v>
      </c>
      <c r="G989">
        <v>317.5</v>
      </c>
      <c r="H989">
        <v>807.5</v>
      </c>
      <c r="I989">
        <v>2014</v>
      </c>
      <c r="J989" t="s">
        <v>29</v>
      </c>
      <c r="K989" t="s">
        <v>171</v>
      </c>
      <c r="L989" s="8">
        <f t="shared" si="15"/>
        <v>0.59842519685039375</v>
      </c>
    </row>
    <row r="990" spans="1:12">
      <c r="A990" t="s">
        <v>825</v>
      </c>
      <c r="B990">
        <v>1976</v>
      </c>
      <c r="C990" t="s">
        <v>62</v>
      </c>
      <c r="D990">
        <v>73.7</v>
      </c>
      <c r="E990">
        <v>275</v>
      </c>
      <c r="F990">
        <v>190</v>
      </c>
      <c r="G990">
        <v>307.5</v>
      </c>
      <c r="H990">
        <v>772.5</v>
      </c>
      <c r="I990">
        <v>2013</v>
      </c>
      <c r="J990" t="s">
        <v>29</v>
      </c>
      <c r="K990" t="s">
        <v>171</v>
      </c>
      <c r="L990" s="8">
        <f t="shared" si="15"/>
        <v>0.61788617886178865</v>
      </c>
    </row>
    <row r="991" spans="1:12">
      <c r="A991" t="s">
        <v>667</v>
      </c>
      <c r="B991">
        <v>1970</v>
      </c>
      <c r="C991" t="s">
        <v>49</v>
      </c>
      <c r="D991">
        <v>119.14</v>
      </c>
      <c r="E991">
        <v>355</v>
      </c>
      <c r="F991">
        <v>190</v>
      </c>
      <c r="G991">
        <v>300</v>
      </c>
      <c r="H991">
        <v>845</v>
      </c>
      <c r="I991">
        <v>2014</v>
      </c>
      <c r="J991" t="s">
        <v>29</v>
      </c>
      <c r="K991" t="s">
        <v>171</v>
      </c>
      <c r="L991" s="8">
        <f t="shared" si="15"/>
        <v>0.6333333333333333</v>
      </c>
    </row>
    <row r="992" spans="1:12">
      <c r="A992" t="s">
        <v>440</v>
      </c>
      <c r="B992">
        <v>1986</v>
      </c>
      <c r="C992" t="s">
        <v>28</v>
      </c>
      <c r="D992">
        <v>65.58</v>
      </c>
      <c r="E992">
        <v>312.5</v>
      </c>
      <c r="F992">
        <v>190</v>
      </c>
      <c r="G992">
        <v>280</v>
      </c>
      <c r="H992">
        <v>782.5</v>
      </c>
      <c r="I992">
        <v>2014</v>
      </c>
      <c r="J992" t="s">
        <v>29</v>
      </c>
      <c r="K992" t="s">
        <v>171</v>
      </c>
      <c r="L992" s="8">
        <f t="shared" si="15"/>
        <v>0.6785714285714286</v>
      </c>
    </row>
    <row r="993" spans="1:12">
      <c r="A993" t="s">
        <v>366</v>
      </c>
      <c r="B993">
        <v>1968</v>
      </c>
      <c r="C993" t="s">
        <v>137</v>
      </c>
      <c r="D993">
        <v>73.64</v>
      </c>
      <c r="E993">
        <v>282.5</v>
      </c>
      <c r="F993">
        <v>190</v>
      </c>
      <c r="G993">
        <v>272.5</v>
      </c>
      <c r="H993">
        <v>745</v>
      </c>
      <c r="I993">
        <v>2012</v>
      </c>
      <c r="J993" t="s">
        <v>29</v>
      </c>
      <c r="K993" t="s">
        <v>171</v>
      </c>
      <c r="L993" s="8">
        <f t="shared" si="15"/>
        <v>0.69724770642201839</v>
      </c>
    </row>
    <row r="994" spans="1:12">
      <c r="A994" t="s">
        <v>791</v>
      </c>
      <c r="B994">
        <v>1968</v>
      </c>
      <c r="C994" t="s">
        <v>336</v>
      </c>
      <c r="D994">
        <v>82.56</v>
      </c>
      <c r="E994">
        <v>317.5</v>
      </c>
      <c r="F994">
        <v>190</v>
      </c>
      <c r="G994">
        <v>267.5</v>
      </c>
      <c r="H994">
        <v>775</v>
      </c>
      <c r="I994">
        <v>2014</v>
      </c>
      <c r="J994" t="s">
        <v>29</v>
      </c>
      <c r="K994" t="s">
        <v>171</v>
      </c>
      <c r="L994" s="8">
        <f t="shared" si="15"/>
        <v>0.71028037383177567</v>
      </c>
    </row>
    <row r="995" spans="1:12">
      <c r="A995" t="s">
        <v>660</v>
      </c>
      <c r="B995">
        <v>1988</v>
      </c>
      <c r="C995" t="s">
        <v>380</v>
      </c>
      <c r="D995">
        <v>82.88</v>
      </c>
      <c r="E995">
        <v>300</v>
      </c>
      <c r="F995">
        <v>190</v>
      </c>
      <c r="G995">
        <v>267.5</v>
      </c>
      <c r="H995">
        <v>757.5</v>
      </c>
      <c r="I995">
        <v>2014</v>
      </c>
      <c r="J995" t="s">
        <v>29</v>
      </c>
      <c r="K995" t="s">
        <v>171</v>
      </c>
      <c r="L995" s="8">
        <f t="shared" si="15"/>
        <v>0.71028037383177567</v>
      </c>
    </row>
    <row r="996" spans="1:12">
      <c r="A996" t="s">
        <v>617</v>
      </c>
      <c r="B996">
        <v>1977</v>
      </c>
      <c r="C996" t="s">
        <v>51</v>
      </c>
      <c r="D996">
        <v>92.7</v>
      </c>
      <c r="E996">
        <v>325</v>
      </c>
      <c r="F996">
        <v>187.5</v>
      </c>
      <c r="G996">
        <v>287.5</v>
      </c>
      <c r="H996">
        <v>800</v>
      </c>
      <c r="I996">
        <v>2012</v>
      </c>
      <c r="J996" t="s">
        <v>29</v>
      </c>
      <c r="K996" t="s">
        <v>171</v>
      </c>
      <c r="L996" s="8">
        <f t="shared" si="15"/>
        <v>0.65217391304347827</v>
      </c>
    </row>
    <row r="997" spans="1:12">
      <c r="A997" t="s">
        <v>460</v>
      </c>
      <c r="B997">
        <v>1975</v>
      </c>
      <c r="C997" t="s">
        <v>137</v>
      </c>
      <c r="D997">
        <v>71.349999999999994</v>
      </c>
      <c r="E997">
        <v>285</v>
      </c>
      <c r="F997">
        <v>185</v>
      </c>
      <c r="G997">
        <v>300</v>
      </c>
      <c r="H997">
        <v>770</v>
      </c>
      <c r="I997">
        <v>2015</v>
      </c>
      <c r="J997" t="s">
        <v>29</v>
      </c>
      <c r="K997" t="s">
        <v>171</v>
      </c>
      <c r="L997" s="8">
        <f t="shared" si="15"/>
        <v>0.6166666666666667</v>
      </c>
    </row>
    <row r="998" spans="1:12">
      <c r="A998" t="s">
        <v>440</v>
      </c>
      <c r="B998">
        <v>1986</v>
      </c>
      <c r="C998" t="s">
        <v>28</v>
      </c>
      <c r="D998">
        <v>65.239999999999995</v>
      </c>
      <c r="E998">
        <v>326</v>
      </c>
      <c r="F998">
        <v>185</v>
      </c>
      <c r="G998">
        <v>287.5</v>
      </c>
      <c r="H998">
        <v>798.5</v>
      </c>
      <c r="I998">
        <v>2013</v>
      </c>
      <c r="J998" t="s">
        <v>29</v>
      </c>
      <c r="K998" t="s">
        <v>171</v>
      </c>
      <c r="L998" s="8">
        <f t="shared" si="15"/>
        <v>0.64347826086956517</v>
      </c>
    </row>
    <row r="999" spans="1:12">
      <c r="A999" t="s">
        <v>437</v>
      </c>
      <c r="B999">
        <v>1987</v>
      </c>
      <c r="C999" t="s">
        <v>282</v>
      </c>
      <c r="D999">
        <v>73.760000000000005</v>
      </c>
      <c r="E999">
        <v>290</v>
      </c>
      <c r="F999">
        <v>185</v>
      </c>
      <c r="G999">
        <v>265</v>
      </c>
      <c r="H999">
        <v>740</v>
      </c>
      <c r="I999">
        <v>2014</v>
      </c>
      <c r="J999" t="s">
        <v>29</v>
      </c>
      <c r="K999" t="s">
        <v>171</v>
      </c>
      <c r="L999" s="8">
        <f t="shared" si="15"/>
        <v>0.69811320754716977</v>
      </c>
    </row>
    <row r="1000" spans="1:12">
      <c r="A1000" t="s">
        <v>57</v>
      </c>
      <c r="B1000">
        <v>1982</v>
      </c>
      <c r="C1000" t="s">
        <v>28</v>
      </c>
      <c r="D1000">
        <v>57.03</v>
      </c>
      <c r="E1000">
        <v>295</v>
      </c>
      <c r="F1000">
        <v>185</v>
      </c>
      <c r="G1000">
        <v>257.5</v>
      </c>
      <c r="H1000">
        <v>737.5</v>
      </c>
      <c r="I1000">
        <v>2012</v>
      </c>
      <c r="J1000" t="s">
        <v>29</v>
      </c>
      <c r="K1000" t="s">
        <v>171</v>
      </c>
      <c r="L1000" s="8">
        <f t="shared" si="15"/>
        <v>0.71844660194174759</v>
      </c>
    </row>
    <row r="1001" spans="1:12">
      <c r="A1001" t="s">
        <v>671</v>
      </c>
      <c r="B1001">
        <v>1975</v>
      </c>
      <c r="C1001" t="s">
        <v>62</v>
      </c>
      <c r="D1001">
        <v>73.849999999999994</v>
      </c>
      <c r="E1001">
        <v>285</v>
      </c>
      <c r="F1001">
        <v>182.5</v>
      </c>
      <c r="G1001">
        <v>307.5</v>
      </c>
      <c r="H1001">
        <v>775</v>
      </c>
      <c r="I1001">
        <v>2012</v>
      </c>
      <c r="J1001" t="s">
        <v>29</v>
      </c>
      <c r="K1001" t="s">
        <v>171</v>
      </c>
      <c r="L1001" s="8">
        <f t="shared" si="15"/>
        <v>0.5934959349593496</v>
      </c>
    </row>
    <row r="1002" spans="1:12">
      <c r="A1002" t="s">
        <v>572</v>
      </c>
      <c r="B1002">
        <v>1968</v>
      </c>
      <c r="C1002" t="s">
        <v>359</v>
      </c>
      <c r="D1002">
        <v>87.4</v>
      </c>
      <c r="E1002">
        <v>265</v>
      </c>
      <c r="F1002">
        <v>182.5</v>
      </c>
      <c r="G1002">
        <v>290</v>
      </c>
      <c r="H1002">
        <v>737.5</v>
      </c>
      <c r="I1002">
        <v>2013</v>
      </c>
      <c r="J1002" t="s">
        <v>29</v>
      </c>
      <c r="K1002" t="s">
        <v>171</v>
      </c>
      <c r="L1002" s="8">
        <f t="shared" si="15"/>
        <v>0.62931034482758619</v>
      </c>
    </row>
    <row r="1003" spans="1:12">
      <c r="A1003" t="s">
        <v>407</v>
      </c>
      <c r="B1003">
        <v>1976</v>
      </c>
      <c r="C1003" t="s">
        <v>274</v>
      </c>
      <c r="D1003">
        <v>82.69</v>
      </c>
      <c r="E1003">
        <v>300</v>
      </c>
      <c r="F1003">
        <v>182.5</v>
      </c>
      <c r="G1003">
        <v>285</v>
      </c>
      <c r="H1003">
        <v>767.5</v>
      </c>
      <c r="I1003">
        <v>2015</v>
      </c>
      <c r="J1003" t="s">
        <v>29</v>
      </c>
      <c r="K1003" t="s">
        <v>171</v>
      </c>
      <c r="L1003" s="8">
        <f t="shared" si="15"/>
        <v>0.64035087719298245</v>
      </c>
    </row>
    <row r="1004" spans="1:12">
      <c r="A1004" t="s">
        <v>601</v>
      </c>
      <c r="B1004">
        <v>1985</v>
      </c>
      <c r="C1004" t="s">
        <v>464</v>
      </c>
      <c r="D1004">
        <v>65.94</v>
      </c>
      <c r="E1004">
        <v>272.5</v>
      </c>
      <c r="F1004">
        <v>182.5</v>
      </c>
      <c r="G1004">
        <v>277.5</v>
      </c>
      <c r="H1004">
        <v>732.5</v>
      </c>
      <c r="I1004">
        <v>2012</v>
      </c>
      <c r="J1004" t="s">
        <v>29</v>
      </c>
      <c r="K1004" t="s">
        <v>171</v>
      </c>
      <c r="L1004" s="8">
        <f t="shared" si="15"/>
        <v>0.65765765765765771</v>
      </c>
    </row>
    <row r="1005" spans="1:12">
      <c r="A1005" t="s">
        <v>440</v>
      </c>
      <c r="B1005">
        <v>1986</v>
      </c>
      <c r="C1005" t="s">
        <v>28</v>
      </c>
      <c r="D1005">
        <v>64.55</v>
      </c>
      <c r="E1005">
        <v>300</v>
      </c>
      <c r="F1005">
        <v>182.5</v>
      </c>
      <c r="G1005">
        <v>272.5</v>
      </c>
      <c r="H1005">
        <v>755</v>
      </c>
      <c r="I1005">
        <v>2012</v>
      </c>
      <c r="J1005" t="s">
        <v>29</v>
      </c>
      <c r="K1005" t="s">
        <v>171</v>
      </c>
      <c r="L1005" s="8">
        <f t="shared" si="15"/>
        <v>0.66972477064220182</v>
      </c>
    </row>
    <row r="1006" spans="1:12">
      <c r="A1006" t="s">
        <v>414</v>
      </c>
      <c r="B1006">
        <v>1987</v>
      </c>
      <c r="C1006" t="s">
        <v>336</v>
      </c>
      <c r="D1006">
        <v>92.8</v>
      </c>
      <c r="E1006">
        <v>320</v>
      </c>
      <c r="F1006">
        <v>180</v>
      </c>
      <c r="G1006">
        <v>337.5</v>
      </c>
      <c r="H1006">
        <v>837.5</v>
      </c>
      <c r="I1006">
        <v>2012</v>
      </c>
      <c r="J1006" t="s">
        <v>29</v>
      </c>
      <c r="K1006" t="s">
        <v>171</v>
      </c>
      <c r="L1006" s="8">
        <f t="shared" si="15"/>
        <v>0.53333333333333333</v>
      </c>
    </row>
    <row r="1007" spans="1:12">
      <c r="A1007" t="s">
        <v>417</v>
      </c>
      <c r="B1007">
        <v>1979</v>
      </c>
      <c r="C1007" t="s">
        <v>418</v>
      </c>
      <c r="D1007">
        <v>104.27</v>
      </c>
      <c r="E1007">
        <v>310</v>
      </c>
      <c r="F1007">
        <v>180</v>
      </c>
      <c r="G1007">
        <v>310</v>
      </c>
      <c r="H1007">
        <v>800</v>
      </c>
      <c r="I1007">
        <v>2015</v>
      </c>
      <c r="J1007" t="s">
        <v>29</v>
      </c>
      <c r="K1007" t="s">
        <v>171</v>
      </c>
      <c r="L1007" s="8">
        <f t="shared" si="15"/>
        <v>0.58064516129032262</v>
      </c>
    </row>
    <row r="1008" spans="1:12">
      <c r="A1008" t="s">
        <v>596</v>
      </c>
      <c r="B1008">
        <v>1982</v>
      </c>
      <c r="C1008" t="s">
        <v>74</v>
      </c>
      <c r="D1008">
        <v>79.599999999999994</v>
      </c>
      <c r="E1008">
        <v>260</v>
      </c>
      <c r="F1008">
        <v>180</v>
      </c>
      <c r="G1008">
        <v>310</v>
      </c>
      <c r="H1008">
        <v>750</v>
      </c>
      <c r="I1008">
        <v>2014</v>
      </c>
      <c r="J1008" t="s">
        <v>29</v>
      </c>
      <c r="K1008" t="s">
        <v>171</v>
      </c>
      <c r="L1008" s="8">
        <f t="shared" si="15"/>
        <v>0.58064516129032262</v>
      </c>
    </row>
    <row r="1009" spans="1:12">
      <c r="A1009" t="s">
        <v>462</v>
      </c>
      <c r="B1009">
        <v>1975</v>
      </c>
      <c r="C1009" t="s">
        <v>137</v>
      </c>
      <c r="D1009">
        <v>71.7</v>
      </c>
      <c r="E1009">
        <v>285</v>
      </c>
      <c r="F1009">
        <v>180</v>
      </c>
      <c r="G1009">
        <v>307.5</v>
      </c>
      <c r="H1009">
        <v>772.5</v>
      </c>
      <c r="I1009">
        <v>2014</v>
      </c>
      <c r="J1009" t="s">
        <v>29</v>
      </c>
      <c r="K1009" t="s">
        <v>171</v>
      </c>
      <c r="L1009" s="8">
        <f t="shared" si="15"/>
        <v>0.58536585365853655</v>
      </c>
    </row>
    <row r="1010" spans="1:12">
      <c r="A1010" t="s">
        <v>462</v>
      </c>
      <c r="B1010">
        <v>1975</v>
      </c>
      <c r="C1010" t="s">
        <v>137</v>
      </c>
      <c r="D1010">
        <v>72.19</v>
      </c>
      <c r="E1010">
        <v>300</v>
      </c>
      <c r="F1010">
        <v>180</v>
      </c>
      <c r="G1010">
        <v>305</v>
      </c>
      <c r="H1010">
        <v>785</v>
      </c>
      <c r="I1010">
        <v>2013</v>
      </c>
      <c r="J1010" t="s">
        <v>29</v>
      </c>
      <c r="K1010" t="s">
        <v>171</v>
      </c>
      <c r="L1010" s="8">
        <f t="shared" si="15"/>
        <v>0.5901639344262295</v>
      </c>
    </row>
    <row r="1011" spans="1:12">
      <c r="A1011" t="s">
        <v>527</v>
      </c>
      <c r="B1011">
        <v>1980</v>
      </c>
      <c r="C1011" t="s">
        <v>62</v>
      </c>
      <c r="D1011">
        <v>65.84</v>
      </c>
      <c r="E1011">
        <v>262.5</v>
      </c>
      <c r="F1011">
        <v>180</v>
      </c>
      <c r="G1011">
        <v>282.5</v>
      </c>
      <c r="H1011">
        <v>725</v>
      </c>
      <c r="I1011">
        <v>2014</v>
      </c>
      <c r="J1011" t="s">
        <v>29</v>
      </c>
      <c r="K1011" t="s">
        <v>171</v>
      </c>
      <c r="L1011" s="8">
        <f t="shared" si="15"/>
        <v>0.63716814159292035</v>
      </c>
    </row>
    <row r="1012" spans="1:12">
      <c r="A1012" t="s">
        <v>710</v>
      </c>
      <c r="B1012">
        <v>1981</v>
      </c>
      <c r="C1012" t="s">
        <v>711</v>
      </c>
      <c r="D1012">
        <v>65.819999999999993</v>
      </c>
      <c r="E1012">
        <v>0</v>
      </c>
      <c r="F1012">
        <v>180</v>
      </c>
      <c r="G1012">
        <v>245</v>
      </c>
      <c r="H1012">
        <v>0</v>
      </c>
      <c r="I1012">
        <v>2014</v>
      </c>
      <c r="J1012" t="s">
        <v>29</v>
      </c>
      <c r="K1012" t="s">
        <v>171</v>
      </c>
      <c r="L1012" s="8">
        <f t="shared" si="15"/>
        <v>0.73469387755102045</v>
      </c>
    </row>
    <row r="1013" spans="1:12">
      <c r="A1013" t="s">
        <v>566</v>
      </c>
      <c r="B1013">
        <v>1983</v>
      </c>
      <c r="C1013" t="s">
        <v>318</v>
      </c>
      <c r="D1013">
        <v>73.88</v>
      </c>
      <c r="E1013">
        <v>272.5</v>
      </c>
      <c r="F1013">
        <v>177.5</v>
      </c>
      <c r="G1013">
        <v>277.5</v>
      </c>
      <c r="H1013">
        <v>727.5</v>
      </c>
      <c r="I1013">
        <v>2013</v>
      </c>
      <c r="J1013" t="s">
        <v>29</v>
      </c>
      <c r="K1013" t="s">
        <v>171</v>
      </c>
      <c r="L1013" s="8">
        <f t="shared" si="15"/>
        <v>0.63963963963963966</v>
      </c>
    </row>
    <row r="1014" spans="1:12">
      <c r="A1014" t="s">
        <v>472</v>
      </c>
      <c r="B1014">
        <v>1981</v>
      </c>
      <c r="C1014" t="s">
        <v>49</v>
      </c>
      <c r="D1014">
        <v>100.85</v>
      </c>
      <c r="E1014">
        <v>275</v>
      </c>
      <c r="F1014">
        <v>177.5</v>
      </c>
      <c r="G1014">
        <v>230</v>
      </c>
      <c r="H1014">
        <v>682.5</v>
      </c>
      <c r="I1014">
        <v>2015</v>
      </c>
      <c r="J1014" t="s">
        <v>29</v>
      </c>
      <c r="K1014" t="s">
        <v>171</v>
      </c>
      <c r="L1014" s="8">
        <f t="shared" si="15"/>
        <v>0.77173913043478259</v>
      </c>
    </row>
    <row r="1015" spans="1:12">
      <c r="A1015" t="s">
        <v>167</v>
      </c>
      <c r="B1015">
        <v>1978</v>
      </c>
      <c r="C1015" t="s">
        <v>85</v>
      </c>
      <c r="D1015">
        <v>58.62</v>
      </c>
      <c r="E1015">
        <v>255</v>
      </c>
      <c r="F1015">
        <v>177.5</v>
      </c>
      <c r="G1015">
        <v>217.5</v>
      </c>
      <c r="H1015">
        <v>650</v>
      </c>
      <c r="I1015">
        <v>2015</v>
      </c>
      <c r="J1015" t="s">
        <v>29</v>
      </c>
      <c r="K1015" t="s">
        <v>171</v>
      </c>
      <c r="L1015" s="8">
        <f t="shared" si="15"/>
        <v>0.81609195402298851</v>
      </c>
    </row>
    <row r="1016" spans="1:12">
      <c r="A1016" t="s">
        <v>167</v>
      </c>
      <c r="B1016">
        <v>1978</v>
      </c>
      <c r="C1016" t="s">
        <v>85</v>
      </c>
      <c r="D1016">
        <v>58.46</v>
      </c>
      <c r="E1016">
        <v>250</v>
      </c>
      <c r="F1016">
        <v>177.5</v>
      </c>
      <c r="G1016">
        <v>217.5</v>
      </c>
      <c r="H1016">
        <v>645</v>
      </c>
      <c r="I1016">
        <v>2014</v>
      </c>
      <c r="J1016" t="s">
        <v>29</v>
      </c>
      <c r="K1016" t="s">
        <v>171</v>
      </c>
      <c r="L1016" s="8">
        <f t="shared" si="15"/>
        <v>0.81609195402298851</v>
      </c>
    </row>
    <row r="1017" spans="1:12">
      <c r="A1017" t="s">
        <v>554</v>
      </c>
      <c r="B1017">
        <v>1994</v>
      </c>
      <c r="C1017" t="s">
        <v>74</v>
      </c>
      <c r="D1017">
        <v>82.1</v>
      </c>
      <c r="E1017">
        <v>215</v>
      </c>
      <c r="F1017">
        <v>175</v>
      </c>
      <c r="G1017">
        <v>332.5</v>
      </c>
      <c r="H1017">
        <v>722.5</v>
      </c>
      <c r="I1017">
        <v>2015</v>
      </c>
      <c r="J1017" t="s">
        <v>29</v>
      </c>
      <c r="K1017" t="s">
        <v>171</v>
      </c>
      <c r="L1017" s="8">
        <f t="shared" si="15"/>
        <v>0.52631578947368418</v>
      </c>
    </row>
    <row r="1018" spans="1:12">
      <c r="A1018" t="s">
        <v>548</v>
      </c>
      <c r="B1018">
        <v>1981</v>
      </c>
      <c r="C1018" t="s">
        <v>56</v>
      </c>
      <c r="D1018">
        <v>104.1</v>
      </c>
      <c r="E1018">
        <v>320</v>
      </c>
      <c r="F1018">
        <v>175</v>
      </c>
      <c r="G1018">
        <v>315</v>
      </c>
      <c r="H1018">
        <v>810</v>
      </c>
      <c r="I1018">
        <v>2012</v>
      </c>
      <c r="J1018" t="s">
        <v>29</v>
      </c>
      <c r="K1018" t="s">
        <v>171</v>
      </c>
      <c r="L1018" s="8">
        <f t="shared" si="15"/>
        <v>0.55555555555555558</v>
      </c>
    </row>
    <row r="1019" spans="1:12">
      <c r="A1019" t="s">
        <v>607</v>
      </c>
      <c r="B1019">
        <v>1983</v>
      </c>
      <c r="C1019" t="s">
        <v>282</v>
      </c>
      <c r="D1019">
        <v>58.6</v>
      </c>
      <c r="E1019">
        <v>272.5</v>
      </c>
      <c r="F1019">
        <v>175</v>
      </c>
      <c r="G1019">
        <v>235</v>
      </c>
      <c r="H1019">
        <v>682.5</v>
      </c>
      <c r="I1019">
        <v>2015</v>
      </c>
      <c r="J1019" t="s">
        <v>29</v>
      </c>
      <c r="K1019" t="s">
        <v>171</v>
      </c>
      <c r="L1019" s="8">
        <f t="shared" si="15"/>
        <v>0.74468085106382975</v>
      </c>
    </row>
    <row r="1020" spans="1:12">
      <c r="A1020" t="s">
        <v>720</v>
      </c>
      <c r="B1020">
        <v>1974</v>
      </c>
      <c r="C1020" t="s">
        <v>113</v>
      </c>
      <c r="D1020">
        <v>65.78</v>
      </c>
      <c r="E1020">
        <v>255</v>
      </c>
      <c r="F1020">
        <v>175</v>
      </c>
      <c r="G1020">
        <v>235</v>
      </c>
      <c r="H1020">
        <v>665</v>
      </c>
      <c r="I1020">
        <v>2012</v>
      </c>
      <c r="J1020" t="s">
        <v>29</v>
      </c>
      <c r="K1020" t="s">
        <v>171</v>
      </c>
      <c r="L1020" s="8">
        <f t="shared" si="15"/>
        <v>0.74468085106382975</v>
      </c>
    </row>
    <row r="1021" spans="1:12">
      <c r="A1021" t="s">
        <v>566</v>
      </c>
      <c r="B1021">
        <v>1983</v>
      </c>
      <c r="C1021" t="s">
        <v>318</v>
      </c>
      <c r="D1021">
        <v>73.88</v>
      </c>
      <c r="E1021">
        <v>270</v>
      </c>
      <c r="F1021">
        <v>172.5</v>
      </c>
      <c r="G1021">
        <v>275</v>
      </c>
      <c r="H1021">
        <v>717.5</v>
      </c>
      <c r="I1021">
        <v>2015</v>
      </c>
      <c r="J1021" t="s">
        <v>29</v>
      </c>
      <c r="K1021" t="s">
        <v>171</v>
      </c>
      <c r="L1021" s="8">
        <f t="shared" si="15"/>
        <v>0.62727272727272732</v>
      </c>
    </row>
    <row r="1022" spans="1:12">
      <c r="A1022" t="s">
        <v>680</v>
      </c>
      <c r="B1022">
        <v>1990</v>
      </c>
      <c r="C1022" t="s">
        <v>282</v>
      </c>
      <c r="D1022">
        <v>65.7</v>
      </c>
      <c r="E1022">
        <v>260</v>
      </c>
      <c r="F1022">
        <v>172.5</v>
      </c>
      <c r="G1022">
        <v>257.5</v>
      </c>
      <c r="H1022">
        <v>690</v>
      </c>
      <c r="I1022">
        <v>2014</v>
      </c>
      <c r="J1022" t="s">
        <v>29</v>
      </c>
      <c r="K1022" t="s">
        <v>171</v>
      </c>
      <c r="L1022" s="8">
        <f t="shared" si="15"/>
        <v>0.66990291262135926</v>
      </c>
    </row>
    <row r="1023" spans="1:12">
      <c r="A1023" t="s">
        <v>527</v>
      </c>
      <c r="B1023">
        <v>1977</v>
      </c>
      <c r="C1023" t="s">
        <v>62</v>
      </c>
      <c r="D1023">
        <v>65.5</v>
      </c>
      <c r="E1023">
        <v>252.5</v>
      </c>
      <c r="F1023">
        <v>172.5</v>
      </c>
      <c r="G1023">
        <v>255</v>
      </c>
      <c r="H1023">
        <v>680</v>
      </c>
      <c r="I1023">
        <v>2013</v>
      </c>
      <c r="J1023" t="s">
        <v>29</v>
      </c>
      <c r="K1023" t="s">
        <v>171</v>
      </c>
      <c r="L1023" s="8">
        <f t="shared" si="15"/>
        <v>0.67647058823529416</v>
      </c>
    </row>
    <row r="1024" spans="1:12">
      <c r="A1024" t="s">
        <v>483</v>
      </c>
      <c r="B1024">
        <v>1980</v>
      </c>
      <c r="C1024" t="s">
        <v>464</v>
      </c>
      <c r="D1024">
        <v>58.41</v>
      </c>
      <c r="E1024">
        <v>250</v>
      </c>
      <c r="F1024">
        <v>172.5</v>
      </c>
      <c r="G1024">
        <v>245</v>
      </c>
      <c r="H1024">
        <v>667.5</v>
      </c>
      <c r="I1024">
        <v>2012</v>
      </c>
      <c r="J1024" t="s">
        <v>29</v>
      </c>
      <c r="K1024" t="s">
        <v>171</v>
      </c>
      <c r="L1024" s="8">
        <f t="shared" si="15"/>
        <v>0.70408163265306123</v>
      </c>
    </row>
    <row r="1025" spans="1:12">
      <c r="A1025" t="s">
        <v>607</v>
      </c>
      <c r="B1025">
        <v>1983</v>
      </c>
      <c r="C1025" t="s">
        <v>282</v>
      </c>
      <c r="D1025">
        <v>58.32</v>
      </c>
      <c r="E1025">
        <v>270</v>
      </c>
      <c r="F1025">
        <v>172.5</v>
      </c>
      <c r="G1025">
        <v>237.5</v>
      </c>
      <c r="H1025">
        <v>680</v>
      </c>
      <c r="I1025">
        <v>2014</v>
      </c>
      <c r="J1025" t="s">
        <v>29</v>
      </c>
      <c r="K1025" t="s">
        <v>171</v>
      </c>
      <c r="L1025" s="8">
        <f t="shared" si="15"/>
        <v>0.72631578947368425</v>
      </c>
    </row>
    <row r="1026" spans="1:12">
      <c r="A1026" t="s">
        <v>554</v>
      </c>
      <c r="B1026">
        <v>1994</v>
      </c>
      <c r="C1026" t="s">
        <v>74</v>
      </c>
      <c r="D1026">
        <v>82.78</v>
      </c>
      <c r="E1026">
        <v>270</v>
      </c>
      <c r="F1026">
        <v>170</v>
      </c>
      <c r="G1026">
        <v>332.5</v>
      </c>
      <c r="H1026">
        <v>772.5</v>
      </c>
      <c r="I1026">
        <v>2014</v>
      </c>
      <c r="J1026" t="s">
        <v>29</v>
      </c>
      <c r="K1026" t="s">
        <v>171</v>
      </c>
      <c r="L1026" s="8">
        <f t="shared" si="15"/>
        <v>0.51127819548872178</v>
      </c>
    </row>
    <row r="1027" spans="1:12">
      <c r="A1027" t="s">
        <v>554</v>
      </c>
      <c r="B1027">
        <v>1994</v>
      </c>
      <c r="C1027" t="s">
        <v>74</v>
      </c>
      <c r="D1027">
        <v>82.35</v>
      </c>
      <c r="E1027">
        <v>285</v>
      </c>
      <c r="F1027">
        <v>170</v>
      </c>
      <c r="G1027">
        <v>325</v>
      </c>
      <c r="H1027">
        <v>780</v>
      </c>
      <c r="I1027">
        <v>2013</v>
      </c>
      <c r="J1027" t="s">
        <v>29</v>
      </c>
      <c r="K1027" t="s">
        <v>171</v>
      </c>
      <c r="L1027" s="8">
        <f t="shared" ref="L1027:L1090" si="16">IF(AND(F1027&lt;&gt;0,G1027&lt;&gt;0),F1027/G1027,"")</f>
        <v>0.52307692307692311</v>
      </c>
    </row>
    <row r="1028" spans="1:12">
      <c r="A1028" t="s">
        <v>809</v>
      </c>
      <c r="B1028">
        <v>1963</v>
      </c>
      <c r="C1028" t="s">
        <v>318</v>
      </c>
      <c r="D1028">
        <v>91.78</v>
      </c>
      <c r="E1028">
        <v>315</v>
      </c>
      <c r="F1028">
        <v>170</v>
      </c>
      <c r="G1028">
        <v>300</v>
      </c>
      <c r="H1028">
        <v>785</v>
      </c>
      <c r="I1028">
        <v>2013</v>
      </c>
      <c r="J1028" t="s">
        <v>29</v>
      </c>
      <c r="K1028" t="s">
        <v>171</v>
      </c>
      <c r="L1028" s="8">
        <f t="shared" si="16"/>
        <v>0.56666666666666665</v>
      </c>
    </row>
    <row r="1029" spans="1:12">
      <c r="A1029" t="s">
        <v>383</v>
      </c>
      <c r="B1029">
        <v>1989</v>
      </c>
      <c r="C1029" t="s">
        <v>54</v>
      </c>
      <c r="D1029">
        <v>73.39</v>
      </c>
      <c r="E1029">
        <v>290</v>
      </c>
      <c r="F1029">
        <v>170</v>
      </c>
      <c r="G1029">
        <v>277.5</v>
      </c>
      <c r="H1029">
        <v>737.5</v>
      </c>
      <c r="I1029">
        <v>2015</v>
      </c>
      <c r="J1029" t="s">
        <v>29</v>
      </c>
      <c r="K1029" t="s">
        <v>171</v>
      </c>
      <c r="L1029" s="8">
        <f t="shared" si="16"/>
        <v>0.61261261261261257</v>
      </c>
    </row>
    <row r="1030" spans="1:12">
      <c r="A1030" t="s">
        <v>437</v>
      </c>
      <c r="B1030">
        <v>1987</v>
      </c>
      <c r="C1030" t="s">
        <v>282</v>
      </c>
      <c r="D1030">
        <v>73.75</v>
      </c>
      <c r="E1030">
        <v>285</v>
      </c>
      <c r="F1030">
        <v>170</v>
      </c>
      <c r="G1030">
        <v>270</v>
      </c>
      <c r="H1030">
        <v>725</v>
      </c>
      <c r="I1030">
        <v>2013</v>
      </c>
      <c r="J1030" t="s">
        <v>29</v>
      </c>
      <c r="K1030" t="s">
        <v>171</v>
      </c>
      <c r="L1030" s="8">
        <f t="shared" si="16"/>
        <v>0.62962962962962965</v>
      </c>
    </row>
    <row r="1031" spans="1:12">
      <c r="A1031" t="s">
        <v>791</v>
      </c>
      <c r="B1031">
        <v>1968</v>
      </c>
      <c r="C1031" t="s">
        <v>336</v>
      </c>
      <c r="D1031">
        <v>81.55</v>
      </c>
      <c r="E1031">
        <v>325</v>
      </c>
      <c r="F1031">
        <v>170</v>
      </c>
      <c r="G1031">
        <v>260</v>
      </c>
      <c r="H1031">
        <v>755</v>
      </c>
      <c r="I1031">
        <v>2013</v>
      </c>
      <c r="J1031" t="s">
        <v>29</v>
      </c>
      <c r="K1031" t="s">
        <v>171</v>
      </c>
      <c r="L1031" s="8">
        <f t="shared" si="16"/>
        <v>0.65384615384615385</v>
      </c>
    </row>
    <row r="1032" spans="1:12">
      <c r="A1032" t="s">
        <v>656</v>
      </c>
      <c r="B1032">
        <v>1985</v>
      </c>
      <c r="C1032" t="s">
        <v>485</v>
      </c>
      <c r="D1032">
        <v>101.5</v>
      </c>
      <c r="E1032">
        <v>270</v>
      </c>
      <c r="F1032">
        <v>170</v>
      </c>
      <c r="G1032">
        <v>255</v>
      </c>
      <c r="H1032">
        <v>695</v>
      </c>
      <c r="I1032">
        <v>2014</v>
      </c>
      <c r="J1032" t="s">
        <v>29</v>
      </c>
      <c r="K1032" t="s">
        <v>171</v>
      </c>
      <c r="L1032" s="8">
        <f t="shared" si="16"/>
        <v>0.66666666666666663</v>
      </c>
    </row>
    <row r="1033" spans="1:12">
      <c r="A1033" t="s">
        <v>763</v>
      </c>
      <c r="B1033">
        <v>1982</v>
      </c>
      <c r="C1033" t="s">
        <v>380</v>
      </c>
      <c r="D1033">
        <v>73.28</v>
      </c>
      <c r="E1033">
        <v>272.5</v>
      </c>
      <c r="F1033">
        <v>170</v>
      </c>
      <c r="G1033">
        <v>250</v>
      </c>
      <c r="H1033">
        <v>692.5</v>
      </c>
      <c r="I1033">
        <v>2013</v>
      </c>
      <c r="J1033" t="s">
        <v>29</v>
      </c>
      <c r="K1033" t="s">
        <v>171</v>
      </c>
      <c r="L1033" s="8">
        <f t="shared" si="16"/>
        <v>0.68</v>
      </c>
    </row>
    <row r="1034" spans="1:12">
      <c r="A1034" t="s">
        <v>675</v>
      </c>
      <c r="B1034">
        <v>1990</v>
      </c>
      <c r="C1034" t="s">
        <v>77</v>
      </c>
      <c r="D1034">
        <v>65.930000000000007</v>
      </c>
      <c r="E1034">
        <v>260</v>
      </c>
      <c r="F1034">
        <v>170</v>
      </c>
      <c r="G1034">
        <v>245</v>
      </c>
      <c r="H1034">
        <v>675</v>
      </c>
      <c r="I1034">
        <v>2013</v>
      </c>
      <c r="J1034" t="s">
        <v>29</v>
      </c>
      <c r="K1034" t="s">
        <v>171</v>
      </c>
      <c r="L1034" s="8">
        <f t="shared" si="16"/>
        <v>0.69387755102040816</v>
      </c>
    </row>
    <row r="1035" spans="1:12">
      <c r="A1035" t="s">
        <v>505</v>
      </c>
      <c r="B1035">
        <v>1992</v>
      </c>
      <c r="C1035" t="s">
        <v>480</v>
      </c>
      <c r="D1035">
        <v>82.03</v>
      </c>
      <c r="E1035">
        <v>260</v>
      </c>
      <c r="F1035">
        <v>170</v>
      </c>
      <c r="G1035">
        <v>240</v>
      </c>
      <c r="H1035">
        <v>670</v>
      </c>
      <c r="I1035">
        <v>2012</v>
      </c>
      <c r="J1035" t="s">
        <v>29</v>
      </c>
      <c r="K1035" t="s">
        <v>171</v>
      </c>
      <c r="L1035" s="8">
        <f t="shared" si="16"/>
        <v>0.70833333333333337</v>
      </c>
    </row>
    <row r="1036" spans="1:12">
      <c r="A1036" t="s">
        <v>702</v>
      </c>
      <c r="B1036">
        <v>1993</v>
      </c>
      <c r="C1036" t="s">
        <v>47</v>
      </c>
      <c r="D1036">
        <v>82</v>
      </c>
      <c r="E1036">
        <v>255</v>
      </c>
      <c r="F1036">
        <v>170</v>
      </c>
      <c r="G1036">
        <v>240</v>
      </c>
      <c r="H1036">
        <v>665</v>
      </c>
      <c r="I1036">
        <v>2015</v>
      </c>
      <c r="J1036" t="s">
        <v>29</v>
      </c>
      <c r="K1036" t="s">
        <v>171</v>
      </c>
      <c r="L1036" s="8">
        <f t="shared" si="16"/>
        <v>0.70833333333333337</v>
      </c>
    </row>
    <row r="1037" spans="1:12">
      <c r="A1037" t="s">
        <v>167</v>
      </c>
      <c r="B1037">
        <v>1978</v>
      </c>
      <c r="C1037" t="s">
        <v>85</v>
      </c>
      <c r="D1037">
        <v>58.77</v>
      </c>
      <c r="E1037">
        <v>257.5</v>
      </c>
      <c r="F1037">
        <v>170</v>
      </c>
      <c r="G1037">
        <v>227.5</v>
      </c>
      <c r="H1037">
        <v>655</v>
      </c>
      <c r="I1037">
        <v>2012</v>
      </c>
      <c r="J1037" t="s">
        <v>29</v>
      </c>
      <c r="K1037" t="s">
        <v>171</v>
      </c>
      <c r="L1037" s="8">
        <f t="shared" si="16"/>
        <v>0.74725274725274726</v>
      </c>
    </row>
    <row r="1038" spans="1:12">
      <c r="A1038" t="s">
        <v>121</v>
      </c>
      <c r="B1038">
        <v>1967</v>
      </c>
      <c r="C1038" t="s">
        <v>77</v>
      </c>
      <c r="D1038">
        <v>58.89</v>
      </c>
      <c r="E1038">
        <v>205</v>
      </c>
      <c r="F1038">
        <v>170</v>
      </c>
      <c r="G1038">
        <v>210</v>
      </c>
      <c r="H1038">
        <v>585</v>
      </c>
      <c r="I1038">
        <v>2015</v>
      </c>
      <c r="J1038" t="s">
        <v>29</v>
      </c>
      <c r="K1038" t="s">
        <v>171</v>
      </c>
      <c r="L1038" s="8">
        <f t="shared" si="16"/>
        <v>0.80952380952380953</v>
      </c>
    </row>
    <row r="1039" spans="1:12">
      <c r="A1039" t="s">
        <v>607</v>
      </c>
      <c r="B1039">
        <v>1983</v>
      </c>
      <c r="C1039" t="s">
        <v>282</v>
      </c>
      <c r="D1039">
        <v>58.8</v>
      </c>
      <c r="E1039">
        <v>260</v>
      </c>
      <c r="F1039">
        <v>167.5</v>
      </c>
      <c r="G1039">
        <v>227.5</v>
      </c>
      <c r="H1039">
        <v>655</v>
      </c>
      <c r="I1039">
        <v>2012</v>
      </c>
      <c r="J1039" t="s">
        <v>29</v>
      </c>
      <c r="K1039" t="s">
        <v>171</v>
      </c>
      <c r="L1039" s="8">
        <f t="shared" si="16"/>
        <v>0.73626373626373631</v>
      </c>
    </row>
    <row r="1040" spans="1:12">
      <c r="A1040" t="s">
        <v>596</v>
      </c>
      <c r="B1040">
        <v>1982</v>
      </c>
      <c r="C1040" t="s">
        <v>74</v>
      </c>
      <c r="D1040">
        <v>72.39</v>
      </c>
      <c r="E1040">
        <v>265</v>
      </c>
      <c r="F1040">
        <v>165</v>
      </c>
      <c r="G1040">
        <v>305</v>
      </c>
      <c r="H1040">
        <v>735</v>
      </c>
      <c r="I1040">
        <v>2012</v>
      </c>
      <c r="J1040" t="s">
        <v>29</v>
      </c>
      <c r="K1040" t="s">
        <v>171</v>
      </c>
      <c r="L1040" s="8">
        <f t="shared" si="16"/>
        <v>0.54098360655737709</v>
      </c>
    </row>
    <row r="1041" spans="1:12">
      <c r="A1041" t="s">
        <v>478</v>
      </c>
      <c r="B1041">
        <v>1984</v>
      </c>
      <c r="C1041" t="s">
        <v>113</v>
      </c>
      <c r="D1041">
        <v>81.900000000000006</v>
      </c>
      <c r="E1041">
        <v>250</v>
      </c>
      <c r="F1041">
        <v>165</v>
      </c>
      <c r="G1041">
        <v>250</v>
      </c>
      <c r="H1041">
        <v>665</v>
      </c>
      <c r="I1041">
        <v>2014</v>
      </c>
      <c r="J1041" t="s">
        <v>29</v>
      </c>
      <c r="K1041" t="s">
        <v>171</v>
      </c>
      <c r="L1041" s="8">
        <f t="shared" si="16"/>
        <v>0.66</v>
      </c>
    </row>
    <row r="1042" spans="1:12">
      <c r="A1042" t="s">
        <v>376</v>
      </c>
      <c r="B1042">
        <v>1983</v>
      </c>
      <c r="C1042" t="s">
        <v>62</v>
      </c>
      <c r="D1042">
        <v>65.599999999999994</v>
      </c>
      <c r="E1042">
        <v>245</v>
      </c>
      <c r="F1042">
        <v>165</v>
      </c>
      <c r="G1042">
        <v>242.5</v>
      </c>
      <c r="H1042">
        <v>652.5</v>
      </c>
      <c r="I1042">
        <v>2012</v>
      </c>
      <c r="J1042" t="s">
        <v>29</v>
      </c>
      <c r="K1042" t="s">
        <v>171</v>
      </c>
      <c r="L1042" s="8">
        <f t="shared" si="16"/>
        <v>0.68041237113402064</v>
      </c>
    </row>
    <row r="1043" spans="1:12">
      <c r="A1043" t="s">
        <v>834</v>
      </c>
      <c r="B1043">
        <v>1986</v>
      </c>
      <c r="C1043" t="s">
        <v>109</v>
      </c>
      <c r="D1043">
        <v>69.489999999999995</v>
      </c>
      <c r="E1043">
        <v>245</v>
      </c>
      <c r="F1043">
        <v>165</v>
      </c>
      <c r="G1043">
        <v>215</v>
      </c>
      <c r="H1043">
        <v>625</v>
      </c>
      <c r="I1043">
        <v>2012</v>
      </c>
      <c r="J1043" t="s">
        <v>29</v>
      </c>
      <c r="K1043" t="s">
        <v>171</v>
      </c>
      <c r="L1043" s="8">
        <f t="shared" si="16"/>
        <v>0.76744186046511631</v>
      </c>
    </row>
    <row r="1044" spans="1:12">
      <c r="A1044" t="s">
        <v>657</v>
      </c>
      <c r="B1044">
        <v>1981</v>
      </c>
      <c r="C1044" t="s">
        <v>51</v>
      </c>
      <c r="D1044">
        <v>72.45</v>
      </c>
      <c r="E1044">
        <v>225</v>
      </c>
      <c r="F1044">
        <v>165</v>
      </c>
      <c r="G1044">
        <v>215</v>
      </c>
      <c r="H1044">
        <v>605</v>
      </c>
      <c r="I1044">
        <v>2015</v>
      </c>
      <c r="J1044" t="s">
        <v>29</v>
      </c>
      <c r="K1044" t="s">
        <v>171</v>
      </c>
      <c r="L1044" s="8">
        <f t="shared" si="16"/>
        <v>0.76744186046511631</v>
      </c>
    </row>
    <row r="1045" spans="1:12">
      <c r="A1045" t="s">
        <v>543</v>
      </c>
      <c r="B1045">
        <v>1953</v>
      </c>
      <c r="C1045" t="s">
        <v>77</v>
      </c>
      <c r="D1045">
        <v>58.55</v>
      </c>
      <c r="E1045">
        <v>210</v>
      </c>
      <c r="F1045">
        <v>165</v>
      </c>
      <c r="G1045">
        <v>210</v>
      </c>
      <c r="H1045">
        <v>585</v>
      </c>
      <c r="I1045">
        <v>2013</v>
      </c>
      <c r="J1045" t="s">
        <v>29</v>
      </c>
      <c r="K1045" t="s">
        <v>171</v>
      </c>
      <c r="L1045" s="8">
        <f t="shared" si="16"/>
        <v>0.7857142857142857</v>
      </c>
    </row>
    <row r="1046" spans="1:12">
      <c r="A1046" t="s">
        <v>383</v>
      </c>
      <c r="B1046">
        <v>1989</v>
      </c>
      <c r="C1046" t="s">
        <v>54</v>
      </c>
      <c r="D1046">
        <v>73.5</v>
      </c>
      <c r="E1046">
        <v>275</v>
      </c>
      <c r="F1046">
        <v>162.5</v>
      </c>
      <c r="G1046">
        <v>272.5</v>
      </c>
      <c r="H1046">
        <v>710</v>
      </c>
      <c r="I1046">
        <v>2013</v>
      </c>
      <c r="J1046" t="s">
        <v>29</v>
      </c>
      <c r="K1046" t="s">
        <v>171</v>
      </c>
      <c r="L1046" s="8">
        <f t="shared" si="16"/>
        <v>0.59633027522935778</v>
      </c>
    </row>
    <row r="1047" spans="1:12">
      <c r="A1047" t="s">
        <v>609</v>
      </c>
      <c r="B1047">
        <v>1985</v>
      </c>
      <c r="C1047" t="s">
        <v>49</v>
      </c>
      <c r="D1047">
        <v>58.6</v>
      </c>
      <c r="E1047">
        <v>250</v>
      </c>
      <c r="F1047">
        <v>162.5</v>
      </c>
      <c r="G1047">
        <v>255</v>
      </c>
      <c r="H1047">
        <v>667.5</v>
      </c>
      <c r="I1047">
        <v>2014</v>
      </c>
      <c r="J1047" t="s">
        <v>29</v>
      </c>
      <c r="K1047" t="s">
        <v>171</v>
      </c>
      <c r="L1047" s="8">
        <f t="shared" si="16"/>
        <v>0.63725490196078427</v>
      </c>
    </row>
    <row r="1048" spans="1:12">
      <c r="A1048" t="s">
        <v>419</v>
      </c>
      <c r="B1048">
        <v>1982</v>
      </c>
      <c r="C1048" t="s">
        <v>336</v>
      </c>
      <c r="D1048">
        <v>58.68</v>
      </c>
      <c r="E1048">
        <v>240</v>
      </c>
      <c r="F1048">
        <v>162.5</v>
      </c>
      <c r="G1048">
        <v>225</v>
      </c>
      <c r="H1048">
        <v>627.5</v>
      </c>
      <c r="I1048">
        <v>2014</v>
      </c>
      <c r="J1048" t="s">
        <v>29</v>
      </c>
      <c r="K1048" t="s">
        <v>171</v>
      </c>
      <c r="L1048" s="8">
        <f t="shared" si="16"/>
        <v>0.72222222222222221</v>
      </c>
    </row>
    <row r="1049" spans="1:12">
      <c r="A1049" t="s">
        <v>645</v>
      </c>
      <c r="B1049">
        <v>1989</v>
      </c>
      <c r="C1049" t="s">
        <v>280</v>
      </c>
      <c r="D1049">
        <v>72.2</v>
      </c>
      <c r="E1049">
        <v>300</v>
      </c>
      <c r="F1049">
        <v>160</v>
      </c>
      <c r="G1049">
        <v>320</v>
      </c>
      <c r="H1049">
        <v>780</v>
      </c>
      <c r="I1049">
        <v>2013</v>
      </c>
      <c r="J1049" t="s">
        <v>29</v>
      </c>
      <c r="K1049" t="s">
        <v>171</v>
      </c>
      <c r="L1049" s="8">
        <f t="shared" si="16"/>
        <v>0.5</v>
      </c>
    </row>
    <row r="1050" spans="1:12">
      <c r="A1050" t="s">
        <v>383</v>
      </c>
      <c r="B1050">
        <v>1989</v>
      </c>
      <c r="C1050" t="s">
        <v>54</v>
      </c>
      <c r="D1050">
        <v>73.44</v>
      </c>
      <c r="E1050">
        <v>290</v>
      </c>
      <c r="F1050">
        <v>160</v>
      </c>
      <c r="G1050">
        <v>292.5</v>
      </c>
      <c r="H1050">
        <v>742.5</v>
      </c>
      <c r="I1050">
        <v>2014</v>
      </c>
      <c r="J1050" t="s">
        <v>29</v>
      </c>
      <c r="K1050" t="s">
        <v>171</v>
      </c>
      <c r="L1050" s="8">
        <f t="shared" si="16"/>
        <v>0.54700854700854706</v>
      </c>
    </row>
    <row r="1051" spans="1:12">
      <c r="A1051" t="s">
        <v>609</v>
      </c>
      <c r="B1051">
        <v>1985</v>
      </c>
      <c r="C1051" t="s">
        <v>49</v>
      </c>
      <c r="D1051">
        <v>64.930000000000007</v>
      </c>
      <c r="E1051">
        <v>267.5</v>
      </c>
      <c r="F1051">
        <v>160</v>
      </c>
      <c r="G1051">
        <v>260</v>
      </c>
      <c r="H1051">
        <v>687.5</v>
      </c>
      <c r="I1051">
        <v>2013</v>
      </c>
      <c r="J1051" t="s">
        <v>29</v>
      </c>
      <c r="K1051" t="s">
        <v>171</v>
      </c>
      <c r="L1051" s="8">
        <f t="shared" si="16"/>
        <v>0.61538461538461542</v>
      </c>
    </row>
    <row r="1052" spans="1:12">
      <c r="A1052" t="s">
        <v>759</v>
      </c>
      <c r="B1052">
        <v>1984</v>
      </c>
      <c r="C1052" t="s">
        <v>56</v>
      </c>
      <c r="D1052">
        <v>82.65</v>
      </c>
      <c r="E1052">
        <v>280</v>
      </c>
      <c r="F1052">
        <v>160</v>
      </c>
      <c r="G1052">
        <v>255</v>
      </c>
      <c r="H1052">
        <v>695</v>
      </c>
      <c r="I1052">
        <v>2012</v>
      </c>
      <c r="J1052" t="s">
        <v>29</v>
      </c>
      <c r="K1052" t="s">
        <v>171</v>
      </c>
      <c r="L1052" s="8">
        <f t="shared" si="16"/>
        <v>0.62745098039215685</v>
      </c>
    </row>
    <row r="1053" spans="1:12">
      <c r="A1053" t="s">
        <v>638</v>
      </c>
      <c r="B1053">
        <v>1984</v>
      </c>
      <c r="C1053" t="s">
        <v>418</v>
      </c>
      <c r="D1053">
        <v>91.4</v>
      </c>
      <c r="E1053">
        <v>230</v>
      </c>
      <c r="F1053">
        <v>160</v>
      </c>
      <c r="G1053">
        <v>252.5</v>
      </c>
      <c r="H1053">
        <v>642.5</v>
      </c>
      <c r="I1053">
        <v>2014</v>
      </c>
      <c r="J1053" t="s">
        <v>29</v>
      </c>
      <c r="K1053" t="s">
        <v>171</v>
      </c>
      <c r="L1053" s="8">
        <f t="shared" si="16"/>
        <v>0.63366336633663367</v>
      </c>
    </row>
    <row r="1054" spans="1:12">
      <c r="A1054" t="s">
        <v>814</v>
      </c>
      <c r="B1054">
        <v>1979</v>
      </c>
      <c r="C1054" t="s">
        <v>815</v>
      </c>
      <c r="D1054">
        <v>116.95</v>
      </c>
      <c r="E1054">
        <v>305</v>
      </c>
      <c r="F1054">
        <v>160</v>
      </c>
      <c r="G1054">
        <v>230</v>
      </c>
      <c r="H1054">
        <v>695</v>
      </c>
      <c r="I1054">
        <v>2012</v>
      </c>
      <c r="J1054" t="s">
        <v>29</v>
      </c>
      <c r="K1054" t="s">
        <v>171</v>
      </c>
      <c r="L1054" s="8">
        <f t="shared" si="16"/>
        <v>0.69565217391304346</v>
      </c>
    </row>
    <row r="1055" spans="1:12">
      <c r="A1055" t="s">
        <v>493</v>
      </c>
      <c r="B1055">
        <v>1989</v>
      </c>
      <c r="C1055" t="s">
        <v>282</v>
      </c>
      <c r="D1055">
        <v>57.94</v>
      </c>
      <c r="E1055">
        <v>230</v>
      </c>
      <c r="F1055">
        <v>160</v>
      </c>
      <c r="G1055">
        <v>225</v>
      </c>
      <c r="H1055">
        <v>615</v>
      </c>
      <c r="I1055">
        <v>2014</v>
      </c>
      <c r="J1055" t="s">
        <v>29</v>
      </c>
      <c r="K1055" t="s">
        <v>171</v>
      </c>
      <c r="L1055" s="8">
        <f t="shared" si="16"/>
        <v>0.71111111111111114</v>
      </c>
    </row>
    <row r="1056" spans="1:12">
      <c r="A1056" t="s">
        <v>419</v>
      </c>
      <c r="B1056">
        <v>1982</v>
      </c>
      <c r="C1056" t="s">
        <v>336</v>
      </c>
      <c r="D1056">
        <v>58.79</v>
      </c>
      <c r="E1056">
        <v>230</v>
      </c>
      <c r="F1056">
        <v>160</v>
      </c>
      <c r="G1056">
        <v>220</v>
      </c>
      <c r="H1056">
        <v>610</v>
      </c>
      <c r="I1056">
        <v>2015</v>
      </c>
      <c r="J1056" t="s">
        <v>29</v>
      </c>
      <c r="K1056" t="s">
        <v>171</v>
      </c>
      <c r="L1056" s="8">
        <f t="shared" si="16"/>
        <v>0.72727272727272729</v>
      </c>
    </row>
    <row r="1057" spans="1:12">
      <c r="A1057" t="s">
        <v>419</v>
      </c>
      <c r="B1057">
        <v>1982</v>
      </c>
      <c r="C1057" t="s">
        <v>336</v>
      </c>
      <c r="D1057">
        <v>58.89</v>
      </c>
      <c r="E1057">
        <v>237.5</v>
      </c>
      <c r="F1057">
        <v>160</v>
      </c>
      <c r="G1057">
        <v>217.5</v>
      </c>
      <c r="H1057">
        <v>615</v>
      </c>
      <c r="I1057">
        <v>2013</v>
      </c>
      <c r="J1057" t="s">
        <v>29</v>
      </c>
      <c r="K1057" t="s">
        <v>171</v>
      </c>
      <c r="L1057" s="8">
        <f t="shared" si="16"/>
        <v>0.73563218390804597</v>
      </c>
    </row>
    <row r="1058" spans="1:12">
      <c r="A1058" t="s">
        <v>826</v>
      </c>
      <c r="B1058">
        <v>1990</v>
      </c>
      <c r="C1058" t="s">
        <v>74</v>
      </c>
      <c r="D1058">
        <v>58.32</v>
      </c>
      <c r="E1058">
        <v>245</v>
      </c>
      <c r="F1058">
        <v>157.5</v>
      </c>
      <c r="G1058">
        <v>252.5</v>
      </c>
      <c r="H1058">
        <v>655</v>
      </c>
      <c r="I1058">
        <v>2015</v>
      </c>
      <c r="J1058" t="s">
        <v>29</v>
      </c>
      <c r="K1058" t="s">
        <v>171</v>
      </c>
      <c r="L1058" s="8">
        <f t="shared" si="16"/>
        <v>0.62376237623762376</v>
      </c>
    </row>
    <row r="1059" spans="1:12">
      <c r="A1059" t="s">
        <v>680</v>
      </c>
      <c r="B1059">
        <v>1990</v>
      </c>
      <c r="C1059" t="s">
        <v>282</v>
      </c>
      <c r="D1059">
        <v>65.44</v>
      </c>
      <c r="E1059">
        <v>265</v>
      </c>
      <c r="F1059">
        <v>157.5</v>
      </c>
      <c r="G1059">
        <v>235</v>
      </c>
      <c r="H1059">
        <v>657.5</v>
      </c>
      <c r="I1059">
        <v>2013</v>
      </c>
      <c r="J1059" t="s">
        <v>29</v>
      </c>
      <c r="K1059" t="s">
        <v>171</v>
      </c>
      <c r="L1059" s="8">
        <f t="shared" si="16"/>
        <v>0.67021276595744683</v>
      </c>
    </row>
    <row r="1060" spans="1:12">
      <c r="A1060" t="s">
        <v>462</v>
      </c>
      <c r="B1060">
        <v>1975</v>
      </c>
      <c r="C1060" t="s">
        <v>137</v>
      </c>
      <c r="D1060">
        <v>65.88</v>
      </c>
      <c r="E1060">
        <v>290</v>
      </c>
      <c r="F1060">
        <v>155</v>
      </c>
      <c r="G1060">
        <v>313</v>
      </c>
      <c r="H1060">
        <v>758</v>
      </c>
      <c r="I1060">
        <v>2012</v>
      </c>
      <c r="J1060" t="s">
        <v>29</v>
      </c>
      <c r="K1060" t="s">
        <v>171</v>
      </c>
      <c r="L1060" s="8">
        <f t="shared" si="16"/>
        <v>0.49520766773162939</v>
      </c>
    </row>
    <row r="1061" spans="1:12">
      <c r="A1061" t="s">
        <v>606</v>
      </c>
      <c r="B1061">
        <v>1989</v>
      </c>
      <c r="C1061" t="s">
        <v>47</v>
      </c>
      <c r="D1061">
        <v>89.17</v>
      </c>
      <c r="E1061">
        <v>232.5</v>
      </c>
      <c r="F1061">
        <v>155</v>
      </c>
      <c r="G1061">
        <v>280</v>
      </c>
      <c r="H1061">
        <v>667.5</v>
      </c>
      <c r="I1061">
        <v>2015</v>
      </c>
      <c r="J1061" t="s">
        <v>29</v>
      </c>
      <c r="K1061" t="s">
        <v>171</v>
      </c>
      <c r="L1061" s="8">
        <f t="shared" si="16"/>
        <v>0.5535714285714286</v>
      </c>
    </row>
    <row r="1062" spans="1:12">
      <c r="A1062" t="s">
        <v>737</v>
      </c>
      <c r="B1062">
        <v>1974</v>
      </c>
      <c r="C1062" t="s">
        <v>485</v>
      </c>
      <c r="D1062">
        <v>73.69</v>
      </c>
      <c r="E1062">
        <v>235</v>
      </c>
      <c r="F1062">
        <v>155</v>
      </c>
      <c r="G1062">
        <v>235</v>
      </c>
      <c r="H1062">
        <v>625</v>
      </c>
      <c r="I1062">
        <v>2012</v>
      </c>
      <c r="J1062" t="s">
        <v>29</v>
      </c>
      <c r="K1062" t="s">
        <v>171</v>
      </c>
      <c r="L1062" s="8">
        <f t="shared" si="16"/>
        <v>0.65957446808510634</v>
      </c>
    </row>
    <row r="1063" spans="1:12">
      <c r="A1063" t="s">
        <v>688</v>
      </c>
      <c r="B1063">
        <v>1977</v>
      </c>
      <c r="C1063" t="s">
        <v>85</v>
      </c>
      <c r="D1063">
        <v>58.73</v>
      </c>
      <c r="E1063">
        <v>255</v>
      </c>
      <c r="F1063">
        <v>155</v>
      </c>
      <c r="G1063">
        <v>225</v>
      </c>
      <c r="H1063">
        <v>635</v>
      </c>
      <c r="I1063">
        <v>2012</v>
      </c>
      <c r="J1063" t="s">
        <v>29</v>
      </c>
      <c r="K1063" t="s">
        <v>171</v>
      </c>
      <c r="L1063" s="8">
        <f t="shared" si="16"/>
        <v>0.68888888888888888</v>
      </c>
    </row>
    <row r="1064" spans="1:12">
      <c r="A1064" t="s">
        <v>493</v>
      </c>
      <c r="B1064">
        <v>1989</v>
      </c>
      <c r="C1064" t="s">
        <v>282</v>
      </c>
      <c r="D1064">
        <v>58.2</v>
      </c>
      <c r="E1064">
        <v>222.5</v>
      </c>
      <c r="F1064">
        <v>155</v>
      </c>
      <c r="G1064">
        <v>222.5</v>
      </c>
      <c r="H1064">
        <v>600</v>
      </c>
      <c r="I1064">
        <v>2013</v>
      </c>
      <c r="J1064" t="s">
        <v>29</v>
      </c>
      <c r="K1064" t="s">
        <v>171</v>
      </c>
      <c r="L1064" s="8">
        <f t="shared" si="16"/>
        <v>0.6966292134831461</v>
      </c>
    </row>
    <row r="1065" spans="1:12">
      <c r="A1065" t="s">
        <v>419</v>
      </c>
      <c r="B1065">
        <v>1982</v>
      </c>
      <c r="C1065" t="s">
        <v>336</v>
      </c>
      <c r="D1065">
        <v>58.92</v>
      </c>
      <c r="E1065">
        <v>232.5</v>
      </c>
      <c r="F1065">
        <v>155</v>
      </c>
      <c r="G1065">
        <v>212.5</v>
      </c>
      <c r="H1065">
        <v>600</v>
      </c>
      <c r="I1065">
        <v>2012</v>
      </c>
      <c r="J1065" t="s">
        <v>29</v>
      </c>
      <c r="K1065" t="s">
        <v>171</v>
      </c>
      <c r="L1065" s="8">
        <f t="shared" si="16"/>
        <v>0.72941176470588232</v>
      </c>
    </row>
    <row r="1066" spans="1:12">
      <c r="A1066" t="s">
        <v>823</v>
      </c>
      <c r="B1066">
        <v>1983</v>
      </c>
      <c r="C1066" t="s">
        <v>485</v>
      </c>
      <c r="D1066">
        <v>80.16</v>
      </c>
      <c r="E1066">
        <v>242.5</v>
      </c>
      <c r="F1066">
        <v>152.5</v>
      </c>
      <c r="G1066">
        <v>275</v>
      </c>
      <c r="H1066">
        <v>670</v>
      </c>
      <c r="I1066">
        <v>2012</v>
      </c>
      <c r="J1066" t="s">
        <v>29</v>
      </c>
      <c r="K1066" t="s">
        <v>171</v>
      </c>
      <c r="L1066" s="8">
        <f t="shared" si="16"/>
        <v>0.55454545454545456</v>
      </c>
    </row>
    <row r="1067" spans="1:12">
      <c r="A1067" t="s">
        <v>510</v>
      </c>
      <c r="B1067">
        <v>1984</v>
      </c>
      <c r="C1067" t="s">
        <v>62</v>
      </c>
      <c r="D1067">
        <v>65.2</v>
      </c>
      <c r="E1067">
        <v>242.5</v>
      </c>
      <c r="F1067">
        <v>152.5</v>
      </c>
      <c r="G1067">
        <v>240</v>
      </c>
      <c r="H1067">
        <v>635</v>
      </c>
      <c r="I1067">
        <v>2013</v>
      </c>
      <c r="J1067" t="s">
        <v>29</v>
      </c>
      <c r="K1067" t="s">
        <v>171</v>
      </c>
      <c r="L1067" s="8">
        <f t="shared" si="16"/>
        <v>0.63541666666666663</v>
      </c>
    </row>
    <row r="1068" spans="1:12">
      <c r="A1068" t="s">
        <v>688</v>
      </c>
      <c r="B1068">
        <v>1977</v>
      </c>
      <c r="C1068" t="s">
        <v>85</v>
      </c>
      <c r="D1068">
        <v>58.62</v>
      </c>
      <c r="E1068">
        <v>245</v>
      </c>
      <c r="F1068">
        <v>152.5</v>
      </c>
      <c r="G1068">
        <v>225</v>
      </c>
      <c r="H1068">
        <v>622.5</v>
      </c>
      <c r="I1068">
        <v>2014</v>
      </c>
      <c r="J1068" t="s">
        <v>29</v>
      </c>
      <c r="K1068" t="s">
        <v>171</v>
      </c>
      <c r="L1068" s="8">
        <f t="shared" si="16"/>
        <v>0.67777777777777781</v>
      </c>
    </row>
    <row r="1069" spans="1:12">
      <c r="A1069" t="s">
        <v>688</v>
      </c>
      <c r="B1069">
        <v>1977</v>
      </c>
      <c r="C1069" t="s">
        <v>85</v>
      </c>
      <c r="D1069">
        <v>58.68</v>
      </c>
      <c r="E1069">
        <v>255</v>
      </c>
      <c r="F1069">
        <v>152.5</v>
      </c>
      <c r="G1069">
        <v>217.5</v>
      </c>
      <c r="H1069">
        <v>625</v>
      </c>
      <c r="I1069">
        <v>2013</v>
      </c>
      <c r="J1069" t="s">
        <v>29</v>
      </c>
      <c r="K1069" t="s">
        <v>171</v>
      </c>
      <c r="L1069" s="8">
        <f t="shared" si="16"/>
        <v>0.70114942528735635</v>
      </c>
    </row>
    <row r="1070" spans="1:12">
      <c r="A1070" t="s">
        <v>823</v>
      </c>
      <c r="B1070">
        <v>1983</v>
      </c>
      <c r="C1070" t="s">
        <v>485</v>
      </c>
      <c r="D1070">
        <v>81.06</v>
      </c>
      <c r="E1070">
        <v>260</v>
      </c>
      <c r="F1070">
        <v>150</v>
      </c>
      <c r="G1070">
        <v>280</v>
      </c>
      <c r="H1070">
        <v>690</v>
      </c>
      <c r="I1070">
        <v>2014</v>
      </c>
      <c r="J1070" t="s">
        <v>29</v>
      </c>
      <c r="K1070" t="s">
        <v>171</v>
      </c>
      <c r="L1070" s="8">
        <f t="shared" si="16"/>
        <v>0.5357142857142857</v>
      </c>
    </row>
    <row r="1071" spans="1:12">
      <c r="A1071" t="s">
        <v>611</v>
      </c>
      <c r="B1071">
        <v>1994</v>
      </c>
      <c r="C1071" t="s">
        <v>74</v>
      </c>
      <c r="D1071">
        <v>58.29</v>
      </c>
      <c r="E1071">
        <v>242.5</v>
      </c>
      <c r="F1071">
        <v>150</v>
      </c>
      <c r="G1071">
        <v>257.5</v>
      </c>
      <c r="H1071">
        <v>650</v>
      </c>
      <c r="I1071">
        <v>2015</v>
      </c>
      <c r="J1071" t="s">
        <v>29</v>
      </c>
      <c r="K1071" t="s">
        <v>171</v>
      </c>
      <c r="L1071" s="8">
        <f t="shared" si="16"/>
        <v>0.58252427184466016</v>
      </c>
    </row>
    <row r="1072" spans="1:12">
      <c r="A1072" t="s">
        <v>611</v>
      </c>
      <c r="B1072">
        <v>1994</v>
      </c>
      <c r="C1072" t="s">
        <v>74</v>
      </c>
      <c r="D1072">
        <v>58.5</v>
      </c>
      <c r="E1072">
        <v>245</v>
      </c>
      <c r="F1072">
        <v>150</v>
      </c>
      <c r="G1072">
        <v>255</v>
      </c>
      <c r="H1072">
        <v>650</v>
      </c>
      <c r="I1072">
        <v>2014</v>
      </c>
      <c r="J1072" t="s">
        <v>29</v>
      </c>
      <c r="K1072" t="s">
        <v>171</v>
      </c>
      <c r="L1072" s="8">
        <f t="shared" si="16"/>
        <v>0.58823529411764708</v>
      </c>
    </row>
    <row r="1073" spans="1:12">
      <c r="A1073" t="s">
        <v>646</v>
      </c>
      <c r="B1073">
        <v>1981</v>
      </c>
      <c r="C1073" t="s">
        <v>418</v>
      </c>
      <c r="D1073">
        <v>72.62</v>
      </c>
      <c r="E1073">
        <v>240</v>
      </c>
      <c r="F1073">
        <v>150</v>
      </c>
      <c r="G1073">
        <v>240</v>
      </c>
      <c r="H1073">
        <v>630</v>
      </c>
      <c r="I1073">
        <v>2014</v>
      </c>
      <c r="J1073" t="s">
        <v>29</v>
      </c>
      <c r="K1073" t="s">
        <v>171</v>
      </c>
      <c r="L1073" s="8">
        <f t="shared" si="16"/>
        <v>0.625</v>
      </c>
    </row>
    <row r="1074" spans="1:12">
      <c r="A1074" t="s">
        <v>646</v>
      </c>
      <c r="B1074">
        <v>1981</v>
      </c>
      <c r="C1074" t="s">
        <v>418</v>
      </c>
      <c r="D1074">
        <v>71.739999999999995</v>
      </c>
      <c r="E1074">
        <v>222.5</v>
      </c>
      <c r="F1074">
        <v>150</v>
      </c>
      <c r="G1074">
        <v>230</v>
      </c>
      <c r="H1074">
        <v>602.5</v>
      </c>
      <c r="I1074">
        <v>2012</v>
      </c>
      <c r="J1074" t="s">
        <v>29</v>
      </c>
      <c r="K1074" t="s">
        <v>171</v>
      </c>
      <c r="L1074" s="8">
        <f t="shared" si="16"/>
        <v>0.65217391304347827</v>
      </c>
    </row>
    <row r="1075" spans="1:12">
      <c r="A1075" t="s">
        <v>796</v>
      </c>
      <c r="B1075">
        <v>1978</v>
      </c>
      <c r="C1075" t="s">
        <v>137</v>
      </c>
      <c r="D1075">
        <v>58.67</v>
      </c>
      <c r="E1075">
        <v>0</v>
      </c>
      <c r="F1075">
        <v>150</v>
      </c>
      <c r="G1075">
        <v>225</v>
      </c>
      <c r="H1075">
        <v>0</v>
      </c>
      <c r="I1075">
        <v>2012</v>
      </c>
      <c r="J1075" t="s">
        <v>29</v>
      </c>
      <c r="K1075" t="s">
        <v>171</v>
      </c>
      <c r="L1075" s="8">
        <f t="shared" si="16"/>
        <v>0.66666666666666663</v>
      </c>
    </row>
    <row r="1076" spans="1:12">
      <c r="A1076" t="s">
        <v>677</v>
      </c>
      <c r="B1076">
        <v>1970</v>
      </c>
      <c r="C1076" t="s">
        <v>113</v>
      </c>
      <c r="D1076">
        <v>65.959999999999994</v>
      </c>
      <c r="E1076">
        <v>230</v>
      </c>
      <c r="F1076">
        <v>147.5</v>
      </c>
      <c r="G1076">
        <v>275</v>
      </c>
      <c r="H1076">
        <v>652.5</v>
      </c>
      <c r="I1076">
        <v>2012</v>
      </c>
      <c r="J1076" t="s">
        <v>29</v>
      </c>
      <c r="K1076" t="s">
        <v>171</v>
      </c>
      <c r="L1076" s="8">
        <f t="shared" si="16"/>
        <v>0.53636363636363638</v>
      </c>
    </row>
    <row r="1077" spans="1:12">
      <c r="A1077" t="s">
        <v>783</v>
      </c>
      <c r="B1077">
        <v>1993</v>
      </c>
      <c r="C1077" t="s">
        <v>74</v>
      </c>
      <c r="D1077">
        <v>93.98</v>
      </c>
      <c r="E1077">
        <v>255</v>
      </c>
      <c r="F1077">
        <v>145</v>
      </c>
      <c r="G1077">
        <v>272.5</v>
      </c>
      <c r="H1077">
        <v>672.5</v>
      </c>
      <c r="I1077">
        <v>2014</v>
      </c>
      <c r="J1077" t="s">
        <v>29</v>
      </c>
      <c r="K1077" t="s">
        <v>171</v>
      </c>
      <c r="L1077" s="8">
        <f t="shared" si="16"/>
        <v>0.5321100917431193</v>
      </c>
    </row>
    <row r="1078" spans="1:12">
      <c r="A1078" t="s">
        <v>612</v>
      </c>
      <c r="B1078">
        <v>1979</v>
      </c>
      <c r="C1078" t="s">
        <v>137</v>
      </c>
      <c r="D1078">
        <v>58.8</v>
      </c>
      <c r="E1078">
        <v>240</v>
      </c>
      <c r="F1078">
        <v>145</v>
      </c>
      <c r="G1078">
        <v>247.5</v>
      </c>
      <c r="H1078">
        <v>632.5</v>
      </c>
      <c r="I1078">
        <v>2012</v>
      </c>
      <c r="J1078" t="s">
        <v>29</v>
      </c>
      <c r="K1078" t="s">
        <v>171</v>
      </c>
      <c r="L1078" s="8">
        <f t="shared" si="16"/>
        <v>0.58585858585858586</v>
      </c>
    </row>
    <row r="1079" spans="1:12">
      <c r="A1079" t="s">
        <v>826</v>
      </c>
      <c r="B1079">
        <v>1990</v>
      </c>
      <c r="C1079" t="s">
        <v>74</v>
      </c>
      <c r="D1079">
        <v>58.56</v>
      </c>
      <c r="E1079">
        <v>240</v>
      </c>
      <c r="F1079">
        <v>145</v>
      </c>
      <c r="G1079">
        <v>230</v>
      </c>
      <c r="H1079">
        <v>615</v>
      </c>
      <c r="I1079">
        <v>2014</v>
      </c>
      <c r="J1079" t="s">
        <v>29</v>
      </c>
      <c r="K1079" t="s">
        <v>171</v>
      </c>
      <c r="L1079" s="8">
        <f t="shared" si="16"/>
        <v>0.63043478260869568</v>
      </c>
    </row>
    <row r="1080" spans="1:12">
      <c r="A1080" t="s">
        <v>688</v>
      </c>
      <c r="B1080">
        <v>1977</v>
      </c>
      <c r="C1080" t="s">
        <v>85</v>
      </c>
      <c r="D1080">
        <v>58.74</v>
      </c>
      <c r="E1080">
        <v>0</v>
      </c>
      <c r="F1080">
        <v>145</v>
      </c>
      <c r="G1080">
        <v>220</v>
      </c>
      <c r="H1080">
        <v>0</v>
      </c>
      <c r="I1080">
        <v>2015</v>
      </c>
      <c r="J1080" t="s">
        <v>29</v>
      </c>
      <c r="K1080" t="s">
        <v>171</v>
      </c>
      <c r="L1080" s="8">
        <f t="shared" si="16"/>
        <v>0.65909090909090906</v>
      </c>
    </row>
    <row r="1081" spans="1:12">
      <c r="A1081" t="s">
        <v>724</v>
      </c>
      <c r="B1081">
        <v>1959</v>
      </c>
      <c r="C1081" t="s">
        <v>336</v>
      </c>
      <c r="D1081">
        <v>65.010000000000005</v>
      </c>
      <c r="E1081">
        <v>200</v>
      </c>
      <c r="F1081">
        <v>142.5</v>
      </c>
      <c r="G1081">
        <v>200</v>
      </c>
      <c r="H1081">
        <v>542.5</v>
      </c>
      <c r="I1081">
        <v>2012</v>
      </c>
      <c r="J1081" t="s">
        <v>29</v>
      </c>
      <c r="K1081" t="s">
        <v>171</v>
      </c>
      <c r="L1081" s="8">
        <f t="shared" si="16"/>
        <v>0.71250000000000002</v>
      </c>
    </row>
    <row r="1082" spans="1:12">
      <c r="A1082" t="s">
        <v>567</v>
      </c>
      <c r="B1082">
        <v>1984</v>
      </c>
      <c r="C1082" t="s">
        <v>62</v>
      </c>
      <c r="D1082">
        <v>64.89</v>
      </c>
      <c r="E1082">
        <v>242.5</v>
      </c>
      <c r="F1082">
        <v>140</v>
      </c>
      <c r="G1082">
        <v>250</v>
      </c>
      <c r="H1082">
        <v>632.5</v>
      </c>
      <c r="I1082">
        <v>2015</v>
      </c>
      <c r="J1082" t="s">
        <v>29</v>
      </c>
      <c r="K1082" t="s">
        <v>171</v>
      </c>
      <c r="L1082" s="8">
        <f t="shared" si="16"/>
        <v>0.56000000000000005</v>
      </c>
    </row>
    <row r="1083" spans="1:12">
      <c r="A1083" t="s">
        <v>674</v>
      </c>
      <c r="B1083">
        <v>1990</v>
      </c>
      <c r="C1083" t="s">
        <v>252</v>
      </c>
      <c r="D1083">
        <v>127.88</v>
      </c>
      <c r="E1083">
        <v>290</v>
      </c>
      <c r="F1083">
        <v>140</v>
      </c>
      <c r="G1083">
        <v>245</v>
      </c>
      <c r="H1083">
        <v>675</v>
      </c>
      <c r="I1083">
        <v>2015</v>
      </c>
      <c r="J1083" t="s">
        <v>29</v>
      </c>
      <c r="K1083" t="s">
        <v>171</v>
      </c>
      <c r="L1083" s="8">
        <f t="shared" si="16"/>
        <v>0.5714285714285714</v>
      </c>
    </row>
    <row r="1084" spans="1:12">
      <c r="A1084" t="s">
        <v>472</v>
      </c>
      <c r="B1084">
        <v>1980</v>
      </c>
      <c r="C1084" t="s">
        <v>49</v>
      </c>
      <c r="D1084">
        <v>92</v>
      </c>
      <c r="E1084">
        <v>265</v>
      </c>
      <c r="F1084">
        <v>140</v>
      </c>
      <c r="G1084">
        <v>240</v>
      </c>
      <c r="H1084">
        <v>645</v>
      </c>
      <c r="I1084">
        <v>2014</v>
      </c>
      <c r="J1084" t="s">
        <v>29</v>
      </c>
      <c r="K1084" t="s">
        <v>171</v>
      </c>
      <c r="L1084" s="8">
        <f t="shared" si="16"/>
        <v>0.58333333333333337</v>
      </c>
    </row>
    <row r="1085" spans="1:12">
      <c r="A1085" t="s">
        <v>559</v>
      </c>
      <c r="B1085">
        <v>1986</v>
      </c>
      <c r="C1085" t="s">
        <v>252</v>
      </c>
      <c r="D1085">
        <v>58.46</v>
      </c>
      <c r="E1085">
        <v>250</v>
      </c>
      <c r="F1085">
        <v>140</v>
      </c>
      <c r="G1085">
        <v>240</v>
      </c>
      <c r="H1085">
        <v>630</v>
      </c>
      <c r="I1085">
        <v>2015</v>
      </c>
      <c r="J1085" t="s">
        <v>29</v>
      </c>
      <c r="K1085" t="s">
        <v>171</v>
      </c>
      <c r="L1085" s="8">
        <f t="shared" si="16"/>
        <v>0.58333333333333337</v>
      </c>
    </row>
    <row r="1086" spans="1:12">
      <c r="A1086" t="s">
        <v>435</v>
      </c>
      <c r="B1086">
        <v>1969</v>
      </c>
      <c r="C1086" t="s">
        <v>51</v>
      </c>
      <c r="D1086">
        <v>58.51</v>
      </c>
      <c r="E1086">
        <v>240</v>
      </c>
      <c r="F1086">
        <v>140</v>
      </c>
      <c r="G1086">
        <v>232.5</v>
      </c>
      <c r="H1086">
        <v>612.5</v>
      </c>
      <c r="I1086">
        <v>2012</v>
      </c>
      <c r="J1086" t="s">
        <v>29</v>
      </c>
      <c r="K1086" t="s">
        <v>171</v>
      </c>
      <c r="L1086" s="8">
        <f t="shared" si="16"/>
        <v>0.60215053763440862</v>
      </c>
    </row>
    <row r="1087" spans="1:12">
      <c r="A1087" t="s">
        <v>486</v>
      </c>
      <c r="B1087">
        <v>1986</v>
      </c>
      <c r="C1087" t="s">
        <v>47</v>
      </c>
      <c r="D1087">
        <v>101.21</v>
      </c>
      <c r="E1087">
        <v>230</v>
      </c>
      <c r="F1087">
        <v>135</v>
      </c>
      <c r="G1087">
        <v>260</v>
      </c>
      <c r="H1087">
        <v>625</v>
      </c>
      <c r="I1087">
        <v>2015</v>
      </c>
      <c r="J1087" t="s">
        <v>29</v>
      </c>
      <c r="K1087" t="s">
        <v>171</v>
      </c>
      <c r="L1087" s="8">
        <f t="shared" si="16"/>
        <v>0.51923076923076927</v>
      </c>
    </row>
    <row r="1088" spans="1:12">
      <c r="A1088" t="s">
        <v>799</v>
      </c>
      <c r="B1088">
        <v>1988</v>
      </c>
      <c r="C1088" t="s">
        <v>62</v>
      </c>
      <c r="D1088">
        <v>58.82</v>
      </c>
      <c r="E1088">
        <v>237.5</v>
      </c>
      <c r="F1088">
        <v>135</v>
      </c>
      <c r="G1088">
        <v>242.5</v>
      </c>
      <c r="H1088">
        <v>615</v>
      </c>
      <c r="I1088">
        <v>2014</v>
      </c>
      <c r="J1088" t="s">
        <v>29</v>
      </c>
      <c r="K1088" t="s">
        <v>171</v>
      </c>
      <c r="L1088" s="8">
        <f t="shared" si="16"/>
        <v>0.55670103092783507</v>
      </c>
    </row>
    <row r="1089" spans="1:12">
      <c r="A1089" t="s">
        <v>567</v>
      </c>
      <c r="B1089">
        <v>1984</v>
      </c>
      <c r="C1089" t="s">
        <v>62</v>
      </c>
      <c r="D1089">
        <v>66.52</v>
      </c>
      <c r="E1089">
        <v>235</v>
      </c>
      <c r="F1089">
        <v>132.5</v>
      </c>
      <c r="G1089">
        <v>230</v>
      </c>
      <c r="H1089">
        <v>597.5</v>
      </c>
      <c r="I1089">
        <v>2013</v>
      </c>
      <c r="J1089" t="s">
        <v>29</v>
      </c>
      <c r="K1089" t="s">
        <v>171</v>
      </c>
      <c r="L1089" s="8">
        <f t="shared" si="16"/>
        <v>0.57608695652173914</v>
      </c>
    </row>
    <row r="1090" spans="1:12">
      <c r="A1090" t="s">
        <v>539</v>
      </c>
      <c r="B1090">
        <v>1990</v>
      </c>
      <c r="C1090" t="s">
        <v>77</v>
      </c>
      <c r="D1090">
        <v>58.92</v>
      </c>
      <c r="E1090">
        <v>230</v>
      </c>
      <c r="F1090">
        <v>130</v>
      </c>
      <c r="G1090">
        <v>230</v>
      </c>
      <c r="H1090">
        <v>590</v>
      </c>
      <c r="I1090">
        <v>2012</v>
      </c>
      <c r="J1090" t="s">
        <v>29</v>
      </c>
      <c r="K1090" t="s">
        <v>171</v>
      </c>
      <c r="L1090" s="8">
        <f t="shared" si="16"/>
        <v>0.56521739130434778</v>
      </c>
    </row>
    <row r="1091" spans="1:12">
      <c r="A1091" t="s">
        <v>789</v>
      </c>
      <c r="B1091">
        <v>1984</v>
      </c>
      <c r="C1091" t="s">
        <v>85</v>
      </c>
      <c r="D1091">
        <v>58.55</v>
      </c>
      <c r="E1091">
        <v>0</v>
      </c>
      <c r="F1091">
        <v>130</v>
      </c>
      <c r="G1091">
        <v>180</v>
      </c>
      <c r="H1091">
        <v>0</v>
      </c>
      <c r="I1091">
        <v>2013</v>
      </c>
      <c r="J1091" t="s">
        <v>29</v>
      </c>
      <c r="K1091" t="s">
        <v>171</v>
      </c>
      <c r="L1091" s="8">
        <f t="shared" ref="L1091:L1154" si="17">IF(AND(F1091&lt;&gt;0,G1091&lt;&gt;0),F1091/G1091,"")</f>
        <v>0.72222222222222221</v>
      </c>
    </row>
    <row r="1092" spans="1:12">
      <c r="A1092" t="s">
        <v>584</v>
      </c>
      <c r="B1092">
        <v>1983</v>
      </c>
      <c r="C1092" t="s">
        <v>125</v>
      </c>
      <c r="D1092">
        <v>142.9</v>
      </c>
      <c r="E1092">
        <v>345</v>
      </c>
      <c r="F1092">
        <v>125</v>
      </c>
      <c r="G1092">
        <v>335</v>
      </c>
      <c r="H1092">
        <v>805</v>
      </c>
      <c r="I1092">
        <v>2013</v>
      </c>
      <c r="J1092" t="s">
        <v>29</v>
      </c>
      <c r="K1092" t="s">
        <v>171</v>
      </c>
      <c r="L1092" s="8">
        <f t="shared" si="17"/>
        <v>0.37313432835820898</v>
      </c>
    </row>
    <row r="1093" spans="1:12">
      <c r="A1093" t="s">
        <v>523</v>
      </c>
      <c r="B1093">
        <v>1984</v>
      </c>
      <c r="C1093" t="s">
        <v>125</v>
      </c>
      <c r="D1093">
        <v>92.6</v>
      </c>
      <c r="E1093">
        <v>320</v>
      </c>
      <c r="F1093">
        <v>125</v>
      </c>
      <c r="G1093">
        <v>300</v>
      </c>
      <c r="H1093">
        <v>745</v>
      </c>
      <c r="I1093">
        <v>2014</v>
      </c>
      <c r="J1093" t="s">
        <v>29</v>
      </c>
      <c r="K1093" t="s">
        <v>171</v>
      </c>
      <c r="L1093" s="8">
        <f t="shared" si="17"/>
        <v>0.41666666666666669</v>
      </c>
    </row>
    <row r="1094" spans="1:12">
      <c r="A1094" t="s">
        <v>850</v>
      </c>
      <c r="B1094">
        <v>1987</v>
      </c>
      <c r="C1094" t="s">
        <v>485</v>
      </c>
      <c r="D1094">
        <v>65.5</v>
      </c>
      <c r="E1094">
        <v>215</v>
      </c>
      <c r="F1094">
        <v>125</v>
      </c>
      <c r="G1094">
        <v>200</v>
      </c>
      <c r="H1094">
        <v>540</v>
      </c>
      <c r="I1094">
        <v>2014</v>
      </c>
      <c r="J1094" t="s">
        <v>29</v>
      </c>
      <c r="K1094" t="s">
        <v>171</v>
      </c>
      <c r="L1094" s="8">
        <f t="shared" si="17"/>
        <v>0.625</v>
      </c>
    </row>
    <row r="1095" spans="1:12">
      <c r="A1095" t="s">
        <v>602</v>
      </c>
      <c r="B1095">
        <v>1989</v>
      </c>
      <c r="C1095" t="s">
        <v>336</v>
      </c>
      <c r="D1095">
        <v>73.680000000000007</v>
      </c>
      <c r="E1095">
        <v>190</v>
      </c>
      <c r="F1095">
        <v>122.5</v>
      </c>
      <c r="G1095">
        <v>232.5</v>
      </c>
      <c r="H1095">
        <v>545</v>
      </c>
      <c r="I1095">
        <v>2012</v>
      </c>
      <c r="J1095" t="s">
        <v>29</v>
      </c>
      <c r="K1095" t="s">
        <v>171</v>
      </c>
      <c r="L1095" s="8">
        <f t="shared" si="17"/>
        <v>0.5268817204301075</v>
      </c>
    </row>
    <row r="1096" spans="1:12">
      <c r="A1096" t="s">
        <v>473</v>
      </c>
      <c r="B1096">
        <v>1995</v>
      </c>
      <c r="C1096" t="s">
        <v>418</v>
      </c>
      <c r="D1096">
        <v>72.239999999999995</v>
      </c>
      <c r="E1096">
        <v>220</v>
      </c>
      <c r="F1096">
        <v>120</v>
      </c>
      <c r="G1096">
        <v>220</v>
      </c>
      <c r="H1096">
        <v>560</v>
      </c>
      <c r="I1096">
        <v>2014</v>
      </c>
      <c r="J1096" t="s">
        <v>29</v>
      </c>
      <c r="K1096" t="s">
        <v>171</v>
      </c>
      <c r="L1096" s="8">
        <f t="shared" si="17"/>
        <v>0.54545454545454541</v>
      </c>
    </row>
    <row r="1097" spans="1:12">
      <c r="A1097" t="s">
        <v>427</v>
      </c>
      <c r="B1097">
        <v>1980</v>
      </c>
      <c r="C1097" t="s">
        <v>252</v>
      </c>
      <c r="D1097">
        <v>86.53</v>
      </c>
      <c r="E1097">
        <v>120</v>
      </c>
      <c r="F1097">
        <v>115</v>
      </c>
      <c r="G1097">
        <v>160</v>
      </c>
      <c r="H1097">
        <v>395</v>
      </c>
      <c r="I1097">
        <v>2015</v>
      </c>
      <c r="J1097" t="s">
        <v>29</v>
      </c>
      <c r="K1097" t="s">
        <v>171</v>
      </c>
      <c r="L1097" s="8">
        <f t="shared" si="17"/>
        <v>0.71875</v>
      </c>
    </row>
    <row r="1098" spans="1:12">
      <c r="A1098" t="s">
        <v>550</v>
      </c>
      <c r="B1098">
        <v>1990</v>
      </c>
      <c r="C1098" t="s">
        <v>252</v>
      </c>
      <c r="D1098">
        <v>64.5</v>
      </c>
      <c r="E1098">
        <v>100</v>
      </c>
      <c r="F1098">
        <v>105</v>
      </c>
      <c r="G1098">
        <v>130</v>
      </c>
      <c r="H1098">
        <v>335</v>
      </c>
      <c r="I1098">
        <v>2015</v>
      </c>
      <c r="J1098" t="s">
        <v>29</v>
      </c>
      <c r="K1098" t="s">
        <v>171</v>
      </c>
      <c r="L1098" s="8">
        <f t="shared" si="17"/>
        <v>0.80769230769230771</v>
      </c>
    </row>
    <row r="1099" spans="1:12">
      <c r="A1099" t="s">
        <v>732</v>
      </c>
      <c r="B1099">
        <v>1965</v>
      </c>
      <c r="C1099" t="s">
        <v>72</v>
      </c>
      <c r="D1099">
        <v>65.69</v>
      </c>
      <c r="E1099">
        <v>265</v>
      </c>
      <c r="F1099">
        <v>102.5</v>
      </c>
      <c r="G1099">
        <v>240</v>
      </c>
      <c r="H1099">
        <v>607.5</v>
      </c>
      <c r="I1099">
        <v>2012</v>
      </c>
      <c r="J1099" t="s">
        <v>29</v>
      </c>
      <c r="K1099" t="s">
        <v>171</v>
      </c>
      <c r="L1099" s="8">
        <f t="shared" si="17"/>
        <v>0.42708333333333331</v>
      </c>
    </row>
    <row r="1100" spans="1:12">
      <c r="A1100" t="s">
        <v>732</v>
      </c>
      <c r="B1100">
        <v>1965</v>
      </c>
      <c r="C1100" t="s">
        <v>72</v>
      </c>
      <c r="D1100">
        <v>65.849999999999994</v>
      </c>
      <c r="E1100">
        <v>250</v>
      </c>
      <c r="F1100">
        <v>100</v>
      </c>
      <c r="G1100">
        <v>230</v>
      </c>
      <c r="H1100">
        <v>580</v>
      </c>
      <c r="I1100">
        <v>2015</v>
      </c>
      <c r="J1100" t="s">
        <v>29</v>
      </c>
      <c r="K1100" t="s">
        <v>171</v>
      </c>
      <c r="L1100" s="8">
        <f t="shared" si="17"/>
        <v>0.43478260869565216</v>
      </c>
    </row>
    <row r="1101" spans="1:12">
      <c r="A1101" t="s">
        <v>821</v>
      </c>
      <c r="B1101">
        <v>1982</v>
      </c>
      <c r="C1101" t="s">
        <v>252</v>
      </c>
      <c r="D1101">
        <v>84.07</v>
      </c>
      <c r="E1101">
        <v>120</v>
      </c>
      <c r="F1101">
        <v>100</v>
      </c>
      <c r="G1101">
        <v>165</v>
      </c>
      <c r="H1101">
        <v>385</v>
      </c>
      <c r="I1101">
        <v>2015</v>
      </c>
      <c r="J1101" t="s">
        <v>29</v>
      </c>
      <c r="K1101" t="s">
        <v>171</v>
      </c>
      <c r="L1101" s="8">
        <f t="shared" si="17"/>
        <v>0.60606060606060608</v>
      </c>
    </row>
    <row r="1102" spans="1:12">
      <c r="A1102" t="s">
        <v>843</v>
      </c>
      <c r="B1102">
        <v>1994</v>
      </c>
      <c r="C1102" t="s">
        <v>74</v>
      </c>
      <c r="D1102">
        <v>103.78</v>
      </c>
      <c r="E1102">
        <v>400</v>
      </c>
      <c r="F1102">
        <v>75</v>
      </c>
      <c r="G1102">
        <v>275</v>
      </c>
      <c r="H1102">
        <v>750</v>
      </c>
      <c r="I1102">
        <v>2015</v>
      </c>
      <c r="J1102" t="s">
        <v>29</v>
      </c>
      <c r="K1102" t="s">
        <v>171</v>
      </c>
      <c r="L1102" s="8">
        <f t="shared" si="17"/>
        <v>0.27272727272727271</v>
      </c>
    </row>
    <row r="1104" spans="1:12">
      <c r="A1104" t="s">
        <v>929</v>
      </c>
      <c r="B1104">
        <v>1983</v>
      </c>
      <c r="C1104" t="s">
        <v>862</v>
      </c>
      <c r="D1104">
        <v>128.94</v>
      </c>
      <c r="E1104">
        <v>265</v>
      </c>
      <c r="F1104">
        <v>227</v>
      </c>
      <c r="G1104">
        <v>202.5</v>
      </c>
      <c r="H1104">
        <v>694.5</v>
      </c>
      <c r="I1104">
        <v>2014</v>
      </c>
      <c r="J1104" t="s">
        <v>852</v>
      </c>
      <c r="K1104" t="s">
        <v>171</v>
      </c>
      <c r="L1104" s="8">
        <f t="shared" si="17"/>
        <v>1.1209876543209876</v>
      </c>
    </row>
    <row r="1105" spans="1:12">
      <c r="A1105" t="s">
        <v>929</v>
      </c>
      <c r="B1105">
        <v>1983</v>
      </c>
      <c r="C1105" t="s">
        <v>45</v>
      </c>
      <c r="D1105">
        <v>127.05</v>
      </c>
      <c r="E1105">
        <v>260</v>
      </c>
      <c r="F1105">
        <v>218</v>
      </c>
      <c r="G1105">
        <v>190</v>
      </c>
      <c r="H1105">
        <v>668</v>
      </c>
      <c r="I1105">
        <v>2013</v>
      </c>
      <c r="J1105" t="s">
        <v>852</v>
      </c>
      <c r="K1105" t="s">
        <v>171</v>
      </c>
      <c r="L1105" s="8">
        <f t="shared" si="17"/>
        <v>1.1473684210526316</v>
      </c>
    </row>
    <row r="1106" spans="1:12">
      <c r="A1106" t="s">
        <v>965</v>
      </c>
      <c r="B1106">
        <v>1989</v>
      </c>
      <c r="C1106" t="s">
        <v>876</v>
      </c>
      <c r="D1106">
        <v>100.16</v>
      </c>
      <c r="E1106">
        <v>240</v>
      </c>
      <c r="F1106">
        <v>205</v>
      </c>
      <c r="G1106">
        <v>202.5</v>
      </c>
      <c r="H1106">
        <v>647.5</v>
      </c>
      <c r="I1106">
        <v>2014</v>
      </c>
      <c r="J1106" t="s">
        <v>852</v>
      </c>
      <c r="K1106" t="s">
        <v>171</v>
      </c>
      <c r="L1106" s="8">
        <f t="shared" si="17"/>
        <v>1.0123456790123457</v>
      </c>
    </row>
    <row r="1107" spans="1:12">
      <c r="A1107" t="s">
        <v>283</v>
      </c>
      <c r="B1107">
        <v>1971</v>
      </c>
      <c r="C1107" t="s">
        <v>119</v>
      </c>
      <c r="D1107">
        <v>107.88</v>
      </c>
      <c r="E1107">
        <v>250</v>
      </c>
      <c r="F1107">
        <v>192.5</v>
      </c>
      <c r="G1107">
        <v>212.5</v>
      </c>
      <c r="H1107">
        <v>655</v>
      </c>
      <c r="I1107">
        <v>2015</v>
      </c>
      <c r="J1107" t="s">
        <v>852</v>
      </c>
      <c r="K1107" t="s">
        <v>171</v>
      </c>
      <c r="L1107" s="8">
        <f t="shared" si="17"/>
        <v>0.90588235294117647</v>
      </c>
    </row>
    <row r="1108" spans="1:12">
      <c r="A1108" t="s">
        <v>333</v>
      </c>
      <c r="B1108">
        <v>1978</v>
      </c>
      <c r="C1108" t="s">
        <v>318</v>
      </c>
      <c r="D1108">
        <v>110.55</v>
      </c>
      <c r="E1108">
        <v>230</v>
      </c>
      <c r="F1108">
        <v>192.5</v>
      </c>
      <c r="G1108">
        <v>187.5</v>
      </c>
      <c r="H1108">
        <v>610</v>
      </c>
      <c r="I1108">
        <v>2015</v>
      </c>
      <c r="J1108" t="s">
        <v>852</v>
      </c>
      <c r="K1108" t="s">
        <v>171</v>
      </c>
      <c r="L1108" s="8">
        <f t="shared" si="17"/>
        <v>1.0266666666666666</v>
      </c>
    </row>
    <row r="1109" spans="1:12">
      <c r="A1109" t="s">
        <v>262</v>
      </c>
      <c r="B1109">
        <v>1988</v>
      </c>
      <c r="C1109" t="s">
        <v>876</v>
      </c>
      <c r="D1109">
        <v>129.94</v>
      </c>
      <c r="E1109">
        <v>282.5</v>
      </c>
      <c r="F1109">
        <v>190</v>
      </c>
      <c r="G1109">
        <v>222.5</v>
      </c>
      <c r="H1109">
        <v>695</v>
      </c>
      <c r="I1109">
        <v>2014</v>
      </c>
      <c r="J1109" t="s">
        <v>852</v>
      </c>
      <c r="K1109" t="s">
        <v>171</v>
      </c>
      <c r="L1109" s="8">
        <f t="shared" si="17"/>
        <v>0.8539325842696629</v>
      </c>
    </row>
    <row r="1110" spans="1:12">
      <c r="A1110" t="s">
        <v>283</v>
      </c>
      <c r="B1110">
        <v>1971</v>
      </c>
      <c r="C1110" t="s">
        <v>901</v>
      </c>
      <c r="D1110">
        <v>108.66</v>
      </c>
      <c r="E1110">
        <v>240</v>
      </c>
      <c r="F1110">
        <v>190</v>
      </c>
      <c r="G1110">
        <v>205</v>
      </c>
      <c r="H1110">
        <v>635</v>
      </c>
      <c r="I1110">
        <v>2014</v>
      </c>
      <c r="J1110" t="s">
        <v>852</v>
      </c>
      <c r="K1110" t="s">
        <v>171</v>
      </c>
      <c r="L1110" s="8">
        <f t="shared" si="17"/>
        <v>0.92682926829268297</v>
      </c>
    </row>
    <row r="1111" spans="1:12">
      <c r="A1111" t="s">
        <v>965</v>
      </c>
      <c r="B1111">
        <v>1989</v>
      </c>
      <c r="C1111" t="s">
        <v>62</v>
      </c>
      <c r="D1111">
        <v>93.83</v>
      </c>
      <c r="E1111">
        <v>232.5</v>
      </c>
      <c r="F1111">
        <v>190</v>
      </c>
      <c r="G1111">
        <v>200</v>
      </c>
      <c r="H1111">
        <v>622.5</v>
      </c>
      <c r="I1111">
        <v>2013</v>
      </c>
      <c r="J1111" t="s">
        <v>852</v>
      </c>
      <c r="K1111" t="s">
        <v>171</v>
      </c>
      <c r="L1111" s="8">
        <f t="shared" si="17"/>
        <v>0.95</v>
      </c>
    </row>
    <row r="1112" spans="1:12">
      <c r="A1112" t="s">
        <v>184</v>
      </c>
      <c r="B1112">
        <v>1972</v>
      </c>
      <c r="C1112" t="s">
        <v>62</v>
      </c>
      <c r="D1112">
        <v>82.59</v>
      </c>
      <c r="E1112">
        <v>240</v>
      </c>
      <c r="F1112">
        <v>188</v>
      </c>
      <c r="G1112">
        <v>212.5</v>
      </c>
      <c r="H1112">
        <v>640.5</v>
      </c>
      <c r="I1112">
        <v>2015</v>
      </c>
      <c r="J1112" t="s">
        <v>852</v>
      </c>
      <c r="K1112" t="s">
        <v>171</v>
      </c>
      <c r="L1112" s="8">
        <f t="shared" si="17"/>
        <v>0.88470588235294123</v>
      </c>
    </row>
    <row r="1113" spans="1:12">
      <c r="A1113" t="s">
        <v>222</v>
      </c>
      <c r="B1113">
        <v>1986</v>
      </c>
      <c r="C1113" t="s">
        <v>28</v>
      </c>
      <c r="D1113">
        <v>120.95</v>
      </c>
      <c r="E1113">
        <v>300</v>
      </c>
      <c r="F1113">
        <v>182.5</v>
      </c>
      <c r="G1113">
        <v>270.5</v>
      </c>
      <c r="H1113">
        <v>753</v>
      </c>
      <c r="I1113">
        <v>2013</v>
      </c>
      <c r="J1113" t="s">
        <v>852</v>
      </c>
      <c r="K1113" t="s">
        <v>171</v>
      </c>
      <c r="L1113" s="8">
        <f t="shared" si="17"/>
        <v>0.67467652495378927</v>
      </c>
    </row>
    <row r="1114" spans="1:12">
      <c r="A1114" t="s">
        <v>283</v>
      </c>
      <c r="B1114">
        <v>1971</v>
      </c>
      <c r="C1114" t="s">
        <v>119</v>
      </c>
      <c r="D1114">
        <v>105.77</v>
      </c>
      <c r="E1114">
        <v>252.5</v>
      </c>
      <c r="F1114">
        <v>182.5</v>
      </c>
      <c r="G1114">
        <v>212.5</v>
      </c>
      <c r="H1114">
        <v>647.5</v>
      </c>
      <c r="I1114">
        <v>2013</v>
      </c>
      <c r="J1114" t="s">
        <v>852</v>
      </c>
      <c r="K1114" t="s">
        <v>171</v>
      </c>
      <c r="L1114" s="8">
        <f t="shared" si="17"/>
        <v>0.85882352941176465</v>
      </c>
    </row>
    <row r="1115" spans="1:12">
      <c r="A1115" t="s">
        <v>241</v>
      </c>
      <c r="B1115">
        <v>1983</v>
      </c>
      <c r="C1115" t="s">
        <v>888</v>
      </c>
      <c r="D1115">
        <v>83.5</v>
      </c>
      <c r="E1115">
        <v>175</v>
      </c>
      <c r="F1115">
        <v>181.5</v>
      </c>
      <c r="G1115">
        <v>150</v>
      </c>
      <c r="H1115">
        <v>506.5</v>
      </c>
      <c r="I1115">
        <v>2014</v>
      </c>
      <c r="J1115" t="s">
        <v>852</v>
      </c>
      <c r="K1115" t="s">
        <v>171</v>
      </c>
      <c r="L1115" s="8">
        <f t="shared" si="17"/>
        <v>1.21</v>
      </c>
    </row>
    <row r="1116" spans="1:12">
      <c r="A1116" t="s">
        <v>184</v>
      </c>
      <c r="B1116">
        <v>1972</v>
      </c>
      <c r="C1116" t="s">
        <v>876</v>
      </c>
      <c r="D1116">
        <v>82.26</v>
      </c>
      <c r="E1116">
        <v>240</v>
      </c>
      <c r="F1116">
        <v>181</v>
      </c>
      <c r="G1116">
        <v>222.5</v>
      </c>
      <c r="H1116">
        <v>643.5</v>
      </c>
      <c r="I1116">
        <v>2014</v>
      </c>
      <c r="J1116" t="s">
        <v>852</v>
      </c>
      <c r="K1116" t="s">
        <v>171</v>
      </c>
      <c r="L1116" s="8">
        <f t="shared" si="17"/>
        <v>0.81348314606741579</v>
      </c>
    </row>
    <row r="1117" spans="1:12">
      <c r="A1117" t="s">
        <v>222</v>
      </c>
      <c r="B1117">
        <v>1986</v>
      </c>
      <c r="C1117" t="s">
        <v>903</v>
      </c>
      <c r="D1117">
        <v>115.94</v>
      </c>
      <c r="E1117">
        <v>285</v>
      </c>
      <c r="F1117">
        <v>180</v>
      </c>
      <c r="G1117">
        <v>250</v>
      </c>
      <c r="H1117">
        <v>715</v>
      </c>
      <c r="I1117">
        <v>2014</v>
      </c>
      <c r="J1117" t="s">
        <v>852</v>
      </c>
      <c r="K1117" t="s">
        <v>171</v>
      </c>
      <c r="L1117" s="8">
        <f t="shared" si="17"/>
        <v>0.72</v>
      </c>
    </row>
    <row r="1118" spans="1:12">
      <c r="A1118" t="s">
        <v>222</v>
      </c>
      <c r="B1118">
        <v>1986</v>
      </c>
      <c r="C1118" t="s">
        <v>28</v>
      </c>
      <c r="D1118">
        <v>115.39</v>
      </c>
      <c r="E1118">
        <v>285</v>
      </c>
      <c r="F1118">
        <v>180</v>
      </c>
      <c r="G1118">
        <v>240</v>
      </c>
      <c r="H1118">
        <v>705</v>
      </c>
      <c r="I1118">
        <v>2015</v>
      </c>
      <c r="J1118" t="s">
        <v>852</v>
      </c>
      <c r="K1118" t="s">
        <v>171</v>
      </c>
      <c r="L1118" s="8">
        <f t="shared" si="17"/>
        <v>0.75</v>
      </c>
    </row>
    <row r="1119" spans="1:12">
      <c r="A1119" t="s">
        <v>317</v>
      </c>
      <c r="B1119">
        <v>1973</v>
      </c>
      <c r="C1119" t="s">
        <v>318</v>
      </c>
      <c r="D1119">
        <v>83.07</v>
      </c>
      <c r="E1119">
        <v>255</v>
      </c>
      <c r="F1119">
        <v>180</v>
      </c>
      <c r="G1119">
        <v>210</v>
      </c>
      <c r="H1119">
        <v>645</v>
      </c>
      <c r="I1119">
        <v>2013</v>
      </c>
      <c r="J1119" t="s">
        <v>852</v>
      </c>
      <c r="K1119" t="s">
        <v>171</v>
      </c>
      <c r="L1119" s="8">
        <f t="shared" si="17"/>
        <v>0.8571428571428571</v>
      </c>
    </row>
    <row r="1120" spans="1:12">
      <c r="A1120" t="s">
        <v>333</v>
      </c>
      <c r="B1120">
        <v>1978</v>
      </c>
      <c r="C1120" t="s">
        <v>318</v>
      </c>
      <c r="D1120">
        <v>112.31</v>
      </c>
      <c r="E1120">
        <v>227.5</v>
      </c>
      <c r="F1120">
        <v>180</v>
      </c>
      <c r="G1120">
        <v>190</v>
      </c>
      <c r="H1120">
        <v>597.5</v>
      </c>
      <c r="I1120">
        <v>2012</v>
      </c>
      <c r="J1120" t="s">
        <v>852</v>
      </c>
      <c r="K1120" t="s">
        <v>171</v>
      </c>
      <c r="L1120" s="8">
        <f t="shared" si="17"/>
        <v>0.94736842105263153</v>
      </c>
    </row>
    <row r="1121" spans="1:12">
      <c r="A1121" t="s">
        <v>283</v>
      </c>
      <c r="B1121">
        <v>1971</v>
      </c>
      <c r="C1121" t="s">
        <v>119</v>
      </c>
      <c r="D1121">
        <v>106.72</v>
      </c>
      <c r="E1121">
        <v>242.5</v>
      </c>
      <c r="F1121">
        <v>177.5</v>
      </c>
      <c r="G1121">
        <v>217.5</v>
      </c>
      <c r="H1121">
        <v>637.5</v>
      </c>
      <c r="I1121">
        <v>2012</v>
      </c>
      <c r="J1121" t="s">
        <v>852</v>
      </c>
      <c r="K1121" t="s">
        <v>171</v>
      </c>
      <c r="L1121" s="8">
        <f t="shared" si="17"/>
        <v>0.81609195402298851</v>
      </c>
    </row>
    <row r="1122" spans="1:12">
      <c r="A1122" t="s">
        <v>184</v>
      </c>
      <c r="B1122">
        <v>1972</v>
      </c>
      <c r="C1122" t="s">
        <v>62</v>
      </c>
      <c r="D1122">
        <v>81.94</v>
      </c>
      <c r="E1122">
        <v>232.5</v>
      </c>
      <c r="F1122">
        <v>177.5</v>
      </c>
      <c r="G1122">
        <v>212.5</v>
      </c>
      <c r="H1122">
        <v>622.5</v>
      </c>
      <c r="I1122">
        <v>2013</v>
      </c>
      <c r="J1122" t="s">
        <v>852</v>
      </c>
      <c r="K1122" t="s">
        <v>171</v>
      </c>
      <c r="L1122" s="8">
        <f t="shared" si="17"/>
        <v>0.83529411764705885</v>
      </c>
    </row>
    <row r="1123" spans="1:12">
      <c r="A1123" t="s">
        <v>269</v>
      </c>
      <c r="B1123">
        <v>1986</v>
      </c>
      <c r="C1123" t="s">
        <v>28</v>
      </c>
      <c r="D1123">
        <v>66.680000000000007</v>
      </c>
      <c r="E1123">
        <v>215</v>
      </c>
      <c r="F1123">
        <v>177.5</v>
      </c>
      <c r="G1123">
        <v>200</v>
      </c>
      <c r="H1123">
        <v>592.5</v>
      </c>
      <c r="I1123">
        <v>2015</v>
      </c>
      <c r="J1123" t="s">
        <v>852</v>
      </c>
      <c r="K1123" t="s">
        <v>171</v>
      </c>
      <c r="L1123" s="8">
        <f t="shared" si="17"/>
        <v>0.88749999999999996</v>
      </c>
    </row>
    <row r="1124" spans="1:12">
      <c r="A1124" t="s">
        <v>269</v>
      </c>
      <c r="B1124">
        <v>1986</v>
      </c>
      <c r="C1124" t="s">
        <v>28</v>
      </c>
      <c r="D1124">
        <v>66.86</v>
      </c>
      <c r="E1124">
        <v>220</v>
      </c>
      <c r="F1124">
        <v>175</v>
      </c>
      <c r="G1124">
        <v>222.5</v>
      </c>
      <c r="H1124">
        <v>617.5</v>
      </c>
      <c r="I1124">
        <v>2012</v>
      </c>
      <c r="J1124" t="s">
        <v>852</v>
      </c>
      <c r="K1124" t="s">
        <v>171</v>
      </c>
      <c r="L1124" s="8">
        <f t="shared" si="17"/>
        <v>0.7865168539325843</v>
      </c>
    </row>
    <row r="1125" spans="1:12">
      <c r="A1125" t="s">
        <v>317</v>
      </c>
      <c r="B1125">
        <v>1973</v>
      </c>
      <c r="C1125" t="s">
        <v>1026</v>
      </c>
      <c r="D1125">
        <v>83.6</v>
      </c>
      <c r="E1125">
        <v>257.5</v>
      </c>
      <c r="F1125">
        <v>175</v>
      </c>
      <c r="G1125">
        <v>210</v>
      </c>
      <c r="H1125">
        <v>642.5</v>
      </c>
      <c r="I1125">
        <v>2014</v>
      </c>
      <c r="J1125" t="s">
        <v>852</v>
      </c>
      <c r="K1125" t="s">
        <v>171</v>
      </c>
      <c r="L1125" s="8">
        <f t="shared" si="17"/>
        <v>0.83333333333333337</v>
      </c>
    </row>
    <row r="1126" spans="1:12">
      <c r="A1126" t="s">
        <v>1031</v>
      </c>
      <c r="B1126">
        <v>1988</v>
      </c>
      <c r="C1126" t="s">
        <v>289</v>
      </c>
      <c r="D1126">
        <v>108.23</v>
      </c>
      <c r="E1126">
        <v>230</v>
      </c>
      <c r="F1126">
        <v>175</v>
      </c>
      <c r="G1126">
        <v>175</v>
      </c>
      <c r="H1126">
        <v>580</v>
      </c>
      <c r="I1126">
        <v>2012</v>
      </c>
      <c r="J1126" t="s">
        <v>852</v>
      </c>
      <c r="K1126" t="s">
        <v>171</v>
      </c>
      <c r="L1126" s="8">
        <f t="shared" si="17"/>
        <v>1</v>
      </c>
    </row>
    <row r="1127" spans="1:12">
      <c r="A1127" t="s">
        <v>195</v>
      </c>
      <c r="B1127">
        <v>1985</v>
      </c>
      <c r="C1127" t="s">
        <v>49</v>
      </c>
      <c r="D1127">
        <v>69.25</v>
      </c>
      <c r="E1127">
        <v>255</v>
      </c>
      <c r="F1127">
        <v>172.5</v>
      </c>
      <c r="G1127">
        <v>215</v>
      </c>
      <c r="H1127">
        <v>642.5</v>
      </c>
      <c r="I1127">
        <v>2013</v>
      </c>
      <c r="J1127" t="s">
        <v>852</v>
      </c>
      <c r="K1127" t="s">
        <v>171</v>
      </c>
      <c r="L1127" s="8">
        <f t="shared" si="17"/>
        <v>0.80232558139534882</v>
      </c>
    </row>
    <row r="1128" spans="1:12">
      <c r="A1128" t="s">
        <v>317</v>
      </c>
      <c r="B1128">
        <v>1973</v>
      </c>
      <c r="C1128" t="s">
        <v>318</v>
      </c>
      <c r="D1128">
        <v>83.55</v>
      </c>
      <c r="E1128">
        <v>250</v>
      </c>
      <c r="F1128">
        <v>172.5</v>
      </c>
      <c r="G1128">
        <v>215</v>
      </c>
      <c r="H1128">
        <v>637.5</v>
      </c>
      <c r="I1128">
        <v>2012</v>
      </c>
      <c r="J1128" t="s">
        <v>852</v>
      </c>
      <c r="K1128" t="s">
        <v>171</v>
      </c>
      <c r="L1128" s="8">
        <f t="shared" si="17"/>
        <v>0.80232558139534882</v>
      </c>
    </row>
    <row r="1129" spans="1:12">
      <c r="A1129" t="s">
        <v>241</v>
      </c>
      <c r="B1129">
        <v>1983</v>
      </c>
      <c r="C1129" t="s">
        <v>74</v>
      </c>
      <c r="D1129">
        <v>83.34</v>
      </c>
      <c r="E1129">
        <v>170</v>
      </c>
      <c r="F1129">
        <v>172.5</v>
      </c>
      <c r="G1129">
        <v>140</v>
      </c>
      <c r="H1129">
        <v>482.5</v>
      </c>
      <c r="I1129">
        <v>2015</v>
      </c>
      <c r="J1129" t="s">
        <v>852</v>
      </c>
      <c r="K1129" t="s">
        <v>171</v>
      </c>
      <c r="L1129" s="8">
        <f t="shared" si="17"/>
        <v>1.2321428571428572</v>
      </c>
    </row>
    <row r="1130" spans="1:12">
      <c r="A1130" t="s">
        <v>241</v>
      </c>
      <c r="B1130">
        <v>1983</v>
      </c>
      <c r="C1130" t="s">
        <v>74</v>
      </c>
      <c r="D1130">
        <v>83.36</v>
      </c>
      <c r="E1130">
        <v>175</v>
      </c>
      <c r="F1130">
        <v>172.5</v>
      </c>
      <c r="G1130">
        <v>135</v>
      </c>
      <c r="H1130">
        <v>482.5</v>
      </c>
      <c r="I1130">
        <v>2013</v>
      </c>
      <c r="J1130" t="s">
        <v>852</v>
      </c>
      <c r="K1130" t="s">
        <v>171</v>
      </c>
      <c r="L1130" s="8">
        <f t="shared" si="17"/>
        <v>1.2777777777777777</v>
      </c>
    </row>
    <row r="1131" spans="1:12">
      <c r="A1131" t="s">
        <v>211</v>
      </c>
      <c r="B1131">
        <v>1988</v>
      </c>
      <c r="C1131" t="s">
        <v>28</v>
      </c>
      <c r="D1131">
        <v>62.53</v>
      </c>
      <c r="E1131">
        <v>227.5</v>
      </c>
      <c r="F1131">
        <v>171.5</v>
      </c>
      <c r="G1131">
        <v>185</v>
      </c>
      <c r="H1131">
        <v>584</v>
      </c>
      <c r="I1131">
        <v>2015</v>
      </c>
      <c r="J1131" t="s">
        <v>852</v>
      </c>
      <c r="K1131" t="s">
        <v>171</v>
      </c>
      <c r="L1131" s="8">
        <f t="shared" si="17"/>
        <v>0.927027027027027</v>
      </c>
    </row>
    <row r="1132" spans="1:12">
      <c r="A1132" t="s">
        <v>257</v>
      </c>
      <c r="B1132">
        <v>1992</v>
      </c>
      <c r="C1132" t="s">
        <v>28</v>
      </c>
      <c r="D1132">
        <v>104.03</v>
      </c>
      <c r="E1132">
        <v>260</v>
      </c>
      <c r="F1132">
        <v>170</v>
      </c>
      <c r="G1132">
        <v>225</v>
      </c>
      <c r="H1132">
        <v>655</v>
      </c>
      <c r="I1132">
        <v>2015</v>
      </c>
      <c r="J1132" t="s">
        <v>852</v>
      </c>
      <c r="K1132" t="s">
        <v>171</v>
      </c>
      <c r="L1132" s="8">
        <f t="shared" si="17"/>
        <v>0.75555555555555554</v>
      </c>
    </row>
    <row r="1133" spans="1:12">
      <c r="A1133" t="s">
        <v>330</v>
      </c>
      <c r="B1133">
        <v>1988</v>
      </c>
      <c r="C1133" t="s">
        <v>28</v>
      </c>
      <c r="D1133">
        <v>81.14</v>
      </c>
      <c r="E1133">
        <v>260</v>
      </c>
      <c r="F1133">
        <v>170</v>
      </c>
      <c r="G1133">
        <v>212.5</v>
      </c>
      <c r="H1133">
        <v>642.5</v>
      </c>
      <c r="I1133">
        <v>2015</v>
      </c>
      <c r="J1133" t="s">
        <v>852</v>
      </c>
      <c r="K1133" t="s">
        <v>171</v>
      </c>
      <c r="L1133" s="8">
        <f t="shared" si="17"/>
        <v>0.8</v>
      </c>
    </row>
    <row r="1134" spans="1:12">
      <c r="A1134" t="s">
        <v>195</v>
      </c>
      <c r="B1134">
        <v>1985</v>
      </c>
      <c r="C1134" t="s">
        <v>867</v>
      </c>
      <c r="D1134">
        <v>69.459999999999994</v>
      </c>
      <c r="E1134">
        <v>247.5</v>
      </c>
      <c r="F1134">
        <v>170</v>
      </c>
      <c r="G1134">
        <v>207.5</v>
      </c>
      <c r="H1134">
        <v>625</v>
      </c>
      <c r="I1134">
        <v>2014</v>
      </c>
      <c r="J1134" t="s">
        <v>852</v>
      </c>
      <c r="K1134" t="s">
        <v>171</v>
      </c>
      <c r="L1134" s="8">
        <f t="shared" si="17"/>
        <v>0.81927710843373491</v>
      </c>
    </row>
    <row r="1135" spans="1:12">
      <c r="A1135" t="s">
        <v>269</v>
      </c>
      <c r="B1135">
        <v>1986</v>
      </c>
      <c r="C1135" t="s">
        <v>28</v>
      </c>
      <c r="D1135">
        <v>66.12</v>
      </c>
      <c r="E1135">
        <v>230</v>
      </c>
      <c r="F1135">
        <v>170</v>
      </c>
      <c r="G1135">
        <v>200</v>
      </c>
      <c r="H1135">
        <v>600</v>
      </c>
      <c r="I1135">
        <v>2013</v>
      </c>
      <c r="J1135" t="s">
        <v>852</v>
      </c>
      <c r="K1135" t="s">
        <v>171</v>
      </c>
      <c r="L1135" s="8">
        <f t="shared" si="17"/>
        <v>0.85</v>
      </c>
    </row>
    <row r="1136" spans="1:12">
      <c r="A1136" t="s">
        <v>241</v>
      </c>
      <c r="B1136">
        <v>1983</v>
      </c>
      <c r="C1136" t="s">
        <v>74</v>
      </c>
      <c r="D1136">
        <v>83.75</v>
      </c>
      <c r="E1136">
        <v>175</v>
      </c>
      <c r="F1136">
        <v>170</v>
      </c>
      <c r="G1136">
        <v>130</v>
      </c>
      <c r="H1136">
        <v>475</v>
      </c>
      <c r="I1136">
        <v>2012</v>
      </c>
      <c r="J1136" t="s">
        <v>852</v>
      </c>
      <c r="K1136" t="s">
        <v>171</v>
      </c>
      <c r="L1136" s="8">
        <f t="shared" si="17"/>
        <v>1.3076923076923077</v>
      </c>
    </row>
    <row r="1137" spans="1:12">
      <c r="A1137" t="s">
        <v>313</v>
      </c>
      <c r="B1137">
        <v>1978</v>
      </c>
      <c r="C1137" t="s">
        <v>901</v>
      </c>
      <c r="D1137">
        <v>62.62</v>
      </c>
      <c r="E1137">
        <v>240.5</v>
      </c>
      <c r="F1137">
        <v>168</v>
      </c>
      <c r="G1137">
        <v>230</v>
      </c>
      <c r="H1137">
        <v>638.5</v>
      </c>
      <c r="I1137">
        <v>2014</v>
      </c>
      <c r="J1137" t="s">
        <v>852</v>
      </c>
      <c r="K1137" t="s">
        <v>171</v>
      </c>
      <c r="L1137" s="8">
        <f t="shared" si="17"/>
        <v>0.73043478260869565</v>
      </c>
    </row>
    <row r="1138" spans="1:12">
      <c r="A1138" t="s">
        <v>195</v>
      </c>
      <c r="B1138">
        <v>1985</v>
      </c>
      <c r="C1138" t="s">
        <v>49</v>
      </c>
      <c r="D1138">
        <v>70.319999999999993</v>
      </c>
      <c r="E1138">
        <v>242.5</v>
      </c>
      <c r="F1138">
        <v>167.5</v>
      </c>
      <c r="G1138">
        <v>210</v>
      </c>
      <c r="H1138">
        <v>620</v>
      </c>
      <c r="I1138">
        <v>2015</v>
      </c>
      <c r="J1138" t="s">
        <v>852</v>
      </c>
      <c r="K1138" t="s">
        <v>171</v>
      </c>
      <c r="L1138" s="8">
        <f t="shared" si="17"/>
        <v>0.79761904761904767</v>
      </c>
    </row>
    <row r="1139" spans="1:12">
      <c r="A1139" t="s">
        <v>313</v>
      </c>
      <c r="B1139">
        <v>1978</v>
      </c>
      <c r="C1139" t="s">
        <v>119</v>
      </c>
      <c r="D1139">
        <v>62.87</v>
      </c>
      <c r="E1139">
        <v>227.5</v>
      </c>
      <c r="F1139">
        <v>165.5</v>
      </c>
      <c r="G1139">
        <v>240</v>
      </c>
      <c r="H1139">
        <v>633</v>
      </c>
      <c r="I1139">
        <v>2012</v>
      </c>
      <c r="J1139" t="s">
        <v>852</v>
      </c>
      <c r="K1139" t="s">
        <v>171</v>
      </c>
      <c r="L1139" s="8">
        <f t="shared" si="17"/>
        <v>0.68958333333333333</v>
      </c>
    </row>
    <row r="1140" spans="1:12">
      <c r="A1140" t="s">
        <v>991</v>
      </c>
      <c r="B1140">
        <v>1980</v>
      </c>
      <c r="C1140" t="s">
        <v>28</v>
      </c>
      <c r="D1140">
        <v>69.16</v>
      </c>
      <c r="E1140">
        <v>230</v>
      </c>
      <c r="F1140">
        <v>165</v>
      </c>
      <c r="G1140">
        <v>190</v>
      </c>
      <c r="H1140">
        <v>585</v>
      </c>
      <c r="I1140">
        <v>2012</v>
      </c>
      <c r="J1140" t="s">
        <v>852</v>
      </c>
      <c r="K1140" t="s">
        <v>171</v>
      </c>
      <c r="L1140" s="8">
        <f t="shared" si="17"/>
        <v>0.86842105263157898</v>
      </c>
    </row>
    <row r="1141" spans="1:12">
      <c r="A1141" t="s">
        <v>313</v>
      </c>
      <c r="B1141">
        <v>1978</v>
      </c>
      <c r="C1141" t="s">
        <v>119</v>
      </c>
      <c r="D1141">
        <v>62.84</v>
      </c>
      <c r="E1141">
        <v>235.5</v>
      </c>
      <c r="F1141">
        <v>162.5</v>
      </c>
      <c r="G1141">
        <v>240</v>
      </c>
      <c r="H1141">
        <v>638</v>
      </c>
      <c r="I1141">
        <v>2013</v>
      </c>
      <c r="J1141" t="s">
        <v>852</v>
      </c>
      <c r="K1141" t="s">
        <v>171</v>
      </c>
      <c r="L1141" s="8">
        <f t="shared" si="17"/>
        <v>0.67708333333333337</v>
      </c>
    </row>
    <row r="1142" spans="1:12">
      <c r="A1142" t="s">
        <v>313</v>
      </c>
      <c r="B1142">
        <v>1978</v>
      </c>
      <c r="C1142" t="s">
        <v>119</v>
      </c>
      <c r="D1142">
        <v>63</v>
      </c>
      <c r="E1142">
        <v>235</v>
      </c>
      <c r="F1142">
        <v>162.5</v>
      </c>
      <c r="G1142">
        <v>220</v>
      </c>
      <c r="H1142">
        <v>617.5</v>
      </c>
      <c r="I1142">
        <v>2015</v>
      </c>
      <c r="J1142" t="s">
        <v>852</v>
      </c>
      <c r="K1142" t="s">
        <v>171</v>
      </c>
      <c r="L1142" s="8">
        <f t="shared" si="17"/>
        <v>0.73863636363636365</v>
      </c>
    </row>
    <row r="1143" spans="1:12">
      <c r="A1143" t="s">
        <v>989</v>
      </c>
      <c r="B1143">
        <v>1982</v>
      </c>
      <c r="C1143" t="s">
        <v>28</v>
      </c>
      <c r="D1143">
        <v>62.23</v>
      </c>
      <c r="E1143">
        <v>212.5</v>
      </c>
      <c r="F1143">
        <v>162.5</v>
      </c>
      <c r="G1143">
        <v>192.5</v>
      </c>
      <c r="H1143">
        <v>567.5</v>
      </c>
      <c r="I1143">
        <v>2013</v>
      </c>
      <c r="J1143" t="s">
        <v>852</v>
      </c>
      <c r="K1143" t="s">
        <v>171</v>
      </c>
      <c r="L1143" s="8">
        <f t="shared" si="17"/>
        <v>0.8441558441558441</v>
      </c>
    </row>
    <row r="1144" spans="1:12">
      <c r="A1144" t="s">
        <v>945</v>
      </c>
      <c r="B1144">
        <v>1990</v>
      </c>
      <c r="C1144" t="s">
        <v>901</v>
      </c>
      <c r="D1144">
        <v>78.62</v>
      </c>
      <c r="E1144">
        <v>268</v>
      </c>
      <c r="F1144">
        <v>160</v>
      </c>
      <c r="G1144">
        <v>242.5</v>
      </c>
      <c r="H1144">
        <v>670.5</v>
      </c>
      <c r="I1144">
        <v>2014</v>
      </c>
      <c r="J1144" t="s">
        <v>852</v>
      </c>
      <c r="K1144" t="s">
        <v>171</v>
      </c>
      <c r="L1144" s="8">
        <f t="shared" si="17"/>
        <v>0.65979381443298968</v>
      </c>
    </row>
    <row r="1145" spans="1:12">
      <c r="A1145" t="s">
        <v>329</v>
      </c>
      <c r="B1145">
        <v>1986</v>
      </c>
      <c r="C1145" t="s">
        <v>318</v>
      </c>
      <c r="D1145">
        <v>71.61</v>
      </c>
      <c r="E1145">
        <v>215</v>
      </c>
      <c r="F1145">
        <v>160</v>
      </c>
      <c r="G1145">
        <v>212.5</v>
      </c>
      <c r="H1145">
        <v>587.5</v>
      </c>
      <c r="I1145">
        <v>2015</v>
      </c>
      <c r="J1145" t="s">
        <v>852</v>
      </c>
      <c r="K1145" t="s">
        <v>171</v>
      </c>
      <c r="L1145" s="8">
        <f t="shared" si="17"/>
        <v>0.75294117647058822</v>
      </c>
    </row>
    <row r="1146" spans="1:12">
      <c r="A1146" t="s">
        <v>231</v>
      </c>
      <c r="B1146">
        <v>1990</v>
      </c>
      <c r="C1146" t="s">
        <v>62</v>
      </c>
      <c r="D1146">
        <v>82.89</v>
      </c>
      <c r="E1146">
        <v>240</v>
      </c>
      <c r="F1146">
        <v>160</v>
      </c>
      <c r="G1146">
        <v>207.5</v>
      </c>
      <c r="H1146">
        <v>607.5</v>
      </c>
      <c r="I1146">
        <v>2015</v>
      </c>
      <c r="J1146" t="s">
        <v>852</v>
      </c>
      <c r="K1146" t="s">
        <v>171</v>
      </c>
      <c r="L1146" s="8">
        <f t="shared" si="17"/>
        <v>0.77108433734939763</v>
      </c>
    </row>
    <row r="1147" spans="1:12">
      <c r="A1147" t="s">
        <v>248</v>
      </c>
      <c r="B1147">
        <v>1967</v>
      </c>
      <c r="C1147" t="s">
        <v>77</v>
      </c>
      <c r="D1147">
        <v>62.72</v>
      </c>
      <c r="E1147">
        <v>205</v>
      </c>
      <c r="F1147">
        <v>160</v>
      </c>
      <c r="G1147">
        <v>185</v>
      </c>
      <c r="H1147">
        <v>550</v>
      </c>
      <c r="I1147">
        <v>2015</v>
      </c>
      <c r="J1147" t="s">
        <v>852</v>
      </c>
      <c r="K1147" t="s">
        <v>171</v>
      </c>
      <c r="L1147" s="8">
        <f t="shared" si="17"/>
        <v>0.86486486486486491</v>
      </c>
    </row>
    <row r="1148" spans="1:12">
      <c r="A1148" t="s">
        <v>184</v>
      </c>
      <c r="B1148">
        <v>1972</v>
      </c>
      <c r="C1148" t="s">
        <v>62</v>
      </c>
      <c r="D1148">
        <v>81.709999999999994</v>
      </c>
      <c r="E1148">
        <v>237.5</v>
      </c>
      <c r="F1148">
        <v>157.5</v>
      </c>
      <c r="G1148">
        <v>220</v>
      </c>
      <c r="H1148">
        <v>615</v>
      </c>
      <c r="I1148">
        <v>2012</v>
      </c>
      <c r="J1148" t="s">
        <v>852</v>
      </c>
      <c r="K1148" t="s">
        <v>171</v>
      </c>
      <c r="L1148" s="8">
        <f t="shared" si="17"/>
        <v>0.71590909090909094</v>
      </c>
    </row>
    <row r="1149" spans="1:12">
      <c r="A1149" t="s">
        <v>330</v>
      </c>
      <c r="B1149">
        <v>1988</v>
      </c>
      <c r="C1149" t="s">
        <v>903</v>
      </c>
      <c r="D1149">
        <v>80.400000000000006</v>
      </c>
      <c r="E1149">
        <v>262.5</v>
      </c>
      <c r="F1149">
        <v>157.5</v>
      </c>
      <c r="G1149">
        <v>210</v>
      </c>
      <c r="H1149">
        <v>630</v>
      </c>
      <c r="I1149">
        <v>2014</v>
      </c>
      <c r="J1149" t="s">
        <v>852</v>
      </c>
      <c r="K1149" t="s">
        <v>171</v>
      </c>
      <c r="L1149" s="8">
        <f t="shared" si="17"/>
        <v>0.75</v>
      </c>
    </row>
    <row r="1150" spans="1:12">
      <c r="A1150" t="s">
        <v>195</v>
      </c>
      <c r="B1150">
        <v>1985</v>
      </c>
      <c r="C1150" t="s">
        <v>49</v>
      </c>
      <c r="D1150">
        <v>70.989999999999995</v>
      </c>
      <c r="E1150">
        <v>248</v>
      </c>
      <c r="F1150">
        <v>157.5</v>
      </c>
      <c r="G1150">
        <v>210</v>
      </c>
      <c r="H1150">
        <v>615.5</v>
      </c>
      <c r="I1150">
        <v>2012</v>
      </c>
      <c r="J1150" t="s">
        <v>852</v>
      </c>
      <c r="K1150" t="s">
        <v>171</v>
      </c>
      <c r="L1150" s="8">
        <f t="shared" si="17"/>
        <v>0.75</v>
      </c>
    </row>
    <row r="1151" spans="1:12">
      <c r="A1151" t="s">
        <v>883</v>
      </c>
      <c r="B1151">
        <v>1988</v>
      </c>
      <c r="C1151" t="s">
        <v>119</v>
      </c>
      <c r="D1151">
        <v>72</v>
      </c>
      <c r="E1151">
        <v>232.5</v>
      </c>
      <c r="F1151">
        <v>157.5</v>
      </c>
      <c r="G1151">
        <v>207.5</v>
      </c>
      <c r="H1151">
        <v>597.5</v>
      </c>
      <c r="I1151">
        <v>2012</v>
      </c>
      <c r="J1151" t="s">
        <v>852</v>
      </c>
      <c r="K1151" t="s">
        <v>171</v>
      </c>
      <c r="L1151" s="8">
        <f t="shared" si="17"/>
        <v>0.75903614457831325</v>
      </c>
    </row>
    <row r="1152" spans="1:12">
      <c r="A1152" t="s">
        <v>989</v>
      </c>
      <c r="B1152">
        <v>1982</v>
      </c>
      <c r="C1152" t="s">
        <v>28</v>
      </c>
      <c r="D1152">
        <v>62.49</v>
      </c>
      <c r="E1152">
        <v>215</v>
      </c>
      <c r="F1152">
        <v>157.5</v>
      </c>
      <c r="G1152">
        <v>200</v>
      </c>
      <c r="H1152">
        <v>572.5</v>
      </c>
      <c r="I1152">
        <v>2012</v>
      </c>
      <c r="J1152" t="s">
        <v>852</v>
      </c>
      <c r="K1152" t="s">
        <v>171</v>
      </c>
      <c r="L1152" s="8">
        <f t="shared" si="17"/>
        <v>0.78749999999999998</v>
      </c>
    </row>
    <row r="1153" spans="1:12">
      <c r="A1153" t="s">
        <v>248</v>
      </c>
      <c r="B1153">
        <v>1967</v>
      </c>
      <c r="C1153" t="s">
        <v>77</v>
      </c>
      <c r="D1153">
        <v>62.72</v>
      </c>
      <c r="E1153">
        <v>207.5</v>
      </c>
      <c r="F1153">
        <v>157.5</v>
      </c>
      <c r="G1153">
        <v>192.5</v>
      </c>
      <c r="H1153">
        <v>557.5</v>
      </c>
      <c r="I1153">
        <v>2012</v>
      </c>
      <c r="J1153" t="s">
        <v>852</v>
      </c>
      <c r="K1153" t="s">
        <v>171</v>
      </c>
      <c r="L1153" s="8">
        <f t="shared" si="17"/>
        <v>0.81818181818181823</v>
      </c>
    </row>
    <row r="1154" spans="1:12">
      <c r="A1154" t="s">
        <v>197</v>
      </c>
      <c r="B1154">
        <v>1990</v>
      </c>
      <c r="C1154" t="s">
        <v>74</v>
      </c>
      <c r="D1154">
        <v>123.95</v>
      </c>
      <c r="E1154">
        <v>265</v>
      </c>
      <c r="F1154">
        <v>157.5</v>
      </c>
      <c r="G1154">
        <v>190</v>
      </c>
      <c r="H1154">
        <v>612.5</v>
      </c>
      <c r="I1154">
        <v>2013</v>
      </c>
      <c r="J1154" t="s">
        <v>852</v>
      </c>
      <c r="K1154" t="s">
        <v>171</v>
      </c>
      <c r="L1154" s="8">
        <f t="shared" si="17"/>
        <v>0.82894736842105265</v>
      </c>
    </row>
    <row r="1155" spans="1:12">
      <c r="A1155" t="s">
        <v>301</v>
      </c>
      <c r="B1155">
        <v>1972</v>
      </c>
      <c r="C1155" t="s">
        <v>62</v>
      </c>
      <c r="D1155">
        <v>71.55</v>
      </c>
      <c r="E1155">
        <v>220</v>
      </c>
      <c r="F1155">
        <v>155</v>
      </c>
      <c r="G1155">
        <v>247.5</v>
      </c>
      <c r="H1155">
        <v>622.5</v>
      </c>
      <c r="I1155">
        <v>2015</v>
      </c>
      <c r="J1155" t="s">
        <v>852</v>
      </c>
      <c r="K1155" t="s">
        <v>171</v>
      </c>
      <c r="L1155" s="8">
        <f t="shared" ref="L1155:L1218" si="18">IF(AND(F1155&lt;&gt;0,G1155&lt;&gt;0),F1155/G1155,"")</f>
        <v>0.6262626262626263</v>
      </c>
    </row>
    <row r="1156" spans="1:12">
      <c r="A1156" t="s">
        <v>196</v>
      </c>
      <c r="B1156">
        <v>1984</v>
      </c>
      <c r="C1156" t="s">
        <v>74</v>
      </c>
      <c r="D1156">
        <v>90.05</v>
      </c>
      <c r="E1156">
        <v>275</v>
      </c>
      <c r="F1156">
        <v>155</v>
      </c>
      <c r="G1156">
        <v>227.5</v>
      </c>
      <c r="H1156">
        <v>657.5</v>
      </c>
      <c r="I1156">
        <v>2013</v>
      </c>
      <c r="J1156" t="s">
        <v>852</v>
      </c>
      <c r="K1156" t="s">
        <v>171</v>
      </c>
      <c r="L1156" s="8">
        <f t="shared" si="18"/>
        <v>0.68131868131868134</v>
      </c>
    </row>
    <row r="1157" spans="1:12">
      <c r="A1157" t="s">
        <v>197</v>
      </c>
      <c r="B1157">
        <v>1990</v>
      </c>
      <c r="C1157" t="s">
        <v>888</v>
      </c>
      <c r="D1157">
        <v>124.48</v>
      </c>
      <c r="E1157">
        <v>0</v>
      </c>
      <c r="F1157">
        <v>155</v>
      </c>
      <c r="G1157">
        <v>195</v>
      </c>
      <c r="H1157">
        <v>0</v>
      </c>
      <c r="I1157">
        <v>2014</v>
      </c>
      <c r="J1157" t="s">
        <v>852</v>
      </c>
      <c r="K1157" t="s">
        <v>171</v>
      </c>
      <c r="L1157" s="8">
        <f t="shared" si="18"/>
        <v>0.79487179487179482</v>
      </c>
    </row>
    <row r="1158" spans="1:12">
      <c r="A1158" t="s">
        <v>196</v>
      </c>
      <c r="B1158">
        <v>1984</v>
      </c>
      <c r="C1158" t="s">
        <v>74</v>
      </c>
      <c r="D1158">
        <v>89.89</v>
      </c>
      <c r="E1158">
        <v>255</v>
      </c>
      <c r="F1158">
        <v>152.5</v>
      </c>
      <c r="G1158">
        <v>220</v>
      </c>
      <c r="H1158">
        <v>627.5</v>
      </c>
      <c r="I1158">
        <v>2015</v>
      </c>
      <c r="J1158" t="s">
        <v>852</v>
      </c>
      <c r="K1158" t="s">
        <v>171</v>
      </c>
      <c r="L1158" s="8">
        <f t="shared" si="18"/>
        <v>0.69318181818181823</v>
      </c>
    </row>
    <row r="1159" spans="1:12">
      <c r="A1159" t="s">
        <v>316</v>
      </c>
      <c r="B1159">
        <v>1988</v>
      </c>
      <c r="C1159" t="s">
        <v>878</v>
      </c>
      <c r="D1159">
        <v>71.400000000000006</v>
      </c>
      <c r="E1159">
        <v>222.5</v>
      </c>
      <c r="F1159">
        <v>152.5</v>
      </c>
      <c r="G1159">
        <v>212.5</v>
      </c>
      <c r="H1159">
        <v>587.5</v>
      </c>
      <c r="I1159">
        <v>2014</v>
      </c>
      <c r="J1159" t="s">
        <v>852</v>
      </c>
      <c r="K1159" t="s">
        <v>171</v>
      </c>
      <c r="L1159" s="8">
        <f t="shared" si="18"/>
        <v>0.71764705882352942</v>
      </c>
    </row>
    <row r="1160" spans="1:12">
      <c r="A1160" t="s">
        <v>860</v>
      </c>
      <c r="B1160">
        <v>1985</v>
      </c>
      <c r="C1160" t="s">
        <v>119</v>
      </c>
      <c r="D1160">
        <v>62.8</v>
      </c>
      <c r="E1160">
        <v>220</v>
      </c>
      <c r="F1160">
        <v>152.5</v>
      </c>
      <c r="G1160">
        <v>197.5</v>
      </c>
      <c r="H1160">
        <v>570</v>
      </c>
      <c r="I1160">
        <v>2012</v>
      </c>
      <c r="J1160" t="s">
        <v>852</v>
      </c>
      <c r="K1160" t="s">
        <v>171</v>
      </c>
      <c r="L1160" s="8">
        <f t="shared" si="18"/>
        <v>0.77215189873417722</v>
      </c>
    </row>
    <row r="1161" spans="1:12">
      <c r="A1161" t="s">
        <v>1023</v>
      </c>
      <c r="B1161">
        <v>1988</v>
      </c>
      <c r="C1161" t="s">
        <v>113</v>
      </c>
      <c r="D1161">
        <v>71.64</v>
      </c>
      <c r="E1161">
        <v>215</v>
      </c>
      <c r="F1161">
        <v>152.5</v>
      </c>
      <c r="G1161">
        <v>192.5</v>
      </c>
      <c r="H1161">
        <v>560</v>
      </c>
      <c r="I1161">
        <v>2013</v>
      </c>
      <c r="J1161" t="s">
        <v>852</v>
      </c>
      <c r="K1161" t="s">
        <v>171</v>
      </c>
      <c r="L1161" s="8">
        <f t="shared" si="18"/>
        <v>0.79220779220779225</v>
      </c>
    </row>
    <row r="1162" spans="1:12">
      <c r="A1162" t="s">
        <v>197</v>
      </c>
      <c r="B1162">
        <v>1990</v>
      </c>
      <c r="C1162" t="s">
        <v>74</v>
      </c>
      <c r="D1162">
        <v>125.41</v>
      </c>
      <c r="E1162">
        <v>262.5</v>
      </c>
      <c r="F1162">
        <v>152.5</v>
      </c>
      <c r="G1162">
        <v>182.5</v>
      </c>
      <c r="H1162">
        <v>597.5</v>
      </c>
      <c r="I1162">
        <v>2015</v>
      </c>
      <c r="J1162" t="s">
        <v>852</v>
      </c>
      <c r="K1162" t="s">
        <v>171</v>
      </c>
      <c r="L1162" s="8">
        <f t="shared" si="18"/>
        <v>0.83561643835616439</v>
      </c>
    </row>
    <row r="1163" spans="1:12">
      <c r="A1163" t="s">
        <v>898</v>
      </c>
      <c r="B1163">
        <v>1980</v>
      </c>
      <c r="C1163" t="s">
        <v>336</v>
      </c>
      <c r="D1163">
        <v>96.31</v>
      </c>
      <c r="E1163">
        <v>200</v>
      </c>
      <c r="F1163">
        <v>152.5</v>
      </c>
      <c r="G1163">
        <v>177.5</v>
      </c>
      <c r="H1163">
        <v>530</v>
      </c>
      <c r="I1163">
        <v>2013</v>
      </c>
      <c r="J1163" t="s">
        <v>852</v>
      </c>
      <c r="K1163" t="s">
        <v>171</v>
      </c>
      <c r="L1163" s="8">
        <f t="shared" si="18"/>
        <v>0.85915492957746475</v>
      </c>
    </row>
    <row r="1164" spans="1:12">
      <c r="A1164" t="s">
        <v>945</v>
      </c>
      <c r="B1164">
        <v>1990</v>
      </c>
      <c r="C1164" t="s">
        <v>119</v>
      </c>
      <c r="D1164">
        <v>78.89</v>
      </c>
      <c r="E1164">
        <v>260</v>
      </c>
      <c r="F1164">
        <v>150</v>
      </c>
      <c r="G1164">
        <v>250.5</v>
      </c>
      <c r="H1164">
        <v>660.5</v>
      </c>
      <c r="I1164">
        <v>2012</v>
      </c>
      <c r="J1164" t="s">
        <v>852</v>
      </c>
      <c r="K1164" t="s">
        <v>171</v>
      </c>
      <c r="L1164" s="8">
        <f t="shared" si="18"/>
        <v>0.59880239520958078</v>
      </c>
    </row>
    <row r="1165" spans="1:12">
      <c r="A1165" t="s">
        <v>301</v>
      </c>
      <c r="B1165">
        <v>1972</v>
      </c>
      <c r="C1165" t="s">
        <v>876</v>
      </c>
      <c r="D1165">
        <v>71.7</v>
      </c>
      <c r="E1165">
        <v>230</v>
      </c>
      <c r="F1165">
        <v>150</v>
      </c>
      <c r="G1165">
        <v>247.5</v>
      </c>
      <c r="H1165">
        <v>627.5</v>
      </c>
      <c r="I1165">
        <v>2014</v>
      </c>
      <c r="J1165" t="s">
        <v>852</v>
      </c>
      <c r="K1165" t="s">
        <v>171</v>
      </c>
      <c r="L1165" s="8">
        <f t="shared" si="18"/>
        <v>0.60606060606060608</v>
      </c>
    </row>
    <row r="1166" spans="1:12">
      <c r="A1166" t="s">
        <v>860</v>
      </c>
      <c r="B1166">
        <v>1985</v>
      </c>
      <c r="C1166" t="s">
        <v>119</v>
      </c>
      <c r="D1166">
        <v>62.8</v>
      </c>
      <c r="E1166">
        <v>227.5</v>
      </c>
      <c r="F1166">
        <v>150</v>
      </c>
      <c r="G1166">
        <v>202.5</v>
      </c>
      <c r="H1166">
        <v>580</v>
      </c>
      <c r="I1166">
        <v>2013</v>
      </c>
      <c r="J1166" t="s">
        <v>852</v>
      </c>
      <c r="K1166" t="s">
        <v>171</v>
      </c>
      <c r="L1166" s="8">
        <f t="shared" si="18"/>
        <v>0.7407407407407407</v>
      </c>
    </row>
    <row r="1167" spans="1:12">
      <c r="A1167" t="s">
        <v>211</v>
      </c>
      <c r="B1167">
        <v>1988</v>
      </c>
      <c r="C1167" t="s">
        <v>903</v>
      </c>
      <c r="D1167">
        <v>62.28</v>
      </c>
      <c r="E1167">
        <v>212.5</v>
      </c>
      <c r="F1167">
        <v>150</v>
      </c>
      <c r="G1167">
        <v>192.5</v>
      </c>
      <c r="H1167">
        <v>555</v>
      </c>
      <c r="I1167">
        <v>2014</v>
      </c>
      <c r="J1167" t="s">
        <v>852</v>
      </c>
      <c r="K1167" t="s">
        <v>171</v>
      </c>
      <c r="L1167" s="8">
        <f t="shared" si="18"/>
        <v>0.77922077922077926</v>
      </c>
    </row>
    <row r="1168" spans="1:12">
      <c r="A1168" t="s">
        <v>190</v>
      </c>
      <c r="B1168">
        <v>1980</v>
      </c>
      <c r="C1168" t="s">
        <v>867</v>
      </c>
      <c r="D1168">
        <v>62.24</v>
      </c>
      <c r="E1168">
        <v>207.5</v>
      </c>
      <c r="F1168">
        <v>150</v>
      </c>
      <c r="G1168">
        <v>185</v>
      </c>
      <c r="H1168">
        <v>542.5</v>
      </c>
      <c r="I1168">
        <v>2014</v>
      </c>
      <c r="J1168" t="s">
        <v>852</v>
      </c>
      <c r="K1168" t="s">
        <v>171</v>
      </c>
      <c r="L1168" s="8">
        <f t="shared" si="18"/>
        <v>0.81081081081081086</v>
      </c>
    </row>
    <row r="1169" spans="1:12">
      <c r="A1169" t="s">
        <v>196</v>
      </c>
      <c r="B1169">
        <v>1984</v>
      </c>
      <c r="C1169" t="s">
        <v>74</v>
      </c>
      <c r="D1169">
        <v>88.17</v>
      </c>
      <c r="E1169">
        <v>255</v>
      </c>
      <c r="F1169">
        <v>147.5</v>
      </c>
      <c r="G1169">
        <v>235</v>
      </c>
      <c r="H1169">
        <v>637.5</v>
      </c>
      <c r="I1169">
        <v>2012</v>
      </c>
      <c r="J1169" t="s">
        <v>852</v>
      </c>
      <c r="K1169" t="s">
        <v>171</v>
      </c>
      <c r="L1169" s="8">
        <f t="shared" si="18"/>
        <v>0.62765957446808507</v>
      </c>
    </row>
    <row r="1170" spans="1:12">
      <c r="A1170" t="s">
        <v>306</v>
      </c>
      <c r="B1170">
        <v>1991</v>
      </c>
      <c r="C1170" t="s">
        <v>45</v>
      </c>
      <c r="D1170">
        <v>83.33</v>
      </c>
      <c r="E1170">
        <v>235</v>
      </c>
      <c r="F1170">
        <v>147.5</v>
      </c>
      <c r="G1170">
        <v>202.5</v>
      </c>
      <c r="H1170">
        <v>585</v>
      </c>
      <c r="I1170">
        <v>2015</v>
      </c>
      <c r="J1170" t="s">
        <v>852</v>
      </c>
      <c r="K1170" t="s">
        <v>171</v>
      </c>
      <c r="L1170" s="8">
        <f t="shared" si="18"/>
        <v>0.72839506172839508</v>
      </c>
    </row>
    <row r="1171" spans="1:12">
      <c r="A1171" t="s">
        <v>176</v>
      </c>
      <c r="B1171">
        <v>1970</v>
      </c>
      <c r="C1171" t="s">
        <v>45</v>
      </c>
      <c r="D1171">
        <v>81.78</v>
      </c>
      <c r="E1171">
        <v>240</v>
      </c>
      <c r="F1171">
        <v>145</v>
      </c>
      <c r="G1171">
        <v>220</v>
      </c>
      <c r="H1171">
        <v>605</v>
      </c>
      <c r="I1171">
        <v>2012</v>
      </c>
      <c r="J1171" t="s">
        <v>852</v>
      </c>
      <c r="K1171" t="s">
        <v>171</v>
      </c>
      <c r="L1171" s="8">
        <f t="shared" si="18"/>
        <v>0.65909090909090906</v>
      </c>
    </row>
    <row r="1172" spans="1:12">
      <c r="A1172" t="s">
        <v>1036</v>
      </c>
      <c r="B1172">
        <v>1980</v>
      </c>
      <c r="C1172" t="s">
        <v>28</v>
      </c>
      <c r="D1172">
        <v>78.22</v>
      </c>
      <c r="E1172">
        <v>232.5</v>
      </c>
      <c r="F1172">
        <v>145</v>
      </c>
      <c r="G1172">
        <v>215</v>
      </c>
      <c r="H1172">
        <v>592.5</v>
      </c>
      <c r="I1172">
        <v>2012</v>
      </c>
      <c r="J1172" t="s">
        <v>852</v>
      </c>
      <c r="K1172" t="s">
        <v>171</v>
      </c>
      <c r="L1172" s="8">
        <f t="shared" si="18"/>
        <v>0.67441860465116277</v>
      </c>
    </row>
    <row r="1173" spans="1:12">
      <c r="A1173" t="s">
        <v>176</v>
      </c>
      <c r="B1173">
        <v>1970</v>
      </c>
      <c r="C1173" t="s">
        <v>45</v>
      </c>
      <c r="D1173">
        <v>83.18</v>
      </c>
      <c r="E1173">
        <v>247.5</v>
      </c>
      <c r="F1173">
        <v>145</v>
      </c>
      <c r="G1173">
        <v>210</v>
      </c>
      <c r="H1173">
        <v>602.5</v>
      </c>
      <c r="I1173">
        <v>2015</v>
      </c>
      <c r="J1173" t="s">
        <v>852</v>
      </c>
      <c r="K1173" t="s">
        <v>171</v>
      </c>
      <c r="L1173" s="8">
        <f t="shared" si="18"/>
        <v>0.69047619047619047</v>
      </c>
    </row>
    <row r="1174" spans="1:12">
      <c r="A1174" t="s">
        <v>943</v>
      </c>
      <c r="B1174">
        <v>1989</v>
      </c>
      <c r="C1174" t="s">
        <v>119</v>
      </c>
      <c r="D1174">
        <v>71.010000000000005</v>
      </c>
      <c r="E1174">
        <v>255</v>
      </c>
      <c r="F1174">
        <v>145</v>
      </c>
      <c r="G1174">
        <v>190</v>
      </c>
      <c r="H1174">
        <v>590</v>
      </c>
      <c r="I1174">
        <v>2013</v>
      </c>
      <c r="J1174" t="s">
        <v>852</v>
      </c>
      <c r="K1174" t="s">
        <v>171</v>
      </c>
      <c r="L1174" s="8">
        <f t="shared" si="18"/>
        <v>0.76315789473684215</v>
      </c>
    </row>
    <row r="1175" spans="1:12">
      <c r="A1175" t="s">
        <v>1023</v>
      </c>
      <c r="B1175">
        <v>1988</v>
      </c>
      <c r="C1175" t="s">
        <v>113</v>
      </c>
      <c r="D1175">
        <v>71.510000000000005</v>
      </c>
      <c r="E1175">
        <v>217.5</v>
      </c>
      <c r="F1175">
        <v>145</v>
      </c>
      <c r="G1175">
        <v>190</v>
      </c>
      <c r="H1175">
        <v>552.5</v>
      </c>
      <c r="I1175">
        <v>2012</v>
      </c>
      <c r="J1175" t="s">
        <v>852</v>
      </c>
      <c r="K1175" t="s">
        <v>171</v>
      </c>
      <c r="L1175" s="8">
        <f t="shared" si="18"/>
        <v>0.76315789473684215</v>
      </c>
    </row>
    <row r="1176" spans="1:12">
      <c r="A1176" t="s">
        <v>1007</v>
      </c>
      <c r="B1176">
        <v>1984</v>
      </c>
      <c r="C1176" t="s">
        <v>280</v>
      </c>
      <c r="D1176">
        <v>60.4</v>
      </c>
      <c r="E1176">
        <v>220</v>
      </c>
      <c r="F1176">
        <v>142.5</v>
      </c>
      <c r="G1176">
        <v>225</v>
      </c>
      <c r="H1176">
        <v>587.5</v>
      </c>
      <c r="I1176">
        <v>2012</v>
      </c>
      <c r="J1176" t="s">
        <v>852</v>
      </c>
      <c r="K1176" t="s">
        <v>171</v>
      </c>
      <c r="L1176" s="8">
        <f t="shared" si="18"/>
        <v>0.6333333333333333</v>
      </c>
    </row>
    <row r="1177" spans="1:12">
      <c r="A1177" t="s">
        <v>176</v>
      </c>
      <c r="B1177">
        <v>1970</v>
      </c>
      <c r="C1177" t="s">
        <v>45</v>
      </c>
      <c r="D1177">
        <v>82.14</v>
      </c>
      <c r="E1177">
        <v>235</v>
      </c>
      <c r="F1177">
        <v>142.5</v>
      </c>
      <c r="G1177">
        <v>210</v>
      </c>
      <c r="H1177">
        <v>587.5</v>
      </c>
      <c r="I1177">
        <v>2013</v>
      </c>
      <c r="J1177" t="s">
        <v>852</v>
      </c>
      <c r="K1177" t="s">
        <v>171</v>
      </c>
      <c r="L1177" s="8">
        <f t="shared" si="18"/>
        <v>0.6785714285714286</v>
      </c>
    </row>
    <row r="1178" spans="1:12">
      <c r="A1178" t="s">
        <v>329</v>
      </c>
      <c r="B1178">
        <v>1986</v>
      </c>
      <c r="C1178" t="s">
        <v>318</v>
      </c>
      <c r="D1178">
        <v>70.540000000000006</v>
      </c>
      <c r="E1178">
        <v>197.5</v>
      </c>
      <c r="F1178">
        <v>142.5</v>
      </c>
      <c r="G1178">
        <v>207.5</v>
      </c>
      <c r="H1178">
        <v>547.5</v>
      </c>
      <c r="I1178">
        <v>2013</v>
      </c>
      <c r="J1178" t="s">
        <v>852</v>
      </c>
      <c r="K1178" t="s">
        <v>171</v>
      </c>
      <c r="L1178" s="8">
        <f t="shared" si="18"/>
        <v>0.68674698795180722</v>
      </c>
    </row>
    <row r="1179" spans="1:12">
      <c r="A1179" t="s">
        <v>256</v>
      </c>
      <c r="B1179">
        <v>1985</v>
      </c>
      <c r="C1179" t="s">
        <v>39</v>
      </c>
      <c r="D1179">
        <v>71.349999999999994</v>
      </c>
      <c r="E1179">
        <v>210</v>
      </c>
      <c r="F1179">
        <v>142.5</v>
      </c>
      <c r="G1179">
        <v>190</v>
      </c>
      <c r="H1179">
        <v>542.5</v>
      </c>
      <c r="I1179">
        <v>2015</v>
      </c>
      <c r="J1179" t="s">
        <v>852</v>
      </c>
      <c r="K1179" t="s">
        <v>171</v>
      </c>
      <c r="L1179" s="8">
        <f t="shared" si="18"/>
        <v>0.75</v>
      </c>
    </row>
    <row r="1180" spans="1:12">
      <c r="A1180" t="s">
        <v>925</v>
      </c>
      <c r="B1180">
        <v>1989</v>
      </c>
      <c r="C1180" t="s">
        <v>45</v>
      </c>
      <c r="D1180">
        <v>61.02</v>
      </c>
      <c r="E1180">
        <v>195</v>
      </c>
      <c r="F1180">
        <v>142.5</v>
      </c>
      <c r="G1180">
        <v>190</v>
      </c>
      <c r="H1180">
        <v>527.5</v>
      </c>
      <c r="I1180">
        <v>2013</v>
      </c>
      <c r="J1180" t="s">
        <v>852</v>
      </c>
      <c r="K1180" t="s">
        <v>171</v>
      </c>
      <c r="L1180" s="8">
        <f t="shared" si="18"/>
        <v>0.75</v>
      </c>
    </row>
    <row r="1181" spans="1:12">
      <c r="A1181" t="s">
        <v>986</v>
      </c>
      <c r="B1181">
        <v>1985</v>
      </c>
      <c r="C1181" t="s">
        <v>28</v>
      </c>
      <c r="D1181">
        <v>56.44</v>
      </c>
      <c r="E1181">
        <v>0</v>
      </c>
      <c r="F1181">
        <v>142.5</v>
      </c>
      <c r="G1181">
        <v>180</v>
      </c>
      <c r="H1181">
        <v>0</v>
      </c>
      <c r="I1181">
        <v>2013</v>
      </c>
      <c r="J1181" t="s">
        <v>852</v>
      </c>
      <c r="K1181" t="s">
        <v>171</v>
      </c>
      <c r="L1181" s="8">
        <f t="shared" si="18"/>
        <v>0.79166666666666663</v>
      </c>
    </row>
    <row r="1182" spans="1:12">
      <c r="A1182" t="s">
        <v>305</v>
      </c>
      <c r="B1182">
        <v>1988</v>
      </c>
      <c r="C1182" t="s">
        <v>125</v>
      </c>
      <c r="D1182">
        <v>71.16</v>
      </c>
      <c r="E1182">
        <v>162.5</v>
      </c>
      <c r="F1182">
        <v>142.5</v>
      </c>
      <c r="G1182">
        <v>152.5</v>
      </c>
      <c r="H1182">
        <v>457.5</v>
      </c>
      <c r="I1182">
        <v>2015</v>
      </c>
      <c r="J1182" t="s">
        <v>852</v>
      </c>
      <c r="K1182" t="s">
        <v>171</v>
      </c>
      <c r="L1182" s="8">
        <f t="shared" si="18"/>
        <v>0.93442622950819676</v>
      </c>
    </row>
    <row r="1183" spans="1:12">
      <c r="A1183" t="s">
        <v>314</v>
      </c>
      <c r="B1183">
        <v>1984</v>
      </c>
      <c r="C1183" t="s">
        <v>280</v>
      </c>
      <c r="D1183">
        <v>56.03</v>
      </c>
      <c r="E1183">
        <v>216</v>
      </c>
      <c r="F1183">
        <v>141</v>
      </c>
      <c r="G1183">
        <v>190</v>
      </c>
      <c r="H1183">
        <v>547</v>
      </c>
      <c r="I1183">
        <v>2013</v>
      </c>
      <c r="J1183" t="s">
        <v>852</v>
      </c>
      <c r="K1183" t="s">
        <v>171</v>
      </c>
      <c r="L1183" s="8">
        <f t="shared" si="18"/>
        <v>0.74210526315789471</v>
      </c>
    </row>
    <row r="1184" spans="1:12">
      <c r="A1184" t="s">
        <v>898</v>
      </c>
      <c r="B1184">
        <v>1980</v>
      </c>
      <c r="C1184" t="s">
        <v>336</v>
      </c>
      <c r="D1184">
        <v>99.6</v>
      </c>
      <c r="E1184">
        <v>210</v>
      </c>
      <c r="F1184">
        <v>140</v>
      </c>
      <c r="G1184">
        <v>212.5</v>
      </c>
      <c r="H1184">
        <v>562.5</v>
      </c>
      <c r="I1184">
        <v>2012</v>
      </c>
      <c r="J1184" t="s">
        <v>852</v>
      </c>
      <c r="K1184" t="s">
        <v>171</v>
      </c>
      <c r="L1184" s="8">
        <f t="shared" si="18"/>
        <v>0.6588235294117647</v>
      </c>
    </row>
    <row r="1185" spans="1:12">
      <c r="A1185" t="s">
        <v>934</v>
      </c>
      <c r="B1185">
        <v>1985</v>
      </c>
      <c r="C1185" t="s">
        <v>464</v>
      </c>
      <c r="D1185">
        <v>73.11</v>
      </c>
      <c r="E1185">
        <v>210</v>
      </c>
      <c r="F1185">
        <v>140</v>
      </c>
      <c r="G1185">
        <v>205</v>
      </c>
      <c r="H1185">
        <v>555</v>
      </c>
      <c r="I1185">
        <v>2012</v>
      </c>
      <c r="J1185" t="s">
        <v>852</v>
      </c>
      <c r="K1185" t="s">
        <v>171</v>
      </c>
      <c r="L1185" s="8">
        <f t="shared" si="18"/>
        <v>0.68292682926829273</v>
      </c>
    </row>
    <row r="1186" spans="1:12">
      <c r="A1186" t="s">
        <v>176</v>
      </c>
      <c r="B1186">
        <v>1970</v>
      </c>
      <c r="C1186" t="s">
        <v>862</v>
      </c>
      <c r="D1186">
        <v>82.02</v>
      </c>
      <c r="E1186">
        <v>237.5</v>
      </c>
      <c r="F1186">
        <v>140</v>
      </c>
      <c r="G1186">
        <v>197.5</v>
      </c>
      <c r="H1186">
        <v>575</v>
      </c>
      <c r="I1186">
        <v>2014</v>
      </c>
      <c r="J1186" t="s">
        <v>852</v>
      </c>
      <c r="K1186" t="s">
        <v>171</v>
      </c>
      <c r="L1186" s="8">
        <f t="shared" si="18"/>
        <v>0.70886075949367089</v>
      </c>
    </row>
    <row r="1187" spans="1:12">
      <c r="A1187" t="s">
        <v>1040</v>
      </c>
      <c r="B1187">
        <v>1988</v>
      </c>
      <c r="C1187" t="s">
        <v>62</v>
      </c>
      <c r="D1187">
        <v>70.209999999999994</v>
      </c>
      <c r="E1187">
        <v>210</v>
      </c>
      <c r="F1187">
        <v>140</v>
      </c>
      <c r="G1187">
        <v>185</v>
      </c>
      <c r="H1187">
        <v>535</v>
      </c>
      <c r="I1187">
        <v>2013</v>
      </c>
      <c r="J1187" t="s">
        <v>852</v>
      </c>
      <c r="K1187" t="s">
        <v>171</v>
      </c>
      <c r="L1187" s="8">
        <f t="shared" si="18"/>
        <v>0.7567567567567568</v>
      </c>
    </row>
    <row r="1188" spans="1:12">
      <c r="A1188" t="s">
        <v>190</v>
      </c>
      <c r="B1188">
        <v>1980</v>
      </c>
      <c r="C1188" t="s">
        <v>49</v>
      </c>
      <c r="D1188">
        <v>61.1</v>
      </c>
      <c r="E1188">
        <v>192.5</v>
      </c>
      <c r="F1188">
        <v>140</v>
      </c>
      <c r="G1188">
        <v>185</v>
      </c>
      <c r="H1188">
        <v>517.5</v>
      </c>
      <c r="I1188">
        <v>2015</v>
      </c>
      <c r="J1188" t="s">
        <v>852</v>
      </c>
      <c r="K1188" t="s">
        <v>171</v>
      </c>
      <c r="L1188" s="8">
        <f t="shared" si="18"/>
        <v>0.7567567567567568</v>
      </c>
    </row>
    <row r="1189" spans="1:12">
      <c r="A1189" t="s">
        <v>214</v>
      </c>
      <c r="B1189">
        <v>1990</v>
      </c>
      <c r="C1189" t="s">
        <v>45</v>
      </c>
      <c r="D1189">
        <v>71.17</v>
      </c>
      <c r="E1189">
        <v>235</v>
      </c>
      <c r="F1189">
        <v>137.5</v>
      </c>
      <c r="G1189">
        <v>222.5</v>
      </c>
      <c r="H1189">
        <v>595</v>
      </c>
      <c r="I1189">
        <v>2015</v>
      </c>
      <c r="J1189" t="s">
        <v>852</v>
      </c>
      <c r="K1189" t="s">
        <v>171</v>
      </c>
      <c r="L1189" s="8">
        <f t="shared" si="18"/>
        <v>0.6179775280898876</v>
      </c>
    </row>
    <row r="1190" spans="1:12">
      <c r="A1190" t="s">
        <v>308</v>
      </c>
      <c r="B1190">
        <v>1986</v>
      </c>
      <c r="C1190" t="s">
        <v>903</v>
      </c>
      <c r="D1190">
        <v>51.36</v>
      </c>
      <c r="E1190">
        <v>205</v>
      </c>
      <c r="F1190">
        <v>137.5</v>
      </c>
      <c r="G1190">
        <v>187.5</v>
      </c>
      <c r="H1190">
        <v>530</v>
      </c>
      <c r="I1190">
        <v>2014</v>
      </c>
      <c r="J1190" t="s">
        <v>852</v>
      </c>
      <c r="K1190" t="s">
        <v>171</v>
      </c>
      <c r="L1190" s="8">
        <f t="shared" si="18"/>
        <v>0.73333333333333328</v>
      </c>
    </row>
    <row r="1191" spans="1:12">
      <c r="A1191" t="s">
        <v>254</v>
      </c>
      <c r="B1191">
        <v>1977</v>
      </c>
      <c r="C1191" t="s">
        <v>45</v>
      </c>
      <c r="D1191">
        <v>71.349999999999994</v>
      </c>
      <c r="E1191">
        <v>207.5</v>
      </c>
      <c r="F1191">
        <v>137.5</v>
      </c>
      <c r="G1191">
        <v>177.5</v>
      </c>
      <c r="H1191">
        <v>522.5</v>
      </c>
      <c r="I1191">
        <v>2015</v>
      </c>
      <c r="J1191" t="s">
        <v>852</v>
      </c>
      <c r="K1191" t="s">
        <v>171</v>
      </c>
      <c r="L1191" s="8">
        <f t="shared" si="18"/>
        <v>0.77464788732394363</v>
      </c>
    </row>
    <row r="1192" spans="1:12">
      <c r="A1192" t="s">
        <v>291</v>
      </c>
      <c r="B1192">
        <v>1976</v>
      </c>
      <c r="C1192" t="s">
        <v>51</v>
      </c>
      <c r="D1192">
        <v>117.39</v>
      </c>
      <c r="E1192">
        <v>200</v>
      </c>
      <c r="F1192">
        <v>137.5</v>
      </c>
      <c r="G1192">
        <v>160</v>
      </c>
      <c r="H1192">
        <v>497.5</v>
      </c>
      <c r="I1192">
        <v>2015</v>
      </c>
      <c r="J1192" t="s">
        <v>852</v>
      </c>
      <c r="K1192" t="s">
        <v>171</v>
      </c>
      <c r="L1192" s="8">
        <f t="shared" si="18"/>
        <v>0.859375</v>
      </c>
    </row>
    <row r="1193" spans="1:12">
      <c r="A1193" t="s">
        <v>331</v>
      </c>
      <c r="B1193">
        <v>1989</v>
      </c>
      <c r="C1193" t="s">
        <v>119</v>
      </c>
      <c r="D1193">
        <v>80.11</v>
      </c>
      <c r="E1193">
        <v>252.5</v>
      </c>
      <c r="F1193">
        <v>135</v>
      </c>
      <c r="G1193">
        <v>220</v>
      </c>
      <c r="H1193">
        <v>607.5</v>
      </c>
      <c r="I1193">
        <v>2015</v>
      </c>
      <c r="J1193" t="s">
        <v>852</v>
      </c>
      <c r="K1193" t="s">
        <v>171</v>
      </c>
      <c r="L1193" s="8">
        <f t="shared" si="18"/>
        <v>0.61363636363636365</v>
      </c>
    </row>
    <row r="1194" spans="1:12">
      <c r="A1194" t="s">
        <v>1007</v>
      </c>
      <c r="B1194">
        <v>1984</v>
      </c>
      <c r="C1194" t="s">
        <v>280</v>
      </c>
      <c r="D1194">
        <v>60.52</v>
      </c>
      <c r="E1194">
        <v>220</v>
      </c>
      <c r="F1194">
        <v>135</v>
      </c>
      <c r="G1194">
        <v>220</v>
      </c>
      <c r="H1194">
        <v>575</v>
      </c>
      <c r="I1194">
        <v>2013</v>
      </c>
      <c r="J1194" t="s">
        <v>852</v>
      </c>
      <c r="K1194" t="s">
        <v>171</v>
      </c>
      <c r="L1194" s="8">
        <f t="shared" si="18"/>
        <v>0.61363636363636365</v>
      </c>
    </row>
    <row r="1195" spans="1:12">
      <c r="A1195" t="s">
        <v>875</v>
      </c>
      <c r="B1195">
        <v>1961</v>
      </c>
      <c r="C1195" t="s">
        <v>45</v>
      </c>
      <c r="D1195">
        <v>71.73</v>
      </c>
      <c r="E1195">
        <v>215</v>
      </c>
      <c r="F1195">
        <v>135</v>
      </c>
      <c r="G1195">
        <v>205</v>
      </c>
      <c r="H1195">
        <v>555</v>
      </c>
      <c r="I1195">
        <v>2012</v>
      </c>
      <c r="J1195" t="s">
        <v>852</v>
      </c>
      <c r="K1195" t="s">
        <v>171</v>
      </c>
      <c r="L1195" s="8">
        <f t="shared" si="18"/>
        <v>0.65853658536585369</v>
      </c>
    </row>
    <row r="1196" spans="1:12">
      <c r="A1196" t="s">
        <v>1018</v>
      </c>
      <c r="B1196">
        <v>1984</v>
      </c>
      <c r="C1196" t="s">
        <v>280</v>
      </c>
      <c r="D1196">
        <v>56.38</v>
      </c>
      <c r="E1196">
        <v>215</v>
      </c>
      <c r="F1196">
        <v>135</v>
      </c>
      <c r="G1196">
        <v>195</v>
      </c>
      <c r="H1196">
        <v>545</v>
      </c>
      <c r="I1196">
        <v>2012</v>
      </c>
      <c r="J1196" t="s">
        <v>852</v>
      </c>
      <c r="K1196" t="s">
        <v>171</v>
      </c>
      <c r="L1196" s="8">
        <f t="shared" si="18"/>
        <v>0.69230769230769229</v>
      </c>
    </row>
    <row r="1197" spans="1:12">
      <c r="A1197" t="s">
        <v>314</v>
      </c>
      <c r="B1197">
        <v>1984</v>
      </c>
      <c r="C1197" t="s">
        <v>280</v>
      </c>
      <c r="D1197">
        <v>56.34</v>
      </c>
      <c r="E1197">
        <v>210</v>
      </c>
      <c r="F1197">
        <v>135</v>
      </c>
      <c r="G1197">
        <v>192.5</v>
      </c>
      <c r="H1197">
        <v>537.5</v>
      </c>
      <c r="I1197">
        <v>2015</v>
      </c>
      <c r="J1197" t="s">
        <v>852</v>
      </c>
      <c r="K1197" t="s">
        <v>171</v>
      </c>
      <c r="L1197" s="8">
        <f t="shared" si="18"/>
        <v>0.70129870129870131</v>
      </c>
    </row>
    <row r="1198" spans="1:12">
      <c r="A1198" t="s">
        <v>998</v>
      </c>
      <c r="B1198">
        <v>1986</v>
      </c>
      <c r="C1198" t="s">
        <v>28</v>
      </c>
      <c r="D1198">
        <v>56.86</v>
      </c>
      <c r="E1198">
        <v>217.5</v>
      </c>
      <c r="F1198">
        <v>135</v>
      </c>
      <c r="G1198">
        <v>190</v>
      </c>
      <c r="H1198">
        <v>542.5</v>
      </c>
      <c r="I1198">
        <v>2013</v>
      </c>
      <c r="J1198" t="s">
        <v>852</v>
      </c>
      <c r="K1198" t="s">
        <v>171</v>
      </c>
      <c r="L1198" s="8">
        <f t="shared" si="18"/>
        <v>0.71052631578947367</v>
      </c>
    </row>
    <row r="1199" spans="1:12">
      <c r="A1199" t="s">
        <v>858</v>
      </c>
      <c r="B1199">
        <v>1993</v>
      </c>
      <c r="C1199" t="s">
        <v>859</v>
      </c>
      <c r="D1199">
        <v>62.94</v>
      </c>
      <c r="E1199">
        <v>190</v>
      </c>
      <c r="F1199">
        <v>135</v>
      </c>
      <c r="G1199">
        <v>182.5</v>
      </c>
      <c r="H1199">
        <v>507.5</v>
      </c>
      <c r="I1199">
        <v>2014</v>
      </c>
      <c r="J1199" t="s">
        <v>852</v>
      </c>
      <c r="K1199" t="s">
        <v>171</v>
      </c>
      <c r="L1199" s="8">
        <f t="shared" si="18"/>
        <v>0.73972602739726023</v>
      </c>
    </row>
    <row r="1200" spans="1:12">
      <c r="A1200" t="s">
        <v>308</v>
      </c>
      <c r="B1200">
        <v>1986</v>
      </c>
      <c r="C1200" t="s">
        <v>28</v>
      </c>
      <c r="D1200">
        <v>50.96</v>
      </c>
      <c r="E1200">
        <v>210</v>
      </c>
      <c r="F1200">
        <v>135</v>
      </c>
      <c r="G1200">
        <v>180</v>
      </c>
      <c r="H1200">
        <v>525</v>
      </c>
      <c r="I1200">
        <v>2015</v>
      </c>
      <c r="J1200" t="s">
        <v>852</v>
      </c>
      <c r="K1200" t="s">
        <v>171</v>
      </c>
      <c r="L1200" s="8">
        <f t="shared" si="18"/>
        <v>0.75</v>
      </c>
    </row>
    <row r="1201" spans="1:12">
      <c r="A1201" t="s">
        <v>1046</v>
      </c>
      <c r="B1201">
        <v>1990</v>
      </c>
      <c r="C1201" t="s">
        <v>282</v>
      </c>
      <c r="D1201">
        <v>109.98</v>
      </c>
      <c r="E1201">
        <v>215</v>
      </c>
      <c r="F1201">
        <v>132.5</v>
      </c>
      <c r="G1201">
        <v>215</v>
      </c>
      <c r="H1201">
        <v>562.5</v>
      </c>
      <c r="I1201">
        <v>2013</v>
      </c>
      <c r="J1201" t="s">
        <v>852</v>
      </c>
      <c r="K1201" t="s">
        <v>171</v>
      </c>
      <c r="L1201" s="8">
        <f t="shared" si="18"/>
        <v>0.61627906976744184</v>
      </c>
    </row>
    <row r="1202" spans="1:12">
      <c r="A1202" t="s">
        <v>329</v>
      </c>
      <c r="B1202">
        <v>1986</v>
      </c>
      <c r="C1202" t="s">
        <v>318</v>
      </c>
      <c r="D1202">
        <v>71.77</v>
      </c>
      <c r="E1202">
        <v>195</v>
      </c>
      <c r="F1202">
        <v>132.5</v>
      </c>
      <c r="G1202">
        <v>212.5</v>
      </c>
      <c r="H1202">
        <v>540</v>
      </c>
      <c r="I1202">
        <v>2012</v>
      </c>
      <c r="J1202" t="s">
        <v>852</v>
      </c>
      <c r="K1202" t="s">
        <v>171</v>
      </c>
      <c r="L1202" s="8">
        <f t="shared" si="18"/>
        <v>0.62352941176470589</v>
      </c>
    </row>
    <row r="1203" spans="1:12">
      <c r="A1203" t="s">
        <v>976</v>
      </c>
      <c r="B1203">
        <v>1970</v>
      </c>
      <c r="C1203" t="s">
        <v>977</v>
      </c>
      <c r="D1203">
        <v>79.34</v>
      </c>
      <c r="E1203">
        <v>195</v>
      </c>
      <c r="F1203">
        <v>132.5</v>
      </c>
      <c r="G1203">
        <v>195</v>
      </c>
      <c r="H1203">
        <v>522.5</v>
      </c>
      <c r="I1203">
        <v>2014</v>
      </c>
      <c r="J1203" t="s">
        <v>852</v>
      </c>
      <c r="K1203" t="s">
        <v>171</v>
      </c>
      <c r="L1203" s="8">
        <f t="shared" si="18"/>
        <v>0.67948717948717952</v>
      </c>
    </row>
    <row r="1204" spans="1:12">
      <c r="A1204" t="s">
        <v>220</v>
      </c>
      <c r="B1204">
        <v>1970</v>
      </c>
      <c r="C1204" t="s">
        <v>77</v>
      </c>
      <c r="D1204">
        <v>46.09</v>
      </c>
      <c r="E1204">
        <v>187.5</v>
      </c>
      <c r="F1204">
        <v>131.5</v>
      </c>
      <c r="G1204">
        <v>165</v>
      </c>
      <c r="H1204">
        <v>484</v>
      </c>
      <c r="I1204">
        <v>2015</v>
      </c>
      <c r="J1204" t="s">
        <v>852</v>
      </c>
      <c r="K1204" t="s">
        <v>171</v>
      </c>
      <c r="L1204" s="8">
        <f t="shared" si="18"/>
        <v>0.79696969696969699</v>
      </c>
    </row>
    <row r="1205" spans="1:12">
      <c r="A1205" t="s">
        <v>220</v>
      </c>
      <c r="B1205">
        <v>1970</v>
      </c>
      <c r="C1205" t="s">
        <v>911</v>
      </c>
      <c r="D1205">
        <v>46.42</v>
      </c>
      <c r="E1205">
        <v>170</v>
      </c>
      <c r="F1205">
        <v>130.5</v>
      </c>
      <c r="G1205">
        <v>167.5</v>
      </c>
      <c r="H1205">
        <v>468</v>
      </c>
      <c r="I1205">
        <v>2014</v>
      </c>
      <c r="J1205" t="s">
        <v>852</v>
      </c>
      <c r="K1205" t="s">
        <v>171</v>
      </c>
      <c r="L1205" s="8">
        <f t="shared" si="18"/>
        <v>0.77910447761194035</v>
      </c>
    </row>
    <row r="1206" spans="1:12">
      <c r="A1206" t="s">
        <v>279</v>
      </c>
      <c r="B1206">
        <v>1984</v>
      </c>
      <c r="C1206" t="s">
        <v>280</v>
      </c>
      <c r="D1206">
        <v>60.5</v>
      </c>
      <c r="E1206">
        <v>225</v>
      </c>
      <c r="F1206">
        <v>130</v>
      </c>
      <c r="G1206">
        <v>215</v>
      </c>
      <c r="H1206">
        <v>570</v>
      </c>
      <c r="I1206">
        <v>2015</v>
      </c>
      <c r="J1206" t="s">
        <v>852</v>
      </c>
      <c r="K1206" t="s">
        <v>171</v>
      </c>
      <c r="L1206" s="8">
        <f t="shared" si="18"/>
        <v>0.60465116279069764</v>
      </c>
    </row>
    <row r="1207" spans="1:12">
      <c r="A1207" t="s">
        <v>1046</v>
      </c>
      <c r="B1207">
        <v>1990</v>
      </c>
      <c r="C1207" t="s">
        <v>859</v>
      </c>
      <c r="D1207">
        <v>103.4</v>
      </c>
      <c r="E1207">
        <v>210</v>
      </c>
      <c r="F1207">
        <v>130</v>
      </c>
      <c r="G1207">
        <v>207.5</v>
      </c>
      <c r="H1207">
        <v>547.5</v>
      </c>
      <c r="I1207">
        <v>2014</v>
      </c>
      <c r="J1207" t="s">
        <v>852</v>
      </c>
      <c r="K1207" t="s">
        <v>171</v>
      </c>
      <c r="L1207" s="8">
        <f t="shared" si="18"/>
        <v>0.62650602409638556</v>
      </c>
    </row>
    <row r="1208" spans="1:12">
      <c r="A1208" t="s">
        <v>311</v>
      </c>
      <c r="B1208">
        <v>1983</v>
      </c>
      <c r="C1208" t="s">
        <v>51</v>
      </c>
      <c r="D1208">
        <v>83.58</v>
      </c>
      <c r="E1208">
        <v>210</v>
      </c>
      <c r="F1208">
        <v>130</v>
      </c>
      <c r="G1208">
        <v>200</v>
      </c>
      <c r="H1208">
        <v>540</v>
      </c>
      <c r="I1208">
        <v>2015</v>
      </c>
      <c r="J1208" t="s">
        <v>852</v>
      </c>
      <c r="K1208" t="s">
        <v>171</v>
      </c>
      <c r="L1208" s="8">
        <f t="shared" si="18"/>
        <v>0.65</v>
      </c>
    </row>
    <row r="1209" spans="1:12">
      <c r="A1209" t="s">
        <v>345</v>
      </c>
      <c r="B1209">
        <v>1986</v>
      </c>
      <c r="C1209" t="s">
        <v>74</v>
      </c>
      <c r="D1209">
        <v>56.15</v>
      </c>
      <c r="E1209">
        <v>205</v>
      </c>
      <c r="F1209">
        <v>130</v>
      </c>
      <c r="G1209">
        <v>195</v>
      </c>
      <c r="H1209">
        <v>530</v>
      </c>
      <c r="I1209">
        <v>2015</v>
      </c>
      <c r="J1209" t="s">
        <v>852</v>
      </c>
      <c r="K1209" t="s">
        <v>171</v>
      </c>
      <c r="L1209" s="8">
        <f t="shared" si="18"/>
        <v>0.66666666666666663</v>
      </c>
    </row>
    <row r="1210" spans="1:12">
      <c r="A1210" t="s">
        <v>345</v>
      </c>
      <c r="B1210">
        <v>1986</v>
      </c>
      <c r="C1210" t="s">
        <v>74</v>
      </c>
      <c r="D1210">
        <v>56.13</v>
      </c>
      <c r="E1210">
        <v>190</v>
      </c>
      <c r="F1210">
        <v>130</v>
      </c>
      <c r="G1210">
        <v>195</v>
      </c>
      <c r="H1210">
        <v>515</v>
      </c>
      <c r="I1210">
        <v>2013</v>
      </c>
      <c r="J1210" t="s">
        <v>852</v>
      </c>
      <c r="K1210" t="s">
        <v>171</v>
      </c>
      <c r="L1210" s="8">
        <f t="shared" si="18"/>
        <v>0.66666666666666663</v>
      </c>
    </row>
    <row r="1211" spans="1:12">
      <c r="A1211" t="s">
        <v>311</v>
      </c>
      <c r="B1211">
        <v>1983</v>
      </c>
      <c r="C1211" t="s">
        <v>51</v>
      </c>
      <c r="D1211">
        <v>83.82</v>
      </c>
      <c r="E1211">
        <v>185</v>
      </c>
      <c r="F1211">
        <v>130</v>
      </c>
      <c r="G1211">
        <v>192.5</v>
      </c>
      <c r="H1211">
        <v>507.5</v>
      </c>
      <c r="I1211">
        <v>2012</v>
      </c>
      <c r="J1211" t="s">
        <v>852</v>
      </c>
      <c r="K1211" t="s">
        <v>171</v>
      </c>
      <c r="L1211" s="8">
        <f t="shared" si="18"/>
        <v>0.67532467532467533</v>
      </c>
    </row>
    <row r="1212" spans="1:12">
      <c r="A1212" t="s">
        <v>308</v>
      </c>
      <c r="B1212">
        <v>1986</v>
      </c>
      <c r="C1212" t="s">
        <v>28</v>
      </c>
      <c r="D1212">
        <v>50.75</v>
      </c>
      <c r="E1212">
        <v>202.5</v>
      </c>
      <c r="F1212">
        <v>130</v>
      </c>
      <c r="G1212">
        <v>190</v>
      </c>
      <c r="H1212">
        <v>522.5</v>
      </c>
      <c r="I1212">
        <v>2013</v>
      </c>
      <c r="J1212" t="s">
        <v>852</v>
      </c>
      <c r="K1212" t="s">
        <v>171</v>
      </c>
      <c r="L1212" s="8">
        <f t="shared" si="18"/>
        <v>0.68421052631578949</v>
      </c>
    </row>
    <row r="1213" spans="1:12">
      <c r="A1213" t="s">
        <v>908</v>
      </c>
      <c r="B1213">
        <v>1984</v>
      </c>
      <c r="C1213" t="s">
        <v>464</v>
      </c>
      <c r="D1213">
        <v>71.040000000000006</v>
      </c>
      <c r="E1213">
        <v>222.5</v>
      </c>
      <c r="F1213">
        <v>127.5</v>
      </c>
      <c r="G1213">
        <v>200</v>
      </c>
      <c r="H1213">
        <v>550</v>
      </c>
      <c r="I1213">
        <v>2012</v>
      </c>
      <c r="J1213" t="s">
        <v>852</v>
      </c>
      <c r="K1213" t="s">
        <v>171</v>
      </c>
      <c r="L1213" s="8">
        <f t="shared" si="18"/>
        <v>0.63749999999999996</v>
      </c>
    </row>
    <row r="1214" spans="1:12">
      <c r="A1214" t="s">
        <v>311</v>
      </c>
      <c r="B1214">
        <v>1983</v>
      </c>
      <c r="C1214" t="s">
        <v>905</v>
      </c>
      <c r="D1214">
        <v>83.82</v>
      </c>
      <c r="E1214">
        <v>207.5</v>
      </c>
      <c r="F1214">
        <v>127.5</v>
      </c>
      <c r="G1214">
        <v>195</v>
      </c>
      <c r="H1214">
        <v>530</v>
      </c>
      <c r="I1214">
        <v>2014</v>
      </c>
      <c r="J1214" t="s">
        <v>852</v>
      </c>
      <c r="K1214" t="s">
        <v>171</v>
      </c>
      <c r="L1214" s="8">
        <f t="shared" si="18"/>
        <v>0.65384615384615385</v>
      </c>
    </row>
    <row r="1215" spans="1:12">
      <c r="A1215" t="s">
        <v>993</v>
      </c>
      <c r="B1215">
        <v>1972</v>
      </c>
      <c r="C1215" t="s">
        <v>119</v>
      </c>
      <c r="D1215">
        <v>56.94</v>
      </c>
      <c r="E1215">
        <v>200</v>
      </c>
      <c r="F1215">
        <v>127.5</v>
      </c>
      <c r="G1215">
        <v>175</v>
      </c>
      <c r="H1215">
        <v>502.5</v>
      </c>
      <c r="I1215">
        <v>2012</v>
      </c>
      <c r="J1215" t="s">
        <v>852</v>
      </c>
      <c r="K1215" t="s">
        <v>171</v>
      </c>
      <c r="L1215" s="8">
        <f t="shared" si="18"/>
        <v>0.72857142857142854</v>
      </c>
    </row>
    <row r="1216" spans="1:12">
      <c r="A1216" t="s">
        <v>254</v>
      </c>
      <c r="B1216">
        <v>1977</v>
      </c>
      <c r="C1216" t="s">
        <v>862</v>
      </c>
      <c r="D1216">
        <v>71.92</v>
      </c>
      <c r="E1216">
        <v>197.5</v>
      </c>
      <c r="F1216">
        <v>127.5</v>
      </c>
      <c r="G1216">
        <v>175</v>
      </c>
      <c r="H1216">
        <v>500</v>
      </c>
      <c r="I1216">
        <v>2014</v>
      </c>
      <c r="J1216" t="s">
        <v>852</v>
      </c>
      <c r="K1216" t="s">
        <v>171</v>
      </c>
      <c r="L1216" s="8">
        <f t="shared" si="18"/>
        <v>0.72857142857142854</v>
      </c>
    </row>
    <row r="1217" spans="1:12">
      <c r="A1217" t="s">
        <v>301</v>
      </c>
      <c r="B1217">
        <v>1972</v>
      </c>
      <c r="C1217" t="s">
        <v>62</v>
      </c>
      <c r="D1217">
        <v>71.19</v>
      </c>
      <c r="E1217">
        <v>225</v>
      </c>
      <c r="F1217">
        <v>125</v>
      </c>
      <c r="G1217">
        <v>247.5</v>
      </c>
      <c r="H1217">
        <v>597.5</v>
      </c>
      <c r="I1217">
        <v>2012</v>
      </c>
      <c r="J1217" t="s">
        <v>852</v>
      </c>
      <c r="K1217" t="s">
        <v>171</v>
      </c>
      <c r="L1217" s="8">
        <f t="shared" si="18"/>
        <v>0.50505050505050508</v>
      </c>
    </row>
    <row r="1218" spans="1:12">
      <c r="A1218" t="s">
        <v>169</v>
      </c>
      <c r="B1218">
        <v>1981</v>
      </c>
      <c r="C1218" t="s">
        <v>851</v>
      </c>
      <c r="D1218">
        <v>93.1</v>
      </c>
      <c r="E1218">
        <v>215</v>
      </c>
      <c r="F1218">
        <v>125</v>
      </c>
      <c r="G1218">
        <v>217.5</v>
      </c>
      <c r="H1218">
        <v>557.5</v>
      </c>
      <c r="I1218">
        <v>2014</v>
      </c>
      <c r="J1218" t="s">
        <v>852</v>
      </c>
      <c r="K1218" t="s">
        <v>171</v>
      </c>
      <c r="L1218" s="8">
        <f t="shared" si="18"/>
        <v>0.57471264367816088</v>
      </c>
    </row>
    <row r="1219" spans="1:12">
      <c r="A1219" t="s">
        <v>953</v>
      </c>
      <c r="B1219">
        <v>1979</v>
      </c>
      <c r="C1219" t="s">
        <v>878</v>
      </c>
      <c r="D1219">
        <v>70.58</v>
      </c>
      <c r="E1219">
        <v>212.5</v>
      </c>
      <c r="F1219">
        <v>125</v>
      </c>
      <c r="G1219">
        <v>190</v>
      </c>
      <c r="H1219">
        <v>527.5</v>
      </c>
      <c r="I1219">
        <v>2014</v>
      </c>
      <c r="J1219" t="s">
        <v>852</v>
      </c>
      <c r="K1219" t="s">
        <v>171</v>
      </c>
      <c r="L1219" s="8">
        <f t="shared" ref="L1219:L1282" si="19">IF(AND(F1219&lt;&gt;0,G1219&lt;&gt;0),F1219/G1219,"")</f>
        <v>0.65789473684210531</v>
      </c>
    </row>
    <row r="1220" spans="1:12">
      <c r="A1220" t="s">
        <v>249</v>
      </c>
      <c r="B1220">
        <v>1985</v>
      </c>
      <c r="C1220" t="s">
        <v>119</v>
      </c>
      <c r="D1220">
        <v>51.69</v>
      </c>
      <c r="E1220">
        <v>185</v>
      </c>
      <c r="F1220">
        <v>125</v>
      </c>
      <c r="G1220">
        <v>185</v>
      </c>
      <c r="H1220">
        <v>495</v>
      </c>
      <c r="I1220">
        <v>2015</v>
      </c>
      <c r="J1220" t="s">
        <v>852</v>
      </c>
      <c r="K1220" t="s">
        <v>171</v>
      </c>
      <c r="L1220" s="8">
        <f t="shared" si="19"/>
        <v>0.67567567567567566</v>
      </c>
    </row>
    <row r="1221" spans="1:12">
      <c r="A1221" t="s">
        <v>872</v>
      </c>
      <c r="B1221">
        <v>1982</v>
      </c>
      <c r="C1221" t="s">
        <v>862</v>
      </c>
      <c r="D1221">
        <v>62.2</v>
      </c>
      <c r="E1221">
        <v>182.5</v>
      </c>
      <c r="F1221">
        <v>125</v>
      </c>
      <c r="G1221">
        <v>182.5</v>
      </c>
      <c r="H1221">
        <v>490</v>
      </c>
      <c r="I1221">
        <v>2014</v>
      </c>
      <c r="J1221" t="s">
        <v>852</v>
      </c>
      <c r="K1221" t="s">
        <v>171</v>
      </c>
      <c r="L1221" s="8">
        <f t="shared" si="19"/>
        <v>0.68493150684931503</v>
      </c>
    </row>
    <row r="1222" spans="1:12">
      <c r="A1222" t="s">
        <v>299</v>
      </c>
      <c r="B1222">
        <v>1967</v>
      </c>
      <c r="C1222" t="s">
        <v>300</v>
      </c>
      <c r="D1222">
        <v>86.78</v>
      </c>
      <c r="E1222">
        <v>222.5</v>
      </c>
      <c r="F1222">
        <v>125</v>
      </c>
      <c r="G1222">
        <v>180</v>
      </c>
      <c r="H1222">
        <v>527.5</v>
      </c>
      <c r="I1222">
        <v>2012</v>
      </c>
      <c r="J1222" t="s">
        <v>852</v>
      </c>
      <c r="K1222" t="s">
        <v>171</v>
      </c>
      <c r="L1222" s="8">
        <f t="shared" si="19"/>
        <v>0.69444444444444442</v>
      </c>
    </row>
    <row r="1223" spans="1:12">
      <c r="A1223" t="s">
        <v>308</v>
      </c>
      <c r="B1223">
        <v>1986</v>
      </c>
      <c r="C1223" t="s">
        <v>28</v>
      </c>
      <c r="D1223">
        <v>51.24</v>
      </c>
      <c r="E1223">
        <v>200</v>
      </c>
      <c r="F1223">
        <v>125</v>
      </c>
      <c r="G1223">
        <v>180</v>
      </c>
      <c r="H1223">
        <v>505</v>
      </c>
      <c r="I1223">
        <v>2012</v>
      </c>
      <c r="J1223" t="s">
        <v>852</v>
      </c>
      <c r="K1223" t="s">
        <v>171</v>
      </c>
      <c r="L1223" s="8">
        <f t="shared" si="19"/>
        <v>0.69444444444444442</v>
      </c>
    </row>
    <row r="1224" spans="1:12">
      <c r="A1224" t="s">
        <v>261</v>
      </c>
      <c r="B1224">
        <v>1977</v>
      </c>
      <c r="C1224" t="s">
        <v>62</v>
      </c>
      <c r="D1224">
        <v>56.66</v>
      </c>
      <c r="E1224">
        <v>185</v>
      </c>
      <c r="F1224">
        <v>125</v>
      </c>
      <c r="G1224">
        <v>175</v>
      </c>
      <c r="H1224">
        <v>485</v>
      </c>
      <c r="I1224">
        <v>2015</v>
      </c>
      <c r="J1224" t="s">
        <v>852</v>
      </c>
      <c r="K1224" t="s">
        <v>171</v>
      </c>
      <c r="L1224" s="8">
        <f t="shared" si="19"/>
        <v>0.7142857142857143</v>
      </c>
    </row>
    <row r="1225" spans="1:12">
      <c r="A1225" t="s">
        <v>214</v>
      </c>
      <c r="B1225">
        <v>1990</v>
      </c>
      <c r="C1225" t="s">
        <v>45</v>
      </c>
      <c r="D1225">
        <v>71.06</v>
      </c>
      <c r="E1225">
        <v>232.5</v>
      </c>
      <c r="F1225">
        <v>122.5</v>
      </c>
      <c r="G1225">
        <v>210</v>
      </c>
      <c r="H1225">
        <v>565</v>
      </c>
      <c r="I1225">
        <v>2013</v>
      </c>
      <c r="J1225" t="s">
        <v>852</v>
      </c>
      <c r="K1225" t="s">
        <v>171</v>
      </c>
      <c r="L1225" s="8">
        <f t="shared" si="19"/>
        <v>0.58333333333333337</v>
      </c>
    </row>
    <row r="1226" spans="1:12">
      <c r="A1226" t="s">
        <v>984</v>
      </c>
      <c r="B1226">
        <v>1968</v>
      </c>
      <c r="C1226" t="s">
        <v>54</v>
      </c>
      <c r="D1226">
        <v>71.73</v>
      </c>
      <c r="E1226">
        <v>207.5</v>
      </c>
      <c r="F1226">
        <v>122.5</v>
      </c>
      <c r="G1226">
        <v>210</v>
      </c>
      <c r="H1226">
        <v>540</v>
      </c>
      <c r="I1226">
        <v>2012</v>
      </c>
      <c r="J1226" t="s">
        <v>852</v>
      </c>
      <c r="K1226" t="s">
        <v>171</v>
      </c>
      <c r="L1226" s="8">
        <f t="shared" si="19"/>
        <v>0.58333333333333337</v>
      </c>
    </row>
    <row r="1227" spans="1:12">
      <c r="A1227" t="s">
        <v>984</v>
      </c>
      <c r="B1227">
        <v>1968</v>
      </c>
      <c r="C1227" t="s">
        <v>54</v>
      </c>
      <c r="D1227">
        <v>70.5</v>
      </c>
      <c r="E1227">
        <v>202.5</v>
      </c>
      <c r="F1227">
        <v>122.5</v>
      </c>
      <c r="G1227">
        <v>202.5</v>
      </c>
      <c r="H1227">
        <v>527.5</v>
      </c>
      <c r="I1227">
        <v>2013</v>
      </c>
      <c r="J1227" t="s">
        <v>852</v>
      </c>
      <c r="K1227" t="s">
        <v>171</v>
      </c>
      <c r="L1227" s="8">
        <f t="shared" si="19"/>
        <v>0.60493827160493829</v>
      </c>
    </row>
    <row r="1228" spans="1:12">
      <c r="A1228" t="s">
        <v>1051</v>
      </c>
      <c r="B1228">
        <v>1986</v>
      </c>
      <c r="C1228" t="s">
        <v>62</v>
      </c>
      <c r="D1228">
        <v>98.3</v>
      </c>
      <c r="E1228">
        <v>240</v>
      </c>
      <c r="F1228">
        <v>122.5</v>
      </c>
      <c r="G1228">
        <v>200</v>
      </c>
      <c r="H1228">
        <v>562.5</v>
      </c>
      <c r="I1228">
        <v>2012</v>
      </c>
      <c r="J1228" t="s">
        <v>852</v>
      </c>
      <c r="K1228" t="s">
        <v>171</v>
      </c>
      <c r="L1228" s="8">
        <f t="shared" si="19"/>
        <v>0.61250000000000004</v>
      </c>
    </row>
    <row r="1229" spans="1:12">
      <c r="A1229" t="s">
        <v>311</v>
      </c>
      <c r="B1229">
        <v>1983</v>
      </c>
      <c r="C1229" t="s">
        <v>51</v>
      </c>
      <c r="D1229">
        <v>83.63</v>
      </c>
      <c r="E1229">
        <v>202.5</v>
      </c>
      <c r="F1229">
        <v>122.5</v>
      </c>
      <c r="G1229">
        <v>185</v>
      </c>
      <c r="H1229">
        <v>510</v>
      </c>
      <c r="I1229">
        <v>2013</v>
      </c>
      <c r="J1229" t="s">
        <v>852</v>
      </c>
      <c r="K1229" t="s">
        <v>171</v>
      </c>
      <c r="L1229" s="8">
        <f t="shared" si="19"/>
        <v>0.66216216216216217</v>
      </c>
    </row>
    <row r="1230" spans="1:12">
      <c r="A1230" t="s">
        <v>872</v>
      </c>
      <c r="B1230">
        <v>1982</v>
      </c>
      <c r="C1230" t="s">
        <v>45</v>
      </c>
      <c r="D1230">
        <v>62.46</v>
      </c>
      <c r="E1230">
        <v>192.5</v>
      </c>
      <c r="F1230">
        <v>122.5</v>
      </c>
      <c r="G1230">
        <v>185</v>
      </c>
      <c r="H1230">
        <v>500</v>
      </c>
      <c r="I1230">
        <v>2013</v>
      </c>
      <c r="J1230" t="s">
        <v>852</v>
      </c>
      <c r="K1230" t="s">
        <v>171</v>
      </c>
      <c r="L1230" s="8">
        <f t="shared" si="19"/>
        <v>0.66216216216216217</v>
      </c>
    </row>
    <row r="1231" spans="1:12">
      <c r="A1231" t="s">
        <v>249</v>
      </c>
      <c r="B1231">
        <v>1985</v>
      </c>
      <c r="C1231" t="s">
        <v>901</v>
      </c>
      <c r="D1231">
        <v>51.52</v>
      </c>
      <c r="E1231">
        <v>185</v>
      </c>
      <c r="F1231">
        <v>122.5</v>
      </c>
      <c r="G1231">
        <v>180</v>
      </c>
      <c r="H1231">
        <v>487.5</v>
      </c>
      <c r="I1231">
        <v>2014</v>
      </c>
      <c r="J1231" t="s">
        <v>852</v>
      </c>
      <c r="K1231" t="s">
        <v>171</v>
      </c>
      <c r="L1231" s="8">
        <f t="shared" si="19"/>
        <v>0.68055555555555558</v>
      </c>
    </row>
    <row r="1232" spans="1:12">
      <c r="A1232" t="s">
        <v>328</v>
      </c>
      <c r="B1232">
        <v>1990</v>
      </c>
      <c r="C1232" t="s">
        <v>109</v>
      </c>
      <c r="D1232">
        <v>82.45</v>
      </c>
      <c r="E1232">
        <v>190</v>
      </c>
      <c r="F1232">
        <v>122.5</v>
      </c>
      <c r="G1232">
        <v>177.5</v>
      </c>
      <c r="H1232">
        <v>490</v>
      </c>
      <c r="I1232">
        <v>2015</v>
      </c>
      <c r="J1232" t="s">
        <v>852</v>
      </c>
      <c r="K1232" t="s">
        <v>171</v>
      </c>
      <c r="L1232" s="8">
        <f t="shared" si="19"/>
        <v>0.6901408450704225</v>
      </c>
    </row>
    <row r="1233" spans="1:12">
      <c r="A1233" t="s">
        <v>324</v>
      </c>
      <c r="B1233">
        <v>1976</v>
      </c>
      <c r="C1233" t="s">
        <v>49</v>
      </c>
      <c r="D1233">
        <v>62.78</v>
      </c>
      <c r="E1233">
        <v>230</v>
      </c>
      <c r="F1233">
        <v>120</v>
      </c>
      <c r="G1233">
        <v>212.5</v>
      </c>
      <c r="H1233">
        <v>562.5</v>
      </c>
      <c r="I1233">
        <v>2015</v>
      </c>
      <c r="J1233" t="s">
        <v>852</v>
      </c>
      <c r="K1233" t="s">
        <v>171</v>
      </c>
      <c r="L1233" s="8">
        <f t="shared" si="19"/>
        <v>0.56470588235294117</v>
      </c>
    </row>
    <row r="1234" spans="1:12">
      <c r="A1234" t="s">
        <v>268</v>
      </c>
      <c r="B1234">
        <v>1975</v>
      </c>
      <c r="C1234" t="s">
        <v>62</v>
      </c>
      <c r="D1234">
        <v>113.15</v>
      </c>
      <c r="E1234">
        <v>235</v>
      </c>
      <c r="F1234">
        <v>120</v>
      </c>
      <c r="G1234">
        <v>205</v>
      </c>
      <c r="H1234">
        <v>560</v>
      </c>
      <c r="I1234">
        <v>2015</v>
      </c>
      <c r="J1234" t="s">
        <v>852</v>
      </c>
      <c r="K1234" t="s">
        <v>171</v>
      </c>
      <c r="L1234" s="8">
        <f t="shared" si="19"/>
        <v>0.58536585365853655</v>
      </c>
    </row>
    <row r="1235" spans="1:12">
      <c r="A1235" t="s">
        <v>345</v>
      </c>
      <c r="B1235">
        <v>1986</v>
      </c>
      <c r="C1235" t="s">
        <v>888</v>
      </c>
      <c r="D1235">
        <v>56.38</v>
      </c>
      <c r="E1235">
        <v>197.5</v>
      </c>
      <c r="F1235">
        <v>120</v>
      </c>
      <c r="G1235">
        <v>197.5</v>
      </c>
      <c r="H1235">
        <v>515</v>
      </c>
      <c r="I1235">
        <v>2014</v>
      </c>
      <c r="J1235" t="s">
        <v>852</v>
      </c>
      <c r="K1235" t="s">
        <v>171</v>
      </c>
      <c r="L1235" s="8">
        <f t="shared" si="19"/>
        <v>0.60759493670886078</v>
      </c>
    </row>
    <row r="1236" spans="1:12">
      <c r="A1236" t="s">
        <v>345</v>
      </c>
      <c r="B1236">
        <v>1986</v>
      </c>
      <c r="C1236" t="s">
        <v>74</v>
      </c>
      <c r="D1236">
        <v>56.21</v>
      </c>
      <c r="E1236">
        <v>187.5</v>
      </c>
      <c r="F1236">
        <v>120</v>
      </c>
      <c r="G1236">
        <v>195</v>
      </c>
      <c r="H1236">
        <v>502.5</v>
      </c>
      <c r="I1236">
        <v>2012</v>
      </c>
      <c r="J1236" t="s">
        <v>852</v>
      </c>
      <c r="K1236" t="s">
        <v>171</v>
      </c>
      <c r="L1236" s="8">
        <f t="shared" si="19"/>
        <v>0.61538461538461542</v>
      </c>
    </row>
    <row r="1237" spans="1:12">
      <c r="A1237" t="s">
        <v>208</v>
      </c>
      <c r="B1237">
        <v>1987</v>
      </c>
      <c r="C1237" t="s">
        <v>119</v>
      </c>
      <c r="D1237">
        <v>51.03</v>
      </c>
      <c r="E1237">
        <v>187.5</v>
      </c>
      <c r="F1237">
        <v>120</v>
      </c>
      <c r="G1237">
        <v>190</v>
      </c>
      <c r="H1237">
        <v>497.5</v>
      </c>
      <c r="I1237">
        <v>2015</v>
      </c>
      <c r="J1237" t="s">
        <v>852</v>
      </c>
      <c r="K1237" t="s">
        <v>171</v>
      </c>
      <c r="L1237" s="8">
        <f t="shared" si="19"/>
        <v>0.63157894736842102</v>
      </c>
    </row>
    <row r="1238" spans="1:12">
      <c r="A1238" t="s">
        <v>953</v>
      </c>
      <c r="B1238">
        <v>1979</v>
      </c>
      <c r="C1238" t="s">
        <v>113</v>
      </c>
      <c r="D1238">
        <v>70.88</v>
      </c>
      <c r="E1238">
        <v>207.5</v>
      </c>
      <c r="F1238">
        <v>120</v>
      </c>
      <c r="G1238">
        <v>187.5</v>
      </c>
      <c r="H1238">
        <v>515</v>
      </c>
      <c r="I1238">
        <v>2012</v>
      </c>
      <c r="J1238" t="s">
        <v>852</v>
      </c>
      <c r="K1238" t="s">
        <v>171</v>
      </c>
      <c r="L1238" s="8">
        <f t="shared" si="19"/>
        <v>0.64</v>
      </c>
    </row>
    <row r="1239" spans="1:12">
      <c r="A1239" t="s">
        <v>227</v>
      </c>
      <c r="B1239">
        <v>1974</v>
      </c>
      <c r="C1239" t="s">
        <v>228</v>
      </c>
      <c r="D1239">
        <v>62.72</v>
      </c>
      <c r="E1239">
        <v>180</v>
      </c>
      <c r="F1239">
        <v>120</v>
      </c>
      <c r="G1239">
        <v>172.5</v>
      </c>
      <c r="H1239">
        <v>472.5</v>
      </c>
      <c r="I1239">
        <v>2015</v>
      </c>
      <c r="J1239" t="s">
        <v>852</v>
      </c>
      <c r="K1239" t="s">
        <v>171</v>
      </c>
      <c r="L1239" s="8">
        <f t="shared" si="19"/>
        <v>0.69565217391304346</v>
      </c>
    </row>
    <row r="1240" spans="1:12">
      <c r="A1240" t="s">
        <v>249</v>
      </c>
      <c r="B1240">
        <v>1985</v>
      </c>
      <c r="C1240" t="s">
        <v>119</v>
      </c>
      <c r="D1240">
        <v>51.98</v>
      </c>
      <c r="E1240">
        <v>192.5</v>
      </c>
      <c r="F1240">
        <v>120</v>
      </c>
      <c r="G1240">
        <v>170</v>
      </c>
      <c r="H1240">
        <v>482.5</v>
      </c>
      <c r="I1240">
        <v>2013</v>
      </c>
      <c r="J1240" t="s">
        <v>852</v>
      </c>
      <c r="K1240" t="s">
        <v>171</v>
      </c>
      <c r="L1240" s="8">
        <f t="shared" si="19"/>
        <v>0.70588235294117652</v>
      </c>
    </row>
    <row r="1241" spans="1:12">
      <c r="A1241" t="s">
        <v>174</v>
      </c>
      <c r="B1241">
        <v>1988</v>
      </c>
      <c r="C1241" t="s">
        <v>137</v>
      </c>
      <c r="D1241">
        <v>56.58</v>
      </c>
      <c r="E1241">
        <v>160</v>
      </c>
      <c r="F1241">
        <v>120</v>
      </c>
      <c r="G1241">
        <v>135</v>
      </c>
      <c r="H1241">
        <v>415</v>
      </c>
      <c r="I1241">
        <v>2015</v>
      </c>
      <c r="J1241" t="s">
        <v>852</v>
      </c>
      <c r="K1241" t="s">
        <v>171</v>
      </c>
      <c r="L1241" s="8">
        <f t="shared" si="19"/>
        <v>0.88888888888888884</v>
      </c>
    </row>
    <row r="1242" spans="1:12">
      <c r="A1242" t="s">
        <v>984</v>
      </c>
      <c r="B1242">
        <v>1968</v>
      </c>
      <c r="C1242" t="s">
        <v>851</v>
      </c>
      <c r="D1242">
        <v>71.56</v>
      </c>
      <c r="E1242">
        <v>207.5</v>
      </c>
      <c r="F1242">
        <v>117.5</v>
      </c>
      <c r="G1242">
        <v>195</v>
      </c>
      <c r="H1242">
        <v>520</v>
      </c>
      <c r="I1242">
        <v>2014</v>
      </c>
      <c r="J1242" t="s">
        <v>852</v>
      </c>
      <c r="K1242" t="s">
        <v>171</v>
      </c>
      <c r="L1242" s="8">
        <f t="shared" si="19"/>
        <v>0.60256410256410253</v>
      </c>
    </row>
    <row r="1243" spans="1:12">
      <c r="A1243" t="s">
        <v>995</v>
      </c>
      <c r="B1243">
        <v>1974</v>
      </c>
      <c r="C1243" t="s">
        <v>80</v>
      </c>
      <c r="D1243">
        <v>56.88</v>
      </c>
      <c r="E1243">
        <v>205</v>
      </c>
      <c r="F1243">
        <v>117.5</v>
      </c>
      <c r="G1243">
        <v>180</v>
      </c>
      <c r="H1243">
        <v>502.5</v>
      </c>
      <c r="I1243">
        <v>2012</v>
      </c>
      <c r="J1243" t="s">
        <v>852</v>
      </c>
      <c r="K1243" t="s">
        <v>171</v>
      </c>
      <c r="L1243" s="8">
        <f t="shared" si="19"/>
        <v>0.65277777777777779</v>
      </c>
    </row>
    <row r="1244" spans="1:12">
      <c r="A1244" t="s">
        <v>220</v>
      </c>
      <c r="B1244">
        <v>1970</v>
      </c>
      <c r="C1244" t="s">
        <v>77</v>
      </c>
      <c r="D1244">
        <v>45.67</v>
      </c>
      <c r="E1244">
        <v>175</v>
      </c>
      <c r="F1244">
        <v>117.5</v>
      </c>
      <c r="G1244">
        <v>157.5</v>
      </c>
      <c r="H1244">
        <v>450</v>
      </c>
      <c r="I1244">
        <v>2012</v>
      </c>
      <c r="J1244" t="s">
        <v>852</v>
      </c>
      <c r="K1244" t="s">
        <v>171</v>
      </c>
      <c r="L1244" s="8">
        <f t="shared" si="19"/>
        <v>0.74603174603174605</v>
      </c>
    </row>
    <row r="1245" spans="1:12">
      <c r="A1245" t="s">
        <v>866</v>
      </c>
      <c r="B1245">
        <v>1986</v>
      </c>
      <c r="C1245" t="s">
        <v>336</v>
      </c>
      <c r="D1245">
        <v>83.91</v>
      </c>
      <c r="E1245">
        <v>170</v>
      </c>
      <c r="F1245">
        <v>117.5</v>
      </c>
      <c r="G1245">
        <v>150</v>
      </c>
      <c r="H1245">
        <v>437.5</v>
      </c>
      <c r="I1245">
        <v>2013</v>
      </c>
      <c r="J1245" t="s">
        <v>852</v>
      </c>
      <c r="K1245" t="s">
        <v>171</v>
      </c>
      <c r="L1245" s="8">
        <f t="shared" si="19"/>
        <v>0.78333333333333333</v>
      </c>
    </row>
    <row r="1246" spans="1:12">
      <c r="A1246" t="s">
        <v>324</v>
      </c>
      <c r="B1246">
        <v>1976</v>
      </c>
      <c r="C1246" t="s">
        <v>867</v>
      </c>
      <c r="D1246">
        <v>61.68</v>
      </c>
      <c r="E1246">
        <v>232.5</v>
      </c>
      <c r="F1246">
        <v>115</v>
      </c>
      <c r="G1246">
        <v>210</v>
      </c>
      <c r="H1246">
        <v>557.5</v>
      </c>
      <c r="I1246">
        <v>2014</v>
      </c>
      <c r="J1246" t="s">
        <v>852</v>
      </c>
      <c r="K1246" t="s">
        <v>171</v>
      </c>
      <c r="L1246" s="8">
        <f t="shared" si="19"/>
        <v>0.54761904761904767</v>
      </c>
    </row>
    <row r="1247" spans="1:12">
      <c r="A1247" t="s">
        <v>873</v>
      </c>
      <c r="B1247">
        <v>1991</v>
      </c>
      <c r="C1247" t="s">
        <v>85</v>
      </c>
      <c r="D1247">
        <v>82.9</v>
      </c>
      <c r="E1247">
        <v>227.5</v>
      </c>
      <c r="F1247">
        <v>115</v>
      </c>
      <c r="G1247">
        <v>202.5</v>
      </c>
      <c r="H1247">
        <v>545</v>
      </c>
      <c r="I1247">
        <v>2013</v>
      </c>
      <c r="J1247" t="s">
        <v>852</v>
      </c>
      <c r="K1247" t="s">
        <v>171</v>
      </c>
      <c r="L1247" s="8">
        <f t="shared" si="19"/>
        <v>0.5679012345679012</v>
      </c>
    </row>
    <row r="1248" spans="1:12">
      <c r="A1248" t="s">
        <v>208</v>
      </c>
      <c r="B1248">
        <v>1987</v>
      </c>
      <c r="C1248" t="s">
        <v>901</v>
      </c>
      <c r="D1248">
        <v>50.7</v>
      </c>
      <c r="E1248">
        <v>182.5</v>
      </c>
      <c r="F1248">
        <v>115</v>
      </c>
      <c r="G1248">
        <v>185</v>
      </c>
      <c r="H1248">
        <v>482.5</v>
      </c>
      <c r="I1248">
        <v>2014</v>
      </c>
      <c r="J1248" t="s">
        <v>852</v>
      </c>
      <c r="K1248" t="s">
        <v>171</v>
      </c>
      <c r="L1248" s="8">
        <f t="shared" si="19"/>
        <v>0.6216216216216216</v>
      </c>
    </row>
    <row r="1249" spans="1:12">
      <c r="A1249" t="s">
        <v>872</v>
      </c>
      <c r="B1249">
        <v>1982</v>
      </c>
      <c r="C1249" t="s">
        <v>45</v>
      </c>
      <c r="D1249">
        <v>62.87</v>
      </c>
      <c r="E1249">
        <v>177.5</v>
      </c>
      <c r="F1249">
        <v>115</v>
      </c>
      <c r="G1249">
        <v>177.5</v>
      </c>
      <c r="H1249">
        <v>470</v>
      </c>
      <c r="I1249">
        <v>2012</v>
      </c>
      <c r="J1249" t="s">
        <v>852</v>
      </c>
      <c r="K1249" t="s">
        <v>171</v>
      </c>
      <c r="L1249" s="8">
        <f t="shared" si="19"/>
        <v>0.647887323943662</v>
      </c>
    </row>
    <row r="1250" spans="1:12">
      <c r="A1250" t="s">
        <v>980</v>
      </c>
      <c r="B1250">
        <v>1985</v>
      </c>
      <c r="C1250" t="s">
        <v>45</v>
      </c>
      <c r="D1250">
        <v>69.36</v>
      </c>
      <c r="E1250">
        <v>200</v>
      </c>
      <c r="F1250">
        <v>115</v>
      </c>
      <c r="G1250">
        <v>175</v>
      </c>
      <c r="H1250">
        <v>490</v>
      </c>
      <c r="I1250">
        <v>2013</v>
      </c>
      <c r="J1250" t="s">
        <v>852</v>
      </c>
      <c r="K1250" t="s">
        <v>171</v>
      </c>
      <c r="L1250" s="8">
        <f t="shared" si="19"/>
        <v>0.65714285714285714</v>
      </c>
    </row>
    <row r="1251" spans="1:12">
      <c r="A1251" t="s">
        <v>292</v>
      </c>
      <c r="B1251">
        <v>1992</v>
      </c>
      <c r="C1251" t="s">
        <v>119</v>
      </c>
      <c r="D1251">
        <v>62.94</v>
      </c>
      <c r="E1251">
        <v>170</v>
      </c>
      <c r="F1251">
        <v>115</v>
      </c>
      <c r="G1251">
        <v>175</v>
      </c>
      <c r="H1251">
        <v>460</v>
      </c>
      <c r="I1251">
        <v>2015</v>
      </c>
      <c r="J1251" t="s">
        <v>852</v>
      </c>
      <c r="K1251" t="s">
        <v>171</v>
      </c>
      <c r="L1251" s="8">
        <f t="shared" si="19"/>
        <v>0.65714285714285714</v>
      </c>
    </row>
    <row r="1252" spans="1:12">
      <c r="A1252" t="s">
        <v>1027</v>
      </c>
      <c r="B1252">
        <v>1986</v>
      </c>
      <c r="C1252" t="s">
        <v>903</v>
      </c>
      <c r="D1252">
        <v>46.86</v>
      </c>
      <c r="E1252">
        <v>180</v>
      </c>
      <c r="F1252">
        <v>115</v>
      </c>
      <c r="G1252">
        <v>162.5</v>
      </c>
      <c r="H1252">
        <v>457.5</v>
      </c>
      <c r="I1252">
        <v>2014</v>
      </c>
      <c r="J1252" t="s">
        <v>852</v>
      </c>
      <c r="K1252" t="s">
        <v>171</v>
      </c>
      <c r="L1252" s="8">
        <f t="shared" si="19"/>
        <v>0.70769230769230773</v>
      </c>
    </row>
    <row r="1253" spans="1:12">
      <c r="A1253" t="s">
        <v>927</v>
      </c>
      <c r="B1253">
        <v>1984</v>
      </c>
      <c r="C1253" t="s">
        <v>62</v>
      </c>
      <c r="D1253">
        <v>62.12</v>
      </c>
      <c r="E1253">
        <v>205</v>
      </c>
      <c r="F1253">
        <v>112.5</v>
      </c>
      <c r="G1253">
        <v>220</v>
      </c>
      <c r="H1253">
        <v>537.5</v>
      </c>
      <c r="I1253">
        <v>2012</v>
      </c>
      <c r="J1253" t="s">
        <v>852</v>
      </c>
      <c r="K1253" t="s">
        <v>171</v>
      </c>
      <c r="L1253" s="8">
        <f t="shared" si="19"/>
        <v>0.51136363636363635</v>
      </c>
    </row>
    <row r="1254" spans="1:12">
      <c r="A1254" t="s">
        <v>861</v>
      </c>
      <c r="B1254">
        <v>1980</v>
      </c>
      <c r="C1254" t="s">
        <v>464</v>
      </c>
      <c r="D1254">
        <v>62.06</v>
      </c>
      <c r="E1254">
        <v>210</v>
      </c>
      <c r="F1254">
        <v>112.5</v>
      </c>
      <c r="G1254">
        <v>210</v>
      </c>
      <c r="H1254">
        <v>532.5</v>
      </c>
      <c r="I1254">
        <v>2012</v>
      </c>
      <c r="J1254" t="s">
        <v>852</v>
      </c>
      <c r="K1254" t="s">
        <v>171</v>
      </c>
      <c r="L1254" s="8">
        <f t="shared" si="19"/>
        <v>0.5357142857142857</v>
      </c>
    </row>
    <row r="1255" spans="1:12">
      <c r="A1255" t="s">
        <v>962</v>
      </c>
      <c r="B1255">
        <v>1988</v>
      </c>
      <c r="C1255" t="s">
        <v>859</v>
      </c>
      <c r="D1255">
        <v>59.82</v>
      </c>
      <c r="E1255">
        <v>197.5</v>
      </c>
      <c r="F1255">
        <v>112.5</v>
      </c>
      <c r="G1255">
        <v>195</v>
      </c>
      <c r="H1255">
        <v>505</v>
      </c>
      <c r="I1255">
        <v>2014</v>
      </c>
      <c r="J1255" t="s">
        <v>852</v>
      </c>
      <c r="K1255" t="s">
        <v>171</v>
      </c>
      <c r="L1255" s="8">
        <f t="shared" si="19"/>
        <v>0.57692307692307687</v>
      </c>
    </row>
    <row r="1256" spans="1:12">
      <c r="A1256" t="s">
        <v>208</v>
      </c>
      <c r="B1256">
        <v>1987</v>
      </c>
      <c r="C1256" t="s">
        <v>119</v>
      </c>
      <c r="D1256">
        <v>51.28</v>
      </c>
      <c r="E1256">
        <v>185</v>
      </c>
      <c r="F1256">
        <v>112.5</v>
      </c>
      <c r="G1256">
        <v>185</v>
      </c>
      <c r="H1256">
        <v>482.5</v>
      </c>
      <c r="I1256">
        <v>2013</v>
      </c>
      <c r="J1256" t="s">
        <v>852</v>
      </c>
      <c r="K1256" t="s">
        <v>171</v>
      </c>
      <c r="L1256" s="8">
        <f t="shared" si="19"/>
        <v>0.60810810810810811</v>
      </c>
    </row>
    <row r="1257" spans="1:12">
      <c r="A1257" t="s">
        <v>261</v>
      </c>
      <c r="B1257">
        <v>1977</v>
      </c>
      <c r="C1257" t="s">
        <v>62</v>
      </c>
      <c r="D1257">
        <v>56.68</v>
      </c>
      <c r="E1257">
        <v>170</v>
      </c>
      <c r="F1257">
        <v>112.5</v>
      </c>
      <c r="G1257">
        <v>185</v>
      </c>
      <c r="H1257">
        <v>467.5</v>
      </c>
      <c r="I1257">
        <v>2013</v>
      </c>
      <c r="J1257" t="s">
        <v>852</v>
      </c>
      <c r="K1257" t="s">
        <v>171</v>
      </c>
      <c r="L1257" s="8">
        <f t="shared" si="19"/>
        <v>0.60810810810810811</v>
      </c>
    </row>
    <row r="1258" spans="1:12">
      <c r="A1258" t="s">
        <v>229</v>
      </c>
      <c r="B1258">
        <v>1970</v>
      </c>
      <c r="C1258" t="s">
        <v>228</v>
      </c>
      <c r="D1258">
        <v>71.08</v>
      </c>
      <c r="E1258">
        <v>177.5</v>
      </c>
      <c r="F1258">
        <v>112.5</v>
      </c>
      <c r="G1258">
        <v>182.5</v>
      </c>
      <c r="H1258">
        <v>472.5</v>
      </c>
      <c r="I1258">
        <v>2015</v>
      </c>
      <c r="J1258" t="s">
        <v>852</v>
      </c>
      <c r="K1258" t="s">
        <v>171</v>
      </c>
      <c r="L1258" s="8">
        <f t="shared" si="19"/>
        <v>0.61643835616438358</v>
      </c>
    </row>
    <row r="1259" spans="1:12">
      <c r="A1259" t="s">
        <v>229</v>
      </c>
      <c r="B1259">
        <v>1970</v>
      </c>
      <c r="C1259" t="s">
        <v>228</v>
      </c>
      <c r="D1259">
        <v>71.52</v>
      </c>
      <c r="E1259">
        <v>180</v>
      </c>
      <c r="F1259">
        <v>112.5</v>
      </c>
      <c r="G1259">
        <v>180</v>
      </c>
      <c r="H1259">
        <v>472.5</v>
      </c>
      <c r="I1259">
        <v>2013</v>
      </c>
      <c r="J1259" t="s">
        <v>852</v>
      </c>
      <c r="K1259" t="s">
        <v>171</v>
      </c>
      <c r="L1259" s="8">
        <f t="shared" si="19"/>
        <v>0.625</v>
      </c>
    </row>
    <row r="1260" spans="1:12">
      <c r="A1260" t="s">
        <v>281</v>
      </c>
      <c r="B1260">
        <v>1980</v>
      </c>
      <c r="C1260" t="s">
        <v>282</v>
      </c>
      <c r="D1260">
        <v>54.81</v>
      </c>
      <c r="E1260">
        <v>220</v>
      </c>
      <c r="F1260">
        <v>112.5</v>
      </c>
      <c r="G1260">
        <v>177.5</v>
      </c>
      <c r="H1260">
        <v>510</v>
      </c>
      <c r="I1260">
        <v>2015</v>
      </c>
      <c r="J1260" t="s">
        <v>852</v>
      </c>
      <c r="K1260" t="s">
        <v>171</v>
      </c>
      <c r="L1260" s="8">
        <f t="shared" si="19"/>
        <v>0.63380281690140849</v>
      </c>
    </row>
    <row r="1261" spans="1:12">
      <c r="A1261" t="s">
        <v>208</v>
      </c>
      <c r="B1261">
        <v>1987</v>
      </c>
      <c r="C1261" t="s">
        <v>119</v>
      </c>
      <c r="D1261">
        <v>51.39</v>
      </c>
      <c r="E1261">
        <v>175</v>
      </c>
      <c r="F1261">
        <v>112.5</v>
      </c>
      <c r="G1261">
        <v>177.5</v>
      </c>
      <c r="H1261">
        <v>465</v>
      </c>
      <c r="I1261">
        <v>2012</v>
      </c>
      <c r="J1261" t="s">
        <v>852</v>
      </c>
      <c r="K1261" t="s">
        <v>171</v>
      </c>
      <c r="L1261" s="8">
        <f t="shared" si="19"/>
        <v>0.63380281690140849</v>
      </c>
    </row>
    <row r="1262" spans="1:12">
      <c r="A1262" t="s">
        <v>210</v>
      </c>
      <c r="B1262">
        <v>1989</v>
      </c>
      <c r="C1262" t="s">
        <v>72</v>
      </c>
      <c r="D1262">
        <v>70.48</v>
      </c>
      <c r="E1262">
        <v>180</v>
      </c>
      <c r="F1262">
        <v>112.5</v>
      </c>
      <c r="G1262">
        <v>150</v>
      </c>
      <c r="H1262">
        <v>442.5</v>
      </c>
      <c r="I1262">
        <v>2015</v>
      </c>
      <c r="J1262" t="s">
        <v>852</v>
      </c>
      <c r="K1262" t="s">
        <v>171</v>
      </c>
      <c r="L1262" s="8">
        <f t="shared" si="19"/>
        <v>0.75</v>
      </c>
    </row>
    <row r="1263" spans="1:12">
      <c r="A1263" t="s">
        <v>169</v>
      </c>
      <c r="B1263">
        <v>1981</v>
      </c>
      <c r="C1263" t="s">
        <v>54</v>
      </c>
      <c r="D1263">
        <v>83.47</v>
      </c>
      <c r="E1263">
        <v>190</v>
      </c>
      <c r="F1263">
        <v>110</v>
      </c>
      <c r="G1263">
        <v>222.5</v>
      </c>
      <c r="H1263">
        <v>522.5</v>
      </c>
      <c r="I1263">
        <v>2015</v>
      </c>
      <c r="J1263" t="s">
        <v>852</v>
      </c>
      <c r="K1263" t="s">
        <v>171</v>
      </c>
      <c r="L1263" s="8">
        <f t="shared" si="19"/>
        <v>0.4943820224719101</v>
      </c>
    </row>
    <row r="1264" spans="1:12">
      <c r="A1264" t="s">
        <v>324</v>
      </c>
      <c r="B1264">
        <v>1976</v>
      </c>
      <c r="C1264" t="s">
        <v>49</v>
      </c>
      <c r="D1264">
        <v>62.3</v>
      </c>
      <c r="E1264">
        <v>222.5</v>
      </c>
      <c r="F1264">
        <v>110</v>
      </c>
      <c r="G1264">
        <v>210</v>
      </c>
      <c r="H1264">
        <v>542.5</v>
      </c>
      <c r="I1264">
        <v>2013</v>
      </c>
      <c r="J1264" t="s">
        <v>852</v>
      </c>
      <c r="K1264" t="s">
        <v>171</v>
      </c>
      <c r="L1264" s="8">
        <f t="shared" si="19"/>
        <v>0.52380952380952384</v>
      </c>
    </row>
    <row r="1265" spans="1:12">
      <c r="A1265" t="s">
        <v>866</v>
      </c>
      <c r="B1265">
        <v>1986</v>
      </c>
      <c r="C1265" t="s">
        <v>336</v>
      </c>
      <c r="D1265">
        <v>78.97</v>
      </c>
      <c r="E1265">
        <v>160</v>
      </c>
      <c r="F1265">
        <v>110</v>
      </c>
      <c r="G1265">
        <v>155</v>
      </c>
      <c r="H1265">
        <v>425</v>
      </c>
      <c r="I1265">
        <v>2012</v>
      </c>
      <c r="J1265" t="s">
        <v>852</v>
      </c>
      <c r="K1265" t="s">
        <v>171</v>
      </c>
      <c r="L1265" s="8">
        <f t="shared" si="19"/>
        <v>0.70967741935483875</v>
      </c>
    </row>
    <row r="1266" spans="1:12">
      <c r="A1266" t="s">
        <v>927</v>
      </c>
      <c r="B1266">
        <v>1984</v>
      </c>
      <c r="C1266" t="s">
        <v>62</v>
      </c>
      <c r="D1266">
        <v>62.74</v>
      </c>
      <c r="E1266">
        <v>200</v>
      </c>
      <c r="F1266">
        <v>107.5</v>
      </c>
      <c r="G1266">
        <v>212.5</v>
      </c>
      <c r="H1266">
        <v>520</v>
      </c>
      <c r="I1266">
        <v>2013</v>
      </c>
      <c r="J1266" t="s">
        <v>852</v>
      </c>
      <c r="K1266" t="s">
        <v>171</v>
      </c>
      <c r="L1266" s="8">
        <f t="shared" si="19"/>
        <v>0.50588235294117645</v>
      </c>
    </row>
    <row r="1267" spans="1:12">
      <c r="A1267" t="s">
        <v>1020</v>
      </c>
      <c r="B1267">
        <v>1981</v>
      </c>
      <c r="C1267" t="s">
        <v>125</v>
      </c>
      <c r="D1267">
        <v>68.760000000000005</v>
      </c>
      <c r="E1267">
        <v>190</v>
      </c>
      <c r="F1267">
        <v>107.5</v>
      </c>
      <c r="G1267">
        <v>207.5</v>
      </c>
      <c r="H1267">
        <v>505</v>
      </c>
      <c r="I1267">
        <v>2012</v>
      </c>
      <c r="J1267" t="s">
        <v>852</v>
      </c>
      <c r="K1267" t="s">
        <v>171</v>
      </c>
      <c r="L1267" s="8">
        <f t="shared" si="19"/>
        <v>0.51807228915662651</v>
      </c>
    </row>
    <row r="1268" spans="1:12">
      <c r="A1268" t="s">
        <v>980</v>
      </c>
      <c r="B1268">
        <v>1985</v>
      </c>
      <c r="C1268" t="s">
        <v>45</v>
      </c>
      <c r="D1268">
        <v>71.61</v>
      </c>
      <c r="E1268">
        <v>195</v>
      </c>
      <c r="F1268">
        <v>107.5</v>
      </c>
      <c r="G1268">
        <v>187.5</v>
      </c>
      <c r="H1268">
        <v>490</v>
      </c>
      <c r="I1268">
        <v>2012</v>
      </c>
      <c r="J1268" t="s">
        <v>852</v>
      </c>
      <c r="K1268" t="s">
        <v>171</v>
      </c>
      <c r="L1268" s="8">
        <f t="shared" si="19"/>
        <v>0.57333333333333336</v>
      </c>
    </row>
    <row r="1269" spans="1:12">
      <c r="A1269" t="s">
        <v>1019</v>
      </c>
      <c r="B1269">
        <v>1991</v>
      </c>
      <c r="C1269" t="s">
        <v>905</v>
      </c>
      <c r="D1269">
        <v>57.86</v>
      </c>
      <c r="E1269">
        <v>167.5</v>
      </c>
      <c r="F1269">
        <v>107.5</v>
      </c>
      <c r="G1269">
        <v>167.5</v>
      </c>
      <c r="H1269">
        <v>442.5</v>
      </c>
      <c r="I1269">
        <v>2014</v>
      </c>
      <c r="J1269" t="s">
        <v>852</v>
      </c>
      <c r="K1269" t="s">
        <v>171</v>
      </c>
      <c r="L1269" s="8">
        <f t="shared" si="19"/>
        <v>0.64179104477611937</v>
      </c>
    </row>
    <row r="1270" spans="1:12">
      <c r="A1270" t="s">
        <v>307</v>
      </c>
      <c r="B1270">
        <v>1990</v>
      </c>
      <c r="C1270" t="s">
        <v>77</v>
      </c>
      <c r="D1270">
        <v>50.94</v>
      </c>
      <c r="E1270">
        <v>140</v>
      </c>
      <c r="F1270">
        <v>107.5</v>
      </c>
      <c r="G1270">
        <v>150</v>
      </c>
      <c r="H1270">
        <v>397.5</v>
      </c>
      <c r="I1270">
        <v>2015</v>
      </c>
      <c r="J1270" t="s">
        <v>852</v>
      </c>
      <c r="K1270" t="s">
        <v>171</v>
      </c>
      <c r="L1270" s="8">
        <f t="shared" si="19"/>
        <v>0.71666666666666667</v>
      </c>
    </row>
    <row r="1271" spans="1:12">
      <c r="A1271" t="s">
        <v>218</v>
      </c>
      <c r="B1271">
        <v>1976</v>
      </c>
      <c r="C1271" t="s">
        <v>28</v>
      </c>
      <c r="D1271">
        <v>56.66</v>
      </c>
      <c r="E1271">
        <v>220</v>
      </c>
      <c r="F1271">
        <v>105</v>
      </c>
      <c r="G1271">
        <v>192.5</v>
      </c>
      <c r="H1271">
        <v>517.5</v>
      </c>
      <c r="I1271">
        <v>2015</v>
      </c>
      <c r="J1271" t="s">
        <v>852</v>
      </c>
      <c r="K1271" t="s">
        <v>171</v>
      </c>
      <c r="L1271" s="8">
        <f t="shared" si="19"/>
        <v>0.54545454545454541</v>
      </c>
    </row>
    <row r="1272" spans="1:12">
      <c r="A1272" t="s">
        <v>320</v>
      </c>
      <c r="B1272">
        <v>1978</v>
      </c>
      <c r="C1272" t="s">
        <v>125</v>
      </c>
      <c r="D1272">
        <v>66.64</v>
      </c>
      <c r="E1272">
        <v>167.5</v>
      </c>
      <c r="F1272">
        <v>105</v>
      </c>
      <c r="G1272">
        <v>185</v>
      </c>
      <c r="H1272">
        <v>457.5</v>
      </c>
      <c r="I1272">
        <v>2015</v>
      </c>
      <c r="J1272" t="s">
        <v>852</v>
      </c>
      <c r="K1272" t="s">
        <v>171</v>
      </c>
      <c r="L1272" s="8">
        <f t="shared" si="19"/>
        <v>0.56756756756756754</v>
      </c>
    </row>
    <row r="1273" spans="1:12">
      <c r="A1273" t="s">
        <v>229</v>
      </c>
      <c r="B1273">
        <v>1970</v>
      </c>
      <c r="C1273" t="s">
        <v>922</v>
      </c>
      <c r="D1273">
        <v>70.8</v>
      </c>
      <c r="E1273">
        <v>180</v>
      </c>
      <c r="F1273">
        <v>105</v>
      </c>
      <c r="G1273">
        <v>182.5</v>
      </c>
      <c r="H1273">
        <v>467.5</v>
      </c>
      <c r="I1273">
        <v>2014</v>
      </c>
      <c r="J1273" t="s">
        <v>852</v>
      </c>
      <c r="K1273" t="s">
        <v>171</v>
      </c>
      <c r="L1273" s="8">
        <f t="shared" si="19"/>
        <v>0.57534246575342463</v>
      </c>
    </row>
    <row r="1274" spans="1:12">
      <c r="A1274" t="s">
        <v>310</v>
      </c>
      <c r="B1274">
        <v>1965</v>
      </c>
      <c r="C1274" t="s">
        <v>109</v>
      </c>
      <c r="D1274">
        <v>46.68</v>
      </c>
      <c r="E1274">
        <v>145</v>
      </c>
      <c r="F1274">
        <v>105</v>
      </c>
      <c r="G1274">
        <v>145</v>
      </c>
      <c r="H1274">
        <v>395</v>
      </c>
      <c r="I1274">
        <v>2015</v>
      </c>
      <c r="J1274" t="s">
        <v>852</v>
      </c>
      <c r="K1274" t="s">
        <v>171</v>
      </c>
      <c r="L1274" s="8">
        <f t="shared" si="19"/>
        <v>0.72413793103448276</v>
      </c>
    </row>
    <row r="1275" spans="1:12">
      <c r="A1275" t="s">
        <v>324</v>
      </c>
      <c r="B1275">
        <v>1976</v>
      </c>
      <c r="C1275" t="s">
        <v>49</v>
      </c>
      <c r="D1275">
        <v>61.97</v>
      </c>
      <c r="E1275">
        <v>197.5</v>
      </c>
      <c r="F1275">
        <v>102.5</v>
      </c>
      <c r="G1275">
        <v>205</v>
      </c>
      <c r="H1275">
        <v>505</v>
      </c>
      <c r="I1275">
        <v>2012</v>
      </c>
      <c r="J1275" t="s">
        <v>852</v>
      </c>
      <c r="K1275" t="s">
        <v>171</v>
      </c>
      <c r="L1275" s="8">
        <f t="shared" si="19"/>
        <v>0.5</v>
      </c>
    </row>
    <row r="1276" spans="1:12">
      <c r="A1276" t="s">
        <v>886</v>
      </c>
      <c r="B1276">
        <v>1979</v>
      </c>
      <c r="C1276" t="s">
        <v>282</v>
      </c>
      <c r="D1276">
        <v>56.35</v>
      </c>
      <c r="E1276">
        <v>0</v>
      </c>
      <c r="F1276">
        <v>102.5</v>
      </c>
      <c r="G1276">
        <v>187.5</v>
      </c>
      <c r="H1276">
        <v>0</v>
      </c>
      <c r="I1276">
        <v>2013</v>
      </c>
      <c r="J1276" t="s">
        <v>852</v>
      </c>
      <c r="K1276" t="s">
        <v>171</v>
      </c>
      <c r="L1276" s="8">
        <f t="shared" si="19"/>
        <v>0.54666666666666663</v>
      </c>
    </row>
    <row r="1277" spans="1:12">
      <c r="A1277" t="s">
        <v>281</v>
      </c>
      <c r="B1277">
        <v>1980</v>
      </c>
      <c r="C1277" t="s">
        <v>859</v>
      </c>
      <c r="D1277">
        <v>51.7</v>
      </c>
      <c r="E1277">
        <v>212.5</v>
      </c>
      <c r="F1277">
        <v>102.5</v>
      </c>
      <c r="G1277">
        <v>180</v>
      </c>
      <c r="H1277">
        <v>495</v>
      </c>
      <c r="I1277">
        <v>2014</v>
      </c>
      <c r="J1277" t="s">
        <v>852</v>
      </c>
      <c r="K1277" t="s">
        <v>171</v>
      </c>
      <c r="L1277" s="8">
        <f t="shared" si="19"/>
        <v>0.56944444444444442</v>
      </c>
    </row>
    <row r="1278" spans="1:12">
      <c r="A1278" t="s">
        <v>887</v>
      </c>
      <c r="B1278">
        <v>1988</v>
      </c>
      <c r="C1278" t="s">
        <v>282</v>
      </c>
      <c r="D1278">
        <v>55.91</v>
      </c>
      <c r="E1278">
        <v>170</v>
      </c>
      <c r="F1278">
        <v>102.5</v>
      </c>
      <c r="G1278">
        <v>175</v>
      </c>
      <c r="H1278">
        <v>447.5</v>
      </c>
      <c r="I1278">
        <v>2013</v>
      </c>
      <c r="J1278" t="s">
        <v>852</v>
      </c>
      <c r="K1278" t="s">
        <v>171</v>
      </c>
      <c r="L1278" s="8">
        <f t="shared" si="19"/>
        <v>0.58571428571428574</v>
      </c>
    </row>
    <row r="1279" spans="1:12">
      <c r="A1279" t="s">
        <v>181</v>
      </c>
      <c r="B1279">
        <v>1986</v>
      </c>
      <c r="C1279" t="s">
        <v>49</v>
      </c>
      <c r="D1279">
        <v>56.16</v>
      </c>
      <c r="E1279">
        <v>185</v>
      </c>
      <c r="F1279">
        <v>102.5</v>
      </c>
      <c r="G1279">
        <v>170</v>
      </c>
      <c r="H1279">
        <v>457.5</v>
      </c>
      <c r="I1279">
        <v>2015</v>
      </c>
      <c r="J1279" t="s">
        <v>852</v>
      </c>
      <c r="K1279" t="s">
        <v>171</v>
      </c>
      <c r="L1279" s="8">
        <f t="shared" si="19"/>
        <v>0.6029411764705882</v>
      </c>
    </row>
    <row r="1280" spans="1:12">
      <c r="A1280" t="s">
        <v>275</v>
      </c>
      <c r="B1280">
        <v>1988</v>
      </c>
      <c r="C1280" t="s">
        <v>51</v>
      </c>
      <c r="D1280">
        <v>56.91</v>
      </c>
      <c r="E1280">
        <v>175</v>
      </c>
      <c r="F1280">
        <v>102.5</v>
      </c>
      <c r="G1280">
        <v>170</v>
      </c>
      <c r="H1280">
        <v>447.5</v>
      </c>
      <c r="I1280">
        <v>2015</v>
      </c>
      <c r="J1280" t="s">
        <v>852</v>
      </c>
      <c r="K1280" t="s">
        <v>171</v>
      </c>
      <c r="L1280" s="8">
        <f t="shared" si="19"/>
        <v>0.6029411764705882</v>
      </c>
    </row>
    <row r="1281" spans="1:12">
      <c r="A1281" t="s">
        <v>937</v>
      </c>
      <c r="B1281">
        <v>1976</v>
      </c>
      <c r="C1281" t="s">
        <v>113</v>
      </c>
      <c r="D1281">
        <v>62.91</v>
      </c>
      <c r="E1281">
        <v>170</v>
      </c>
      <c r="F1281">
        <v>102.5</v>
      </c>
      <c r="G1281">
        <v>170</v>
      </c>
      <c r="H1281">
        <v>442.5</v>
      </c>
      <c r="I1281">
        <v>2012</v>
      </c>
      <c r="J1281" t="s">
        <v>852</v>
      </c>
      <c r="K1281" t="s">
        <v>171</v>
      </c>
      <c r="L1281" s="8">
        <f t="shared" si="19"/>
        <v>0.6029411764705882</v>
      </c>
    </row>
    <row r="1282" spans="1:12">
      <c r="A1282" t="s">
        <v>957</v>
      </c>
      <c r="B1282">
        <v>1973</v>
      </c>
      <c r="C1282" t="s">
        <v>80</v>
      </c>
      <c r="D1282">
        <v>56.2</v>
      </c>
      <c r="E1282">
        <v>170</v>
      </c>
      <c r="F1282">
        <v>102.5</v>
      </c>
      <c r="G1282">
        <v>170</v>
      </c>
      <c r="H1282">
        <v>442.5</v>
      </c>
      <c r="I1282">
        <v>2012</v>
      </c>
      <c r="J1282" t="s">
        <v>852</v>
      </c>
      <c r="K1282" t="s">
        <v>171</v>
      </c>
      <c r="L1282" s="8">
        <f t="shared" si="19"/>
        <v>0.6029411764705882</v>
      </c>
    </row>
    <row r="1283" spans="1:12">
      <c r="A1283" t="s">
        <v>879</v>
      </c>
      <c r="B1283">
        <v>1987</v>
      </c>
      <c r="C1283" t="s">
        <v>35</v>
      </c>
      <c r="D1283">
        <v>51.91</v>
      </c>
      <c r="E1283">
        <v>162.5</v>
      </c>
      <c r="F1283">
        <v>102.5</v>
      </c>
      <c r="G1283">
        <v>167.5</v>
      </c>
      <c r="H1283">
        <v>432.5</v>
      </c>
      <c r="I1283">
        <v>2013</v>
      </c>
      <c r="J1283" t="s">
        <v>852</v>
      </c>
      <c r="K1283" t="s">
        <v>171</v>
      </c>
      <c r="L1283" s="8">
        <f t="shared" ref="L1283:L1346" si="20">IF(AND(F1283&lt;&gt;0,G1283&lt;&gt;0),F1283/G1283,"")</f>
        <v>0.61194029850746268</v>
      </c>
    </row>
    <row r="1284" spans="1:12">
      <c r="A1284" t="s">
        <v>343</v>
      </c>
      <c r="B1284">
        <v>1979</v>
      </c>
      <c r="C1284" t="s">
        <v>318</v>
      </c>
      <c r="D1284">
        <v>56.65</v>
      </c>
      <c r="E1284">
        <v>167.5</v>
      </c>
      <c r="F1284">
        <v>102.5</v>
      </c>
      <c r="G1284">
        <v>152.5</v>
      </c>
      <c r="H1284">
        <v>422.5</v>
      </c>
      <c r="I1284">
        <v>2015</v>
      </c>
      <c r="J1284" t="s">
        <v>852</v>
      </c>
      <c r="K1284" t="s">
        <v>171</v>
      </c>
      <c r="L1284" s="8">
        <f t="shared" si="20"/>
        <v>0.67213114754098358</v>
      </c>
    </row>
    <row r="1285" spans="1:12">
      <c r="A1285" t="s">
        <v>201</v>
      </c>
      <c r="B1285">
        <v>1982</v>
      </c>
      <c r="C1285" t="s">
        <v>74</v>
      </c>
      <c r="D1285">
        <v>56.76</v>
      </c>
      <c r="E1285">
        <v>172.5</v>
      </c>
      <c r="F1285">
        <v>100</v>
      </c>
      <c r="G1285">
        <v>200</v>
      </c>
      <c r="H1285">
        <v>472.5</v>
      </c>
      <c r="I1285">
        <v>2013</v>
      </c>
      <c r="J1285" t="s">
        <v>852</v>
      </c>
      <c r="K1285" t="s">
        <v>171</v>
      </c>
      <c r="L1285" s="8">
        <f t="shared" si="20"/>
        <v>0.5</v>
      </c>
    </row>
    <row r="1286" spans="1:12">
      <c r="A1286" t="s">
        <v>218</v>
      </c>
      <c r="B1286">
        <v>1976</v>
      </c>
      <c r="C1286" t="s">
        <v>903</v>
      </c>
      <c r="D1286">
        <v>56.54</v>
      </c>
      <c r="E1286">
        <v>222.5</v>
      </c>
      <c r="F1286">
        <v>100</v>
      </c>
      <c r="G1286">
        <v>195</v>
      </c>
      <c r="H1286">
        <v>517.5</v>
      </c>
      <c r="I1286">
        <v>2014</v>
      </c>
      <c r="J1286" t="s">
        <v>852</v>
      </c>
      <c r="K1286" t="s">
        <v>171</v>
      </c>
      <c r="L1286" s="8">
        <f t="shared" si="20"/>
        <v>0.51282051282051277</v>
      </c>
    </row>
    <row r="1287" spans="1:12">
      <c r="A1287" t="s">
        <v>281</v>
      </c>
      <c r="B1287">
        <v>1980</v>
      </c>
      <c r="C1287" t="s">
        <v>282</v>
      </c>
      <c r="D1287">
        <v>51.81</v>
      </c>
      <c r="E1287">
        <v>205</v>
      </c>
      <c r="F1287">
        <v>100</v>
      </c>
      <c r="G1287">
        <v>177.5</v>
      </c>
      <c r="H1287">
        <v>482.5</v>
      </c>
      <c r="I1287">
        <v>2013</v>
      </c>
      <c r="J1287" t="s">
        <v>852</v>
      </c>
      <c r="K1287" t="s">
        <v>171</v>
      </c>
      <c r="L1287" s="8">
        <f t="shared" si="20"/>
        <v>0.56338028169014087</v>
      </c>
    </row>
    <row r="1288" spans="1:12">
      <c r="A1288" t="s">
        <v>1057</v>
      </c>
      <c r="B1288">
        <v>1983</v>
      </c>
      <c r="C1288" t="s">
        <v>878</v>
      </c>
      <c r="D1288">
        <v>56.76</v>
      </c>
      <c r="E1288">
        <v>167.5</v>
      </c>
      <c r="F1288">
        <v>100</v>
      </c>
      <c r="G1288">
        <v>170</v>
      </c>
      <c r="H1288">
        <v>437.5</v>
      </c>
      <c r="I1288">
        <v>2014</v>
      </c>
      <c r="J1288" t="s">
        <v>852</v>
      </c>
      <c r="K1288" t="s">
        <v>171</v>
      </c>
      <c r="L1288" s="8">
        <f t="shared" si="20"/>
        <v>0.58823529411764708</v>
      </c>
    </row>
    <row r="1289" spans="1:12">
      <c r="A1289" t="s">
        <v>335</v>
      </c>
      <c r="B1289">
        <v>1983</v>
      </c>
      <c r="C1289" t="s">
        <v>336</v>
      </c>
      <c r="D1289">
        <v>46.35</v>
      </c>
      <c r="E1289">
        <v>182.5</v>
      </c>
      <c r="F1289">
        <v>100</v>
      </c>
      <c r="G1289">
        <v>160</v>
      </c>
      <c r="H1289">
        <v>442.5</v>
      </c>
      <c r="I1289">
        <v>2015</v>
      </c>
      <c r="J1289" t="s">
        <v>852</v>
      </c>
      <c r="K1289" t="s">
        <v>171</v>
      </c>
      <c r="L1289" s="8">
        <f t="shared" si="20"/>
        <v>0.625</v>
      </c>
    </row>
    <row r="1290" spans="1:12">
      <c r="A1290" t="s">
        <v>265</v>
      </c>
      <c r="B1290">
        <v>1976</v>
      </c>
      <c r="C1290" t="s">
        <v>951</v>
      </c>
      <c r="D1290">
        <v>50.98</v>
      </c>
      <c r="E1290">
        <v>162.5</v>
      </c>
      <c r="F1290">
        <v>100</v>
      </c>
      <c r="G1290">
        <v>160</v>
      </c>
      <c r="H1290">
        <v>422.5</v>
      </c>
      <c r="I1290">
        <v>2014</v>
      </c>
      <c r="J1290" t="s">
        <v>852</v>
      </c>
      <c r="K1290" t="s">
        <v>171</v>
      </c>
      <c r="L1290" s="8">
        <f t="shared" si="20"/>
        <v>0.625</v>
      </c>
    </row>
    <row r="1291" spans="1:12">
      <c r="A1291" t="s">
        <v>335</v>
      </c>
      <c r="B1291">
        <v>1983</v>
      </c>
      <c r="C1291" t="s">
        <v>977</v>
      </c>
      <c r="D1291">
        <v>46.42</v>
      </c>
      <c r="E1291">
        <v>185</v>
      </c>
      <c r="F1291">
        <v>100</v>
      </c>
      <c r="G1291">
        <v>155</v>
      </c>
      <c r="H1291">
        <v>440</v>
      </c>
      <c r="I1291">
        <v>2014</v>
      </c>
      <c r="J1291" t="s">
        <v>852</v>
      </c>
      <c r="K1291" t="s">
        <v>171</v>
      </c>
      <c r="L1291" s="8">
        <f t="shared" si="20"/>
        <v>0.64516129032258063</v>
      </c>
    </row>
    <row r="1292" spans="1:12">
      <c r="A1292" t="s">
        <v>1056</v>
      </c>
      <c r="B1292">
        <v>1988</v>
      </c>
      <c r="C1292" t="s">
        <v>480</v>
      </c>
      <c r="D1292">
        <v>70.400000000000006</v>
      </c>
      <c r="E1292">
        <v>160</v>
      </c>
      <c r="F1292">
        <v>100</v>
      </c>
      <c r="G1292">
        <v>130</v>
      </c>
      <c r="H1292">
        <v>390</v>
      </c>
      <c r="I1292">
        <v>2012</v>
      </c>
      <c r="J1292" t="s">
        <v>852</v>
      </c>
      <c r="K1292" t="s">
        <v>171</v>
      </c>
      <c r="L1292" s="8">
        <f t="shared" si="20"/>
        <v>0.76923076923076927</v>
      </c>
    </row>
    <row r="1293" spans="1:12">
      <c r="A1293" t="s">
        <v>198</v>
      </c>
      <c r="B1293">
        <v>1982</v>
      </c>
      <c r="C1293" t="s">
        <v>888</v>
      </c>
      <c r="D1293">
        <v>45.6</v>
      </c>
      <c r="E1293">
        <v>200</v>
      </c>
      <c r="F1293">
        <v>97.5</v>
      </c>
      <c r="G1293">
        <v>186</v>
      </c>
      <c r="H1293">
        <v>483.5</v>
      </c>
      <c r="I1293">
        <v>2014</v>
      </c>
      <c r="J1293" t="s">
        <v>852</v>
      </c>
      <c r="K1293" t="s">
        <v>171</v>
      </c>
      <c r="L1293" s="8">
        <f t="shared" si="20"/>
        <v>0.52419354838709675</v>
      </c>
    </row>
    <row r="1294" spans="1:12">
      <c r="A1294" t="s">
        <v>198</v>
      </c>
      <c r="B1294">
        <v>1982</v>
      </c>
      <c r="C1294" t="s">
        <v>74</v>
      </c>
      <c r="D1294">
        <v>46.56</v>
      </c>
      <c r="E1294">
        <v>197.5</v>
      </c>
      <c r="F1294">
        <v>97.5</v>
      </c>
      <c r="G1294">
        <v>185.5</v>
      </c>
      <c r="H1294">
        <v>480.5</v>
      </c>
      <c r="I1294">
        <v>2013</v>
      </c>
      <c r="J1294" t="s">
        <v>852</v>
      </c>
      <c r="K1294" t="s">
        <v>171</v>
      </c>
      <c r="L1294" s="8">
        <f t="shared" si="20"/>
        <v>0.52560646900269536</v>
      </c>
    </row>
    <row r="1295" spans="1:12">
      <c r="A1295" t="s">
        <v>201</v>
      </c>
      <c r="B1295">
        <v>1982</v>
      </c>
      <c r="C1295" t="s">
        <v>74</v>
      </c>
      <c r="D1295">
        <v>56.33</v>
      </c>
      <c r="E1295">
        <v>175</v>
      </c>
      <c r="F1295">
        <v>97.5</v>
      </c>
      <c r="G1295">
        <v>185</v>
      </c>
      <c r="H1295">
        <v>457.5</v>
      </c>
      <c r="I1295">
        <v>2012</v>
      </c>
      <c r="J1295" t="s">
        <v>852</v>
      </c>
      <c r="K1295" t="s">
        <v>171</v>
      </c>
      <c r="L1295" s="8">
        <f t="shared" si="20"/>
        <v>0.52702702702702697</v>
      </c>
    </row>
    <row r="1296" spans="1:12">
      <c r="A1296" t="s">
        <v>229</v>
      </c>
      <c r="B1296">
        <v>1970</v>
      </c>
      <c r="C1296" t="s">
        <v>228</v>
      </c>
      <c r="D1296">
        <v>62.8</v>
      </c>
      <c r="E1296">
        <v>172.5</v>
      </c>
      <c r="F1296">
        <v>97.5</v>
      </c>
      <c r="G1296">
        <v>180</v>
      </c>
      <c r="H1296">
        <v>450</v>
      </c>
      <c r="I1296">
        <v>2012</v>
      </c>
      <c r="J1296" t="s">
        <v>852</v>
      </c>
      <c r="K1296" t="s">
        <v>171</v>
      </c>
      <c r="L1296" s="8">
        <f t="shared" si="20"/>
        <v>0.54166666666666663</v>
      </c>
    </row>
    <row r="1297" spans="1:12">
      <c r="A1297" t="s">
        <v>281</v>
      </c>
      <c r="B1297">
        <v>1980</v>
      </c>
      <c r="C1297" t="s">
        <v>282</v>
      </c>
      <c r="D1297">
        <v>51.88</v>
      </c>
      <c r="E1297">
        <v>215</v>
      </c>
      <c r="F1297">
        <v>97.5</v>
      </c>
      <c r="G1297">
        <v>177.5</v>
      </c>
      <c r="H1297">
        <v>490</v>
      </c>
      <c r="I1297">
        <v>2012</v>
      </c>
      <c r="J1297" t="s">
        <v>852</v>
      </c>
      <c r="K1297" t="s">
        <v>171</v>
      </c>
      <c r="L1297" s="8">
        <f t="shared" si="20"/>
        <v>0.54929577464788737</v>
      </c>
    </row>
    <row r="1298" spans="1:12">
      <c r="A1298" t="s">
        <v>881</v>
      </c>
      <c r="B1298">
        <v>1989</v>
      </c>
      <c r="C1298" t="s">
        <v>336</v>
      </c>
      <c r="D1298">
        <v>71.400000000000006</v>
      </c>
      <c r="E1298">
        <v>175</v>
      </c>
      <c r="F1298">
        <v>97.5</v>
      </c>
      <c r="G1298">
        <v>175</v>
      </c>
      <c r="H1298">
        <v>447.5</v>
      </c>
      <c r="I1298">
        <v>2013</v>
      </c>
      <c r="J1298" t="s">
        <v>852</v>
      </c>
      <c r="K1298" t="s">
        <v>171</v>
      </c>
      <c r="L1298" s="8">
        <f t="shared" si="20"/>
        <v>0.55714285714285716</v>
      </c>
    </row>
    <row r="1299" spans="1:12">
      <c r="A1299" t="s">
        <v>178</v>
      </c>
      <c r="B1299">
        <v>1986</v>
      </c>
      <c r="C1299" t="s">
        <v>54</v>
      </c>
      <c r="D1299">
        <v>51.77</v>
      </c>
      <c r="E1299">
        <v>145</v>
      </c>
      <c r="F1299">
        <v>97.5</v>
      </c>
      <c r="G1299">
        <v>170</v>
      </c>
      <c r="H1299">
        <v>412.5</v>
      </c>
      <c r="I1299">
        <v>2015</v>
      </c>
      <c r="J1299" t="s">
        <v>852</v>
      </c>
      <c r="K1299" t="s">
        <v>171</v>
      </c>
      <c r="L1299" s="8">
        <f t="shared" si="20"/>
        <v>0.57352941176470584</v>
      </c>
    </row>
    <row r="1300" spans="1:12">
      <c r="A1300" t="s">
        <v>181</v>
      </c>
      <c r="B1300">
        <v>1986</v>
      </c>
      <c r="C1300" t="s">
        <v>49</v>
      </c>
      <c r="D1300">
        <v>51.63</v>
      </c>
      <c r="E1300">
        <v>172.5</v>
      </c>
      <c r="F1300">
        <v>97.5</v>
      </c>
      <c r="G1300">
        <v>167.5</v>
      </c>
      <c r="H1300">
        <v>437.5</v>
      </c>
      <c r="I1300">
        <v>2012</v>
      </c>
      <c r="J1300" t="s">
        <v>852</v>
      </c>
      <c r="K1300" t="s">
        <v>171</v>
      </c>
      <c r="L1300" s="8">
        <f t="shared" si="20"/>
        <v>0.58208955223880599</v>
      </c>
    </row>
    <row r="1301" spans="1:12">
      <c r="A1301" t="s">
        <v>932</v>
      </c>
      <c r="B1301">
        <v>1992</v>
      </c>
      <c r="C1301" t="s">
        <v>859</v>
      </c>
      <c r="D1301">
        <v>63.5</v>
      </c>
      <c r="E1301">
        <v>192.5</v>
      </c>
      <c r="F1301">
        <v>97.5</v>
      </c>
      <c r="G1301">
        <v>160</v>
      </c>
      <c r="H1301">
        <v>450</v>
      </c>
      <c r="I1301">
        <v>2014</v>
      </c>
      <c r="J1301" t="s">
        <v>852</v>
      </c>
      <c r="K1301" t="s">
        <v>171</v>
      </c>
      <c r="L1301" s="8">
        <f t="shared" si="20"/>
        <v>0.609375</v>
      </c>
    </row>
    <row r="1302" spans="1:12">
      <c r="A1302" t="s">
        <v>1034</v>
      </c>
      <c r="B1302">
        <v>1962</v>
      </c>
      <c r="C1302" t="s">
        <v>77</v>
      </c>
      <c r="D1302">
        <v>51.59</v>
      </c>
      <c r="E1302">
        <v>137.5</v>
      </c>
      <c r="F1302">
        <v>97.5</v>
      </c>
      <c r="G1302">
        <v>150</v>
      </c>
      <c r="H1302">
        <v>385</v>
      </c>
      <c r="I1302">
        <v>2013</v>
      </c>
      <c r="J1302" t="s">
        <v>852</v>
      </c>
      <c r="K1302" t="s">
        <v>171</v>
      </c>
      <c r="L1302" s="8">
        <f t="shared" si="20"/>
        <v>0.65</v>
      </c>
    </row>
    <row r="1303" spans="1:12">
      <c r="A1303" t="s">
        <v>335</v>
      </c>
      <c r="B1303">
        <v>1983</v>
      </c>
      <c r="C1303" t="s">
        <v>336</v>
      </c>
      <c r="D1303">
        <v>46.44</v>
      </c>
      <c r="E1303">
        <v>170</v>
      </c>
      <c r="F1303">
        <v>97.5</v>
      </c>
      <c r="G1303">
        <v>147.5</v>
      </c>
      <c r="H1303">
        <v>415</v>
      </c>
      <c r="I1303">
        <v>2013</v>
      </c>
      <c r="J1303" t="s">
        <v>852</v>
      </c>
      <c r="K1303" t="s">
        <v>171</v>
      </c>
      <c r="L1303" s="8">
        <f t="shared" si="20"/>
        <v>0.66101694915254239</v>
      </c>
    </row>
    <row r="1304" spans="1:12">
      <c r="A1304" t="s">
        <v>956</v>
      </c>
      <c r="B1304">
        <v>1977</v>
      </c>
      <c r="C1304" t="s">
        <v>905</v>
      </c>
      <c r="D1304">
        <v>56.56</v>
      </c>
      <c r="E1304">
        <v>167.5</v>
      </c>
      <c r="F1304">
        <v>95</v>
      </c>
      <c r="G1304">
        <v>187.5</v>
      </c>
      <c r="H1304">
        <v>450</v>
      </c>
      <c r="I1304">
        <v>2014</v>
      </c>
      <c r="J1304" t="s">
        <v>852</v>
      </c>
      <c r="K1304" t="s">
        <v>171</v>
      </c>
      <c r="L1304" s="8">
        <f t="shared" si="20"/>
        <v>0.50666666666666671</v>
      </c>
    </row>
    <row r="1305" spans="1:12">
      <c r="A1305" t="s">
        <v>956</v>
      </c>
      <c r="B1305">
        <v>1977</v>
      </c>
      <c r="C1305" t="s">
        <v>51</v>
      </c>
      <c r="D1305">
        <v>56.75</v>
      </c>
      <c r="E1305">
        <v>172.5</v>
      </c>
      <c r="F1305">
        <v>95</v>
      </c>
      <c r="G1305">
        <v>182.5</v>
      </c>
      <c r="H1305">
        <v>450</v>
      </c>
      <c r="I1305">
        <v>2013</v>
      </c>
      <c r="J1305" t="s">
        <v>852</v>
      </c>
      <c r="K1305" t="s">
        <v>171</v>
      </c>
      <c r="L1305" s="8">
        <f t="shared" si="20"/>
        <v>0.52054794520547942</v>
      </c>
    </row>
    <row r="1306" spans="1:12">
      <c r="A1306" t="s">
        <v>1032</v>
      </c>
      <c r="B1306">
        <v>1979</v>
      </c>
      <c r="C1306" t="s">
        <v>878</v>
      </c>
      <c r="D1306">
        <v>62.18</v>
      </c>
      <c r="E1306">
        <v>170</v>
      </c>
      <c r="F1306">
        <v>95</v>
      </c>
      <c r="G1306">
        <v>180</v>
      </c>
      <c r="H1306">
        <v>445</v>
      </c>
      <c r="I1306">
        <v>2014</v>
      </c>
      <c r="J1306" t="s">
        <v>852</v>
      </c>
      <c r="K1306" t="s">
        <v>171</v>
      </c>
      <c r="L1306" s="8">
        <f t="shared" si="20"/>
        <v>0.52777777777777779</v>
      </c>
    </row>
    <row r="1307" spans="1:12">
      <c r="A1307" t="s">
        <v>325</v>
      </c>
      <c r="B1307">
        <v>1974</v>
      </c>
      <c r="C1307" t="s">
        <v>77</v>
      </c>
      <c r="D1307">
        <v>56.43</v>
      </c>
      <c r="E1307">
        <v>165</v>
      </c>
      <c r="F1307">
        <v>95</v>
      </c>
      <c r="G1307">
        <v>180</v>
      </c>
      <c r="H1307">
        <v>440</v>
      </c>
      <c r="I1307">
        <v>2015</v>
      </c>
      <c r="J1307" t="s">
        <v>852</v>
      </c>
      <c r="K1307" t="s">
        <v>171</v>
      </c>
      <c r="L1307" s="8">
        <f t="shared" si="20"/>
        <v>0.52777777777777779</v>
      </c>
    </row>
    <row r="1308" spans="1:12">
      <c r="A1308" t="s">
        <v>192</v>
      </c>
      <c r="B1308">
        <v>1969</v>
      </c>
      <c r="C1308" t="s">
        <v>851</v>
      </c>
      <c r="D1308">
        <v>56.48</v>
      </c>
      <c r="E1308">
        <v>160</v>
      </c>
      <c r="F1308">
        <v>95</v>
      </c>
      <c r="G1308">
        <v>180</v>
      </c>
      <c r="H1308">
        <v>435</v>
      </c>
      <c r="I1308">
        <v>2014</v>
      </c>
      <c r="J1308" t="s">
        <v>852</v>
      </c>
      <c r="K1308" t="s">
        <v>171</v>
      </c>
      <c r="L1308" s="8">
        <f t="shared" si="20"/>
        <v>0.52777777777777779</v>
      </c>
    </row>
    <row r="1309" spans="1:12">
      <c r="A1309" t="s">
        <v>981</v>
      </c>
      <c r="B1309">
        <v>1987</v>
      </c>
      <c r="C1309" t="s">
        <v>464</v>
      </c>
      <c r="D1309">
        <v>51.84</v>
      </c>
      <c r="E1309">
        <v>182.5</v>
      </c>
      <c r="F1309">
        <v>95</v>
      </c>
      <c r="G1309">
        <v>175</v>
      </c>
      <c r="H1309">
        <v>452.5</v>
      </c>
      <c r="I1309">
        <v>2012</v>
      </c>
      <c r="J1309" t="s">
        <v>852</v>
      </c>
      <c r="K1309" t="s">
        <v>171</v>
      </c>
      <c r="L1309" s="8">
        <f t="shared" si="20"/>
        <v>0.54285714285714282</v>
      </c>
    </row>
    <row r="1310" spans="1:12">
      <c r="A1310" t="s">
        <v>1045</v>
      </c>
      <c r="B1310">
        <v>1986</v>
      </c>
      <c r="C1310" t="s">
        <v>28</v>
      </c>
      <c r="D1310">
        <v>46.83</v>
      </c>
      <c r="E1310">
        <v>177.5</v>
      </c>
      <c r="F1310">
        <v>95</v>
      </c>
      <c r="G1310">
        <v>175</v>
      </c>
      <c r="H1310">
        <v>447.5</v>
      </c>
      <c r="I1310">
        <v>2013</v>
      </c>
      <c r="J1310" t="s">
        <v>852</v>
      </c>
      <c r="K1310" t="s">
        <v>171</v>
      </c>
      <c r="L1310" s="8">
        <f t="shared" si="20"/>
        <v>0.54285714285714282</v>
      </c>
    </row>
    <row r="1311" spans="1:12">
      <c r="A1311" t="s">
        <v>325</v>
      </c>
      <c r="B1311">
        <v>1974</v>
      </c>
      <c r="C1311" t="s">
        <v>77</v>
      </c>
      <c r="D1311">
        <v>56.67</v>
      </c>
      <c r="E1311">
        <v>160</v>
      </c>
      <c r="F1311">
        <v>95</v>
      </c>
      <c r="G1311">
        <v>165</v>
      </c>
      <c r="H1311">
        <v>420</v>
      </c>
      <c r="I1311">
        <v>2013</v>
      </c>
      <c r="J1311" t="s">
        <v>852</v>
      </c>
      <c r="K1311" t="s">
        <v>171</v>
      </c>
      <c r="L1311" s="8">
        <f t="shared" si="20"/>
        <v>0.5757575757575758</v>
      </c>
    </row>
    <row r="1312" spans="1:12">
      <c r="A1312" t="s">
        <v>936</v>
      </c>
      <c r="B1312">
        <v>1963</v>
      </c>
      <c r="C1312" t="s">
        <v>80</v>
      </c>
      <c r="D1312">
        <v>46.52</v>
      </c>
      <c r="E1312">
        <v>170</v>
      </c>
      <c r="F1312">
        <v>95</v>
      </c>
      <c r="G1312">
        <v>157.5</v>
      </c>
      <c r="H1312">
        <v>422.5</v>
      </c>
      <c r="I1312">
        <v>2012</v>
      </c>
      <c r="J1312" t="s">
        <v>852</v>
      </c>
      <c r="K1312" t="s">
        <v>171</v>
      </c>
      <c r="L1312" s="8">
        <f t="shared" si="20"/>
        <v>0.60317460317460314</v>
      </c>
    </row>
    <row r="1313" spans="1:12">
      <c r="A1313" t="s">
        <v>1034</v>
      </c>
      <c r="B1313">
        <v>1962</v>
      </c>
      <c r="C1313" t="s">
        <v>77</v>
      </c>
      <c r="D1313">
        <v>51.83</v>
      </c>
      <c r="E1313">
        <v>142.5</v>
      </c>
      <c r="F1313">
        <v>95</v>
      </c>
      <c r="G1313">
        <v>150</v>
      </c>
      <c r="H1313">
        <v>387.5</v>
      </c>
      <c r="I1313">
        <v>2012</v>
      </c>
      <c r="J1313" t="s">
        <v>852</v>
      </c>
      <c r="K1313" t="s">
        <v>171</v>
      </c>
      <c r="L1313" s="8">
        <f t="shared" si="20"/>
        <v>0.6333333333333333</v>
      </c>
    </row>
    <row r="1314" spans="1:12">
      <c r="A1314" t="s">
        <v>343</v>
      </c>
      <c r="B1314">
        <v>1979</v>
      </c>
      <c r="C1314" t="s">
        <v>318</v>
      </c>
      <c r="D1314">
        <v>56.49</v>
      </c>
      <c r="E1314">
        <v>152.5</v>
      </c>
      <c r="F1314">
        <v>95</v>
      </c>
      <c r="G1314">
        <v>145</v>
      </c>
      <c r="H1314">
        <v>392.5</v>
      </c>
      <c r="I1314">
        <v>2013</v>
      </c>
      <c r="J1314" t="s">
        <v>852</v>
      </c>
      <c r="K1314" t="s">
        <v>171</v>
      </c>
      <c r="L1314" s="8">
        <f t="shared" si="20"/>
        <v>0.65517241379310343</v>
      </c>
    </row>
    <row r="1315" spans="1:12">
      <c r="A1315" t="s">
        <v>201</v>
      </c>
      <c r="B1315">
        <v>1982</v>
      </c>
      <c r="C1315" t="s">
        <v>888</v>
      </c>
      <c r="D1315">
        <v>56.16</v>
      </c>
      <c r="E1315">
        <v>165</v>
      </c>
      <c r="F1315">
        <v>92.5</v>
      </c>
      <c r="G1315">
        <v>190</v>
      </c>
      <c r="H1315">
        <v>447.5</v>
      </c>
      <c r="I1315">
        <v>2014</v>
      </c>
      <c r="J1315" t="s">
        <v>852</v>
      </c>
      <c r="K1315" t="s">
        <v>171</v>
      </c>
      <c r="L1315" s="8">
        <f t="shared" si="20"/>
        <v>0.48684210526315791</v>
      </c>
    </row>
    <row r="1316" spans="1:12">
      <c r="A1316" t="s">
        <v>881</v>
      </c>
      <c r="B1316">
        <v>1989</v>
      </c>
      <c r="C1316" t="s">
        <v>336</v>
      </c>
      <c r="D1316">
        <v>72</v>
      </c>
      <c r="E1316">
        <v>177.5</v>
      </c>
      <c r="F1316">
        <v>92.5</v>
      </c>
      <c r="G1316">
        <v>182.5</v>
      </c>
      <c r="H1316">
        <v>452.5</v>
      </c>
      <c r="I1316">
        <v>2012</v>
      </c>
      <c r="J1316" t="s">
        <v>852</v>
      </c>
      <c r="K1316" t="s">
        <v>171</v>
      </c>
      <c r="L1316" s="8">
        <f t="shared" si="20"/>
        <v>0.50684931506849318</v>
      </c>
    </row>
    <row r="1317" spans="1:12">
      <c r="A1317" t="s">
        <v>968</v>
      </c>
      <c r="B1317">
        <v>1991</v>
      </c>
      <c r="C1317" t="s">
        <v>859</v>
      </c>
      <c r="D1317">
        <v>55.78</v>
      </c>
      <c r="E1317">
        <v>195</v>
      </c>
      <c r="F1317">
        <v>92.5</v>
      </c>
      <c r="G1317">
        <v>172.5</v>
      </c>
      <c r="H1317">
        <v>460</v>
      </c>
      <c r="I1317">
        <v>2014</v>
      </c>
      <c r="J1317" t="s">
        <v>852</v>
      </c>
      <c r="K1317" t="s">
        <v>171</v>
      </c>
      <c r="L1317" s="8">
        <f t="shared" si="20"/>
        <v>0.53623188405797106</v>
      </c>
    </row>
    <row r="1318" spans="1:12">
      <c r="A1318" t="s">
        <v>183</v>
      </c>
      <c r="B1318">
        <v>1991</v>
      </c>
      <c r="C1318" t="s">
        <v>45</v>
      </c>
      <c r="D1318">
        <v>56.8</v>
      </c>
      <c r="E1318">
        <v>185</v>
      </c>
      <c r="F1318">
        <v>92.5</v>
      </c>
      <c r="G1318">
        <v>167.5</v>
      </c>
      <c r="H1318">
        <v>445</v>
      </c>
      <c r="I1318">
        <v>2015</v>
      </c>
      <c r="J1318" t="s">
        <v>852</v>
      </c>
      <c r="K1318" t="s">
        <v>171</v>
      </c>
      <c r="L1318" s="8">
        <f t="shared" si="20"/>
        <v>0.55223880597014929</v>
      </c>
    </row>
    <row r="1319" spans="1:12">
      <c r="A1319" t="s">
        <v>232</v>
      </c>
      <c r="B1319">
        <v>1968</v>
      </c>
      <c r="C1319" t="s">
        <v>62</v>
      </c>
      <c r="D1319">
        <v>51.49</v>
      </c>
      <c r="E1319">
        <v>167.5</v>
      </c>
      <c r="F1319">
        <v>92.5</v>
      </c>
      <c r="G1319">
        <v>167.5</v>
      </c>
      <c r="H1319">
        <v>427.5</v>
      </c>
      <c r="I1319">
        <v>2012</v>
      </c>
      <c r="J1319" t="s">
        <v>852</v>
      </c>
      <c r="K1319" t="s">
        <v>171</v>
      </c>
      <c r="L1319" s="8">
        <f t="shared" si="20"/>
        <v>0.55223880597014929</v>
      </c>
    </row>
    <row r="1320" spans="1:12">
      <c r="A1320" t="s">
        <v>265</v>
      </c>
      <c r="B1320">
        <v>1976</v>
      </c>
      <c r="C1320" t="s">
        <v>137</v>
      </c>
      <c r="D1320">
        <v>51.29</v>
      </c>
      <c r="E1320">
        <v>167.5</v>
      </c>
      <c r="F1320">
        <v>92.5</v>
      </c>
      <c r="G1320">
        <v>157.5</v>
      </c>
      <c r="H1320">
        <v>417.5</v>
      </c>
      <c r="I1320">
        <v>2013</v>
      </c>
      <c r="J1320" t="s">
        <v>852</v>
      </c>
      <c r="K1320" t="s">
        <v>171</v>
      </c>
      <c r="L1320" s="8">
        <f t="shared" si="20"/>
        <v>0.58730158730158732</v>
      </c>
    </row>
    <row r="1321" spans="1:12">
      <c r="A1321" t="s">
        <v>275</v>
      </c>
      <c r="B1321">
        <v>1988</v>
      </c>
      <c r="C1321" t="s">
        <v>905</v>
      </c>
      <c r="D1321">
        <v>54.74</v>
      </c>
      <c r="E1321">
        <v>167.5</v>
      </c>
      <c r="F1321">
        <v>92.5</v>
      </c>
      <c r="G1321">
        <v>157.5</v>
      </c>
      <c r="H1321">
        <v>417.5</v>
      </c>
      <c r="I1321">
        <v>2014</v>
      </c>
      <c r="J1321" t="s">
        <v>852</v>
      </c>
      <c r="K1321" t="s">
        <v>171</v>
      </c>
      <c r="L1321" s="8">
        <f t="shared" si="20"/>
        <v>0.58730158730158732</v>
      </c>
    </row>
    <row r="1322" spans="1:12">
      <c r="A1322" t="s">
        <v>954</v>
      </c>
      <c r="B1322">
        <v>1978</v>
      </c>
      <c r="C1322" t="s">
        <v>137</v>
      </c>
      <c r="D1322">
        <v>46.03</v>
      </c>
      <c r="E1322">
        <v>155</v>
      </c>
      <c r="F1322">
        <v>92.5</v>
      </c>
      <c r="G1322">
        <v>157.5</v>
      </c>
      <c r="H1322">
        <v>405</v>
      </c>
      <c r="I1322">
        <v>2012</v>
      </c>
      <c r="J1322" t="s">
        <v>852</v>
      </c>
      <c r="K1322" t="s">
        <v>171</v>
      </c>
      <c r="L1322" s="8">
        <f t="shared" si="20"/>
        <v>0.58730158730158732</v>
      </c>
    </row>
    <row r="1323" spans="1:12">
      <c r="A1323" t="s">
        <v>258</v>
      </c>
      <c r="B1323">
        <v>1978</v>
      </c>
      <c r="C1323" t="s">
        <v>137</v>
      </c>
      <c r="D1323">
        <v>46.23</v>
      </c>
      <c r="E1323">
        <v>0</v>
      </c>
      <c r="F1323">
        <v>92.5</v>
      </c>
      <c r="G1323">
        <v>157.5</v>
      </c>
      <c r="H1323">
        <v>0</v>
      </c>
      <c r="I1323">
        <v>2013</v>
      </c>
      <c r="J1323" t="s">
        <v>852</v>
      </c>
      <c r="K1323" t="s">
        <v>171</v>
      </c>
      <c r="L1323" s="8">
        <f t="shared" si="20"/>
        <v>0.58730158730158732</v>
      </c>
    </row>
    <row r="1324" spans="1:12">
      <c r="A1324" t="s">
        <v>265</v>
      </c>
      <c r="B1324">
        <v>1976</v>
      </c>
      <c r="C1324" t="s">
        <v>137</v>
      </c>
      <c r="D1324">
        <v>51.45</v>
      </c>
      <c r="E1324">
        <v>160</v>
      </c>
      <c r="F1324">
        <v>92.5</v>
      </c>
      <c r="G1324">
        <v>152.5</v>
      </c>
      <c r="H1324">
        <v>405</v>
      </c>
      <c r="I1324">
        <v>2012</v>
      </c>
      <c r="J1324" t="s">
        <v>852</v>
      </c>
      <c r="K1324" t="s">
        <v>171</v>
      </c>
      <c r="L1324" s="8">
        <f t="shared" si="20"/>
        <v>0.60655737704918034</v>
      </c>
    </row>
    <row r="1325" spans="1:12">
      <c r="A1325" t="s">
        <v>277</v>
      </c>
      <c r="B1325">
        <v>1981</v>
      </c>
      <c r="C1325" t="s">
        <v>62</v>
      </c>
      <c r="D1325">
        <v>51.12</v>
      </c>
      <c r="E1325">
        <v>165</v>
      </c>
      <c r="F1325">
        <v>92.5</v>
      </c>
      <c r="G1325">
        <v>150</v>
      </c>
      <c r="H1325">
        <v>407.5</v>
      </c>
      <c r="I1325">
        <v>2015</v>
      </c>
      <c r="J1325" t="s">
        <v>852</v>
      </c>
      <c r="K1325" t="s">
        <v>171</v>
      </c>
      <c r="L1325" s="8">
        <f t="shared" si="20"/>
        <v>0.6166666666666667</v>
      </c>
    </row>
    <row r="1326" spans="1:12">
      <c r="A1326" t="s">
        <v>307</v>
      </c>
      <c r="B1326">
        <v>1990</v>
      </c>
      <c r="C1326" t="s">
        <v>911</v>
      </c>
      <c r="D1326">
        <v>50.5</v>
      </c>
      <c r="E1326">
        <v>150</v>
      </c>
      <c r="F1326">
        <v>92.5</v>
      </c>
      <c r="G1326">
        <v>150</v>
      </c>
      <c r="H1326">
        <v>392.5</v>
      </c>
      <c r="I1326">
        <v>2014</v>
      </c>
      <c r="J1326" t="s">
        <v>852</v>
      </c>
      <c r="K1326" t="s">
        <v>171</v>
      </c>
      <c r="L1326" s="8">
        <f t="shared" si="20"/>
        <v>0.6166666666666667</v>
      </c>
    </row>
    <row r="1327" spans="1:12">
      <c r="A1327" t="s">
        <v>1012</v>
      </c>
      <c r="B1327">
        <v>1972</v>
      </c>
      <c r="C1327" t="s">
        <v>80</v>
      </c>
      <c r="D1327">
        <v>51.83</v>
      </c>
      <c r="E1327">
        <v>0</v>
      </c>
      <c r="F1327">
        <v>92.5</v>
      </c>
      <c r="G1327">
        <v>150</v>
      </c>
      <c r="H1327">
        <v>0</v>
      </c>
      <c r="I1327">
        <v>2013</v>
      </c>
      <c r="J1327" t="s">
        <v>852</v>
      </c>
      <c r="K1327" t="s">
        <v>171</v>
      </c>
      <c r="L1327" s="8">
        <f t="shared" si="20"/>
        <v>0.6166666666666667</v>
      </c>
    </row>
    <row r="1328" spans="1:12">
      <c r="A1328" t="s">
        <v>958</v>
      </c>
      <c r="B1328">
        <v>1994</v>
      </c>
      <c r="C1328" t="s">
        <v>359</v>
      </c>
      <c r="D1328">
        <v>66.48</v>
      </c>
      <c r="E1328">
        <v>180</v>
      </c>
      <c r="F1328">
        <v>92.5</v>
      </c>
      <c r="G1328">
        <v>140</v>
      </c>
      <c r="H1328">
        <v>412.5</v>
      </c>
      <c r="I1328">
        <v>2013</v>
      </c>
      <c r="J1328" t="s">
        <v>852</v>
      </c>
      <c r="K1328" t="s">
        <v>171</v>
      </c>
      <c r="L1328" s="8">
        <f t="shared" si="20"/>
        <v>0.6607142857142857</v>
      </c>
    </row>
    <row r="1329" spans="1:12">
      <c r="A1329" t="s">
        <v>266</v>
      </c>
      <c r="B1329">
        <v>1982</v>
      </c>
      <c r="C1329" t="s">
        <v>137</v>
      </c>
      <c r="D1329">
        <v>46.62</v>
      </c>
      <c r="E1329">
        <v>145</v>
      </c>
      <c r="F1329">
        <v>92.5</v>
      </c>
      <c r="G1329">
        <v>125</v>
      </c>
      <c r="H1329">
        <v>362.5</v>
      </c>
      <c r="I1329">
        <v>2015</v>
      </c>
      <c r="J1329" t="s">
        <v>852</v>
      </c>
      <c r="K1329" t="s">
        <v>171</v>
      </c>
      <c r="L1329" s="8">
        <f t="shared" si="20"/>
        <v>0.74</v>
      </c>
    </row>
    <row r="1330" spans="1:12">
      <c r="A1330" t="s">
        <v>1013</v>
      </c>
      <c r="B1330">
        <v>1993</v>
      </c>
      <c r="C1330" t="s">
        <v>359</v>
      </c>
      <c r="D1330">
        <v>50.98</v>
      </c>
      <c r="E1330">
        <v>100</v>
      </c>
      <c r="F1330">
        <v>92.5</v>
      </c>
      <c r="G1330">
        <v>120</v>
      </c>
      <c r="H1330">
        <v>312.5</v>
      </c>
      <c r="I1330">
        <v>2013</v>
      </c>
      <c r="J1330" t="s">
        <v>852</v>
      </c>
      <c r="K1330" t="s">
        <v>171</v>
      </c>
      <c r="L1330" s="8">
        <f t="shared" si="20"/>
        <v>0.77083333333333337</v>
      </c>
    </row>
    <row r="1331" spans="1:12">
      <c r="A1331" t="s">
        <v>201</v>
      </c>
      <c r="B1331">
        <v>1982</v>
      </c>
      <c r="C1331" t="s">
        <v>74</v>
      </c>
      <c r="D1331">
        <v>56.47</v>
      </c>
      <c r="E1331">
        <v>170</v>
      </c>
      <c r="F1331">
        <v>90</v>
      </c>
      <c r="G1331">
        <v>197.5</v>
      </c>
      <c r="H1331">
        <v>457.5</v>
      </c>
      <c r="I1331">
        <v>2015</v>
      </c>
      <c r="J1331" t="s">
        <v>852</v>
      </c>
      <c r="K1331" t="s">
        <v>171</v>
      </c>
      <c r="L1331" s="8">
        <f t="shared" si="20"/>
        <v>0.45569620253164556</v>
      </c>
    </row>
    <row r="1332" spans="1:12">
      <c r="A1332" t="s">
        <v>900</v>
      </c>
      <c r="B1332">
        <v>1986</v>
      </c>
      <c r="C1332" t="s">
        <v>464</v>
      </c>
      <c r="D1332">
        <v>56.9</v>
      </c>
      <c r="E1332">
        <v>190</v>
      </c>
      <c r="F1332">
        <v>90</v>
      </c>
      <c r="G1332">
        <v>195</v>
      </c>
      <c r="H1332">
        <v>475</v>
      </c>
      <c r="I1332">
        <v>2012</v>
      </c>
      <c r="J1332" t="s">
        <v>852</v>
      </c>
      <c r="K1332" t="s">
        <v>171</v>
      </c>
      <c r="L1332" s="8">
        <f t="shared" si="20"/>
        <v>0.46153846153846156</v>
      </c>
    </row>
    <row r="1333" spans="1:12">
      <c r="A1333" t="s">
        <v>928</v>
      </c>
      <c r="B1333">
        <v>1979</v>
      </c>
      <c r="C1333" t="s">
        <v>45</v>
      </c>
      <c r="D1333">
        <v>61.11</v>
      </c>
      <c r="E1333">
        <v>175</v>
      </c>
      <c r="F1333">
        <v>90</v>
      </c>
      <c r="G1333">
        <v>185</v>
      </c>
      <c r="H1333">
        <v>450</v>
      </c>
      <c r="I1333">
        <v>2012</v>
      </c>
      <c r="J1333" t="s">
        <v>852</v>
      </c>
      <c r="K1333" t="s">
        <v>171</v>
      </c>
      <c r="L1333" s="8">
        <f t="shared" si="20"/>
        <v>0.48648648648648651</v>
      </c>
    </row>
    <row r="1334" spans="1:12">
      <c r="A1334" t="s">
        <v>924</v>
      </c>
      <c r="B1334">
        <v>1975</v>
      </c>
      <c r="C1334" t="s">
        <v>711</v>
      </c>
      <c r="D1334">
        <v>55.79</v>
      </c>
      <c r="E1334">
        <v>187.5</v>
      </c>
      <c r="F1334">
        <v>90</v>
      </c>
      <c r="G1334">
        <v>177.5</v>
      </c>
      <c r="H1334">
        <v>455</v>
      </c>
      <c r="I1334">
        <v>2012</v>
      </c>
      <c r="J1334" t="s">
        <v>852</v>
      </c>
      <c r="K1334" t="s">
        <v>171</v>
      </c>
      <c r="L1334" s="8">
        <f t="shared" si="20"/>
        <v>0.50704225352112675</v>
      </c>
    </row>
    <row r="1335" spans="1:12">
      <c r="A1335" t="s">
        <v>325</v>
      </c>
      <c r="B1335">
        <v>1974</v>
      </c>
      <c r="C1335" t="s">
        <v>77</v>
      </c>
      <c r="D1335">
        <v>56.91</v>
      </c>
      <c r="E1335">
        <v>160</v>
      </c>
      <c r="F1335">
        <v>90</v>
      </c>
      <c r="G1335">
        <v>175</v>
      </c>
      <c r="H1335">
        <v>425</v>
      </c>
      <c r="I1335">
        <v>2012</v>
      </c>
      <c r="J1335" t="s">
        <v>852</v>
      </c>
      <c r="K1335" t="s">
        <v>171</v>
      </c>
      <c r="L1335" s="8">
        <f t="shared" si="20"/>
        <v>0.51428571428571423</v>
      </c>
    </row>
    <row r="1336" spans="1:12">
      <c r="A1336" t="s">
        <v>325</v>
      </c>
      <c r="B1336">
        <v>1974</v>
      </c>
      <c r="C1336" t="s">
        <v>911</v>
      </c>
      <c r="D1336">
        <v>56.6</v>
      </c>
      <c r="E1336">
        <v>160</v>
      </c>
      <c r="F1336">
        <v>90</v>
      </c>
      <c r="G1336">
        <v>167.5</v>
      </c>
      <c r="H1336">
        <v>417.5</v>
      </c>
      <c r="I1336">
        <v>2014</v>
      </c>
      <c r="J1336" t="s">
        <v>852</v>
      </c>
      <c r="K1336" t="s">
        <v>171</v>
      </c>
      <c r="L1336" s="8">
        <f t="shared" si="20"/>
        <v>0.53731343283582089</v>
      </c>
    </row>
    <row r="1337" spans="1:12">
      <c r="A1337" t="s">
        <v>277</v>
      </c>
      <c r="B1337">
        <v>1981</v>
      </c>
      <c r="C1337" t="s">
        <v>62</v>
      </c>
      <c r="D1337">
        <v>51.65</v>
      </c>
      <c r="E1337">
        <v>152.5</v>
      </c>
      <c r="F1337">
        <v>90</v>
      </c>
      <c r="G1337">
        <v>167.5</v>
      </c>
      <c r="H1337">
        <v>410</v>
      </c>
      <c r="I1337">
        <v>2013</v>
      </c>
      <c r="J1337" t="s">
        <v>852</v>
      </c>
      <c r="K1337" t="s">
        <v>171</v>
      </c>
      <c r="L1337" s="8">
        <f t="shared" si="20"/>
        <v>0.53731343283582089</v>
      </c>
    </row>
    <row r="1338" spans="1:12">
      <c r="A1338" t="s">
        <v>232</v>
      </c>
      <c r="B1338">
        <v>1968</v>
      </c>
      <c r="C1338" t="s">
        <v>876</v>
      </c>
      <c r="D1338">
        <v>51.56</v>
      </c>
      <c r="E1338">
        <v>182.5</v>
      </c>
      <c r="F1338">
        <v>90</v>
      </c>
      <c r="G1338">
        <v>165</v>
      </c>
      <c r="H1338">
        <v>437.5</v>
      </c>
      <c r="I1338">
        <v>2014</v>
      </c>
      <c r="J1338" t="s">
        <v>852</v>
      </c>
      <c r="K1338" t="s">
        <v>171</v>
      </c>
      <c r="L1338" s="8">
        <f t="shared" si="20"/>
        <v>0.54545454545454541</v>
      </c>
    </row>
    <row r="1339" spans="1:12">
      <c r="A1339" t="s">
        <v>1012</v>
      </c>
      <c r="B1339">
        <v>1972</v>
      </c>
      <c r="C1339" t="s">
        <v>80</v>
      </c>
      <c r="D1339">
        <v>51.84</v>
      </c>
      <c r="E1339">
        <v>155</v>
      </c>
      <c r="F1339">
        <v>90</v>
      </c>
      <c r="G1339">
        <v>160</v>
      </c>
      <c r="H1339">
        <v>405</v>
      </c>
      <c r="I1339">
        <v>2012</v>
      </c>
      <c r="J1339" t="s">
        <v>852</v>
      </c>
      <c r="K1339" t="s">
        <v>171</v>
      </c>
      <c r="L1339" s="8">
        <f t="shared" si="20"/>
        <v>0.5625</v>
      </c>
    </row>
    <row r="1340" spans="1:12">
      <c r="A1340" t="s">
        <v>335</v>
      </c>
      <c r="B1340">
        <v>1985</v>
      </c>
      <c r="C1340" t="s">
        <v>336</v>
      </c>
      <c r="D1340">
        <v>46.14</v>
      </c>
      <c r="E1340">
        <v>167.5</v>
      </c>
      <c r="F1340">
        <v>90</v>
      </c>
      <c r="G1340">
        <v>152.5</v>
      </c>
      <c r="H1340">
        <v>410</v>
      </c>
      <c r="I1340">
        <v>2012</v>
      </c>
      <c r="J1340" t="s">
        <v>852</v>
      </c>
      <c r="K1340" t="s">
        <v>171</v>
      </c>
      <c r="L1340" s="8">
        <f t="shared" si="20"/>
        <v>0.5901639344262295</v>
      </c>
    </row>
    <row r="1341" spans="1:12">
      <c r="A1341" t="s">
        <v>1034</v>
      </c>
      <c r="B1341">
        <v>1962</v>
      </c>
      <c r="C1341" t="s">
        <v>911</v>
      </c>
      <c r="D1341">
        <v>51.7</v>
      </c>
      <c r="E1341">
        <v>135</v>
      </c>
      <c r="F1341">
        <v>90</v>
      </c>
      <c r="G1341">
        <v>145</v>
      </c>
      <c r="H1341">
        <v>370</v>
      </c>
      <c r="I1341">
        <v>2014</v>
      </c>
      <c r="J1341" t="s">
        <v>852</v>
      </c>
      <c r="K1341" t="s">
        <v>171</v>
      </c>
      <c r="L1341" s="8">
        <f t="shared" si="20"/>
        <v>0.62068965517241381</v>
      </c>
    </row>
    <row r="1342" spans="1:12">
      <c r="A1342" t="s">
        <v>175</v>
      </c>
      <c r="B1342">
        <v>1981</v>
      </c>
      <c r="C1342" t="s">
        <v>80</v>
      </c>
      <c r="D1342">
        <v>50.38</v>
      </c>
      <c r="E1342">
        <v>162.5</v>
      </c>
      <c r="F1342">
        <v>87.5</v>
      </c>
      <c r="G1342">
        <v>172.5</v>
      </c>
      <c r="H1342">
        <v>422.5</v>
      </c>
      <c r="I1342">
        <v>2013</v>
      </c>
      <c r="J1342" t="s">
        <v>852</v>
      </c>
      <c r="K1342" t="s">
        <v>171</v>
      </c>
      <c r="L1342" s="8">
        <f t="shared" si="20"/>
        <v>0.50724637681159424</v>
      </c>
    </row>
    <row r="1343" spans="1:12">
      <c r="A1343" t="s">
        <v>192</v>
      </c>
      <c r="B1343">
        <v>1969</v>
      </c>
      <c r="C1343" t="s">
        <v>54</v>
      </c>
      <c r="D1343">
        <v>56.39</v>
      </c>
      <c r="E1343">
        <v>157.5</v>
      </c>
      <c r="F1343">
        <v>87.5</v>
      </c>
      <c r="G1343">
        <v>170</v>
      </c>
      <c r="H1343">
        <v>415</v>
      </c>
      <c r="I1343">
        <v>2015</v>
      </c>
      <c r="J1343" t="s">
        <v>852</v>
      </c>
      <c r="K1343" t="s">
        <v>171</v>
      </c>
      <c r="L1343" s="8">
        <f t="shared" si="20"/>
        <v>0.51470588235294112</v>
      </c>
    </row>
    <row r="1344" spans="1:12">
      <c r="A1344" t="s">
        <v>175</v>
      </c>
      <c r="B1344">
        <v>1981</v>
      </c>
      <c r="C1344" t="s">
        <v>80</v>
      </c>
      <c r="D1344">
        <v>50.78</v>
      </c>
      <c r="E1344">
        <v>162.5</v>
      </c>
      <c r="F1344">
        <v>87.5</v>
      </c>
      <c r="G1344">
        <v>167.5</v>
      </c>
      <c r="H1344">
        <v>417.5</v>
      </c>
      <c r="I1344">
        <v>2012</v>
      </c>
      <c r="J1344" t="s">
        <v>852</v>
      </c>
      <c r="K1344" t="s">
        <v>171</v>
      </c>
      <c r="L1344" s="8">
        <f t="shared" si="20"/>
        <v>0.52238805970149249</v>
      </c>
    </row>
    <row r="1345" spans="1:12">
      <c r="A1345" t="s">
        <v>307</v>
      </c>
      <c r="B1345">
        <v>1990</v>
      </c>
      <c r="C1345" t="s">
        <v>77</v>
      </c>
      <c r="D1345">
        <v>51.95</v>
      </c>
      <c r="E1345">
        <v>130</v>
      </c>
      <c r="F1345">
        <v>87.5</v>
      </c>
      <c r="G1345">
        <v>157.5</v>
      </c>
      <c r="H1345">
        <v>375</v>
      </c>
      <c r="I1345">
        <v>2013</v>
      </c>
      <c r="J1345" t="s">
        <v>852</v>
      </c>
      <c r="K1345" t="s">
        <v>171</v>
      </c>
      <c r="L1345" s="8">
        <f t="shared" si="20"/>
        <v>0.55555555555555558</v>
      </c>
    </row>
    <row r="1346" spans="1:12">
      <c r="A1346" t="s">
        <v>343</v>
      </c>
      <c r="B1346">
        <v>1979</v>
      </c>
      <c r="C1346" t="s">
        <v>318</v>
      </c>
      <c r="D1346">
        <v>56.78</v>
      </c>
      <c r="E1346">
        <v>145</v>
      </c>
      <c r="F1346">
        <v>87.5</v>
      </c>
      <c r="G1346">
        <v>130</v>
      </c>
      <c r="H1346">
        <v>362.5</v>
      </c>
      <c r="I1346">
        <v>2012</v>
      </c>
      <c r="J1346" t="s">
        <v>852</v>
      </c>
      <c r="K1346" t="s">
        <v>171</v>
      </c>
      <c r="L1346" s="8">
        <f t="shared" si="20"/>
        <v>0.67307692307692313</v>
      </c>
    </row>
    <row r="1347" spans="1:12">
      <c r="A1347" t="s">
        <v>1059</v>
      </c>
      <c r="B1347">
        <v>1984</v>
      </c>
      <c r="C1347" t="s">
        <v>85</v>
      </c>
      <c r="D1347">
        <v>61.73</v>
      </c>
      <c r="E1347">
        <v>165</v>
      </c>
      <c r="F1347">
        <v>85</v>
      </c>
      <c r="G1347">
        <v>190</v>
      </c>
      <c r="H1347">
        <v>440</v>
      </c>
      <c r="I1347">
        <v>2013</v>
      </c>
      <c r="J1347" t="s">
        <v>852</v>
      </c>
      <c r="K1347" t="s">
        <v>171</v>
      </c>
      <c r="L1347" s="8">
        <f t="shared" ref="L1347:L1389" si="21">IF(AND(F1347&lt;&gt;0,G1347&lt;&gt;0),F1347/G1347,"")</f>
        <v>0.44736842105263158</v>
      </c>
    </row>
    <row r="1348" spans="1:12">
      <c r="A1348" t="s">
        <v>198</v>
      </c>
      <c r="B1348">
        <v>1982</v>
      </c>
      <c r="C1348" t="s">
        <v>74</v>
      </c>
      <c r="D1348">
        <v>46.29</v>
      </c>
      <c r="E1348">
        <v>190</v>
      </c>
      <c r="F1348">
        <v>85</v>
      </c>
      <c r="G1348">
        <v>180</v>
      </c>
      <c r="H1348">
        <v>455</v>
      </c>
      <c r="I1348">
        <v>2012</v>
      </c>
      <c r="J1348" t="s">
        <v>852</v>
      </c>
      <c r="K1348" t="s">
        <v>171</v>
      </c>
      <c r="L1348" s="8">
        <f t="shared" si="21"/>
        <v>0.47222222222222221</v>
      </c>
    </row>
    <row r="1349" spans="1:12">
      <c r="A1349" t="s">
        <v>226</v>
      </c>
      <c r="B1349">
        <v>1986</v>
      </c>
      <c r="C1349" t="s">
        <v>35</v>
      </c>
      <c r="D1349">
        <v>50.73</v>
      </c>
      <c r="E1349">
        <v>175</v>
      </c>
      <c r="F1349">
        <v>85</v>
      </c>
      <c r="G1349">
        <v>175</v>
      </c>
      <c r="H1349">
        <v>435</v>
      </c>
      <c r="I1349">
        <v>2015</v>
      </c>
      <c r="J1349" t="s">
        <v>852</v>
      </c>
      <c r="K1349" t="s">
        <v>171</v>
      </c>
      <c r="L1349" s="8">
        <f t="shared" si="21"/>
        <v>0.48571428571428571</v>
      </c>
    </row>
    <row r="1350" spans="1:12">
      <c r="A1350" t="s">
        <v>192</v>
      </c>
      <c r="B1350">
        <v>1969</v>
      </c>
      <c r="C1350" t="s">
        <v>54</v>
      </c>
      <c r="D1350">
        <v>56.59</v>
      </c>
      <c r="E1350">
        <v>0</v>
      </c>
      <c r="F1350">
        <v>85</v>
      </c>
      <c r="G1350">
        <v>172.5</v>
      </c>
      <c r="H1350">
        <v>0</v>
      </c>
      <c r="I1350">
        <v>2013</v>
      </c>
      <c r="J1350" t="s">
        <v>852</v>
      </c>
      <c r="K1350" t="s">
        <v>171</v>
      </c>
      <c r="L1350" s="8">
        <f t="shared" si="21"/>
        <v>0.49275362318840582</v>
      </c>
    </row>
    <row r="1351" spans="1:12">
      <c r="A1351" t="s">
        <v>226</v>
      </c>
      <c r="B1351">
        <v>1986</v>
      </c>
      <c r="C1351" t="s">
        <v>920</v>
      </c>
      <c r="D1351">
        <v>51.4</v>
      </c>
      <c r="E1351">
        <v>190</v>
      </c>
      <c r="F1351">
        <v>85</v>
      </c>
      <c r="G1351">
        <v>170</v>
      </c>
      <c r="H1351">
        <v>445</v>
      </c>
      <c r="I1351">
        <v>2014</v>
      </c>
      <c r="J1351" t="s">
        <v>852</v>
      </c>
      <c r="K1351" t="s">
        <v>171</v>
      </c>
      <c r="L1351" s="8">
        <f t="shared" si="21"/>
        <v>0.5</v>
      </c>
    </row>
    <row r="1352" spans="1:12">
      <c r="A1352" t="s">
        <v>203</v>
      </c>
      <c r="B1352">
        <v>1987</v>
      </c>
      <c r="C1352" t="s">
        <v>893</v>
      </c>
      <c r="D1352">
        <v>57.68</v>
      </c>
      <c r="E1352">
        <v>162.5</v>
      </c>
      <c r="F1352">
        <v>85</v>
      </c>
      <c r="G1352">
        <v>162.5</v>
      </c>
      <c r="H1352">
        <v>410</v>
      </c>
      <c r="I1352">
        <v>2014</v>
      </c>
      <c r="J1352" t="s">
        <v>852</v>
      </c>
      <c r="K1352" t="s">
        <v>171</v>
      </c>
      <c r="L1352" s="8">
        <f t="shared" si="21"/>
        <v>0.52307692307692311</v>
      </c>
    </row>
    <row r="1353" spans="1:12">
      <c r="A1353" t="s">
        <v>203</v>
      </c>
      <c r="B1353">
        <v>1987</v>
      </c>
      <c r="C1353" t="s">
        <v>125</v>
      </c>
      <c r="D1353">
        <v>56.94</v>
      </c>
      <c r="E1353">
        <v>150</v>
      </c>
      <c r="F1353">
        <v>85</v>
      </c>
      <c r="G1353">
        <v>160</v>
      </c>
      <c r="H1353">
        <v>395</v>
      </c>
      <c r="I1353">
        <v>2013</v>
      </c>
      <c r="J1353" t="s">
        <v>852</v>
      </c>
      <c r="K1353" t="s">
        <v>171</v>
      </c>
      <c r="L1353" s="8">
        <f t="shared" si="21"/>
        <v>0.53125</v>
      </c>
    </row>
    <row r="1354" spans="1:12">
      <c r="A1354" t="s">
        <v>972</v>
      </c>
      <c r="B1354">
        <v>1988</v>
      </c>
      <c r="C1354" t="s">
        <v>51</v>
      </c>
      <c r="D1354">
        <v>54.92</v>
      </c>
      <c r="E1354">
        <v>145</v>
      </c>
      <c r="F1354">
        <v>85</v>
      </c>
      <c r="G1354">
        <v>152.5</v>
      </c>
      <c r="H1354">
        <v>382.5</v>
      </c>
      <c r="I1354">
        <v>2013</v>
      </c>
      <c r="J1354" t="s">
        <v>852</v>
      </c>
      <c r="K1354" t="s">
        <v>171</v>
      </c>
      <c r="L1354" s="8">
        <f t="shared" si="21"/>
        <v>0.55737704918032782</v>
      </c>
    </row>
    <row r="1355" spans="1:12">
      <c r="A1355" t="s">
        <v>202</v>
      </c>
      <c r="B1355">
        <v>1980</v>
      </c>
      <c r="C1355" t="s">
        <v>74</v>
      </c>
      <c r="D1355">
        <v>50.82</v>
      </c>
      <c r="E1355">
        <v>165</v>
      </c>
      <c r="F1355">
        <v>82.5</v>
      </c>
      <c r="G1355">
        <v>187.5</v>
      </c>
      <c r="H1355">
        <v>435</v>
      </c>
      <c r="I1355">
        <v>2012</v>
      </c>
      <c r="J1355" t="s">
        <v>852</v>
      </c>
      <c r="K1355" t="s">
        <v>171</v>
      </c>
      <c r="L1355" s="8">
        <f t="shared" si="21"/>
        <v>0.44</v>
      </c>
    </row>
    <row r="1356" spans="1:12">
      <c r="A1356" t="s">
        <v>203</v>
      </c>
      <c r="B1356">
        <v>1987</v>
      </c>
      <c r="C1356" t="s">
        <v>125</v>
      </c>
      <c r="D1356">
        <v>56.52</v>
      </c>
      <c r="E1356">
        <v>165</v>
      </c>
      <c r="F1356">
        <v>82.5</v>
      </c>
      <c r="G1356">
        <v>160</v>
      </c>
      <c r="H1356">
        <v>407.5</v>
      </c>
      <c r="I1356">
        <v>2015</v>
      </c>
      <c r="J1356" t="s">
        <v>852</v>
      </c>
      <c r="K1356" t="s">
        <v>171</v>
      </c>
      <c r="L1356" s="8">
        <f t="shared" si="21"/>
        <v>0.515625</v>
      </c>
    </row>
    <row r="1357" spans="1:12">
      <c r="A1357" t="s">
        <v>273</v>
      </c>
      <c r="B1357">
        <v>1975</v>
      </c>
      <c r="C1357" t="s">
        <v>274</v>
      </c>
      <c r="D1357">
        <v>51.71</v>
      </c>
      <c r="E1357">
        <v>155</v>
      </c>
      <c r="F1357">
        <v>82.5</v>
      </c>
      <c r="G1357">
        <v>155</v>
      </c>
      <c r="H1357">
        <v>392.5</v>
      </c>
      <c r="I1357">
        <v>2015</v>
      </c>
      <c r="J1357" t="s">
        <v>852</v>
      </c>
      <c r="K1357" t="s">
        <v>171</v>
      </c>
      <c r="L1357" s="8">
        <f t="shared" si="21"/>
        <v>0.532258064516129</v>
      </c>
    </row>
    <row r="1358" spans="1:12">
      <c r="A1358" t="s">
        <v>877</v>
      </c>
      <c r="B1358">
        <v>1980</v>
      </c>
      <c r="C1358" t="s">
        <v>878</v>
      </c>
      <c r="D1358">
        <v>51.26</v>
      </c>
      <c r="E1358">
        <v>155</v>
      </c>
      <c r="F1358">
        <v>82.5</v>
      </c>
      <c r="G1358">
        <v>142.5</v>
      </c>
      <c r="H1358">
        <v>380</v>
      </c>
      <c r="I1358">
        <v>2014</v>
      </c>
      <c r="J1358" t="s">
        <v>852</v>
      </c>
      <c r="K1358" t="s">
        <v>171</v>
      </c>
      <c r="L1358" s="8">
        <f t="shared" si="21"/>
        <v>0.57894736842105265</v>
      </c>
    </row>
    <row r="1359" spans="1:12">
      <c r="A1359" t="s">
        <v>869</v>
      </c>
      <c r="B1359">
        <v>1987</v>
      </c>
      <c r="C1359" t="s">
        <v>62</v>
      </c>
      <c r="D1359">
        <v>56</v>
      </c>
      <c r="E1359">
        <v>185</v>
      </c>
      <c r="F1359">
        <v>80</v>
      </c>
      <c r="G1359">
        <v>165</v>
      </c>
      <c r="H1359">
        <v>430</v>
      </c>
      <c r="I1359">
        <v>2012</v>
      </c>
      <c r="J1359" t="s">
        <v>852</v>
      </c>
      <c r="K1359" t="s">
        <v>171</v>
      </c>
      <c r="L1359" s="8">
        <f t="shared" si="21"/>
        <v>0.48484848484848486</v>
      </c>
    </row>
    <row r="1360" spans="1:12">
      <c r="A1360" t="s">
        <v>175</v>
      </c>
      <c r="B1360">
        <v>1981</v>
      </c>
      <c r="C1360" t="s">
        <v>80</v>
      </c>
      <c r="D1360">
        <v>46.67</v>
      </c>
      <c r="E1360">
        <v>150</v>
      </c>
      <c r="F1360">
        <v>80</v>
      </c>
      <c r="G1360">
        <v>160</v>
      </c>
      <c r="H1360">
        <v>390</v>
      </c>
      <c r="I1360">
        <v>2015</v>
      </c>
      <c r="J1360" t="s">
        <v>852</v>
      </c>
      <c r="K1360" t="s">
        <v>171</v>
      </c>
      <c r="L1360" s="8">
        <f t="shared" si="21"/>
        <v>0.5</v>
      </c>
    </row>
    <row r="1361" spans="1:12">
      <c r="A1361" t="s">
        <v>955</v>
      </c>
      <c r="B1361">
        <v>1986</v>
      </c>
      <c r="C1361" t="s">
        <v>35</v>
      </c>
      <c r="D1361">
        <v>50.79</v>
      </c>
      <c r="E1361">
        <v>182.5</v>
      </c>
      <c r="F1361">
        <v>80</v>
      </c>
      <c r="G1361">
        <v>155</v>
      </c>
      <c r="H1361">
        <v>417.5</v>
      </c>
      <c r="I1361">
        <v>2012</v>
      </c>
      <c r="J1361" t="s">
        <v>852</v>
      </c>
      <c r="K1361" t="s">
        <v>171</v>
      </c>
      <c r="L1361" s="8">
        <f t="shared" si="21"/>
        <v>0.5161290322580645</v>
      </c>
    </row>
    <row r="1362" spans="1:12">
      <c r="A1362" t="s">
        <v>1038</v>
      </c>
      <c r="B1362">
        <v>1991</v>
      </c>
      <c r="C1362" t="s">
        <v>480</v>
      </c>
      <c r="D1362">
        <v>62.01</v>
      </c>
      <c r="E1362">
        <v>162.5</v>
      </c>
      <c r="F1362">
        <v>80</v>
      </c>
      <c r="G1362">
        <v>140</v>
      </c>
      <c r="H1362">
        <v>382.5</v>
      </c>
      <c r="I1362">
        <v>2012</v>
      </c>
      <c r="J1362" t="s">
        <v>852</v>
      </c>
      <c r="K1362" t="s">
        <v>171</v>
      </c>
      <c r="L1362" s="8">
        <f t="shared" si="21"/>
        <v>0.5714285714285714</v>
      </c>
    </row>
    <row r="1363" spans="1:12">
      <c r="A1363" t="s">
        <v>202</v>
      </c>
      <c r="B1363">
        <v>1980</v>
      </c>
      <c r="C1363" t="s">
        <v>74</v>
      </c>
      <c r="D1363">
        <v>50.52</v>
      </c>
      <c r="E1363">
        <v>165</v>
      </c>
      <c r="F1363">
        <v>77.5</v>
      </c>
      <c r="G1363">
        <v>185</v>
      </c>
      <c r="H1363">
        <v>427.5</v>
      </c>
      <c r="I1363">
        <v>2015</v>
      </c>
      <c r="J1363" t="s">
        <v>852</v>
      </c>
      <c r="K1363" t="s">
        <v>171</v>
      </c>
      <c r="L1363" s="8">
        <f t="shared" si="21"/>
        <v>0.41891891891891891</v>
      </c>
    </row>
    <row r="1364" spans="1:12">
      <c r="A1364" t="s">
        <v>202</v>
      </c>
      <c r="B1364">
        <v>1980</v>
      </c>
      <c r="C1364" t="s">
        <v>74</v>
      </c>
      <c r="D1364">
        <v>51.07</v>
      </c>
      <c r="E1364">
        <v>150</v>
      </c>
      <c r="F1364">
        <v>77.5</v>
      </c>
      <c r="G1364">
        <v>185</v>
      </c>
      <c r="H1364">
        <v>412.5</v>
      </c>
      <c r="I1364">
        <v>2013</v>
      </c>
      <c r="J1364" t="s">
        <v>852</v>
      </c>
      <c r="K1364" t="s">
        <v>171</v>
      </c>
      <c r="L1364" s="8">
        <f t="shared" si="21"/>
        <v>0.41891891891891891</v>
      </c>
    </row>
    <row r="1365" spans="1:12">
      <c r="A1365" t="s">
        <v>226</v>
      </c>
      <c r="B1365">
        <v>1986</v>
      </c>
      <c r="C1365" t="s">
        <v>35</v>
      </c>
      <c r="D1365">
        <v>50.38</v>
      </c>
      <c r="E1365">
        <v>175</v>
      </c>
      <c r="F1365">
        <v>77.5</v>
      </c>
      <c r="G1365">
        <v>175</v>
      </c>
      <c r="H1365">
        <v>427.5</v>
      </c>
      <c r="I1365">
        <v>2013</v>
      </c>
      <c r="J1365" t="s">
        <v>852</v>
      </c>
      <c r="K1365" t="s">
        <v>171</v>
      </c>
      <c r="L1365" s="8">
        <f t="shared" si="21"/>
        <v>0.44285714285714284</v>
      </c>
    </row>
    <row r="1366" spans="1:12">
      <c r="A1366" t="s">
        <v>940</v>
      </c>
      <c r="B1366">
        <v>1992</v>
      </c>
      <c r="C1366" t="s">
        <v>85</v>
      </c>
      <c r="D1366">
        <v>73.97</v>
      </c>
      <c r="E1366">
        <v>172.5</v>
      </c>
      <c r="F1366">
        <v>77.5</v>
      </c>
      <c r="G1366">
        <v>150</v>
      </c>
      <c r="H1366">
        <v>400</v>
      </c>
      <c r="I1366">
        <v>2013</v>
      </c>
      <c r="J1366" t="s">
        <v>852</v>
      </c>
      <c r="K1366" t="s">
        <v>171</v>
      </c>
      <c r="L1366" s="8">
        <f t="shared" si="21"/>
        <v>0.51666666666666672</v>
      </c>
    </row>
    <row r="1367" spans="1:12">
      <c r="A1367" t="s">
        <v>950</v>
      </c>
      <c r="B1367">
        <v>1999</v>
      </c>
      <c r="C1367" t="s">
        <v>876</v>
      </c>
      <c r="D1367">
        <v>45.96</v>
      </c>
      <c r="E1367">
        <v>142.5</v>
      </c>
      <c r="F1367">
        <v>77.5</v>
      </c>
      <c r="G1367">
        <v>147.5</v>
      </c>
      <c r="H1367">
        <v>367.5</v>
      </c>
      <c r="I1367">
        <v>2014</v>
      </c>
      <c r="J1367" t="s">
        <v>852</v>
      </c>
      <c r="K1367" t="s">
        <v>171</v>
      </c>
      <c r="L1367" s="8">
        <f t="shared" si="21"/>
        <v>0.52542372881355937</v>
      </c>
    </row>
    <row r="1368" spans="1:12">
      <c r="A1368" t="s">
        <v>242</v>
      </c>
      <c r="B1368">
        <v>1961</v>
      </c>
      <c r="C1368" t="s">
        <v>243</v>
      </c>
      <c r="D1368">
        <v>61.25</v>
      </c>
      <c r="E1368">
        <v>107.5</v>
      </c>
      <c r="F1368">
        <v>77.5</v>
      </c>
      <c r="G1368">
        <v>120</v>
      </c>
      <c r="H1368">
        <v>305</v>
      </c>
      <c r="I1368">
        <v>2015</v>
      </c>
      <c r="J1368" t="s">
        <v>852</v>
      </c>
      <c r="K1368" t="s">
        <v>171</v>
      </c>
      <c r="L1368" s="8">
        <f t="shared" si="21"/>
        <v>0.64583333333333337</v>
      </c>
    </row>
    <row r="1369" spans="1:12">
      <c r="A1369" t="s">
        <v>202</v>
      </c>
      <c r="B1369">
        <v>1980</v>
      </c>
      <c r="C1369" t="s">
        <v>888</v>
      </c>
      <c r="D1369">
        <v>49.78</v>
      </c>
      <c r="E1369">
        <v>155</v>
      </c>
      <c r="F1369">
        <v>75</v>
      </c>
      <c r="G1369">
        <v>192.5</v>
      </c>
      <c r="H1369">
        <v>422.5</v>
      </c>
      <c r="I1369">
        <v>2014</v>
      </c>
      <c r="J1369" t="s">
        <v>852</v>
      </c>
      <c r="K1369" t="s">
        <v>171</v>
      </c>
      <c r="L1369" s="8">
        <f t="shared" si="21"/>
        <v>0.38961038961038963</v>
      </c>
    </row>
    <row r="1370" spans="1:12">
      <c r="A1370" t="s">
        <v>213</v>
      </c>
      <c r="B1370">
        <v>1978</v>
      </c>
      <c r="C1370" t="s">
        <v>51</v>
      </c>
      <c r="D1370">
        <v>51.42</v>
      </c>
      <c r="E1370">
        <v>137.5</v>
      </c>
      <c r="F1370">
        <v>75</v>
      </c>
      <c r="G1370">
        <v>157.5</v>
      </c>
      <c r="H1370">
        <v>370</v>
      </c>
      <c r="I1370">
        <v>2015</v>
      </c>
      <c r="J1370" t="s">
        <v>852</v>
      </c>
      <c r="K1370" t="s">
        <v>171</v>
      </c>
      <c r="L1370" s="8">
        <f t="shared" si="21"/>
        <v>0.47619047619047616</v>
      </c>
    </row>
    <row r="1371" spans="1:12">
      <c r="A1371" t="s">
        <v>205</v>
      </c>
      <c r="B1371">
        <v>1983</v>
      </c>
      <c r="C1371" t="s">
        <v>137</v>
      </c>
      <c r="D1371">
        <v>56.52</v>
      </c>
      <c r="E1371">
        <v>162.5</v>
      </c>
      <c r="F1371">
        <v>75</v>
      </c>
      <c r="G1371">
        <v>155</v>
      </c>
      <c r="H1371">
        <v>392.5</v>
      </c>
      <c r="I1371">
        <v>2015</v>
      </c>
      <c r="J1371" t="s">
        <v>852</v>
      </c>
      <c r="K1371" t="s">
        <v>171</v>
      </c>
      <c r="L1371" s="8">
        <f t="shared" si="21"/>
        <v>0.4838709677419355</v>
      </c>
    </row>
    <row r="1372" spans="1:12">
      <c r="A1372" t="s">
        <v>287</v>
      </c>
      <c r="B1372">
        <v>1976</v>
      </c>
      <c r="C1372" t="s">
        <v>274</v>
      </c>
      <c r="D1372">
        <v>45.99</v>
      </c>
      <c r="E1372">
        <v>122.5</v>
      </c>
      <c r="F1372">
        <v>75</v>
      </c>
      <c r="G1372">
        <v>140</v>
      </c>
      <c r="H1372">
        <v>337.5</v>
      </c>
      <c r="I1372">
        <v>2015</v>
      </c>
      <c r="J1372" t="s">
        <v>852</v>
      </c>
      <c r="K1372" t="s">
        <v>171</v>
      </c>
      <c r="L1372" s="8">
        <f t="shared" si="21"/>
        <v>0.5357142857142857</v>
      </c>
    </row>
    <row r="1373" spans="1:12">
      <c r="A1373" t="s">
        <v>213</v>
      </c>
      <c r="B1373">
        <v>1978</v>
      </c>
      <c r="C1373" t="s">
        <v>905</v>
      </c>
      <c r="D1373">
        <v>50.92</v>
      </c>
      <c r="E1373">
        <v>140</v>
      </c>
      <c r="F1373">
        <v>72.5</v>
      </c>
      <c r="G1373">
        <v>155</v>
      </c>
      <c r="H1373">
        <v>367.5</v>
      </c>
      <c r="I1373">
        <v>2014</v>
      </c>
      <c r="J1373" t="s">
        <v>852</v>
      </c>
      <c r="K1373" t="s">
        <v>171</v>
      </c>
      <c r="L1373" s="8">
        <f t="shared" si="21"/>
        <v>0.46774193548387094</v>
      </c>
    </row>
    <row r="1374" spans="1:12">
      <c r="A1374" t="s">
        <v>969</v>
      </c>
      <c r="B1374">
        <v>1989</v>
      </c>
      <c r="C1374" t="s">
        <v>970</v>
      </c>
      <c r="D1374">
        <v>72.59</v>
      </c>
      <c r="E1374">
        <v>195</v>
      </c>
      <c r="F1374">
        <v>70</v>
      </c>
      <c r="G1374">
        <v>190</v>
      </c>
      <c r="H1374">
        <v>455</v>
      </c>
      <c r="I1374">
        <v>2013</v>
      </c>
      <c r="J1374" t="s">
        <v>852</v>
      </c>
      <c r="K1374" t="s">
        <v>171</v>
      </c>
      <c r="L1374" s="8">
        <f t="shared" si="21"/>
        <v>0.36842105263157893</v>
      </c>
    </row>
    <row r="1375" spans="1:12">
      <c r="A1375" t="s">
        <v>853</v>
      </c>
      <c r="B1375">
        <v>1981</v>
      </c>
      <c r="C1375" t="s">
        <v>854</v>
      </c>
      <c r="D1375">
        <v>69.88</v>
      </c>
      <c r="E1375">
        <v>0</v>
      </c>
      <c r="F1375">
        <v>70</v>
      </c>
      <c r="G1375">
        <v>170</v>
      </c>
      <c r="H1375">
        <v>0</v>
      </c>
      <c r="I1375">
        <v>2014</v>
      </c>
      <c r="J1375" t="s">
        <v>852</v>
      </c>
      <c r="K1375" t="s">
        <v>171</v>
      </c>
      <c r="L1375" s="8">
        <f t="shared" si="21"/>
        <v>0.41176470588235292</v>
      </c>
    </row>
    <row r="1376" spans="1:12">
      <c r="A1376" t="s">
        <v>1039</v>
      </c>
      <c r="B1376">
        <v>1980</v>
      </c>
      <c r="C1376" t="s">
        <v>911</v>
      </c>
      <c r="D1376">
        <v>56.04</v>
      </c>
      <c r="E1376">
        <v>142.5</v>
      </c>
      <c r="F1376">
        <v>70</v>
      </c>
      <c r="G1376">
        <v>120</v>
      </c>
      <c r="H1376">
        <v>332.5</v>
      </c>
      <c r="I1376">
        <v>2014</v>
      </c>
      <c r="J1376" t="s">
        <v>852</v>
      </c>
      <c r="K1376" t="s">
        <v>171</v>
      </c>
      <c r="L1376" s="8">
        <f t="shared" si="21"/>
        <v>0.58333333333333337</v>
      </c>
    </row>
    <row r="1377" spans="1:12">
      <c r="A1377" t="s">
        <v>213</v>
      </c>
      <c r="B1377">
        <v>1978</v>
      </c>
      <c r="C1377" t="s">
        <v>51</v>
      </c>
      <c r="D1377">
        <v>50.76</v>
      </c>
      <c r="E1377">
        <v>135</v>
      </c>
      <c r="F1377">
        <v>67.5</v>
      </c>
      <c r="G1377">
        <v>152.5</v>
      </c>
      <c r="H1377">
        <v>355</v>
      </c>
      <c r="I1377">
        <v>2012</v>
      </c>
      <c r="J1377" t="s">
        <v>852</v>
      </c>
      <c r="K1377" t="s">
        <v>171</v>
      </c>
      <c r="L1377" s="8">
        <f t="shared" si="21"/>
        <v>0.44262295081967212</v>
      </c>
    </row>
    <row r="1378" spans="1:12">
      <c r="A1378" t="s">
        <v>186</v>
      </c>
      <c r="B1378">
        <v>1995</v>
      </c>
      <c r="C1378" t="s">
        <v>51</v>
      </c>
      <c r="D1378">
        <v>83.2</v>
      </c>
      <c r="E1378">
        <v>0</v>
      </c>
      <c r="F1378">
        <v>67.5</v>
      </c>
      <c r="G1378">
        <v>122.5</v>
      </c>
      <c r="H1378">
        <v>0</v>
      </c>
      <c r="I1378">
        <v>2015</v>
      </c>
      <c r="J1378" t="s">
        <v>852</v>
      </c>
      <c r="K1378" t="s">
        <v>171</v>
      </c>
      <c r="L1378" s="8">
        <f t="shared" si="21"/>
        <v>0.55102040816326525</v>
      </c>
    </row>
    <row r="1379" spans="1:12">
      <c r="A1379" t="s">
        <v>213</v>
      </c>
      <c r="B1379">
        <v>1978</v>
      </c>
      <c r="C1379" t="s">
        <v>51</v>
      </c>
      <c r="D1379">
        <v>51.18</v>
      </c>
      <c r="E1379">
        <v>132.5</v>
      </c>
      <c r="F1379">
        <v>65</v>
      </c>
      <c r="G1379">
        <v>150</v>
      </c>
      <c r="H1379">
        <v>347.5</v>
      </c>
      <c r="I1379">
        <v>2013</v>
      </c>
      <c r="J1379" t="s">
        <v>852</v>
      </c>
      <c r="K1379" t="s">
        <v>171</v>
      </c>
      <c r="L1379" s="8">
        <f t="shared" si="21"/>
        <v>0.43333333333333335</v>
      </c>
    </row>
    <row r="1380" spans="1:12">
      <c r="A1380" t="s">
        <v>1033</v>
      </c>
      <c r="B1380">
        <v>1994</v>
      </c>
      <c r="C1380" t="s">
        <v>336</v>
      </c>
      <c r="D1380">
        <v>55.84</v>
      </c>
      <c r="E1380">
        <v>132.5</v>
      </c>
      <c r="F1380">
        <v>65</v>
      </c>
      <c r="G1380">
        <v>140</v>
      </c>
      <c r="H1380">
        <v>337.5</v>
      </c>
      <c r="I1380">
        <v>2012</v>
      </c>
      <c r="J1380" t="s">
        <v>852</v>
      </c>
      <c r="K1380" t="s">
        <v>171</v>
      </c>
      <c r="L1380" s="8">
        <f t="shared" si="21"/>
        <v>0.4642857142857143</v>
      </c>
    </row>
    <row r="1381" spans="1:12">
      <c r="A1381" t="s">
        <v>865</v>
      </c>
      <c r="B1381">
        <v>1988</v>
      </c>
      <c r="C1381" t="s">
        <v>336</v>
      </c>
      <c r="D1381">
        <v>51.71</v>
      </c>
      <c r="E1381">
        <v>125</v>
      </c>
      <c r="F1381">
        <v>65</v>
      </c>
      <c r="G1381">
        <v>130</v>
      </c>
      <c r="H1381">
        <v>320</v>
      </c>
      <c r="I1381">
        <v>2012</v>
      </c>
      <c r="J1381" t="s">
        <v>852</v>
      </c>
      <c r="K1381" t="s">
        <v>171</v>
      </c>
      <c r="L1381" s="8">
        <f t="shared" si="21"/>
        <v>0.5</v>
      </c>
    </row>
    <row r="1382" spans="1:12">
      <c r="A1382" t="s">
        <v>309</v>
      </c>
      <c r="B1382">
        <v>1985</v>
      </c>
      <c r="C1382" t="s">
        <v>252</v>
      </c>
      <c r="D1382">
        <v>50.62</v>
      </c>
      <c r="E1382">
        <v>120</v>
      </c>
      <c r="F1382">
        <v>65</v>
      </c>
      <c r="G1382">
        <v>115</v>
      </c>
      <c r="H1382">
        <v>300</v>
      </c>
      <c r="I1382">
        <v>2015</v>
      </c>
      <c r="J1382" t="s">
        <v>852</v>
      </c>
      <c r="K1382" t="s">
        <v>171</v>
      </c>
      <c r="L1382" s="8">
        <f t="shared" si="21"/>
        <v>0.56521739130434778</v>
      </c>
    </row>
    <row r="1383" spans="1:12">
      <c r="A1383" t="s">
        <v>853</v>
      </c>
      <c r="B1383">
        <v>1981</v>
      </c>
      <c r="C1383" t="s">
        <v>418</v>
      </c>
      <c r="D1383">
        <v>75.73</v>
      </c>
      <c r="E1383">
        <v>150</v>
      </c>
      <c r="F1383">
        <v>60</v>
      </c>
      <c r="G1383">
        <v>160</v>
      </c>
      <c r="H1383">
        <v>370</v>
      </c>
      <c r="I1383">
        <v>2012</v>
      </c>
      <c r="J1383" t="s">
        <v>852</v>
      </c>
      <c r="K1383" t="s">
        <v>171</v>
      </c>
      <c r="L1383" s="8">
        <f t="shared" si="21"/>
        <v>0.375</v>
      </c>
    </row>
    <row r="1384" spans="1:12">
      <c r="A1384" t="s">
        <v>267</v>
      </c>
      <c r="B1384">
        <v>1998</v>
      </c>
      <c r="C1384" t="s">
        <v>252</v>
      </c>
      <c r="D1384">
        <v>91.87</v>
      </c>
      <c r="E1384">
        <v>185</v>
      </c>
      <c r="F1384">
        <v>55</v>
      </c>
      <c r="G1384">
        <v>160</v>
      </c>
      <c r="H1384">
        <v>400</v>
      </c>
      <c r="I1384">
        <v>2015</v>
      </c>
      <c r="J1384" t="s">
        <v>852</v>
      </c>
      <c r="K1384" t="s">
        <v>171</v>
      </c>
      <c r="L1384" s="8">
        <f t="shared" si="21"/>
        <v>0.34375</v>
      </c>
    </row>
    <row r="1385" spans="1:12">
      <c r="A1385" t="s">
        <v>902</v>
      </c>
      <c r="B1385">
        <v>1985</v>
      </c>
      <c r="C1385" t="s">
        <v>336</v>
      </c>
      <c r="D1385">
        <v>60.99</v>
      </c>
      <c r="E1385">
        <v>152.5</v>
      </c>
      <c r="F1385">
        <v>52.5</v>
      </c>
      <c r="G1385">
        <v>137.5</v>
      </c>
      <c r="H1385">
        <v>342.5</v>
      </c>
      <c r="I1385">
        <v>2012</v>
      </c>
      <c r="J1385" t="s">
        <v>852</v>
      </c>
      <c r="K1385" t="s">
        <v>171</v>
      </c>
      <c r="L1385" s="8">
        <f t="shared" si="21"/>
        <v>0.38181818181818183</v>
      </c>
    </row>
    <row r="1386" spans="1:12">
      <c r="A1386" t="s">
        <v>215</v>
      </c>
      <c r="B1386">
        <v>1947</v>
      </c>
      <c r="C1386" t="s">
        <v>62</v>
      </c>
      <c r="D1386">
        <v>45.96</v>
      </c>
      <c r="E1386">
        <v>100</v>
      </c>
      <c r="F1386">
        <v>45</v>
      </c>
      <c r="G1386">
        <v>127.5</v>
      </c>
      <c r="H1386">
        <v>272.5</v>
      </c>
      <c r="I1386">
        <v>2015</v>
      </c>
      <c r="J1386" t="s">
        <v>852</v>
      </c>
      <c r="K1386" t="s">
        <v>171</v>
      </c>
      <c r="L1386" s="8">
        <f t="shared" si="21"/>
        <v>0.35294117647058826</v>
      </c>
    </row>
    <row r="1387" spans="1:12">
      <c r="A1387" t="s">
        <v>215</v>
      </c>
      <c r="B1387">
        <v>1947</v>
      </c>
      <c r="C1387" t="s">
        <v>62</v>
      </c>
      <c r="D1387">
        <v>45.69</v>
      </c>
      <c r="E1387">
        <v>97.5</v>
      </c>
      <c r="F1387">
        <v>45</v>
      </c>
      <c r="G1387">
        <v>122.5</v>
      </c>
      <c r="H1387">
        <v>265</v>
      </c>
      <c r="I1387">
        <v>2013</v>
      </c>
      <c r="J1387" t="s">
        <v>852</v>
      </c>
      <c r="K1387" t="s">
        <v>171</v>
      </c>
      <c r="L1387" s="8">
        <f t="shared" si="21"/>
        <v>0.36734693877551022</v>
      </c>
    </row>
    <row r="1388" spans="1:12">
      <c r="A1388" t="s">
        <v>251</v>
      </c>
      <c r="B1388">
        <v>1984</v>
      </c>
      <c r="C1388" t="s">
        <v>252</v>
      </c>
      <c r="D1388">
        <v>67.17</v>
      </c>
      <c r="E1388">
        <v>70</v>
      </c>
      <c r="F1388">
        <v>40</v>
      </c>
      <c r="G1388">
        <v>80</v>
      </c>
      <c r="H1388">
        <v>190</v>
      </c>
      <c r="I1388">
        <v>2015</v>
      </c>
      <c r="J1388" t="s">
        <v>852</v>
      </c>
      <c r="K1388" t="s">
        <v>171</v>
      </c>
      <c r="L1388" s="8">
        <f t="shared" si="21"/>
        <v>0.5</v>
      </c>
    </row>
    <row r="1389" spans="1:12">
      <c r="A1389" t="s">
        <v>286</v>
      </c>
      <c r="B1389">
        <v>1986</v>
      </c>
      <c r="C1389" t="s">
        <v>252</v>
      </c>
      <c r="D1389">
        <v>65.42</v>
      </c>
      <c r="E1389">
        <v>50</v>
      </c>
      <c r="F1389">
        <v>30</v>
      </c>
      <c r="G1389">
        <v>55</v>
      </c>
      <c r="H1389">
        <v>135</v>
      </c>
      <c r="I1389">
        <v>2015</v>
      </c>
      <c r="J1389" t="s">
        <v>852</v>
      </c>
      <c r="K1389" t="s">
        <v>171</v>
      </c>
      <c r="L1389" s="8">
        <f t="shared" si="21"/>
        <v>0.54545454545454541</v>
      </c>
    </row>
    <row r="1391" spans="1:12">
      <c r="A1391" t="s">
        <v>368</v>
      </c>
      <c r="B1391">
        <v>1983</v>
      </c>
      <c r="C1391" t="s">
        <v>45</v>
      </c>
      <c r="D1391">
        <v>156.52000000000001</v>
      </c>
      <c r="E1391">
        <v>407.5</v>
      </c>
      <c r="F1391">
        <v>0</v>
      </c>
      <c r="G1391">
        <v>360</v>
      </c>
      <c r="H1391">
        <v>0</v>
      </c>
      <c r="I1391">
        <v>2012</v>
      </c>
      <c r="J1391" t="s">
        <v>29</v>
      </c>
      <c r="K1391" t="s">
        <v>171</v>
      </c>
      <c r="L1391" s="8" t="str">
        <f t="shared" ref="L1391:L1414" si="22">IF(AND(F1391&lt;&gt;0,E1391&lt;&gt;0),F1391/E1391,"")</f>
        <v/>
      </c>
    </row>
    <row r="1392" spans="1:12">
      <c r="A1392" t="s">
        <v>368</v>
      </c>
      <c r="B1392">
        <v>1983</v>
      </c>
      <c r="C1392" t="s">
        <v>45</v>
      </c>
      <c r="D1392">
        <v>165.86</v>
      </c>
      <c r="E1392">
        <v>415</v>
      </c>
      <c r="F1392">
        <v>0</v>
      </c>
      <c r="G1392">
        <v>350</v>
      </c>
      <c r="H1392">
        <v>0</v>
      </c>
      <c r="I1392">
        <v>2014</v>
      </c>
      <c r="J1392" t="s">
        <v>29</v>
      </c>
      <c r="K1392" t="s">
        <v>171</v>
      </c>
      <c r="L1392" s="8" t="str">
        <f t="shared" si="22"/>
        <v/>
      </c>
    </row>
    <row r="1393" spans="1:12">
      <c r="A1393" t="s">
        <v>420</v>
      </c>
      <c r="B1393">
        <v>1988</v>
      </c>
      <c r="C1393" t="s">
        <v>62</v>
      </c>
      <c r="D1393">
        <v>167.58</v>
      </c>
      <c r="E1393">
        <v>435</v>
      </c>
      <c r="F1393">
        <v>0</v>
      </c>
      <c r="G1393">
        <v>350</v>
      </c>
      <c r="H1393">
        <v>0</v>
      </c>
      <c r="I1393">
        <v>2014</v>
      </c>
      <c r="J1393" t="s">
        <v>29</v>
      </c>
      <c r="K1393" t="s">
        <v>171</v>
      </c>
      <c r="L1393" s="8" t="str">
        <f t="shared" si="22"/>
        <v/>
      </c>
    </row>
    <row r="1394" spans="1:12">
      <c r="A1394" t="s">
        <v>431</v>
      </c>
      <c r="B1394">
        <v>1984</v>
      </c>
      <c r="C1394" t="s">
        <v>51</v>
      </c>
      <c r="D1394">
        <v>118.92</v>
      </c>
      <c r="E1394">
        <v>365</v>
      </c>
      <c r="F1394">
        <v>0</v>
      </c>
      <c r="G1394">
        <v>345</v>
      </c>
      <c r="H1394">
        <v>0</v>
      </c>
      <c r="I1394">
        <v>2012</v>
      </c>
      <c r="J1394" t="s">
        <v>29</v>
      </c>
      <c r="K1394" t="s">
        <v>171</v>
      </c>
      <c r="L1394" s="8" t="str">
        <f t="shared" si="22"/>
        <v/>
      </c>
    </row>
    <row r="1395" spans="1:12">
      <c r="A1395" t="s">
        <v>768</v>
      </c>
      <c r="B1395">
        <v>1976</v>
      </c>
      <c r="C1395" t="s">
        <v>142</v>
      </c>
      <c r="D1395">
        <v>92.98</v>
      </c>
      <c r="E1395">
        <v>360</v>
      </c>
      <c r="F1395">
        <v>0</v>
      </c>
      <c r="G1395">
        <v>340</v>
      </c>
      <c r="H1395">
        <v>0</v>
      </c>
      <c r="I1395">
        <v>2012</v>
      </c>
      <c r="J1395" t="s">
        <v>29</v>
      </c>
      <c r="K1395" t="s">
        <v>171</v>
      </c>
      <c r="L1395" s="8" t="str">
        <f t="shared" si="22"/>
        <v/>
      </c>
    </row>
    <row r="1396" spans="1:12">
      <c r="A1396" t="s">
        <v>557</v>
      </c>
      <c r="B1396">
        <v>1972</v>
      </c>
      <c r="C1396" t="s">
        <v>228</v>
      </c>
      <c r="D1396">
        <v>143.4</v>
      </c>
      <c r="E1396">
        <v>0</v>
      </c>
      <c r="F1396">
        <v>0</v>
      </c>
      <c r="G1396">
        <v>335</v>
      </c>
      <c r="H1396">
        <v>0</v>
      </c>
      <c r="I1396">
        <v>2013</v>
      </c>
      <c r="J1396" t="s">
        <v>29</v>
      </c>
      <c r="K1396" t="s">
        <v>171</v>
      </c>
      <c r="L1396" s="8" t="str">
        <f t="shared" si="22"/>
        <v/>
      </c>
    </row>
    <row r="1397" spans="1:12">
      <c r="A1397" t="s">
        <v>836</v>
      </c>
      <c r="B1397">
        <v>1975</v>
      </c>
      <c r="C1397" t="s">
        <v>85</v>
      </c>
      <c r="D1397">
        <v>104.37</v>
      </c>
      <c r="E1397">
        <v>385</v>
      </c>
      <c r="F1397">
        <v>0</v>
      </c>
      <c r="G1397">
        <v>320</v>
      </c>
      <c r="H1397">
        <v>0</v>
      </c>
      <c r="I1397">
        <v>2012</v>
      </c>
      <c r="J1397" t="s">
        <v>29</v>
      </c>
      <c r="K1397" t="s">
        <v>171</v>
      </c>
      <c r="L1397" s="8" t="str">
        <f t="shared" si="22"/>
        <v/>
      </c>
    </row>
    <row r="1398" spans="1:12">
      <c r="A1398" t="s">
        <v>580</v>
      </c>
      <c r="B1398">
        <v>1975</v>
      </c>
      <c r="C1398" t="s">
        <v>77</v>
      </c>
      <c r="D1398">
        <v>82.42</v>
      </c>
      <c r="E1398">
        <v>305</v>
      </c>
      <c r="F1398">
        <v>0</v>
      </c>
      <c r="G1398">
        <v>290</v>
      </c>
      <c r="H1398">
        <v>0</v>
      </c>
      <c r="I1398">
        <v>2014</v>
      </c>
      <c r="J1398" t="s">
        <v>29</v>
      </c>
      <c r="K1398" t="s">
        <v>171</v>
      </c>
      <c r="L1398" s="8" t="str">
        <f t="shared" si="22"/>
        <v/>
      </c>
    </row>
    <row r="1399" spans="1:12">
      <c r="A1399" t="s">
        <v>816</v>
      </c>
      <c r="B1399">
        <v>1978</v>
      </c>
      <c r="C1399" t="s">
        <v>352</v>
      </c>
      <c r="D1399">
        <v>82.75</v>
      </c>
      <c r="E1399">
        <v>305</v>
      </c>
      <c r="F1399">
        <v>0</v>
      </c>
      <c r="G1399">
        <v>290</v>
      </c>
      <c r="H1399">
        <v>0</v>
      </c>
      <c r="I1399">
        <v>2015</v>
      </c>
      <c r="J1399" t="s">
        <v>29</v>
      </c>
      <c r="K1399" t="s">
        <v>171</v>
      </c>
      <c r="L1399" s="8" t="str">
        <f t="shared" si="22"/>
        <v/>
      </c>
    </row>
    <row r="1400" spans="1:12">
      <c r="A1400" t="s">
        <v>551</v>
      </c>
      <c r="B1400">
        <v>1985</v>
      </c>
      <c r="C1400" t="s">
        <v>109</v>
      </c>
      <c r="D1400">
        <v>92.75</v>
      </c>
      <c r="E1400">
        <v>332.5</v>
      </c>
      <c r="F1400">
        <v>0</v>
      </c>
      <c r="G1400">
        <v>285</v>
      </c>
      <c r="H1400">
        <v>0</v>
      </c>
      <c r="I1400">
        <v>2012</v>
      </c>
      <c r="J1400" t="s">
        <v>29</v>
      </c>
      <c r="K1400" t="s">
        <v>171</v>
      </c>
      <c r="L1400" s="8" t="str">
        <f t="shared" si="22"/>
        <v/>
      </c>
    </row>
    <row r="1401" spans="1:12">
      <c r="A1401" t="s">
        <v>650</v>
      </c>
      <c r="B1401">
        <v>1977</v>
      </c>
      <c r="C1401" t="s">
        <v>352</v>
      </c>
      <c r="D1401">
        <v>82.62</v>
      </c>
      <c r="E1401">
        <v>315</v>
      </c>
      <c r="F1401">
        <v>0</v>
      </c>
      <c r="G1401">
        <v>280</v>
      </c>
      <c r="H1401">
        <v>0</v>
      </c>
      <c r="I1401">
        <v>2012</v>
      </c>
      <c r="J1401" t="s">
        <v>29</v>
      </c>
      <c r="K1401" t="s">
        <v>171</v>
      </c>
      <c r="L1401" s="8" t="str">
        <f t="shared" si="22"/>
        <v/>
      </c>
    </row>
    <row r="1402" spans="1:12">
      <c r="A1402" t="s">
        <v>842</v>
      </c>
      <c r="B1402">
        <v>1980</v>
      </c>
      <c r="C1402" t="s">
        <v>77</v>
      </c>
      <c r="D1402">
        <v>109.92</v>
      </c>
      <c r="E1402">
        <v>305</v>
      </c>
      <c r="F1402">
        <v>0</v>
      </c>
      <c r="G1402">
        <v>265</v>
      </c>
      <c r="H1402">
        <v>0</v>
      </c>
      <c r="I1402">
        <v>2012</v>
      </c>
      <c r="J1402" t="s">
        <v>29</v>
      </c>
      <c r="K1402" t="s">
        <v>171</v>
      </c>
      <c r="L1402" s="8" t="str">
        <f t="shared" si="22"/>
        <v/>
      </c>
    </row>
    <row r="1403" spans="1:12">
      <c r="A1403" t="s">
        <v>668</v>
      </c>
      <c r="B1403">
        <v>1989</v>
      </c>
      <c r="C1403" t="s">
        <v>39</v>
      </c>
      <c r="D1403">
        <v>82.22</v>
      </c>
      <c r="E1403">
        <v>320</v>
      </c>
      <c r="F1403">
        <v>0</v>
      </c>
      <c r="G1403">
        <v>250</v>
      </c>
      <c r="H1403">
        <v>0</v>
      </c>
      <c r="I1403">
        <v>2014</v>
      </c>
      <c r="J1403" t="s">
        <v>29</v>
      </c>
      <c r="K1403" t="s">
        <v>171</v>
      </c>
      <c r="L1403" s="8" t="str">
        <f t="shared" si="22"/>
        <v/>
      </c>
    </row>
    <row r="1404" spans="1:12">
      <c r="A1404" t="s">
        <v>38</v>
      </c>
      <c r="B1404">
        <v>1974</v>
      </c>
      <c r="C1404" t="s">
        <v>39</v>
      </c>
      <c r="D1404">
        <v>90.3</v>
      </c>
      <c r="E1404">
        <v>240</v>
      </c>
      <c r="F1404">
        <v>0</v>
      </c>
      <c r="G1404">
        <v>245</v>
      </c>
      <c r="H1404">
        <v>0</v>
      </c>
      <c r="I1404">
        <v>2012</v>
      </c>
      <c r="J1404" t="s">
        <v>29</v>
      </c>
      <c r="K1404" t="s">
        <v>30</v>
      </c>
      <c r="L1404" s="8" t="str">
        <f t="shared" si="22"/>
        <v/>
      </c>
    </row>
    <row r="1405" spans="1:12">
      <c r="A1405" t="s">
        <v>826</v>
      </c>
      <c r="B1405">
        <v>1990</v>
      </c>
      <c r="C1405" t="s">
        <v>74</v>
      </c>
      <c r="D1405">
        <v>58.63</v>
      </c>
      <c r="E1405">
        <v>257.5</v>
      </c>
      <c r="F1405">
        <v>0</v>
      </c>
      <c r="G1405">
        <v>235</v>
      </c>
      <c r="H1405">
        <v>0</v>
      </c>
      <c r="I1405">
        <v>2013</v>
      </c>
      <c r="J1405" t="s">
        <v>29</v>
      </c>
      <c r="K1405" t="s">
        <v>171</v>
      </c>
      <c r="L1405" s="8" t="str">
        <f t="shared" si="22"/>
        <v/>
      </c>
    </row>
    <row r="1406" spans="1:12">
      <c r="A1406" t="s">
        <v>693</v>
      </c>
      <c r="B1406">
        <v>1970</v>
      </c>
      <c r="C1406" t="s">
        <v>56</v>
      </c>
      <c r="D1406">
        <v>90.85</v>
      </c>
      <c r="E1406">
        <v>220</v>
      </c>
      <c r="F1406">
        <v>0</v>
      </c>
      <c r="G1406">
        <v>230</v>
      </c>
      <c r="H1406">
        <v>0</v>
      </c>
      <c r="I1406">
        <v>2013</v>
      </c>
      <c r="J1406" t="s">
        <v>29</v>
      </c>
      <c r="K1406" t="s">
        <v>30</v>
      </c>
      <c r="L1406" s="8" t="str">
        <f t="shared" si="22"/>
        <v/>
      </c>
    </row>
    <row r="1407" spans="1:12">
      <c r="A1407" t="s">
        <v>107</v>
      </c>
      <c r="B1407">
        <v>1982</v>
      </c>
      <c r="C1407" t="s">
        <v>42</v>
      </c>
      <c r="D1407">
        <v>58.85</v>
      </c>
      <c r="E1407">
        <v>220</v>
      </c>
      <c r="F1407">
        <v>0</v>
      </c>
      <c r="G1407">
        <v>225</v>
      </c>
      <c r="H1407">
        <v>0</v>
      </c>
      <c r="I1407">
        <v>2015</v>
      </c>
      <c r="J1407" t="s">
        <v>29</v>
      </c>
      <c r="K1407" t="s">
        <v>30</v>
      </c>
      <c r="L1407" s="8" t="str">
        <f t="shared" si="22"/>
        <v/>
      </c>
    </row>
    <row r="1408" spans="1:12">
      <c r="A1408" t="s">
        <v>613</v>
      </c>
      <c r="B1408">
        <v>1981</v>
      </c>
      <c r="C1408" t="s">
        <v>380</v>
      </c>
      <c r="D1408">
        <v>73.760000000000005</v>
      </c>
      <c r="E1408">
        <v>190</v>
      </c>
      <c r="F1408">
        <v>0</v>
      </c>
      <c r="G1408">
        <v>215</v>
      </c>
      <c r="H1408">
        <v>0</v>
      </c>
      <c r="I1408">
        <v>2015</v>
      </c>
      <c r="J1408" t="s">
        <v>29</v>
      </c>
      <c r="K1408" t="s">
        <v>171</v>
      </c>
      <c r="L1408" s="8" t="str">
        <f t="shared" si="22"/>
        <v/>
      </c>
    </row>
    <row r="1409" spans="1:12">
      <c r="A1409" t="s">
        <v>214</v>
      </c>
      <c r="B1409">
        <v>1990</v>
      </c>
      <c r="C1409" t="s">
        <v>862</v>
      </c>
      <c r="D1409">
        <v>71.14</v>
      </c>
      <c r="E1409">
        <v>237.5</v>
      </c>
      <c r="F1409">
        <v>0</v>
      </c>
      <c r="G1409">
        <v>215</v>
      </c>
      <c r="H1409">
        <v>0</v>
      </c>
      <c r="I1409">
        <v>2014</v>
      </c>
      <c r="J1409" t="s">
        <v>852</v>
      </c>
      <c r="K1409" t="s">
        <v>171</v>
      </c>
      <c r="L1409" s="8" t="str">
        <f t="shared" si="22"/>
        <v/>
      </c>
    </row>
    <row r="1410" spans="1:12">
      <c r="A1410" t="s">
        <v>790</v>
      </c>
      <c r="B1410">
        <v>1988</v>
      </c>
      <c r="C1410" t="s">
        <v>77</v>
      </c>
      <c r="D1410">
        <v>58.54</v>
      </c>
      <c r="E1410">
        <v>222.5</v>
      </c>
      <c r="F1410">
        <v>0</v>
      </c>
      <c r="G1410">
        <v>210</v>
      </c>
      <c r="H1410">
        <v>0</v>
      </c>
      <c r="I1410">
        <v>2014</v>
      </c>
      <c r="J1410" t="s">
        <v>29</v>
      </c>
      <c r="K1410" t="s">
        <v>171</v>
      </c>
      <c r="L1410" s="8" t="str">
        <f t="shared" si="22"/>
        <v/>
      </c>
    </row>
    <row r="1411" spans="1:12">
      <c r="A1411" t="s">
        <v>306</v>
      </c>
      <c r="B1411">
        <v>1991</v>
      </c>
      <c r="C1411" t="s">
        <v>45</v>
      </c>
      <c r="D1411">
        <v>80.349999999999994</v>
      </c>
      <c r="E1411">
        <v>232.5</v>
      </c>
      <c r="F1411">
        <v>0</v>
      </c>
      <c r="G1411">
        <v>197.5</v>
      </c>
      <c r="H1411">
        <v>0</v>
      </c>
      <c r="I1411">
        <v>2013</v>
      </c>
      <c r="J1411" t="s">
        <v>852</v>
      </c>
      <c r="K1411" t="s">
        <v>171</v>
      </c>
      <c r="L1411" s="8" t="str">
        <f t="shared" si="22"/>
        <v/>
      </c>
    </row>
    <row r="1412" spans="1:12">
      <c r="A1412" t="s">
        <v>261</v>
      </c>
      <c r="B1412">
        <v>1977</v>
      </c>
      <c r="C1412" t="s">
        <v>876</v>
      </c>
      <c r="D1412">
        <v>56.56</v>
      </c>
      <c r="E1412">
        <v>170</v>
      </c>
      <c r="F1412">
        <v>0</v>
      </c>
      <c r="G1412">
        <v>192.5</v>
      </c>
      <c r="H1412">
        <v>0</v>
      </c>
      <c r="I1412">
        <v>2014</v>
      </c>
      <c r="J1412" t="s">
        <v>852</v>
      </c>
      <c r="K1412" t="s">
        <v>171</v>
      </c>
      <c r="L1412" s="8" t="str">
        <f t="shared" si="22"/>
        <v/>
      </c>
    </row>
    <row r="1413" spans="1:12">
      <c r="A1413" t="s">
        <v>197</v>
      </c>
      <c r="B1413">
        <v>1990</v>
      </c>
      <c r="C1413" t="s">
        <v>74</v>
      </c>
      <c r="D1413">
        <v>123.02</v>
      </c>
      <c r="E1413">
        <v>245</v>
      </c>
      <c r="F1413">
        <v>0</v>
      </c>
      <c r="G1413">
        <v>160</v>
      </c>
      <c r="H1413">
        <v>0</v>
      </c>
      <c r="I1413">
        <v>2012</v>
      </c>
      <c r="J1413" t="s">
        <v>852</v>
      </c>
      <c r="K1413" t="s">
        <v>171</v>
      </c>
      <c r="L1413" s="8" t="str">
        <f t="shared" si="22"/>
        <v/>
      </c>
    </row>
    <row r="1414" spans="1:12">
      <c r="A1414" t="s">
        <v>181</v>
      </c>
      <c r="B1414">
        <v>1986</v>
      </c>
      <c r="C1414" t="s">
        <v>867</v>
      </c>
      <c r="D1414">
        <v>51.76</v>
      </c>
      <c r="E1414">
        <v>180</v>
      </c>
      <c r="F1414">
        <v>0</v>
      </c>
      <c r="G1414">
        <v>157.5</v>
      </c>
      <c r="H1414">
        <v>0</v>
      </c>
      <c r="I1414">
        <v>2014</v>
      </c>
      <c r="J1414" t="s">
        <v>852</v>
      </c>
      <c r="K1414" t="s">
        <v>171</v>
      </c>
      <c r="L1414" s="8" t="str">
        <f t="shared" si="22"/>
        <v/>
      </c>
    </row>
    <row r="1415" spans="1:12">
      <c r="A1415" t="s">
        <v>413</v>
      </c>
      <c r="B1415">
        <v>1988</v>
      </c>
      <c r="C1415" t="s">
        <v>113</v>
      </c>
      <c r="D1415">
        <v>90.9</v>
      </c>
      <c r="E1415">
        <v>252.5</v>
      </c>
      <c r="F1415">
        <v>130</v>
      </c>
      <c r="G1415">
        <v>0</v>
      </c>
      <c r="H1415">
        <v>0</v>
      </c>
      <c r="I1415">
        <v>2013</v>
      </c>
      <c r="J1415" t="s">
        <v>29</v>
      </c>
      <c r="K1415" t="s">
        <v>30</v>
      </c>
    </row>
    <row r="1416" spans="1:12">
      <c r="A1416" t="s">
        <v>107</v>
      </c>
      <c r="B1416">
        <v>1982</v>
      </c>
      <c r="C1416" t="s">
        <v>42</v>
      </c>
      <c r="D1416">
        <v>58.25</v>
      </c>
      <c r="E1416">
        <v>200</v>
      </c>
      <c r="F1416">
        <v>105</v>
      </c>
      <c r="G1416">
        <v>0</v>
      </c>
      <c r="H1416">
        <v>0</v>
      </c>
      <c r="I1416">
        <v>2013</v>
      </c>
      <c r="J1416" t="s">
        <v>29</v>
      </c>
      <c r="K1416" t="s">
        <v>30</v>
      </c>
    </row>
    <row r="1417" spans="1:12">
      <c r="A1417" t="s">
        <v>68</v>
      </c>
      <c r="B1417">
        <v>1977</v>
      </c>
      <c r="C1417" t="s">
        <v>56</v>
      </c>
      <c r="D1417">
        <v>92.7</v>
      </c>
      <c r="E1417">
        <v>257.5</v>
      </c>
      <c r="F1417">
        <v>170</v>
      </c>
      <c r="G1417">
        <v>0</v>
      </c>
      <c r="H1417">
        <v>0</v>
      </c>
      <c r="I1417">
        <v>2013</v>
      </c>
      <c r="J1417" t="s">
        <v>29</v>
      </c>
      <c r="K1417" t="s">
        <v>30</v>
      </c>
    </row>
    <row r="1418" spans="1:12">
      <c r="A1418" t="s">
        <v>140</v>
      </c>
      <c r="B1418">
        <v>1970</v>
      </c>
      <c r="C1418" t="s">
        <v>56</v>
      </c>
      <c r="D1418">
        <v>140.30000000000001</v>
      </c>
      <c r="E1418">
        <v>335</v>
      </c>
      <c r="F1418">
        <v>222.5</v>
      </c>
      <c r="G1418">
        <v>0</v>
      </c>
      <c r="H1418">
        <v>0</v>
      </c>
      <c r="I1418">
        <v>2013</v>
      </c>
      <c r="J1418" t="s">
        <v>29</v>
      </c>
      <c r="K1418" t="s">
        <v>30</v>
      </c>
    </row>
    <row r="1419" spans="1:12">
      <c r="A1419" t="s">
        <v>792</v>
      </c>
      <c r="B1419">
        <v>1987</v>
      </c>
      <c r="C1419" t="s">
        <v>228</v>
      </c>
      <c r="D1419">
        <v>92.39</v>
      </c>
      <c r="E1419">
        <v>257.5</v>
      </c>
      <c r="F1419">
        <v>190</v>
      </c>
      <c r="G1419">
        <v>0</v>
      </c>
      <c r="H1419">
        <v>0</v>
      </c>
      <c r="I1419">
        <v>2015</v>
      </c>
      <c r="J1419" t="s">
        <v>29</v>
      </c>
      <c r="K1419" t="s">
        <v>30</v>
      </c>
    </row>
    <row r="1420" spans="1:12">
      <c r="A1420" t="s">
        <v>196</v>
      </c>
      <c r="B1420">
        <v>1984</v>
      </c>
      <c r="C1420" t="s">
        <v>74</v>
      </c>
      <c r="D1420">
        <v>83.5</v>
      </c>
      <c r="E1420">
        <v>197.5</v>
      </c>
      <c r="F1420">
        <v>100</v>
      </c>
      <c r="G1420">
        <v>0</v>
      </c>
      <c r="H1420">
        <v>0</v>
      </c>
      <c r="I1420">
        <v>2012</v>
      </c>
      <c r="J1420" t="s">
        <v>852</v>
      </c>
      <c r="K1420" t="s">
        <v>30</v>
      </c>
    </row>
    <row r="1421" spans="1:12">
      <c r="A1421" t="s">
        <v>363</v>
      </c>
      <c r="B1421">
        <v>1989</v>
      </c>
      <c r="C1421" t="s">
        <v>280</v>
      </c>
      <c r="D1421">
        <v>65.89</v>
      </c>
      <c r="E1421">
        <v>295</v>
      </c>
      <c r="F1421">
        <v>180</v>
      </c>
      <c r="G1421">
        <v>0</v>
      </c>
      <c r="H1421">
        <v>0</v>
      </c>
      <c r="I1421">
        <v>2013</v>
      </c>
      <c r="J1421" t="s">
        <v>29</v>
      </c>
      <c r="K1421" t="s">
        <v>171</v>
      </c>
    </row>
    <row r="1422" spans="1:12">
      <c r="A1422" t="s">
        <v>761</v>
      </c>
      <c r="B1422">
        <v>1982</v>
      </c>
      <c r="C1422" t="s">
        <v>380</v>
      </c>
      <c r="D1422">
        <v>104.32</v>
      </c>
      <c r="E1422">
        <v>330</v>
      </c>
      <c r="F1422">
        <v>230</v>
      </c>
      <c r="G1422">
        <v>0</v>
      </c>
      <c r="H1422">
        <v>0</v>
      </c>
      <c r="I1422">
        <v>2015</v>
      </c>
      <c r="J1422" t="s">
        <v>29</v>
      </c>
      <c r="K1422" t="s">
        <v>171</v>
      </c>
    </row>
    <row r="1423" spans="1:12">
      <c r="A1423" t="s">
        <v>817</v>
      </c>
      <c r="B1423">
        <v>1985</v>
      </c>
      <c r="C1423" t="s">
        <v>28</v>
      </c>
      <c r="D1423">
        <v>82.94</v>
      </c>
      <c r="E1423">
        <v>350</v>
      </c>
      <c r="F1423">
        <v>255</v>
      </c>
      <c r="G1423">
        <v>0</v>
      </c>
      <c r="H1423">
        <v>0</v>
      </c>
      <c r="I1423">
        <v>2014</v>
      </c>
      <c r="J1423" t="s">
        <v>29</v>
      </c>
      <c r="K1423" t="s">
        <v>171</v>
      </c>
    </row>
    <row r="1424" spans="1:12">
      <c r="A1424" t="s">
        <v>535</v>
      </c>
      <c r="B1424">
        <v>1981</v>
      </c>
      <c r="C1424" t="s">
        <v>74</v>
      </c>
      <c r="D1424">
        <v>73.959999999999994</v>
      </c>
      <c r="E1424">
        <v>285</v>
      </c>
      <c r="F1424">
        <v>220</v>
      </c>
      <c r="G1424">
        <v>0</v>
      </c>
      <c r="H1424">
        <v>0</v>
      </c>
      <c r="I1424">
        <v>2014</v>
      </c>
      <c r="J1424" t="s">
        <v>29</v>
      </c>
      <c r="K1424" t="s">
        <v>171</v>
      </c>
    </row>
    <row r="1425" spans="1:12">
      <c r="A1425" t="s">
        <v>185</v>
      </c>
      <c r="B1425">
        <v>1983</v>
      </c>
      <c r="C1425" t="s">
        <v>142</v>
      </c>
      <c r="D1425">
        <v>56.05</v>
      </c>
      <c r="E1425">
        <v>150</v>
      </c>
      <c r="F1425">
        <v>77.5</v>
      </c>
      <c r="G1425">
        <v>0</v>
      </c>
      <c r="H1425">
        <v>0</v>
      </c>
      <c r="I1425">
        <v>2013</v>
      </c>
      <c r="J1425" t="s">
        <v>852</v>
      </c>
      <c r="K1425" t="s">
        <v>171</v>
      </c>
    </row>
    <row r="1426" spans="1:12">
      <c r="A1426" t="s">
        <v>886</v>
      </c>
      <c r="B1426">
        <v>1979</v>
      </c>
      <c r="C1426" t="s">
        <v>859</v>
      </c>
      <c r="D1426">
        <v>55.74</v>
      </c>
      <c r="E1426">
        <v>180</v>
      </c>
      <c r="F1426">
        <v>95</v>
      </c>
      <c r="G1426">
        <v>0</v>
      </c>
      <c r="H1426">
        <v>0</v>
      </c>
      <c r="I1426">
        <v>2014</v>
      </c>
      <c r="J1426" t="s">
        <v>852</v>
      </c>
      <c r="K1426" t="s">
        <v>171</v>
      </c>
    </row>
    <row r="1427" spans="1:12">
      <c r="A1427" t="s">
        <v>196</v>
      </c>
      <c r="B1427">
        <v>1984</v>
      </c>
      <c r="C1427" t="s">
        <v>888</v>
      </c>
      <c r="D1427">
        <v>93.02</v>
      </c>
      <c r="E1427">
        <v>277.5</v>
      </c>
      <c r="F1427">
        <v>162.5</v>
      </c>
      <c r="G1427">
        <v>0</v>
      </c>
      <c r="H1427">
        <v>0</v>
      </c>
      <c r="I1427">
        <v>2014</v>
      </c>
      <c r="J1427" t="s">
        <v>852</v>
      </c>
      <c r="K1427" t="s">
        <v>171</v>
      </c>
    </row>
    <row r="1428" spans="1:12">
      <c r="A1428" t="s">
        <v>941</v>
      </c>
      <c r="B1428">
        <v>1987</v>
      </c>
      <c r="C1428" t="s">
        <v>39</v>
      </c>
      <c r="D1428">
        <v>56.93</v>
      </c>
      <c r="E1428">
        <v>190</v>
      </c>
      <c r="F1428">
        <v>117.5</v>
      </c>
      <c r="G1428">
        <v>0</v>
      </c>
      <c r="H1428">
        <v>0</v>
      </c>
      <c r="I1428">
        <v>2012</v>
      </c>
      <c r="J1428" t="s">
        <v>852</v>
      </c>
      <c r="K1428" t="s">
        <v>171</v>
      </c>
    </row>
    <row r="1429" spans="1:12">
      <c r="A1429" t="s">
        <v>246</v>
      </c>
      <c r="B1429">
        <v>1984</v>
      </c>
      <c r="C1429" t="s">
        <v>80</v>
      </c>
      <c r="D1429">
        <v>71.37</v>
      </c>
      <c r="E1429">
        <v>225</v>
      </c>
      <c r="F1429">
        <v>145</v>
      </c>
      <c r="G1429">
        <v>0</v>
      </c>
      <c r="H1429">
        <v>0</v>
      </c>
      <c r="I1429">
        <v>2012</v>
      </c>
      <c r="J1429" t="s">
        <v>852</v>
      </c>
      <c r="K1429" t="s">
        <v>171</v>
      </c>
    </row>
    <row r="1430" spans="1:12">
      <c r="A1430" t="s">
        <v>258</v>
      </c>
      <c r="B1430">
        <v>1978</v>
      </c>
      <c r="C1430" t="s">
        <v>951</v>
      </c>
      <c r="D1430">
        <v>46.1</v>
      </c>
      <c r="E1430">
        <v>145</v>
      </c>
      <c r="F1430">
        <v>95</v>
      </c>
      <c r="G1430">
        <v>0</v>
      </c>
      <c r="H1430">
        <v>0</v>
      </c>
      <c r="I1430">
        <v>2014</v>
      </c>
      <c r="J1430" t="s">
        <v>852</v>
      </c>
      <c r="K1430" t="s">
        <v>171</v>
      </c>
    </row>
    <row r="1431" spans="1:12">
      <c r="A1431" t="s">
        <v>36</v>
      </c>
      <c r="B1431">
        <v>1967</v>
      </c>
      <c r="C1431" t="s">
        <v>35</v>
      </c>
      <c r="D1431">
        <v>73.08</v>
      </c>
      <c r="E1431">
        <v>0</v>
      </c>
      <c r="F1431">
        <v>0</v>
      </c>
      <c r="G1431">
        <v>0</v>
      </c>
      <c r="H1431">
        <v>0</v>
      </c>
      <c r="I1431">
        <v>2015</v>
      </c>
      <c r="J1431" t="s">
        <v>29</v>
      </c>
      <c r="K1431" t="s">
        <v>30</v>
      </c>
      <c r="L1431" s="8" t="str">
        <f t="shared" ref="L1431:L1457" si="23">IF(AND(F1431&lt;&gt;0,E1431&lt;&gt;0),F1431/E1431,"")</f>
        <v/>
      </c>
    </row>
    <row r="1432" spans="1:12">
      <c r="A1432" t="s">
        <v>444</v>
      </c>
      <c r="B1432">
        <v>1984</v>
      </c>
      <c r="C1432" t="s">
        <v>445</v>
      </c>
      <c r="D1432">
        <v>119.26</v>
      </c>
      <c r="E1432">
        <v>280</v>
      </c>
      <c r="F1432">
        <v>0</v>
      </c>
      <c r="G1432">
        <v>0</v>
      </c>
      <c r="H1432">
        <v>0</v>
      </c>
      <c r="I1432">
        <v>2015</v>
      </c>
      <c r="J1432" t="s">
        <v>29</v>
      </c>
      <c r="K1432" t="s">
        <v>30</v>
      </c>
      <c r="L1432" s="8" t="str">
        <f t="shared" si="23"/>
        <v/>
      </c>
    </row>
    <row r="1433" spans="1:12">
      <c r="A1433" t="s">
        <v>521</v>
      </c>
      <c r="B1433">
        <v>1984</v>
      </c>
      <c r="C1433" t="s">
        <v>80</v>
      </c>
      <c r="D1433">
        <v>81.45</v>
      </c>
      <c r="E1433">
        <v>242.5</v>
      </c>
      <c r="F1433">
        <v>0</v>
      </c>
      <c r="G1433">
        <v>0</v>
      </c>
      <c r="H1433">
        <v>0</v>
      </c>
      <c r="I1433">
        <v>2014</v>
      </c>
      <c r="J1433" t="s">
        <v>29</v>
      </c>
      <c r="K1433" t="s">
        <v>30</v>
      </c>
      <c r="L1433" s="8" t="str">
        <f t="shared" si="23"/>
        <v/>
      </c>
    </row>
    <row r="1434" spans="1:12">
      <c r="A1434" t="s">
        <v>82</v>
      </c>
      <c r="B1434">
        <v>1984</v>
      </c>
      <c r="C1434" t="s">
        <v>83</v>
      </c>
      <c r="D1434">
        <v>104.45</v>
      </c>
      <c r="E1434">
        <v>282.5</v>
      </c>
      <c r="F1434">
        <v>0</v>
      </c>
      <c r="G1434">
        <v>0</v>
      </c>
      <c r="H1434">
        <v>0</v>
      </c>
      <c r="I1434">
        <v>2013</v>
      </c>
      <c r="J1434" t="s">
        <v>29</v>
      </c>
      <c r="K1434" t="s">
        <v>30</v>
      </c>
      <c r="L1434" s="8" t="str">
        <f t="shared" si="23"/>
        <v/>
      </c>
    </row>
    <row r="1435" spans="1:12">
      <c r="A1435" t="s">
        <v>348</v>
      </c>
      <c r="B1435">
        <v>1968</v>
      </c>
      <c r="C1435" t="s">
        <v>349</v>
      </c>
      <c r="D1435">
        <v>92.41</v>
      </c>
      <c r="E1435">
        <v>0</v>
      </c>
      <c r="F1435">
        <v>0</v>
      </c>
      <c r="G1435">
        <v>0</v>
      </c>
      <c r="H1435">
        <v>0</v>
      </c>
      <c r="I1435">
        <v>2013</v>
      </c>
      <c r="J1435" t="s">
        <v>29</v>
      </c>
      <c r="K1435" t="s">
        <v>171</v>
      </c>
      <c r="L1435" s="8" t="str">
        <f t="shared" si="23"/>
        <v/>
      </c>
    </row>
    <row r="1436" spans="1:12">
      <c r="A1436" t="s">
        <v>350</v>
      </c>
      <c r="B1436">
        <v>1972</v>
      </c>
      <c r="C1436" t="s">
        <v>349</v>
      </c>
      <c r="D1436">
        <v>99.85</v>
      </c>
      <c r="E1436">
        <v>0</v>
      </c>
      <c r="F1436">
        <v>0</v>
      </c>
      <c r="G1436">
        <v>0</v>
      </c>
      <c r="H1436">
        <v>0</v>
      </c>
      <c r="I1436">
        <v>2013</v>
      </c>
      <c r="J1436" t="s">
        <v>29</v>
      </c>
      <c r="K1436" t="s">
        <v>171</v>
      </c>
      <c r="L1436" s="8" t="str">
        <f t="shared" si="23"/>
        <v/>
      </c>
    </row>
    <row r="1437" spans="1:12">
      <c r="A1437" t="s">
        <v>379</v>
      </c>
      <c r="B1437">
        <v>1981</v>
      </c>
      <c r="C1437" t="s">
        <v>380</v>
      </c>
      <c r="D1437">
        <v>117.48</v>
      </c>
      <c r="E1437">
        <v>330</v>
      </c>
      <c r="F1437">
        <v>0</v>
      </c>
      <c r="G1437">
        <v>0</v>
      </c>
      <c r="H1437">
        <v>0</v>
      </c>
      <c r="I1437">
        <v>2014</v>
      </c>
      <c r="J1437" t="s">
        <v>29</v>
      </c>
      <c r="K1437" t="s">
        <v>171</v>
      </c>
      <c r="L1437" s="8" t="str">
        <f t="shared" si="23"/>
        <v/>
      </c>
    </row>
    <row r="1438" spans="1:12">
      <c r="A1438" t="s">
        <v>384</v>
      </c>
      <c r="B1438">
        <v>1984</v>
      </c>
      <c r="C1438" t="s">
        <v>137</v>
      </c>
      <c r="D1438">
        <v>104.1</v>
      </c>
      <c r="E1438">
        <v>360</v>
      </c>
      <c r="F1438">
        <v>0</v>
      </c>
      <c r="G1438">
        <v>0</v>
      </c>
      <c r="H1438">
        <v>0</v>
      </c>
      <c r="I1438">
        <v>2012</v>
      </c>
      <c r="J1438" t="s">
        <v>29</v>
      </c>
      <c r="K1438" t="s">
        <v>171</v>
      </c>
      <c r="L1438" s="8" t="str">
        <f t="shared" si="23"/>
        <v/>
      </c>
    </row>
    <row r="1439" spans="1:12">
      <c r="A1439" t="s">
        <v>463</v>
      </c>
      <c r="B1439">
        <v>1982</v>
      </c>
      <c r="C1439" t="s">
        <v>464</v>
      </c>
      <c r="D1439">
        <v>82.98</v>
      </c>
      <c r="E1439">
        <v>0</v>
      </c>
      <c r="F1439">
        <v>240</v>
      </c>
      <c r="G1439">
        <v>0</v>
      </c>
      <c r="H1439">
        <v>0</v>
      </c>
      <c r="I1439">
        <v>2012</v>
      </c>
      <c r="J1439" t="s">
        <v>29</v>
      </c>
      <c r="K1439" t="s">
        <v>171</v>
      </c>
      <c r="L1439" s="8" t="str">
        <f t="shared" si="23"/>
        <v/>
      </c>
    </row>
    <row r="1440" spans="1:12">
      <c r="A1440" t="s">
        <v>470</v>
      </c>
      <c r="B1440">
        <v>1982</v>
      </c>
      <c r="C1440" t="s">
        <v>418</v>
      </c>
      <c r="D1440">
        <v>102.82</v>
      </c>
      <c r="E1440">
        <v>0</v>
      </c>
      <c r="F1440">
        <v>180</v>
      </c>
      <c r="G1440">
        <v>0</v>
      </c>
      <c r="H1440">
        <v>0</v>
      </c>
      <c r="I1440">
        <v>2014</v>
      </c>
      <c r="J1440" t="s">
        <v>29</v>
      </c>
      <c r="K1440" t="s">
        <v>171</v>
      </c>
      <c r="L1440" s="8" t="str">
        <f t="shared" si="23"/>
        <v/>
      </c>
    </row>
    <row r="1441" spans="1:12">
      <c r="A1441" t="s">
        <v>515</v>
      </c>
      <c r="B1441">
        <v>1986</v>
      </c>
      <c r="C1441" t="s">
        <v>45</v>
      </c>
      <c r="D1441">
        <v>119.41</v>
      </c>
      <c r="E1441">
        <v>0</v>
      </c>
      <c r="F1441">
        <v>0</v>
      </c>
      <c r="G1441">
        <v>0</v>
      </c>
      <c r="H1441">
        <v>0</v>
      </c>
      <c r="I1441">
        <v>2015</v>
      </c>
      <c r="J1441" t="s">
        <v>29</v>
      </c>
      <c r="K1441" t="s">
        <v>171</v>
      </c>
      <c r="L1441" s="8" t="str">
        <f t="shared" si="23"/>
        <v/>
      </c>
    </row>
    <row r="1442" spans="1:12">
      <c r="A1442" t="s">
        <v>523</v>
      </c>
      <c r="B1442">
        <v>1984</v>
      </c>
      <c r="C1442" t="s">
        <v>125</v>
      </c>
      <c r="D1442">
        <v>92.84</v>
      </c>
      <c r="E1442">
        <v>0</v>
      </c>
      <c r="F1442">
        <v>0</v>
      </c>
      <c r="G1442">
        <v>0</v>
      </c>
      <c r="H1442">
        <v>0</v>
      </c>
      <c r="I1442">
        <v>2012</v>
      </c>
      <c r="J1442" t="s">
        <v>29</v>
      </c>
      <c r="K1442" t="s">
        <v>171</v>
      </c>
      <c r="L1442" s="8" t="str">
        <f t="shared" si="23"/>
        <v/>
      </c>
    </row>
    <row r="1443" spans="1:12">
      <c r="A1443" t="s">
        <v>546</v>
      </c>
      <c r="B1443">
        <v>1995</v>
      </c>
      <c r="C1443" t="s">
        <v>125</v>
      </c>
      <c r="D1443">
        <v>118.58</v>
      </c>
      <c r="E1443">
        <v>365</v>
      </c>
      <c r="F1443">
        <v>0</v>
      </c>
      <c r="G1443">
        <v>0</v>
      </c>
      <c r="H1443">
        <v>0</v>
      </c>
      <c r="I1443">
        <v>2015</v>
      </c>
      <c r="J1443" t="s">
        <v>29</v>
      </c>
      <c r="K1443" t="s">
        <v>171</v>
      </c>
      <c r="L1443" s="8" t="str">
        <f t="shared" si="23"/>
        <v/>
      </c>
    </row>
    <row r="1444" spans="1:12">
      <c r="A1444" t="s">
        <v>573</v>
      </c>
      <c r="B1444">
        <v>1985</v>
      </c>
      <c r="C1444" t="s">
        <v>380</v>
      </c>
      <c r="D1444">
        <v>97.41</v>
      </c>
      <c r="E1444">
        <v>200</v>
      </c>
      <c r="F1444">
        <v>0</v>
      </c>
      <c r="G1444">
        <v>0</v>
      </c>
      <c r="H1444">
        <v>0</v>
      </c>
      <c r="I1444">
        <v>2015</v>
      </c>
      <c r="J1444" t="s">
        <v>29</v>
      </c>
      <c r="K1444" t="s">
        <v>171</v>
      </c>
      <c r="L1444" s="8" t="str">
        <f t="shared" si="23"/>
        <v/>
      </c>
    </row>
    <row r="1445" spans="1:12">
      <c r="A1445" t="s">
        <v>591</v>
      </c>
      <c r="B1445">
        <v>1987</v>
      </c>
      <c r="C1445" t="s">
        <v>142</v>
      </c>
      <c r="D1445">
        <v>114.57</v>
      </c>
      <c r="E1445">
        <v>0</v>
      </c>
      <c r="F1445">
        <v>0</v>
      </c>
      <c r="G1445">
        <v>0</v>
      </c>
      <c r="H1445">
        <v>0</v>
      </c>
      <c r="I1445">
        <v>2013</v>
      </c>
      <c r="J1445" t="s">
        <v>29</v>
      </c>
      <c r="K1445" t="s">
        <v>171</v>
      </c>
      <c r="L1445" s="8" t="str">
        <f t="shared" si="23"/>
        <v/>
      </c>
    </row>
    <row r="1446" spans="1:12">
      <c r="A1446" t="s">
        <v>691</v>
      </c>
      <c r="B1446">
        <v>1982</v>
      </c>
      <c r="C1446" t="s">
        <v>239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2015</v>
      </c>
      <c r="J1446" t="s">
        <v>29</v>
      </c>
      <c r="K1446" t="s">
        <v>171</v>
      </c>
      <c r="L1446" s="8" t="str">
        <f t="shared" si="23"/>
        <v/>
      </c>
    </row>
    <row r="1447" spans="1:12">
      <c r="A1447" t="s">
        <v>730</v>
      </c>
      <c r="B1447">
        <v>1981</v>
      </c>
      <c r="C1447" t="s">
        <v>464</v>
      </c>
      <c r="D1447">
        <v>92.82</v>
      </c>
      <c r="E1447">
        <v>380</v>
      </c>
      <c r="F1447">
        <v>0</v>
      </c>
      <c r="G1447">
        <v>0</v>
      </c>
      <c r="H1447">
        <v>0</v>
      </c>
      <c r="I1447">
        <v>2012</v>
      </c>
      <c r="J1447" t="s">
        <v>29</v>
      </c>
      <c r="K1447" t="s">
        <v>171</v>
      </c>
      <c r="L1447" s="8" t="str">
        <f t="shared" si="23"/>
        <v/>
      </c>
    </row>
    <row r="1448" spans="1:12">
      <c r="A1448" t="s">
        <v>758</v>
      </c>
      <c r="B1448">
        <v>1973</v>
      </c>
      <c r="C1448" t="s">
        <v>300</v>
      </c>
      <c r="D1448">
        <v>104.74</v>
      </c>
      <c r="E1448">
        <v>0</v>
      </c>
      <c r="F1448">
        <v>210</v>
      </c>
      <c r="G1448">
        <v>0</v>
      </c>
      <c r="H1448">
        <v>0</v>
      </c>
      <c r="I1448">
        <v>2012</v>
      </c>
      <c r="J1448" t="s">
        <v>29</v>
      </c>
      <c r="K1448" t="s">
        <v>171</v>
      </c>
      <c r="L1448" s="8" t="str">
        <f t="shared" si="23"/>
        <v/>
      </c>
    </row>
    <row r="1449" spans="1:12">
      <c r="A1449" t="s">
        <v>784</v>
      </c>
      <c r="B1449">
        <v>1985</v>
      </c>
      <c r="C1449" t="s">
        <v>280</v>
      </c>
      <c r="D1449">
        <v>64.86</v>
      </c>
      <c r="E1449">
        <v>265</v>
      </c>
      <c r="F1449">
        <v>0</v>
      </c>
      <c r="G1449">
        <v>0</v>
      </c>
      <c r="H1449">
        <v>0</v>
      </c>
      <c r="I1449">
        <v>2012</v>
      </c>
      <c r="J1449" t="s">
        <v>29</v>
      </c>
      <c r="K1449" t="s">
        <v>171</v>
      </c>
      <c r="L1449" s="8" t="str">
        <f t="shared" si="23"/>
        <v/>
      </c>
    </row>
    <row r="1450" spans="1:12">
      <c r="A1450" t="s">
        <v>787</v>
      </c>
      <c r="B1450">
        <v>1979</v>
      </c>
      <c r="C1450" t="s">
        <v>35</v>
      </c>
      <c r="D1450">
        <v>153.29</v>
      </c>
      <c r="E1450">
        <v>372.5</v>
      </c>
      <c r="F1450">
        <v>0</v>
      </c>
      <c r="G1450">
        <v>0</v>
      </c>
      <c r="H1450">
        <v>0</v>
      </c>
      <c r="I1450">
        <v>2015</v>
      </c>
      <c r="J1450" t="s">
        <v>29</v>
      </c>
      <c r="K1450" t="s">
        <v>171</v>
      </c>
      <c r="L1450" s="8" t="str">
        <f t="shared" si="23"/>
        <v/>
      </c>
    </row>
    <row r="1451" spans="1:12">
      <c r="A1451" t="s">
        <v>808</v>
      </c>
      <c r="B1451">
        <v>1972</v>
      </c>
      <c r="C1451" t="s">
        <v>318</v>
      </c>
      <c r="D1451">
        <v>92.78</v>
      </c>
      <c r="E1451">
        <v>0</v>
      </c>
      <c r="F1451">
        <v>0</v>
      </c>
      <c r="G1451">
        <v>0</v>
      </c>
      <c r="H1451">
        <v>0</v>
      </c>
      <c r="I1451">
        <v>2012</v>
      </c>
      <c r="J1451" t="s">
        <v>29</v>
      </c>
      <c r="K1451" t="s">
        <v>171</v>
      </c>
      <c r="L1451" s="8" t="str">
        <f t="shared" si="23"/>
        <v/>
      </c>
    </row>
    <row r="1452" spans="1:12">
      <c r="A1452" t="s">
        <v>817</v>
      </c>
      <c r="B1452">
        <v>1985</v>
      </c>
      <c r="C1452" t="s">
        <v>28</v>
      </c>
      <c r="D1452">
        <v>82.85</v>
      </c>
      <c r="E1452">
        <v>0</v>
      </c>
      <c r="F1452">
        <v>240</v>
      </c>
      <c r="G1452">
        <v>0</v>
      </c>
      <c r="H1452">
        <v>0</v>
      </c>
      <c r="I1452">
        <v>2013</v>
      </c>
      <c r="J1452" t="s">
        <v>29</v>
      </c>
      <c r="K1452" t="s">
        <v>171</v>
      </c>
      <c r="L1452" s="8" t="str">
        <f t="shared" si="23"/>
        <v/>
      </c>
    </row>
    <row r="1453" spans="1:12">
      <c r="A1453" t="s">
        <v>844</v>
      </c>
      <c r="B1453">
        <v>1982</v>
      </c>
      <c r="C1453" t="s">
        <v>39</v>
      </c>
      <c r="D1453">
        <v>92.35</v>
      </c>
      <c r="E1453">
        <v>0</v>
      </c>
      <c r="F1453">
        <v>240</v>
      </c>
      <c r="G1453">
        <v>0</v>
      </c>
      <c r="H1453">
        <v>0</v>
      </c>
      <c r="I1453">
        <v>2012</v>
      </c>
      <c r="J1453" t="s">
        <v>29</v>
      </c>
      <c r="K1453" t="s">
        <v>171</v>
      </c>
      <c r="L1453" s="8" t="str">
        <f t="shared" si="23"/>
        <v/>
      </c>
    </row>
    <row r="1454" spans="1:12">
      <c r="A1454" t="s">
        <v>265</v>
      </c>
      <c r="B1454">
        <v>1976</v>
      </c>
      <c r="C1454" t="s">
        <v>137</v>
      </c>
      <c r="D1454">
        <v>51.49</v>
      </c>
      <c r="E1454">
        <v>0</v>
      </c>
      <c r="F1454">
        <v>0</v>
      </c>
      <c r="G1454">
        <v>0</v>
      </c>
      <c r="H1454">
        <v>0</v>
      </c>
      <c r="I1454">
        <v>2015</v>
      </c>
      <c r="J1454" t="s">
        <v>852</v>
      </c>
      <c r="K1454" t="s">
        <v>171</v>
      </c>
      <c r="L1454" s="8" t="str">
        <f t="shared" si="23"/>
        <v/>
      </c>
    </row>
    <row r="1455" spans="1:12">
      <c r="A1455" t="s">
        <v>907</v>
      </c>
      <c r="B1455">
        <v>1992</v>
      </c>
      <c r="C1455" t="s">
        <v>85</v>
      </c>
      <c r="D1455">
        <v>56.19</v>
      </c>
      <c r="E1455">
        <v>0</v>
      </c>
      <c r="F1455">
        <v>92.5</v>
      </c>
      <c r="G1455">
        <v>0</v>
      </c>
      <c r="H1455">
        <v>0</v>
      </c>
      <c r="I1455">
        <v>2013</v>
      </c>
      <c r="J1455" t="s">
        <v>852</v>
      </c>
      <c r="K1455" t="s">
        <v>171</v>
      </c>
      <c r="L1455" s="8" t="str">
        <f t="shared" si="23"/>
        <v/>
      </c>
    </row>
    <row r="1456" spans="1:12">
      <c r="A1456" t="s">
        <v>269</v>
      </c>
      <c r="B1456">
        <v>1986</v>
      </c>
      <c r="C1456" t="s">
        <v>903</v>
      </c>
      <c r="D1456">
        <v>67.400000000000006</v>
      </c>
      <c r="E1456">
        <v>0</v>
      </c>
      <c r="F1456">
        <v>0</v>
      </c>
      <c r="G1456">
        <v>0</v>
      </c>
      <c r="H1456">
        <v>0</v>
      </c>
      <c r="I1456">
        <v>2014</v>
      </c>
      <c r="J1456" t="s">
        <v>852</v>
      </c>
      <c r="K1456" t="s">
        <v>171</v>
      </c>
      <c r="L1456" s="8" t="str">
        <f t="shared" si="23"/>
        <v/>
      </c>
    </row>
    <row r="1457" spans="1:12">
      <c r="A1457" t="s">
        <v>1008</v>
      </c>
      <c r="B1457">
        <v>1965</v>
      </c>
      <c r="C1457" t="s">
        <v>109</v>
      </c>
      <c r="D1457">
        <v>46.72</v>
      </c>
      <c r="E1457">
        <v>135</v>
      </c>
      <c r="F1457">
        <v>0</v>
      </c>
      <c r="G1457">
        <v>0</v>
      </c>
      <c r="H1457">
        <v>0</v>
      </c>
      <c r="I1457">
        <v>2012</v>
      </c>
      <c r="J1457" t="s">
        <v>852</v>
      </c>
      <c r="K1457" t="s">
        <v>171</v>
      </c>
      <c r="L1457" s="8" t="str">
        <f t="shared" si="23"/>
        <v/>
      </c>
    </row>
  </sheetData>
  <sortState ref="A2:L1386">
    <sortCondition ref="K2:K1386"/>
    <sortCondition ref="J2:J138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456"/>
  <sheetViews>
    <sheetView workbookViewId="0">
      <pane ySplit="1" topLeftCell="A2" activePane="bottomLeft" state="frozen"/>
      <selection pane="bottomLeft" activeCell="A656" sqref="A656:XFD656"/>
    </sheetView>
  </sheetViews>
  <sheetFormatPr defaultRowHeight="15"/>
  <cols>
    <col min="1" max="1" width="25.5703125" bestFit="1" customWidth="1"/>
    <col min="2" max="2" width="9.5703125" bestFit="1" customWidth="1"/>
    <col min="3" max="3" width="5.85546875" bestFit="1" customWidth="1"/>
    <col min="4" max="4" width="12.28515625" bestFit="1" customWidth="1"/>
    <col min="5" max="5" width="10.28515625" bestFit="1" customWidth="1"/>
    <col min="6" max="6" width="10.7109375" bestFit="1" customWidth="1"/>
    <col min="7" max="7" width="12.42578125" bestFit="1" customWidth="1"/>
    <col min="8" max="8" width="7" bestFit="1" customWidth="1"/>
    <col min="9" max="9" width="5" bestFit="1" customWidth="1"/>
    <col min="10" max="10" width="4.140625" bestFit="1" customWidth="1"/>
    <col min="11" max="11" width="8.140625" bestFit="1" customWidth="1"/>
  </cols>
  <sheetData>
    <row r="1" spans="1:11" s="9" customFormat="1">
      <c r="A1" s="9" t="s">
        <v>1061</v>
      </c>
      <c r="B1" s="9" t="s">
        <v>1062</v>
      </c>
      <c r="C1" s="9" t="s">
        <v>3</v>
      </c>
      <c r="D1" s="9" t="s">
        <v>1063</v>
      </c>
      <c r="E1" s="9" t="s">
        <v>10</v>
      </c>
      <c r="F1" s="9" t="s">
        <v>14</v>
      </c>
      <c r="G1" s="9" t="s">
        <v>18</v>
      </c>
      <c r="H1" s="9" t="s">
        <v>1064</v>
      </c>
      <c r="I1" s="9" t="s">
        <v>23</v>
      </c>
      <c r="J1" s="9" t="s">
        <v>24</v>
      </c>
      <c r="K1" s="9" t="s">
        <v>25</v>
      </c>
    </row>
    <row r="2" spans="1:11">
      <c r="A2" t="s">
        <v>837</v>
      </c>
      <c r="B2">
        <v>1986</v>
      </c>
      <c r="C2" t="s">
        <v>62</v>
      </c>
      <c r="D2">
        <v>171.65</v>
      </c>
      <c r="E2">
        <v>425.5</v>
      </c>
      <c r="F2">
        <v>235</v>
      </c>
      <c r="G2">
        <v>340</v>
      </c>
      <c r="H2">
        <v>1000.5</v>
      </c>
      <c r="I2">
        <v>2015</v>
      </c>
      <c r="J2" t="s">
        <v>29</v>
      </c>
      <c r="K2" t="s">
        <v>30</v>
      </c>
    </row>
    <row r="3" spans="1:11">
      <c r="A3" t="s">
        <v>154</v>
      </c>
      <c r="B3">
        <v>1987</v>
      </c>
      <c r="C3" t="s">
        <v>62</v>
      </c>
      <c r="D3">
        <v>167.02</v>
      </c>
      <c r="E3">
        <v>410</v>
      </c>
      <c r="F3">
        <v>232.5</v>
      </c>
      <c r="G3">
        <v>335</v>
      </c>
      <c r="H3">
        <v>977.5</v>
      </c>
      <c r="I3">
        <v>2015</v>
      </c>
      <c r="J3" t="s">
        <v>29</v>
      </c>
      <c r="K3" t="s">
        <v>30</v>
      </c>
    </row>
    <row r="4" spans="1:11">
      <c r="A4" t="s">
        <v>837</v>
      </c>
      <c r="B4">
        <v>1986</v>
      </c>
      <c r="C4" t="s">
        <v>62</v>
      </c>
      <c r="D4">
        <v>162.4</v>
      </c>
      <c r="E4">
        <v>412.5</v>
      </c>
      <c r="F4">
        <v>235</v>
      </c>
      <c r="G4">
        <v>325</v>
      </c>
      <c r="H4">
        <v>972.5</v>
      </c>
      <c r="I4">
        <v>2014</v>
      </c>
      <c r="J4" t="s">
        <v>29</v>
      </c>
      <c r="K4" t="s">
        <v>30</v>
      </c>
    </row>
    <row r="5" spans="1:11">
      <c r="A5" t="s">
        <v>806</v>
      </c>
      <c r="B5">
        <v>1980</v>
      </c>
      <c r="C5" t="s">
        <v>406</v>
      </c>
      <c r="D5">
        <v>168.15</v>
      </c>
      <c r="E5">
        <v>410</v>
      </c>
      <c r="F5">
        <v>242.5</v>
      </c>
      <c r="G5">
        <v>317.5</v>
      </c>
      <c r="H5">
        <v>970</v>
      </c>
      <c r="I5">
        <v>2015</v>
      </c>
      <c r="J5" t="s">
        <v>29</v>
      </c>
      <c r="K5" t="s">
        <v>30</v>
      </c>
    </row>
    <row r="6" spans="1:11">
      <c r="A6" t="s">
        <v>404</v>
      </c>
      <c r="B6">
        <v>1986</v>
      </c>
      <c r="C6" t="s">
        <v>113</v>
      </c>
      <c r="D6">
        <v>149.81</v>
      </c>
      <c r="E6">
        <v>387.5</v>
      </c>
      <c r="F6">
        <v>250</v>
      </c>
      <c r="G6">
        <v>332.5</v>
      </c>
      <c r="H6">
        <v>970</v>
      </c>
      <c r="I6">
        <v>2015</v>
      </c>
      <c r="J6" t="s">
        <v>29</v>
      </c>
      <c r="K6" t="s">
        <v>30</v>
      </c>
    </row>
    <row r="7" spans="1:11">
      <c r="A7" t="s">
        <v>99</v>
      </c>
      <c r="B7">
        <v>1988</v>
      </c>
      <c r="C7" t="s">
        <v>100</v>
      </c>
      <c r="D7">
        <v>156.15</v>
      </c>
      <c r="E7">
        <v>390</v>
      </c>
      <c r="F7">
        <v>222.5</v>
      </c>
      <c r="G7">
        <v>337.5</v>
      </c>
      <c r="H7">
        <v>950</v>
      </c>
      <c r="I7">
        <v>2015</v>
      </c>
      <c r="J7" t="s">
        <v>29</v>
      </c>
      <c r="K7" t="s">
        <v>30</v>
      </c>
    </row>
    <row r="8" spans="1:11">
      <c r="A8" t="s">
        <v>41</v>
      </c>
      <c r="B8">
        <v>1976</v>
      </c>
      <c r="C8" t="s">
        <v>42</v>
      </c>
      <c r="D8">
        <v>119.7</v>
      </c>
      <c r="E8">
        <v>375</v>
      </c>
      <c r="F8">
        <v>210</v>
      </c>
      <c r="G8">
        <v>360</v>
      </c>
      <c r="H8">
        <v>945</v>
      </c>
      <c r="I8">
        <v>2014</v>
      </c>
      <c r="J8" t="s">
        <v>29</v>
      </c>
      <c r="K8" t="s">
        <v>30</v>
      </c>
    </row>
    <row r="9" spans="1:11">
      <c r="A9" t="s">
        <v>98</v>
      </c>
      <c r="B9">
        <v>1982</v>
      </c>
      <c r="C9" t="s">
        <v>28</v>
      </c>
      <c r="D9">
        <v>142.29</v>
      </c>
      <c r="E9">
        <v>365</v>
      </c>
      <c r="F9">
        <v>205</v>
      </c>
      <c r="G9">
        <v>362.5</v>
      </c>
      <c r="H9">
        <v>932.5</v>
      </c>
      <c r="I9">
        <v>2015</v>
      </c>
      <c r="J9" t="s">
        <v>29</v>
      </c>
      <c r="K9" t="s">
        <v>30</v>
      </c>
    </row>
    <row r="10" spans="1:11">
      <c r="A10" t="s">
        <v>626</v>
      </c>
      <c r="B10">
        <v>1983</v>
      </c>
      <c r="C10" t="s">
        <v>445</v>
      </c>
      <c r="D10">
        <v>156.85</v>
      </c>
      <c r="E10">
        <v>392.5</v>
      </c>
      <c r="F10">
        <v>215</v>
      </c>
      <c r="G10">
        <v>320</v>
      </c>
      <c r="H10">
        <v>927.5</v>
      </c>
      <c r="I10">
        <v>2015</v>
      </c>
      <c r="J10" t="s">
        <v>29</v>
      </c>
      <c r="K10" t="s">
        <v>30</v>
      </c>
    </row>
    <row r="11" spans="1:11">
      <c r="A11" t="s">
        <v>41</v>
      </c>
      <c r="B11">
        <v>1976</v>
      </c>
      <c r="C11" t="s">
        <v>42</v>
      </c>
      <c r="D11">
        <v>119.48</v>
      </c>
      <c r="E11">
        <v>350</v>
      </c>
      <c r="F11">
        <v>212.5</v>
      </c>
      <c r="G11">
        <v>365</v>
      </c>
      <c r="H11">
        <v>927.5</v>
      </c>
      <c r="I11">
        <v>2015</v>
      </c>
      <c r="J11" t="s">
        <v>29</v>
      </c>
      <c r="K11" t="s">
        <v>30</v>
      </c>
    </row>
    <row r="12" spans="1:11">
      <c r="A12" t="s">
        <v>531</v>
      </c>
      <c r="B12">
        <v>1979</v>
      </c>
      <c r="C12" t="s">
        <v>352</v>
      </c>
      <c r="D12">
        <v>119.93</v>
      </c>
      <c r="E12">
        <v>342.5</v>
      </c>
      <c r="F12">
        <v>222.5</v>
      </c>
      <c r="G12">
        <v>362.5</v>
      </c>
      <c r="H12">
        <v>927.5</v>
      </c>
      <c r="I12">
        <v>2015</v>
      </c>
      <c r="J12" t="s">
        <v>29</v>
      </c>
      <c r="K12" t="s">
        <v>30</v>
      </c>
    </row>
    <row r="13" spans="1:11">
      <c r="A13" t="s">
        <v>489</v>
      </c>
      <c r="B13">
        <v>1966</v>
      </c>
      <c r="C13" t="s">
        <v>62</v>
      </c>
      <c r="D13">
        <v>147.05000000000001</v>
      </c>
      <c r="E13">
        <v>315</v>
      </c>
      <c r="F13">
        <v>230</v>
      </c>
      <c r="G13">
        <v>375</v>
      </c>
      <c r="H13">
        <v>920</v>
      </c>
      <c r="I13">
        <v>2013</v>
      </c>
      <c r="J13" t="s">
        <v>29</v>
      </c>
      <c r="K13" t="s">
        <v>30</v>
      </c>
    </row>
    <row r="14" spans="1:11">
      <c r="A14" t="s">
        <v>577</v>
      </c>
      <c r="B14">
        <v>1985</v>
      </c>
      <c r="C14" t="s">
        <v>578</v>
      </c>
      <c r="D14">
        <v>160.85</v>
      </c>
      <c r="E14">
        <v>357.5</v>
      </c>
      <c r="F14">
        <v>220</v>
      </c>
      <c r="G14">
        <v>340</v>
      </c>
      <c r="H14">
        <v>917.5</v>
      </c>
      <c r="I14">
        <v>2014</v>
      </c>
      <c r="J14" t="s">
        <v>29</v>
      </c>
      <c r="K14" t="s">
        <v>30</v>
      </c>
    </row>
    <row r="15" spans="1:11">
      <c r="A15" t="s">
        <v>41</v>
      </c>
      <c r="B15">
        <v>1976</v>
      </c>
      <c r="C15" t="s">
        <v>42</v>
      </c>
      <c r="D15">
        <v>119.85</v>
      </c>
      <c r="E15">
        <v>350</v>
      </c>
      <c r="F15">
        <v>210</v>
      </c>
      <c r="G15">
        <v>355.5</v>
      </c>
      <c r="H15">
        <v>915.5</v>
      </c>
      <c r="I15">
        <v>2012</v>
      </c>
      <c r="J15" t="s">
        <v>29</v>
      </c>
      <c r="K15" t="s">
        <v>30</v>
      </c>
    </row>
    <row r="16" spans="1:11">
      <c r="A16" t="s">
        <v>99</v>
      </c>
      <c r="B16">
        <v>1988</v>
      </c>
      <c r="C16" t="s">
        <v>100</v>
      </c>
      <c r="D16">
        <v>152.9</v>
      </c>
      <c r="E16">
        <v>370</v>
      </c>
      <c r="F16">
        <v>217.5</v>
      </c>
      <c r="G16">
        <v>327.5</v>
      </c>
      <c r="H16">
        <v>915</v>
      </c>
      <c r="I16">
        <v>2014</v>
      </c>
      <c r="J16" t="s">
        <v>29</v>
      </c>
      <c r="K16" t="s">
        <v>30</v>
      </c>
    </row>
    <row r="17" spans="1:11">
      <c r="A17" t="s">
        <v>158</v>
      </c>
      <c r="B17">
        <v>1985</v>
      </c>
      <c r="C17" t="s">
        <v>62</v>
      </c>
      <c r="D17">
        <v>119</v>
      </c>
      <c r="E17">
        <v>345</v>
      </c>
      <c r="F17">
        <v>210</v>
      </c>
      <c r="G17">
        <v>360</v>
      </c>
      <c r="H17">
        <v>915</v>
      </c>
      <c r="I17">
        <v>2014</v>
      </c>
      <c r="J17" t="s">
        <v>29</v>
      </c>
      <c r="K17" t="s">
        <v>30</v>
      </c>
    </row>
    <row r="18" spans="1:11">
      <c r="A18" t="s">
        <v>154</v>
      </c>
      <c r="B18">
        <v>1987</v>
      </c>
      <c r="C18" t="s">
        <v>62</v>
      </c>
      <c r="D18">
        <v>158.75</v>
      </c>
      <c r="E18">
        <v>375</v>
      </c>
      <c r="F18">
        <v>215</v>
      </c>
      <c r="G18">
        <v>317.5</v>
      </c>
      <c r="H18">
        <v>907.5</v>
      </c>
      <c r="I18">
        <v>2012</v>
      </c>
      <c r="J18" t="s">
        <v>29</v>
      </c>
      <c r="K18" t="s">
        <v>30</v>
      </c>
    </row>
    <row r="19" spans="1:11">
      <c r="A19" t="s">
        <v>726</v>
      </c>
      <c r="B19">
        <v>1984</v>
      </c>
      <c r="C19" t="s">
        <v>45</v>
      </c>
      <c r="D19">
        <v>163.5</v>
      </c>
      <c r="E19">
        <v>330</v>
      </c>
      <c r="F19">
        <v>252.5</v>
      </c>
      <c r="G19">
        <v>325</v>
      </c>
      <c r="H19">
        <v>907.5</v>
      </c>
      <c r="I19">
        <v>2015</v>
      </c>
      <c r="J19" t="s">
        <v>29</v>
      </c>
      <c r="K19" t="s">
        <v>30</v>
      </c>
    </row>
    <row r="20" spans="1:11">
      <c r="A20" t="s">
        <v>531</v>
      </c>
      <c r="B20">
        <v>1979</v>
      </c>
      <c r="C20" t="s">
        <v>352</v>
      </c>
      <c r="D20">
        <v>118.85</v>
      </c>
      <c r="E20">
        <v>337.5</v>
      </c>
      <c r="F20">
        <v>225</v>
      </c>
      <c r="G20">
        <v>342.5</v>
      </c>
      <c r="H20">
        <v>905</v>
      </c>
      <c r="I20">
        <v>2013</v>
      </c>
      <c r="J20" t="s">
        <v>29</v>
      </c>
      <c r="K20" t="s">
        <v>30</v>
      </c>
    </row>
    <row r="21" spans="1:11">
      <c r="A21" t="s">
        <v>431</v>
      </c>
      <c r="B21">
        <v>1984</v>
      </c>
      <c r="C21" t="s">
        <v>51</v>
      </c>
      <c r="D21">
        <v>118.51</v>
      </c>
      <c r="E21">
        <v>327.5</v>
      </c>
      <c r="F21">
        <v>230</v>
      </c>
      <c r="G21">
        <v>342.5</v>
      </c>
      <c r="H21">
        <v>900</v>
      </c>
      <c r="I21">
        <v>2015</v>
      </c>
      <c r="J21" t="s">
        <v>29</v>
      </c>
      <c r="K21" t="s">
        <v>30</v>
      </c>
    </row>
    <row r="22" spans="1:11">
      <c r="A22" t="s">
        <v>574</v>
      </c>
      <c r="B22">
        <v>1985</v>
      </c>
      <c r="C22" t="s">
        <v>39</v>
      </c>
      <c r="D22">
        <v>133.94999999999999</v>
      </c>
      <c r="E22">
        <v>325</v>
      </c>
      <c r="F22">
        <v>215</v>
      </c>
      <c r="G22">
        <v>355</v>
      </c>
      <c r="H22">
        <v>895</v>
      </c>
      <c r="I22">
        <v>2013</v>
      </c>
      <c r="J22" t="s">
        <v>29</v>
      </c>
      <c r="K22" t="s">
        <v>30</v>
      </c>
    </row>
    <row r="23" spans="1:11">
      <c r="A23" t="s">
        <v>713</v>
      </c>
      <c r="B23">
        <v>1988</v>
      </c>
      <c r="C23" t="s">
        <v>142</v>
      </c>
      <c r="D23">
        <v>182.5</v>
      </c>
      <c r="E23">
        <v>327.5</v>
      </c>
      <c r="F23">
        <v>225</v>
      </c>
      <c r="G23">
        <v>342.5</v>
      </c>
      <c r="H23">
        <v>895</v>
      </c>
      <c r="I23">
        <v>2015</v>
      </c>
      <c r="J23" t="s">
        <v>29</v>
      </c>
      <c r="K23" t="s">
        <v>30</v>
      </c>
    </row>
    <row r="24" spans="1:11">
      <c r="A24" t="s">
        <v>158</v>
      </c>
      <c r="B24">
        <v>1985</v>
      </c>
      <c r="C24" t="s">
        <v>62</v>
      </c>
      <c r="D24">
        <v>117.95</v>
      </c>
      <c r="E24">
        <v>345</v>
      </c>
      <c r="F24">
        <v>202.5</v>
      </c>
      <c r="G24">
        <v>345</v>
      </c>
      <c r="H24">
        <v>892.5</v>
      </c>
      <c r="I24">
        <v>2013</v>
      </c>
      <c r="J24" t="s">
        <v>29</v>
      </c>
      <c r="K24" t="s">
        <v>30</v>
      </c>
    </row>
    <row r="25" spans="1:11">
      <c r="A25" t="s">
        <v>99</v>
      </c>
      <c r="B25">
        <v>1988</v>
      </c>
      <c r="C25" t="s">
        <v>100</v>
      </c>
      <c r="D25">
        <v>142.94999999999999</v>
      </c>
      <c r="E25">
        <v>345</v>
      </c>
      <c r="F25">
        <v>215</v>
      </c>
      <c r="G25">
        <v>332.5</v>
      </c>
      <c r="H25">
        <v>892.5</v>
      </c>
      <c r="I25">
        <v>2013</v>
      </c>
      <c r="J25" t="s">
        <v>29</v>
      </c>
      <c r="K25" t="s">
        <v>30</v>
      </c>
    </row>
    <row r="26" spans="1:11">
      <c r="A26" t="s">
        <v>806</v>
      </c>
      <c r="B26">
        <v>1980</v>
      </c>
      <c r="C26" t="s">
        <v>406</v>
      </c>
      <c r="D26">
        <v>160.30000000000001</v>
      </c>
      <c r="E26">
        <v>350</v>
      </c>
      <c r="F26">
        <v>232.5</v>
      </c>
      <c r="G26">
        <v>310</v>
      </c>
      <c r="H26">
        <v>892.5</v>
      </c>
      <c r="I26">
        <v>2013</v>
      </c>
      <c r="J26" t="s">
        <v>29</v>
      </c>
      <c r="K26" t="s">
        <v>30</v>
      </c>
    </row>
    <row r="27" spans="1:11">
      <c r="A27" t="s">
        <v>556</v>
      </c>
      <c r="B27">
        <v>1988</v>
      </c>
      <c r="C27" t="s">
        <v>51</v>
      </c>
      <c r="D27">
        <v>174.25</v>
      </c>
      <c r="E27">
        <v>335</v>
      </c>
      <c r="F27">
        <v>225</v>
      </c>
      <c r="G27">
        <v>332.5</v>
      </c>
      <c r="H27">
        <v>892.5</v>
      </c>
      <c r="I27">
        <v>2015</v>
      </c>
      <c r="J27" t="s">
        <v>29</v>
      </c>
      <c r="K27" t="s">
        <v>30</v>
      </c>
    </row>
    <row r="28" spans="1:11">
      <c r="A28" t="s">
        <v>597</v>
      </c>
      <c r="B28">
        <v>1988</v>
      </c>
      <c r="C28" t="s">
        <v>28</v>
      </c>
      <c r="D28">
        <v>119.75</v>
      </c>
      <c r="E28">
        <v>327.5</v>
      </c>
      <c r="F28">
        <v>222.5</v>
      </c>
      <c r="G28">
        <v>337.5</v>
      </c>
      <c r="H28">
        <v>887.5</v>
      </c>
      <c r="I28">
        <v>2013</v>
      </c>
      <c r="J28" t="s">
        <v>29</v>
      </c>
      <c r="K28" t="s">
        <v>30</v>
      </c>
    </row>
    <row r="29" spans="1:11">
      <c r="A29" t="s">
        <v>597</v>
      </c>
      <c r="B29">
        <v>1988</v>
      </c>
      <c r="C29" t="s">
        <v>28</v>
      </c>
      <c r="D29">
        <v>118.55</v>
      </c>
      <c r="E29">
        <v>322.5</v>
      </c>
      <c r="F29">
        <v>220</v>
      </c>
      <c r="G29">
        <v>345</v>
      </c>
      <c r="H29">
        <v>887.5</v>
      </c>
      <c r="I29">
        <v>2014</v>
      </c>
      <c r="J29" t="s">
        <v>29</v>
      </c>
      <c r="K29" t="s">
        <v>30</v>
      </c>
    </row>
    <row r="30" spans="1:11">
      <c r="A30" t="s">
        <v>577</v>
      </c>
      <c r="B30">
        <v>1985</v>
      </c>
      <c r="C30" t="s">
        <v>578</v>
      </c>
      <c r="D30">
        <v>163.95</v>
      </c>
      <c r="E30">
        <v>345</v>
      </c>
      <c r="F30">
        <v>207.5</v>
      </c>
      <c r="G30">
        <v>332.5</v>
      </c>
      <c r="H30">
        <v>885</v>
      </c>
      <c r="I30">
        <v>2013</v>
      </c>
      <c r="J30" t="s">
        <v>29</v>
      </c>
      <c r="K30" t="s">
        <v>30</v>
      </c>
    </row>
    <row r="31" spans="1:11">
      <c r="A31" t="s">
        <v>98</v>
      </c>
      <c r="B31">
        <v>1982</v>
      </c>
      <c r="C31" t="s">
        <v>28</v>
      </c>
      <c r="D31">
        <v>137.15</v>
      </c>
      <c r="E31">
        <v>342.5</v>
      </c>
      <c r="F31">
        <v>202.5</v>
      </c>
      <c r="G31">
        <v>337.5</v>
      </c>
      <c r="H31">
        <v>882.5</v>
      </c>
      <c r="I31">
        <v>2014</v>
      </c>
      <c r="J31" t="s">
        <v>29</v>
      </c>
      <c r="K31" t="s">
        <v>30</v>
      </c>
    </row>
    <row r="32" spans="1:11">
      <c r="A32" t="s">
        <v>399</v>
      </c>
      <c r="B32">
        <v>1987</v>
      </c>
      <c r="C32" t="s">
        <v>42</v>
      </c>
      <c r="D32">
        <v>143.72</v>
      </c>
      <c r="E32">
        <v>310</v>
      </c>
      <c r="F32">
        <v>270.5</v>
      </c>
      <c r="G32">
        <v>295</v>
      </c>
      <c r="H32">
        <v>875.5</v>
      </c>
      <c r="I32">
        <v>2015</v>
      </c>
      <c r="J32" t="s">
        <v>29</v>
      </c>
      <c r="K32" t="s">
        <v>30</v>
      </c>
    </row>
    <row r="33" spans="1:11">
      <c r="A33" t="s">
        <v>373</v>
      </c>
      <c r="B33">
        <v>1985</v>
      </c>
      <c r="C33" t="s">
        <v>62</v>
      </c>
      <c r="D33">
        <v>139.6</v>
      </c>
      <c r="E33">
        <v>312.5</v>
      </c>
      <c r="F33">
        <v>260.5</v>
      </c>
      <c r="G33">
        <v>297.5</v>
      </c>
      <c r="H33">
        <v>870.5</v>
      </c>
      <c r="I33">
        <v>2014</v>
      </c>
      <c r="J33" t="s">
        <v>29</v>
      </c>
      <c r="K33" t="s">
        <v>30</v>
      </c>
    </row>
    <row r="34" spans="1:11">
      <c r="A34" t="s">
        <v>431</v>
      </c>
      <c r="B34">
        <v>1984</v>
      </c>
      <c r="C34" t="s">
        <v>51</v>
      </c>
      <c r="D34">
        <v>119.2</v>
      </c>
      <c r="E34">
        <v>310</v>
      </c>
      <c r="F34">
        <v>220</v>
      </c>
      <c r="G34">
        <v>340</v>
      </c>
      <c r="H34">
        <v>870</v>
      </c>
      <c r="I34">
        <v>2013</v>
      </c>
      <c r="J34" t="s">
        <v>29</v>
      </c>
      <c r="K34" t="s">
        <v>30</v>
      </c>
    </row>
    <row r="35" spans="1:11">
      <c r="A35" t="s">
        <v>726</v>
      </c>
      <c r="B35">
        <v>1984</v>
      </c>
      <c r="C35" t="s">
        <v>45</v>
      </c>
      <c r="D35">
        <v>163.19999999999999</v>
      </c>
      <c r="E35">
        <v>315</v>
      </c>
      <c r="F35">
        <v>245</v>
      </c>
      <c r="G35">
        <v>310</v>
      </c>
      <c r="H35">
        <v>870</v>
      </c>
      <c r="I35">
        <v>2014</v>
      </c>
      <c r="J35" t="s">
        <v>29</v>
      </c>
      <c r="K35" t="s">
        <v>30</v>
      </c>
    </row>
    <row r="36" spans="1:11">
      <c r="A36" t="s">
        <v>385</v>
      </c>
      <c r="B36">
        <v>1990</v>
      </c>
      <c r="C36" t="s">
        <v>28</v>
      </c>
      <c r="D36">
        <v>103.56</v>
      </c>
      <c r="E36">
        <v>315</v>
      </c>
      <c r="F36">
        <v>215</v>
      </c>
      <c r="G36">
        <v>337.5</v>
      </c>
      <c r="H36">
        <v>867.5</v>
      </c>
      <c r="I36">
        <v>2014</v>
      </c>
      <c r="J36" t="s">
        <v>29</v>
      </c>
      <c r="K36" t="s">
        <v>30</v>
      </c>
    </row>
    <row r="37" spans="1:11">
      <c r="A37" t="s">
        <v>41</v>
      </c>
      <c r="B37">
        <v>1976</v>
      </c>
      <c r="C37" t="s">
        <v>42</v>
      </c>
      <c r="D37">
        <v>118.45</v>
      </c>
      <c r="E37">
        <v>356</v>
      </c>
      <c r="F37">
        <v>190</v>
      </c>
      <c r="G37">
        <v>320</v>
      </c>
      <c r="H37">
        <v>866</v>
      </c>
      <c r="I37">
        <v>2013</v>
      </c>
      <c r="J37" t="s">
        <v>29</v>
      </c>
      <c r="K37" t="s">
        <v>30</v>
      </c>
    </row>
    <row r="38" spans="1:11">
      <c r="A38" t="s">
        <v>147</v>
      </c>
      <c r="B38">
        <v>1971</v>
      </c>
      <c r="C38" t="s">
        <v>28</v>
      </c>
      <c r="D38">
        <v>113.75</v>
      </c>
      <c r="E38">
        <v>340</v>
      </c>
      <c r="F38">
        <v>197.5</v>
      </c>
      <c r="G38">
        <v>327.5</v>
      </c>
      <c r="H38">
        <v>865</v>
      </c>
      <c r="I38">
        <v>2012</v>
      </c>
      <c r="J38" t="s">
        <v>29</v>
      </c>
      <c r="K38" t="s">
        <v>30</v>
      </c>
    </row>
    <row r="39" spans="1:11">
      <c r="A39" t="s">
        <v>158</v>
      </c>
      <c r="B39">
        <v>1985</v>
      </c>
      <c r="C39" t="s">
        <v>62</v>
      </c>
      <c r="D39">
        <v>118.7</v>
      </c>
      <c r="E39">
        <v>315</v>
      </c>
      <c r="F39">
        <v>207.5</v>
      </c>
      <c r="G39">
        <v>342.5</v>
      </c>
      <c r="H39">
        <v>865</v>
      </c>
      <c r="I39">
        <v>2012</v>
      </c>
      <c r="J39" t="s">
        <v>29</v>
      </c>
      <c r="K39" t="s">
        <v>30</v>
      </c>
    </row>
    <row r="40" spans="1:11">
      <c r="A40" t="s">
        <v>431</v>
      </c>
      <c r="B40">
        <v>1984</v>
      </c>
      <c r="C40" t="s">
        <v>51</v>
      </c>
      <c r="D40">
        <v>118.65</v>
      </c>
      <c r="E40">
        <v>322.5</v>
      </c>
      <c r="F40">
        <v>220</v>
      </c>
      <c r="G40">
        <v>322.5</v>
      </c>
      <c r="H40">
        <v>865</v>
      </c>
      <c r="I40">
        <v>2014</v>
      </c>
      <c r="J40" t="s">
        <v>29</v>
      </c>
      <c r="K40" t="s">
        <v>30</v>
      </c>
    </row>
    <row r="41" spans="1:11">
      <c r="A41" t="s">
        <v>149</v>
      </c>
      <c r="B41">
        <v>1987</v>
      </c>
      <c r="C41" t="s">
        <v>35</v>
      </c>
      <c r="D41">
        <v>162.25</v>
      </c>
      <c r="E41">
        <v>332.5</v>
      </c>
      <c r="F41">
        <v>197.5</v>
      </c>
      <c r="G41">
        <v>330</v>
      </c>
      <c r="H41">
        <v>860</v>
      </c>
      <c r="I41">
        <v>2012</v>
      </c>
      <c r="J41" t="s">
        <v>29</v>
      </c>
      <c r="K41" t="s">
        <v>30</v>
      </c>
    </row>
    <row r="42" spans="1:11">
      <c r="A42" t="s">
        <v>158</v>
      </c>
      <c r="B42">
        <v>1985</v>
      </c>
      <c r="C42" t="s">
        <v>62</v>
      </c>
      <c r="D42">
        <v>119.72</v>
      </c>
      <c r="E42">
        <v>325</v>
      </c>
      <c r="F42">
        <v>200</v>
      </c>
      <c r="G42">
        <v>335</v>
      </c>
      <c r="H42">
        <v>860</v>
      </c>
      <c r="I42">
        <v>2015</v>
      </c>
      <c r="J42" t="s">
        <v>29</v>
      </c>
      <c r="K42" t="s">
        <v>30</v>
      </c>
    </row>
    <row r="43" spans="1:11">
      <c r="A43" t="s">
        <v>140</v>
      </c>
      <c r="B43">
        <v>1970</v>
      </c>
      <c r="C43" t="s">
        <v>56</v>
      </c>
      <c r="D43">
        <v>132</v>
      </c>
      <c r="E43">
        <v>330</v>
      </c>
      <c r="F43">
        <v>215</v>
      </c>
      <c r="G43">
        <v>310</v>
      </c>
      <c r="H43">
        <v>855</v>
      </c>
      <c r="I43">
        <v>2012</v>
      </c>
      <c r="J43" t="s">
        <v>29</v>
      </c>
      <c r="K43" t="s">
        <v>30</v>
      </c>
    </row>
    <row r="44" spans="1:11">
      <c r="A44" t="s">
        <v>104</v>
      </c>
      <c r="B44">
        <v>1986</v>
      </c>
      <c r="C44" t="s">
        <v>39</v>
      </c>
      <c r="D44">
        <v>104.65</v>
      </c>
      <c r="E44">
        <v>310</v>
      </c>
      <c r="F44">
        <v>212.5</v>
      </c>
      <c r="G44">
        <v>332.5</v>
      </c>
      <c r="H44">
        <v>855</v>
      </c>
      <c r="I44">
        <v>2013</v>
      </c>
      <c r="J44" t="s">
        <v>29</v>
      </c>
      <c r="K44" t="s">
        <v>30</v>
      </c>
    </row>
    <row r="45" spans="1:11">
      <c r="A45" t="s">
        <v>608</v>
      </c>
      <c r="B45">
        <v>1979</v>
      </c>
      <c r="C45" t="s">
        <v>28</v>
      </c>
      <c r="D45">
        <v>103.1</v>
      </c>
      <c r="E45">
        <v>317.5</v>
      </c>
      <c r="F45">
        <v>221</v>
      </c>
      <c r="G45">
        <v>315</v>
      </c>
      <c r="H45">
        <v>853.5</v>
      </c>
      <c r="I45">
        <v>2014</v>
      </c>
      <c r="J45" t="s">
        <v>29</v>
      </c>
      <c r="K45" t="s">
        <v>30</v>
      </c>
    </row>
    <row r="46" spans="1:11">
      <c r="A46" t="s">
        <v>631</v>
      </c>
      <c r="B46">
        <v>1989</v>
      </c>
      <c r="C46" t="s">
        <v>62</v>
      </c>
      <c r="D46">
        <v>118.75</v>
      </c>
      <c r="E46">
        <v>327.5</v>
      </c>
      <c r="F46">
        <v>190</v>
      </c>
      <c r="G46">
        <v>335</v>
      </c>
      <c r="H46">
        <v>852.5</v>
      </c>
      <c r="I46">
        <v>2015</v>
      </c>
      <c r="J46" t="s">
        <v>29</v>
      </c>
      <c r="K46" t="s">
        <v>30</v>
      </c>
    </row>
    <row r="47" spans="1:11">
      <c r="A47" t="s">
        <v>629</v>
      </c>
      <c r="B47">
        <v>1987</v>
      </c>
      <c r="C47" t="s">
        <v>119</v>
      </c>
      <c r="D47">
        <v>118.85</v>
      </c>
      <c r="E47">
        <v>322.5</v>
      </c>
      <c r="F47">
        <v>190</v>
      </c>
      <c r="G47">
        <v>340</v>
      </c>
      <c r="H47">
        <v>852.5</v>
      </c>
      <c r="I47">
        <v>2013</v>
      </c>
      <c r="J47" t="s">
        <v>29</v>
      </c>
      <c r="K47" t="s">
        <v>30</v>
      </c>
    </row>
    <row r="48" spans="1:11">
      <c r="A48" t="s">
        <v>714</v>
      </c>
      <c r="B48">
        <v>1992</v>
      </c>
      <c r="C48" t="s">
        <v>142</v>
      </c>
      <c r="D48">
        <v>104.6</v>
      </c>
      <c r="E48">
        <v>330</v>
      </c>
      <c r="F48">
        <v>212.5</v>
      </c>
      <c r="G48">
        <v>310</v>
      </c>
      <c r="H48">
        <v>852.5</v>
      </c>
      <c r="I48">
        <v>2014</v>
      </c>
      <c r="J48" t="s">
        <v>29</v>
      </c>
      <c r="K48" t="s">
        <v>30</v>
      </c>
    </row>
    <row r="49" spans="1:11">
      <c r="A49" t="s">
        <v>719</v>
      </c>
      <c r="B49">
        <v>1989</v>
      </c>
      <c r="C49" t="s">
        <v>56</v>
      </c>
      <c r="D49">
        <v>153.33000000000001</v>
      </c>
      <c r="E49">
        <v>332.5</v>
      </c>
      <c r="F49">
        <v>205</v>
      </c>
      <c r="G49">
        <v>312.5</v>
      </c>
      <c r="H49">
        <v>850</v>
      </c>
      <c r="I49">
        <v>2015</v>
      </c>
      <c r="J49" t="s">
        <v>29</v>
      </c>
      <c r="K49" t="s">
        <v>30</v>
      </c>
    </row>
    <row r="50" spans="1:11">
      <c r="A50" t="s">
        <v>98</v>
      </c>
      <c r="B50">
        <v>1982</v>
      </c>
      <c r="C50" t="s">
        <v>28</v>
      </c>
      <c r="D50">
        <v>151.4</v>
      </c>
      <c r="E50">
        <v>330</v>
      </c>
      <c r="F50">
        <v>185</v>
      </c>
      <c r="G50">
        <v>332.5</v>
      </c>
      <c r="H50">
        <v>847.5</v>
      </c>
      <c r="I50">
        <v>2012</v>
      </c>
      <c r="J50" t="s">
        <v>29</v>
      </c>
      <c r="K50" t="s">
        <v>30</v>
      </c>
    </row>
    <row r="51" spans="1:11">
      <c r="A51" t="s">
        <v>164</v>
      </c>
      <c r="B51">
        <v>1990</v>
      </c>
      <c r="C51" t="s">
        <v>85</v>
      </c>
      <c r="D51">
        <v>92.25</v>
      </c>
      <c r="E51">
        <v>285</v>
      </c>
      <c r="F51">
        <v>190</v>
      </c>
      <c r="G51">
        <v>372.5</v>
      </c>
      <c r="H51">
        <v>847.5</v>
      </c>
      <c r="I51">
        <v>2014</v>
      </c>
      <c r="J51" t="s">
        <v>29</v>
      </c>
      <c r="K51" t="s">
        <v>30</v>
      </c>
    </row>
    <row r="52" spans="1:11">
      <c r="A52" t="s">
        <v>46</v>
      </c>
      <c r="B52">
        <v>1972</v>
      </c>
      <c r="C52" t="s">
        <v>47</v>
      </c>
      <c r="D52">
        <v>103.55</v>
      </c>
      <c r="E52">
        <v>312.5</v>
      </c>
      <c r="F52">
        <v>210</v>
      </c>
      <c r="G52">
        <v>325</v>
      </c>
      <c r="H52">
        <v>847.5</v>
      </c>
      <c r="I52">
        <v>2012</v>
      </c>
      <c r="J52" t="s">
        <v>29</v>
      </c>
      <c r="K52" t="s">
        <v>30</v>
      </c>
    </row>
    <row r="53" spans="1:11">
      <c r="A53" t="s">
        <v>408</v>
      </c>
      <c r="B53">
        <v>1975</v>
      </c>
      <c r="C53" t="s">
        <v>119</v>
      </c>
      <c r="D53">
        <v>93</v>
      </c>
      <c r="E53">
        <v>300</v>
      </c>
      <c r="F53">
        <v>205</v>
      </c>
      <c r="G53">
        <v>342.5</v>
      </c>
      <c r="H53">
        <v>847.5</v>
      </c>
      <c r="I53">
        <v>2014</v>
      </c>
      <c r="J53" t="s">
        <v>29</v>
      </c>
      <c r="K53" t="s">
        <v>30</v>
      </c>
    </row>
    <row r="54" spans="1:11">
      <c r="A54" t="s">
        <v>140</v>
      </c>
      <c r="B54">
        <v>1970</v>
      </c>
      <c r="C54" t="s">
        <v>56</v>
      </c>
      <c r="D54">
        <v>119.15</v>
      </c>
      <c r="E54">
        <v>312.5</v>
      </c>
      <c r="F54">
        <v>215</v>
      </c>
      <c r="G54">
        <v>320</v>
      </c>
      <c r="H54">
        <v>847.5</v>
      </c>
      <c r="I54">
        <v>2014</v>
      </c>
      <c r="J54" t="s">
        <v>29</v>
      </c>
      <c r="K54" t="s">
        <v>30</v>
      </c>
    </row>
    <row r="55" spans="1:11">
      <c r="A55" t="s">
        <v>141</v>
      </c>
      <c r="B55">
        <v>1992</v>
      </c>
      <c r="C55" t="s">
        <v>142</v>
      </c>
      <c r="D55">
        <v>104.2</v>
      </c>
      <c r="E55">
        <v>325</v>
      </c>
      <c r="F55">
        <v>207.5</v>
      </c>
      <c r="G55">
        <v>312.5</v>
      </c>
      <c r="H55">
        <v>845</v>
      </c>
      <c r="I55">
        <v>2012</v>
      </c>
      <c r="J55" t="s">
        <v>29</v>
      </c>
      <c r="K55" t="s">
        <v>30</v>
      </c>
    </row>
    <row r="56" spans="1:11">
      <c r="A56" t="s">
        <v>145</v>
      </c>
      <c r="B56">
        <v>1972</v>
      </c>
      <c r="C56" t="s">
        <v>80</v>
      </c>
      <c r="D56">
        <v>137.5</v>
      </c>
      <c r="E56">
        <v>307.5</v>
      </c>
      <c r="F56">
        <v>227.5</v>
      </c>
      <c r="G56">
        <v>310</v>
      </c>
      <c r="H56">
        <v>845</v>
      </c>
      <c r="I56">
        <v>2012</v>
      </c>
      <c r="J56" t="s">
        <v>29</v>
      </c>
      <c r="K56" t="s">
        <v>30</v>
      </c>
    </row>
    <row r="57" spans="1:11">
      <c r="A57" t="s">
        <v>99</v>
      </c>
      <c r="B57">
        <v>1988</v>
      </c>
      <c r="C57" t="s">
        <v>100</v>
      </c>
      <c r="D57">
        <v>142.5</v>
      </c>
      <c r="E57">
        <v>325</v>
      </c>
      <c r="F57">
        <v>205</v>
      </c>
      <c r="G57">
        <v>310</v>
      </c>
      <c r="H57">
        <v>840</v>
      </c>
      <c r="I57">
        <v>2012</v>
      </c>
      <c r="J57" t="s">
        <v>29</v>
      </c>
      <c r="K57" t="s">
        <v>30</v>
      </c>
    </row>
    <row r="58" spans="1:11">
      <c r="A58" t="s">
        <v>714</v>
      </c>
      <c r="B58">
        <v>1992</v>
      </c>
      <c r="C58" t="s">
        <v>142</v>
      </c>
      <c r="D58">
        <v>103.35</v>
      </c>
      <c r="E58">
        <v>320</v>
      </c>
      <c r="F58">
        <v>210</v>
      </c>
      <c r="G58">
        <v>310</v>
      </c>
      <c r="H58">
        <v>840</v>
      </c>
      <c r="I58">
        <v>2013</v>
      </c>
      <c r="J58" t="s">
        <v>29</v>
      </c>
      <c r="K58" t="s">
        <v>30</v>
      </c>
    </row>
    <row r="59" spans="1:11">
      <c r="A59" t="s">
        <v>643</v>
      </c>
      <c r="B59">
        <v>1993</v>
      </c>
      <c r="C59" t="s">
        <v>56</v>
      </c>
      <c r="D59">
        <v>119.78</v>
      </c>
      <c r="E59">
        <v>307.5</v>
      </c>
      <c r="F59">
        <v>195</v>
      </c>
      <c r="G59">
        <v>335</v>
      </c>
      <c r="H59">
        <v>837.5</v>
      </c>
      <c r="I59">
        <v>2015</v>
      </c>
      <c r="J59" t="s">
        <v>29</v>
      </c>
      <c r="K59" t="s">
        <v>30</v>
      </c>
    </row>
    <row r="60" spans="1:11">
      <c r="A60" t="s">
        <v>384</v>
      </c>
      <c r="B60">
        <v>1984</v>
      </c>
      <c r="C60" t="s">
        <v>137</v>
      </c>
      <c r="D60">
        <v>104.45</v>
      </c>
      <c r="E60">
        <v>300</v>
      </c>
      <c r="F60">
        <v>205</v>
      </c>
      <c r="G60">
        <v>332.5</v>
      </c>
      <c r="H60">
        <v>837.5</v>
      </c>
      <c r="I60">
        <v>2014</v>
      </c>
      <c r="J60" t="s">
        <v>29</v>
      </c>
      <c r="K60" t="s">
        <v>30</v>
      </c>
    </row>
    <row r="61" spans="1:11">
      <c r="A61" t="s">
        <v>608</v>
      </c>
      <c r="B61">
        <v>1979</v>
      </c>
      <c r="C61" t="s">
        <v>28</v>
      </c>
      <c r="D61">
        <v>103.35</v>
      </c>
      <c r="E61">
        <v>310</v>
      </c>
      <c r="F61">
        <v>212.5</v>
      </c>
      <c r="G61">
        <v>315</v>
      </c>
      <c r="H61">
        <v>837.5</v>
      </c>
      <c r="I61">
        <v>2013</v>
      </c>
      <c r="J61" t="s">
        <v>29</v>
      </c>
      <c r="K61" t="s">
        <v>30</v>
      </c>
    </row>
    <row r="62" spans="1:11">
      <c r="A62" t="s">
        <v>67</v>
      </c>
      <c r="B62">
        <v>1986</v>
      </c>
      <c r="C62" t="s">
        <v>39</v>
      </c>
      <c r="D62">
        <v>118.2</v>
      </c>
      <c r="E62">
        <v>335</v>
      </c>
      <c r="F62">
        <v>210</v>
      </c>
      <c r="G62">
        <v>290</v>
      </c>
      <c r="H62">
        <v>835</v>
      </c>
      <c r="I62">
        <v>2013</v>
      </c>
      <c r="J62" t="s">
        <v>29</v>
      </c>
      <c r="K62" t="s">
        <v>30</v>
      </c>
    </row>
    <row r="63" spans="1:11">
      <c r="A63" t="s">
        <v>757</v>
      </c>
      <c r="B63">
        <v>1977</v>
      </c>
      <c r="C63" t="s">
        <v>39</v>
      </c>
      <c r="D63">
        <v>147.1</v>
      </c>
      <c r="E63">
        <v>285</v>
      </c>
      <c r="F63">
        <v>215</v>
      </c>
      <c r="G63">
        <v>335</v>
      </c>
      <c r="H63">
        <v>835</v>
      </c>
      <c r="I63">
        <v>2013</v>
      </c>
      <c r="J63" t="s">
        <v>29</v>
      </c>
      <c r="K63" t="s">
        <v>30</v>
      </c>
    </row>
    <row r="64" spans="1:11">
      <c r="A64" t="s">
        <v>149</v>
      </c>
      <c r="B64">
        <v>1987</v>
      </c>
      <c r="C64" t="s">
        <v>35</v>
      </c>
      <c r="D64">
        <v>162.19999999999999</v>
      </c>
      <c r="E64">
        <v>322.5</v>
      </c>
      <c r="F64">
        <v>205</v>
      </c>
      <c r="G64">
        <v>305</v>
      </c>
      <c r="H64">
        <v>832.5</v>
      </c>
      <c r="I64">
        <v>2013</v>
      </c>
      <c r="J64" t="s">
        <v>29</v>
      </c>
      <c r="K64" t="s">
        <v>30</v>
      </c>
    </row>
    <row r="65" spans="1:11">
      <c r="A65" t="s">
        <v>164</v>
      </c>
      <c r="B65">
        <v>1990</v>
      </c>
      <c r="C65" t="s">
        <v>85</v>
      </c>
      <c r="D65">
        <v>92.52</v>
      </c>
      <c r="E65">
        <v>290</v>
      </c>
      <c r="F65">
        <v>187.5</v>
      </c>
      <c r="G65">
        <v>355</v>
      </c>
      <c r="H65">
        <v>832.5</v>
      </c>
      <c r="I65">
        <v>2015</v>
      </c>
      <c r="J65" t="s">
        <v>29</v>
      </c>
      <c r="K65" t="s">
        <v>30</v>
      </c>
    </row>
    <row r="66" spans="1:11">
      <c r="A66" t="s">
        <v>722</v>
      </c>
      <c r="B66">
        <v>1989</v>
      </c>
      <c r="C66" t="s">
        <v>390</v>
      </c>
      <c r="D66">
        <v>141.30000000000001</v>
      </c>
      <c r="E66">
        <v>305</v>
      </c>
      <c r="F66">
        <v>215</v>
      </c>
      <c r="G66">
        <v>312.5</v>
      </c>
      <c r="H66">
        <v>832.5</v>
      </c>
      <c r="I66">
        <v>2015</v>
      </c>
      <c r="J66" t="s">
        <v>29</v>
      </c>
      <c r="K66" t="s">
        <v>30</v>
      </c>
    </row>
    <row r="67" spans="1:11">
      <c r="A67" t="s">
        <v>110</v>
      </c>
      <c r="B67">
        <v>1979</v>
      </c>
      <c r="C67" t="s">
        <v>28</v>
      </c>
      <c r="D67">
        <v>104.05</v>
      </c>
      <c r="E67">
        <v>307.5</v>
      </c>
      <c r="F67">
        <v>200</v>
      </c>
      <c r="G67">
        <v>322.5</v>
      </c>
      <c r="H67">
        <v>830</v>
      </c>
      <c r="I67">
        <v>2012</v>
      </c>
      <c r="J67" t="s">
        <v>29</v>
      </c>
      <c r="K67" t="s">
        <v>30</v>
      </c>
    </row>
    <row r="68" spans="1:11">
      <c r="A68" t="s">
        <v>797</v>
      </c>
      <c r="B68">
        <v>1989</v>
      </c>
      <c r="C68" t="s">
        <v>80</v>
      </c>
      <c r="D68">
        <v>145.44999999999999</v>
      </c>
      <c r="E68">
        <v>312.5</v>
      </c>
      <c r="F68">
        <v>215</v>
      </c>
      <c r="G68">
        <v>300</v>
      </c>
      <c r="H68">
        <v>827.5</v>
      </c>
      <c r="I68">
        <v>2015</v>
      </c>
      <c r="J68" t="s">
        <v>29</v>
      </c>
      <c r="K68" t="s">
        <v>30</v>
      </c>
    </row>
    <row r="69" spans="1:11">
      <c r="A69" t="s">
        <v>384</v>
      </c>
      <c r="B69">
        <v>1984</v>
      </c>
      <c r="C69" t="s">
        <v>137</v>
      </c>
      <c r="D69">
        <v>104.49</v>
      </c>
      <c r="E69">
        <v>290</v>
      </c>
      <c r="F69">
        <v>207.5</v>
      </c>
      <c r="G69">
        <v>330</v>
      </c>
      <c r="H69">
        <v>827.5</v>
      </c>
      <c r="I69">
        <v>2015</v>
      </c>
      <c r="J69" t="s">
        <v>29</v>
      </c>
      <c r="K69" t="s">
        <v>30</v>
      </c>
    </row>
    <row r="70" spans="1:11">
      <c r="A70" t="s">
        <v>633</v>
      </c>
      <c r="B70">
        <v>1987</v>
      </c>
      <c r="C70" t="s">
        <v>119</v>
      </c>
      <c r="D70">
        <v>118.96</v>
      </c>
      <c r="E70">
        <v>317.5</v>
      </c>
      <c r="F70">
        <v>192.5</v>
      </c>
      <c r="G70">
        <v>315</v>
      </c>
      <c r="H70">
        <v>825</v>
      </c>
      <c r="I70">
        <v>2015</v>
      </c>
      <c r="J70" t="s">
        <v>29</v>
      </c>
      <c r="K70" t="s">
        <v>30</v>
      </c>
    </row>
    <row r="71" spans="1:11">
      <c r="A71" t="s">
        <v>94</v>
      </c>
      <c r="B71">
        <v>1982</v>
      </c>
      <c r="C71" t="s">
        <v>45</v>
      </c>
      <c r="D71">
        <v>160</v>
      </c>
      <c r="E71">
        <v>300</v>
      </c>
      <c r="F71">
        <v>185</v>
      </c>
      <c r="G71">
        <v>340</v>
      </c>
      <c r="H71">
        <v>825</v>
      </c>
      <c r="I71">
        <v>2012</v>
      </c>
      <c r="J71" t="s">
        <v>29</v>
      </c>
      <c r="K71" t="s">
        <v>30</v>
      </c>
    </row>
    <row r="72" spans="1:11">
      <c r="A72" t="s">
        <v>116</v>
      </c>
      <c r="B72">
        <v>1974</v>
      </c>
      <c r="C72" t="s">
        <v>45</v>
      </c>
      <c r="D72">
        <v>129.55000000000001</v>
      </c>
      <c r="E72">
        <v>300</v>
      </c>
      <c r="F72">
        <v>200</v>
      </c>
      <c r="G72">
        <v>325</v>
      </c>
      <c r="H72">
        <v>825</v>
      </c>
      <c r="I72">
        <v>2012</v>
      </c>
      <c r="J72" t="s">
        <v>29</v>
      </c>
      <c r="K72" t="s">
        <v>30</v>
      </c>
    </row>
    <row r="73" spans="1:11">
      <c r="A73" t="s">
        <v>804</v>
      </c>
      <c r="B73">
        <v>1978</v>
      </c>
      <c r="C73" t="s">
        <v>62</v>
      </c>
      <c r="D73">
        <v>103.79</v>
      </c>
      <c r="E73">
        <v>305</v>
      </c>
      <c r="F73">
        <v>187.5</v>
      </c>
      <c r="G73">
        <v>330</v>
      </c>
      <c r="H73">
        <v>822.5</v>
      </c>
      <c r="I73">
        <v>2015</v>
      </c>
      <c r="J73" t="s">
        <v>29</v>
      </c>
      <c r="K73" t="s">
        <v>30</v>
      </c>
    </row>
    <row r="74" spans="1:11">
      <c r="A74" t="s">
        <v>506</v>
      </c>
      <c r="B74">
        <v>1986</v>
      </c>
      <c r="C74" t="s">
        <v>35</v>
      </c>
      <c r="D74">
        <v>146.19999999999999</v>
      </c>
      <c r="E74">
        <v>285</v>
      </c>
      <c r="F74">
        <v>170</v>
      </c>
      <c r="G74">
        <v>360</v>
      </c>
      <c r="H74">
        <v>815</v>
      </c>
      <c r="I74">
        <v>2015</v>
      </c>
      <c r="J74" t="s">
        <v>29</v>
      </c>
      <c r="K74" t="s">
        <v>30</v>
      </c>
    </row>
    <row r="75" spans="1:11">
      <c r="A75" t="s">
        <v>561</v>
      </c>
      <c r="B75">
        <v>1988</v>
      </c>
      <c r="C75" t="s">
        <v>100</v>
      </c>
      <c r="D75">
        <v>118.26</v>
      </c>
      <c r="E75">
        <v>302.5</v>
      </c>
      <c r="F75">
        <v>227.5</v>
      </c>
      <c r="G75">
        <v>285</v>
      </c>
      <c r="H75">
        <v>815</v>
      </c>
      <c r="I75">
        <v>2015</v>
      </c>
      <c r="J75" t="s">
        <v>29</v>
      </c>
      <c r="K75" t="s">
        <v>30</v>
      </c>
    </row>
    <row r="76" spans="1:11">
      <c r="A76" t="s">
        <v>138</v>
      </c>
      <c r="B76">
        <v>1974</v>
      </c>
      <c r="C76" t="s">
        <v>125</v>
      </c>
      <c r="D76">
        <v>139.35</v>
      </c>
      <c r="E76">
        <v>307.5</v>
      </c>
      <c r="F76">
        <v>215</v>
      </c>
      <c r="G76">
        <v>290</v>
      </c>
      <c r="H76">
        <v>812.5</v>
      </c>
      <c r="I76">
        <v>2012</v>
      </c>
      <c r="J76" t="s">
        <v>29</v>
      </c>
      <c r="K76" t="s">
        <v>30</v>
      </c>
    </row>
    <row r="77" spans="1:11">
      <c r="A77" t="s">
        <v>82</v>
      </c>
      <c r="B77">
        <v>1984</v>
      </c>
      <c r="C77" t="s">
        <v>83</v>
      </c>
      <c r="D77">
        <v>103.8</v>
      </c>
      <c r="E77">
        <v>282.5</v>
      </c>
      <c r="F77">
        <v>187.5</v>
      </c>
      <c r="G77">
        <v>340</v>
      </c>
      <c r="H77">
        <v>810</v>
      </c>
      <c r="I77">
        <v>2012</v>
      </c>
      <c r="J77" t="s">
        <v>29</v>
      </c>
      <c r="K77" t="s">
        <v>30</v>
      </c>
    </row>
    <row r="78" spans="1:11">
      <c r="A78" t="s">
        <v>508</v>
      </c>
      <c r="B78">
        <v>1988</v>
      </c>
      <c r="C78" t="s">
        <v>35</v>
      </c>
      <c r="D78">
        <v>116.94</v>
      </c>
      <c r="E78">
        <v>290</v>
      </c>
      <c r="F78">
        <v>200</v>
      </c>
      <c r="G78">
        <v>320</v>
      </c>
      <c r="H78">
        <v>810</v>
      </c>
      <c r="I78">
        <v>2015</v>
      </c>
      <c r="J78" t="s">
        <v>29</v>
      </c>
      <c r="K78" t="s">
        <v>30</v>
      </c>
    </row>
    <row r="79" spans="1:11">
      <c r="A79" t="s">
        <v>164</v>
      </c>
      <c r="B79">
        <v>1990</v>
      </c>
      <c r="C79" t="s">
        <v>85</v>
      </c>
      <c r="D79">
        <v>92.95</v>
      </c>
      <c r="E79">
        <v>265</v>
      </c>
      <c r="F79">
        <v>190</v>
      </c>
      <c r="G79">
        <v>355</v>
      </c>
      <c r="H79">
        <v>810</v>
      </c>
      <c r="I79">
        <v>2013</v>
      </c>
      <c r="J79" t="s">
        <v>29</v>
      </c>
      <c r="K79" t="s">
        <v>30</v>
      </c>
    </row>
    <row r="80" spans="1:11">
      <c r="A80" t="s">
        <v>69</v>
      </c>
      <c r="B80">
        <v>1983</v>
      </c>
      <c r="C80" t="s">
        <v>45</v>
      </c>
      <c r="D80">
        <v>103.6</v>
      </c>
      <c r="E80">
        <v>307.5</v>
      </c>
      <c r="F80">
        <v>170</v>
      </c>
      <c r="G80">
        <v>330</v>
      </c>
      <c r="H80">
        <v>807.5</v>
      </c>
      <c r="I80">
        <v>2014</v>
      </c>
      <c r="J80" t="s">
        <v>29</v>
      </c>
      <c r="K80" t="s">
        <v>30</v>
      </c>
    </row>
    <row r="81" spans="1:11">
      <c r="A81" t="s">
        <v>717</v>
      </c>
      <c r="B81">
        <v>1988</v>
      </c>
      <c r="C81" t="s">
        <v>318</v>
      </c>
      <c r="D81">
        <v>145.06</v>
      </c>
      <c r="E81">
        <v>302.5</v>
      </c>
      <c r="F81">
        <v>180</v>
      </c>
      <c r="G81">
        <v>325</v>
      </c>
      <c r="H81">
        <v>807.5</v>
      </c>
      <c r="I81">
        <v>2015</v>
      </c>
      <c r="J81" t="s">
        <v>29</v>
      </c>
      <c r="K81" t="s">
        <v>30</v>
      </c>
    </row>
    <row r="82" spans="1:11">
      <c r="A82" t="s">
        <v>67</v>
      </c>
      <c r="B82">
        <v>1986</v>
      </c>
      <c r="C82" t="s">
        <v>39</v>
      </c>
      <c r="D82">
        <v>115.05</v>
      </c>
      <c r="E82">
        <v>300</v>
      </c>
      <c r="F82">
        <v>197.5</v>
      </c>
      <c r="G82">
        <v>307.5</v>
      </c>
      <c r="H82">
        <v>805</v>
      </c>
      <c r="I82">
        <v>2012</v>
      </c>
      <c r="J82" t="s">
        <v>29</v>
      </c>
      <c r="K82" t="s">
        <v>30</v>
      </c>
    </row>
    <row r="83" spans="1:11">
      <c r="A83" t="s">
        <v>123</v>
      </c>
      <c r="B83">
        <v>1983</v>
      </c>
      <c r="C83" t="s">
        <v>80</v>
      </c>
      <c r="D83">
        <v>104.45</v>
      </c>
      <c r="E83">
        <v>300</v>
      </c>
      <c r="F83">
        <v>200</v>
      </c>
      <c r="G83">
        <v>305</v>
      </c>
      <c r="H83">
        <v>805</v>
      </c>
      <c r="I83">
        <v>2013</v>
      </c>
      <c r="J83" t="s">
        <v>29</v>
      </c>
      <c r="K83" t="s">
        <v>30</v>
      </c>
    </row>
    <row r="84" spans="1:11">
      <c r="A84" t="s">
        <v>502</v>
      </c>
      <c r="B84">
        <v>1987</v>
      </c>
      <c r="C84" t="s">
        <v>28</v>
      </c>
      <c r="D84">
        <v>103.85</v>
      </c>
      <c r="E84">
        <v>310</v>
      </c>
      <c r="F84">
        <v>197.5</v>
      </c>
      <c r="G84">
        <v>295</v>
      </c>
      <c r="H84">
        <v>802.5</v>
      </c>
      <c r="I84">
        <v>2015</v>
      </c>
      <c r="J84" t="s">
        <v>29</v>
      </c>
      <c r="K84" t="s">
        <v>30</v>
      </c>
    </row>
    <row r="85" spans="1:11">
      <c r="A85" t="s">
        <v>735</v>
      </c>
      <c r="B85">
        <v>1990</v>
      </c>
      <c r="C85" t="s">
        <v>142</v>
      </c>
      <c r="D85">
        <v>104.7</v>
      </c>
      <c r="E85">
        <v>285</v>
      </c>
      <c r="F85">
        <v>187.5</v>
      </c>
      <c r="G85">
        <v>330</v>
      </c>
      <c r="H85">
        <v>802.5</v>
      </c>
      <c r="I85">
        <v>2015</v>
      </c>
      <c r="J85" t="s">
        <v>29</v>
      </c>
      <c r="K85" t="s">
        <v>30</v>
      </c>
    </row>
    <row r="86" spans="1:11">
      <c r="A86" t="s">
        <v>628</v>
      </c>
      <c r="B86">
        <v>1988</v>
      </c>
      <c r="C86" t="s">
        <v>51</v>
      </c>
      <c r="D86">
        <v>103</v>
      </c>
      <c r="E86">
        <v>295</v>
      </c>
      <c r="F86">
        <v>200</v>
      </c>
      <c r="G86">
        <v>307.5</v>
      </c>
      <c r="H86">
        <v>802.5</v>
      </c>
      <c r="I86">
        <v>2015</v>
      </c>
      <c r="J86" t="s">
        <v>29</v>
      </c>
      <c r="K86" t="s">
        <v>30</v>
      </c>
    </row>
    <row r="87" spans="1:11">
      <c r="A87" t="s">
        <v>500</v>
      </c>
      <c r="B87">
        <v>1987</v>
      </c>
      <c r="C87" t="s">
        <v>125</v>
      </c>
      <c r="D87">
        <v>131.85</v>
      </c>
      <c r="E87">
        <v>285</v>
      </c>
      <c r="F87">
        <v>200</v>
      </c>
      <c r="G87">
        <v>317.5</v>
      </c>
      <c r="H87">
        <v>802.5</v>
      </c>
      <c r="I87">
        <v>2015</v>
      </c>
      <c r="J87" t="s">
        <v>29</v>
      </c>
      <c r="K87" t="s">
        <v>30</v>
      </c>
    </row>
    <row r="88" spans="1:11">
      <c r="A88" t="s">
        <v>133</v>
      </c>
      <c r="B88">
        <v>1983</v>
      </c>
      <c r="C88" t="s">
        <v>35</v>
      </c>
      <c r="D88">
        <v>119.25</v>
      </c>
      <c r="E88">
        <v>302.5</v>
      </c>
      <c r="F88">
        <v>205</v>
      </c>
      <c r="G88">
        <v>292.5</v>
      </c>
      <c r="H88">
        <v>800</v>
      </c>
      <c r="I88">
        <v>2012</v>
      </c>
      <c r="J88" t="s">
        <v>29</v>
      </c>
      <c r="K88" t="s">
        <v>30</v>
      </c>
    </row>
    <row r="89" spans="1:11">
      <c r="A89" t="s">
        <v>155</v>
      </c>
      <c r="B89">
        <v>1985</v>
      </c>
      <c r="C89" t="s">
        <v>77</v>
      </c>
      <c r="D89">
        <v>103.69</v>
      </c>
      <c r="E89">
        <v>295</v>
      </c>
      <c r="F89">
        <v>212.5</v>
      </c>
      <c r="G89">
        <v>292.5</v>
      </c>
      <c r="H89">
        <v>800</v>
      </c>
      <c r="I89">
        <v>2015</v>
      </c>
      <c r="J89" t="s">
        <v>29</v>
      </c>
      <c r="K89" t="s">
        <v>30</v>
      </c>
    </row>
    <row r="90" spans="1:11">
      <c r="A90" t="s">
        <v>678</v>
      </c>
      <c r="B90">
        <v>1981</v>
      </c>
      <c r="C90" t="s">
        <v>62</v>
      </c>
      <c r="D90">
        <v>91.48</v>
      </c>
      <c r="E90">
        <v>303</v>
      </c>
      <c r="F90">
        <v>172.5</v>
      </c>
      <c r="G90">
        <v>322.5</v>
      </c>
      <c r="H90">
        <v>798</v>
      </c>
      <c r="I90">
        <v>2015</v>
      </c>
      <c r="J90" t="s">
        <v>29</v>
      </c>
      <c r="K90" t="s">
        <v>30</v>
      </c>
    </row>
    <row r="91" spans="1:11">
      <c r="A91" t="s">
        <v>520</v>
      </c>
      <c r="B91">
        <v>1985</v>
      </c>
      <c r="C91" t="s">
        <v>62</v>
      </c>
      <c r="D91">
        <v>116.6</v>
      </c>
      <c r="E91">
        <v>260</v>
      </c>
      <c r="F91">
        <v>185</v>
      </c>
      <c r="G91">
        <v>352.5</v>
      </c>
      <c r="H91">
        <v>797.5</v>
      </c>
      <c r="I91">
        <v>2013</v>
      </c>
      <c r="J91" t="s">
        <v>29</v>
      </c>
      <c r="K91" t="s">
        <v>30</v>
      </c>
    </row>
    <row r="92" spans="1:11">
      <c r="A92" t="s">
        <v>127</v>
      </c>
      <c r="B92">
        <v>1978</v>
      </c>
      <c r="C92" t="s">
        <v>49</v>
      </c>
      <c r="D92">
        <v>136.33000000000001</v>
      </c>
      <c r="E92">
        <v>295</v>
      </c>
      <c r="F92">
        <v>212.5</v>
      </c>
      <c r="G92">
        <v>290</v>
      </c>
      <c r="H92">
        <v>797.5</v>
      </c>
      <c r="I92">
        <v>2015</v>
      </c>
      <c r="J92" t="s">
        <v>29</v>
      </c>
      <c r="K92" t="s">
        <v>30</v>
      </c>
    </row>
    <row r="93" spans="1:11">
      <c r="A93" t="s">
        <v>69</v>
      </c>
      <c r="B93">
        <v>1983</v>
      </c>
      <c r="C93" t="s">
        <v>45</v>
      </c>
      <c r="D93">
        <v>104.4</v>
      </c>
      <c r="E93">
        <v>290</v>
      </c>
      <c r="F93">
        <v>180</v>
      </c>
      <c r="G93">
        <v>325</v>
      </c>
      <c r="H93">
        <v>795</v>
      </c>
      <c r="I93">
        <v>2012</v>
      </c>
      <c r="J93" t="s">
        <v>29</v>
      </c>
      <c r="K93" t="s">
        <v>30</v>
      </c>
    </row>
    <row r="94" spans="1:11">
      <c r="A94" t="s">
        <v>455</v>
      </c>
      <c r="B94">
        <v>1980</v>
      </c>
      <c r="C94" t="s">
        <v>119</v>
      </c>
      <c r="D94">
        <v>107.29</v>
      </c>
      <c r="E94">
        <v>315</v>
      </c>
      <c r="F94">
        <v>200</v>
      </c>
      <c r="G94">
        <v>280</v>
      </c>
      <c r="H94">
        <v>795</v>
      </c>
      <c r="I94">
        <v>2015</v>
      </c>
      <c r="J94" t="s">
        <v>29</v>
      </c>
      <c r="K94" t="s">
        <v>30</v>
      </c>
    </row>
    <row r="95" spans="1:11">
      <c r="A95" t="s">
        <v>152</v>
      </c>
      <c r="B95">
        <v>1988</v>
      </c>
      <c r="C95" t="s">
        <v>85</v>
      </c>
      <c r="D95">
        <v>144.30000000000001</v>
      </c>
      <c r="E95">
        <v>290</v>
      </c>
      <c r="F95">
        <v>182.5</v>
      </c>
      <c r="G95">
        <v>315</v>
      </c>
      <c r="H95">
        <v>787.5</v>
      </c>
      <c r="I95">
        <v>2012</v>
      </c>
      <c r="J95" t="s">
        <v>29</v>
      </c>
      <c r="K95" t="s">
        <v>30</v>
      </c>
    </row>
    <row r="96" spans="1:11">
      <c r="A96" t="s">
        <v>422</v>
      </c>
      <c r="B96">
        <v>1986</v>
      </c>
      <c r="C96" t="s">
        <v>282</v>
      </c>
      <c r="D96">
        <v>81.93</v>
      </c>
      <c r="E96">
        <v>290</v>
      </c>
      <c r="F96">
        <v>182.5</v>
      </c>
      <c r="G96">
        <v>315</v>
      </c>
      <c r="H96">
        <v>787.5</v>
      </c>
      <c r="I96">
        <v>2015</v>
      </c>
      <c r="J96" t="s">
        <v>29</v>
      </c>
      <c r="K96" t="s">
        <v>30</v>
      </c>
    </row>
    <row r="97" spans="1:11">
      <c r="A97" t="s">
        <v>48</v>
      </c>
      <c r="B97">
        <v>1983</v>
      </c>
      <c r="C97" t="s">
        <v>49</v>
      </c>
      <c r="D97">
        <v>92.01</v>
      </c>
      <c r="E97">
        <v>285</v>
      </c>
      <c r="F97">
        <v>180</v>
      </c>
      <c r="G97">
        <v>322.5</v>
      </c>
      <c r="H97">
        <v>787.5</v>
      </c>
      <c r="I97">
        <v>2015</v>
      </c>
      <c r="J97" t="s">
        <v>29</v>
      </c>
      <c r="K97" t="s">
        <v>30</v>
      </c>
    </row>
    <row r="98" spans="1:11">
      <c r="A98" t="s">
        <v>123</v>
      </c>
      <c r="B98">
        <v>1983</v>
      </c>
      <c r="C98" t="s">
        <v>80</v>
      </c>
      <c r="D98">
        <v>104.65</v>
      </c>
      <c r="E98">
        <v>290</v>
      </c>
      <c r="F98">
        <v>197.5</v>
      </c>
      <c r="G98">
        <v>300</v>
      </c>
      <c r="H98">
        <v>787.5</v>
      </c>
      <c r="I98">
        <v>2012</v>
      </c>
      <c r="J98" t="s">
        <v>29</v>
      </c>
      <c r="K98" t="s">
        <v>30</v>
      </c>
    </row>
    <row r="99" spans="1:11">
      <c r="A99" t="s">
        <v>604</v>
      </c>
      <c r="B99">
        <v>1988</v>
      </c>
      <c r="C99" t="s">
        <v>113</v>
      </c>
      <c r="D99">
        <v>118.66</v>
      </c>
      <c r="E99">
        <v>270</v>
      </c>
      <c r="F99">
        <v>195</v>
      </c>
      <c r="G99">
        <v>322.5</v>
      </c>
      <c r="H99">
        <v>787.5</v>
      </c>
      <c r="I99">
        <v>2015</v>
      </c>
      <c r="J99" t="s">
        <v>29</v>
      </c>
      <c r="K99" t="s">
        <v>30</v>
      </c>
    </row>
    <row r="100" spans="1:11">
      <c r="A100" t="s">
        <v>446</v>
      </c>
      <c r="B100">
        <v>1977</v>
      </c>
      <c r="C100" t="s">
        <v>72</v>
      </c>
      <c r="D100">
        <v>117.87</v>
      </c>
      <c r="E100">
        <v>285</v>
      </c>
      <c r="F100">
        <v>222.5</v>
      </c>
      <c r="G100">
        <v>280</v>
      </c>
      <c r="H100">
        <v>787.5</v>
      </c>
      <c r="I100">
        <v>2015</v>
      </c>
      <c r="J100" t="s">
        <v>29</v>
      </c>
      <c r="K100" t="s">
        <v>30</v>
      </c>
    </row>
    <row r="101" spans="1:11">
      <c r="A101" t="s">
        <v>526</v>
      </c>
      <c r="B101">
        <v>1979</v>
      </c>
      <c r="C101" t="s">
        <v>80</v>
      </c>
      <c r="D101">
        <v>116.35</v>
      </c>
      <c r="E101">
        <v>275</v>
      </c>
      <c r="F101">
        <v>235</v>
      </c>
      <c r="G101">
        <v>277.5</v>
      </c>
      <c r="H101">
        <v>787.5</v>
      </c>
      <c r="I101">
        <v>2014</v>
      </c>
      <c r="J101" t="s">
        <v>29</v>
      </c>
      <c r="K101" t="s">
        <v>30</v>
      </c>
    </row>
    <row r="102" spans="1:11">
      <c r="A102" t="s">
        <v>666</v>
      </c>
      <c r="B102">
        <v>1987</v>
      </c>
      <c r="C102" t="s">
        <v>56</v>
      </c>
      <c r="D102">
        <v>125.69</v>
      </c>
      <c r="E102">
        <v>300</v>
      </c>
      <c r="F102">
        <v>165</v>
      </c>
      <c r="G102">
        <v>320</v>
      </c>
      <c r="H102">
        <v>785</v>
      </c>
      <c r="I102">
        <v>2015</v>
      </c>
      <c r="J102" t="s">
        <v>29</v>
      </c>
      <c r="K102" t="s">
        <v>30</v>
      </c>
    </row>
    <row r="103" spans="1:11">
      <c r="A103" t="s">
        <v>628</v>
      </c>
      <c r="B103">
        <v>1988</v>
      </c>
      <c r="C103" t="s">
        <v>51</v>
      </c>
      <c r="D103">
        <v>92.1</v>
      </c>
      <c r="E103">
        <v>290</v>
      </c>
      <c r="F103">
        <v>192.5</v>
      </c>
      <c r="G103">
        <v>302.5</v>
      </c>
      <c r="H103">
        <v>785</v>
      </c>
      <c r="I103">
        <v>2014</v>
      </c>
      <c r="J103" t="s">
        <v>29</v>
      </c>
      <c r="K103" t="s">
        <v>30</v>
      </c>
    </row>
    <row r="104" spans="1:11">
      <c r="A104" t="s">
        <v>488</v>
      </c>
      <c r="B104">
        <v>1983</v>
      </c>
      <c r="C104" t="s">
        <v>137</v>
      </c>
      <c r="D104">
        <v>92.85</v>
      </c>
      <c r="E104">
        <v>287.5</v>
      </c>
      <c r="F104">
        <v>195</v>
      </c>
      <c r="G104">
        <v>302.5</v>
      </c>
      <c r="H104">
        <v>785</v>
      </c>
      <c r="I104">
        <v>2015</v>
      </c>
      <c r="J104" t="s">
        <v>29</v>
      </c>
      <c r="K104" t="s">
        <v>30</v>
      </c>
    </row>
    <row r="105" spans="1:11">
      <c r="A105" t="s">
        <v>642</v>
      </c>
      <c r="B105">
        <v>1978</v>
      </c>
      <c r="C105" t="s">
        <v>62</v>
      </c>
      <c r="D105">
        <v>92.48</v>
      </c>
      <c r="E105">
        <v>265</v>
      </c>
      <c r="F105">
        <v>212.5</v>
      </c>
      <c r="G105">
        <v>307.5</v>
      </c>
      <c r="H105">
        <v>785</v>
      </c>
      <c r="I105">
        <v>2015</v>
      </c>
      <c r="J105" t="s">
        <v>29</v>
      </c>
      <c r="K105" t="s">
        <v>30</v>
      </c>
    </row>
    <row r="106" spans="1:11">
      <c r="A106" t="s">
        <v>504</v>
      </c>
      <c r="B106">
        <v>1989</v>
      </c>
      <c r="C106" t="s">
        <v>85</v>
      </c>
      <c r="D106">
        <v>104.05</v>
      </c>
      <c r="E106">
        <v>280</v>
      </c>
      <c r="F106">
        <v>202.5</v>
      </c>
      <c r="G106">
        <v>300</v>
      </c>
      <c r="H106">
        <v>782.5</v>
      </c>
      <c r="I106">
        <v>2015</v>
      </c>
      <c r="J106" t="s">
        <v>29</v>
      </c>
      <c r="K106" t="s">
        <v>30</v>
      </c>
    </row>
    <row r="107" spans="1:11">
      <c r="A107" t="s">
        <v>351</v>
      </c>
      <c r="B107">
        <v>1987</v>
      </c>
      <c r="C107" t="s">
        <v>352</v>
      </c>
      <c r="D107">
        <v>92.48</v>
      </c>
      <c r="E107">
        <v>275</v>
      </c>
      <c r="F107">
        <v>207.5</v>
      </c>
      <c r="G107">
        <v>300</v>
      </c>
      <c r="H107">
        <v>782.5</v>
      </c>
      <c r="I107">
        <v>2015</v>
      </c>
      <c r="J107" t="s">
        <v>29</v>
      </c>
      <c r="K107" t="s">
        <v>30</v>
      </c>
    </row>
    <row r="108" spans="1:11">
      <c r="A108" t="s">
        <v>446</v>
      </c>
      <c r="B108">
        <v>1977</v>
      </c>
      <c r="C108" t="s">
        <v>72</v>
      </c>
      <c r="D108">
        <v>119.1</v>
      </c>
      <c r="E108">
        <v>275</v>
      </c>
      <c r="F108">
        <v>222.5</v>
      </c>
      <c r="G108">
        <v>285</v>
      </c>
      <c r="H108">
        <v>782.5</v>
      </c>
      <c r="I108">
        <v>2014</v>
      </c>
      <c r="J108" t="s">
        <v>29</v>
      </c>
      <c r="K108" t="s">
        <v>30</v>
      </c>
    </row>
    <row r="109" spans="1:11">
      <c r="A109" t="s">
        <v>384</v>
      </c>
      <c r="B109">
        <v>1984</v>
      </c>
      <c r="C109" t="s">
        <v>137</v>
      </c>
      <c r="D109">
        <v>104.5</v>
      </c>
      <c r="E109">
        <v>282.5</v>
      </c>
      <c r="F109">
        <v>192.5</v>
      </c>
      <c r="G109">
        <v>305</v>
      </c>
      <c r="H109">
        <v>780</v>
      </c>
      <c r="I109">
        <v>2013</v>
      </c>
      <c r="J109" t="s">
        <v>29</v>
      </c>
      <c r="K109" t="s">
        <v>30</v>
      </c>
    </row>
    <row r="110" spans="1:11">
      <c r="A110" t="s">
        <v>155</v>
      </c>
      <c r="B110">
        <v>1985</v>
      </c>
      <c r="C110" t="s">
        <v>77</v>
      </c>
      <c r="D110">
        <v>103.1</v>
      </c>
      <c r="E110">
        <v>285</v>
      </c>
      <c r="F110">
        <v>210</v>
      </c>
      <c r="G110">
        <v>285</v>
      </c>
      <c r="H110">
        <v>780</v>
      </c>
      <c r="I110">
        <v>2013</v>
      </c>
      <c r="J110" t="s">
        <v>29</v>
      </c>
      <c r="K110" t="s">
        <v>30</v>
      </c>
    </row>
    <row r="111" spans="1:11">
      <c r="A111" t="s">
        <v>526</v>
      </c>
      <c r="B111">
        <v>1979</v>
      </c>
      <c r="C111" t="s">
        <v>80</v>
      </c>
      <c r="D111">
        <v>116.4</v>
      </c>
      <c r="E111">
        <v>272.5</v>
      </c>
      <c r="F111">
        <v>237.5</v>
      </c>
      <c r="G111">
        <v>270</v>
      </c>
      <c r="H111">
        <v>780</v>
      </c>
      <c r="I111">
        <v>2013</v>
      </c>
      <c r="J111" t="s">
        <v>29</v>
      </c>
      <c r="K111" t="s">
        <v>30</v>
      </c>
    </row>
    <row r="112" spans="1:11">
      <c r="A112" t="s">
        <v>624</v>
      </c>
      <c r="B112">
        <v>1976</v>
      </c>
      <c r="C112" t="s">
        <v>163</v>
      </c>
      <c r="D112">
        <v>102.5</v>
      </c>
      <c r="E112">
        <v>315</v>
      </c>
      <c r="F112">
        <v>170</v>
      </c>
      <c r="G112">
        <v>290</v>
      </c>
      <c r="H112">
        <v>775</v>
      </c>
      <c r="I112">
        <v>2014</v>
      </c>
      <c r="J112" t="s">
        <v>29</v>
      </c>
      <c r="K112" t="s">
        <v>30</v>
      </c>
    </row>
    <row r="113" spans="1:11">
      <c r="A113" t="s">
        <v>755</v>
      </c>
      <c r="B113">
        <v>1988</v>
      </c>
      <c r="C113" t="s">
        <v>72</v>
      </c>
      <c r="D113">
        <v>91.38</v>
      </c>
      <c r="E113">
        <v>290</v>
      </c>
      <c r="F113">
        <v>215</v>
      </c>
      <c r="G113">
        <v>270</v>
      </c>
      <c r="H113">
        <v>775</v>
      </c>
      <c r="I113">
        <v>2015</v>
      </c>
      <c r="J113" t="s">
        <v>29</v>
      </c>
      <c r="K113" t="s">
        <v>30</v>
      </c>
    </row>
    <row r="114" spans="1:11">
      <c r="A114" t="s">
        <v>487</v>
      </c>
      <c r="B114">
        <v>1991</v>
      </c>
      <c r="C114" t="s">
        <v>163</v>
      </c>
      <c r="D114">
        <v>82.4</v>
      </c>
      <c r="E114">
        <v>270</v>
      </c>
      <c r="F114">
        <v>202.5</v>
      </c>
      <c r="G114">
        <v>302.5</v>
      </c>
      <c r="H114">
        <v>775</v>
      </c>
      <c r="I114">
        <v>2015</v>
      </c>
      <c r="J114" t="s">
        <v>29</v>
      </c>
      <c r="K114" t="s">
        <v>30</v>
      </c>
    </row>
    <row r="115" spans="1:11">
      <c r="A115" t="s">
        <v>655</v>
      </c>
      <c r="B115">
        <v>1988</v>
      </c>
      <c r="C115" t="s">
        <v>445</v>
      </c>
      <c r="D115">
        <v>101.25</v>
      </c>
      <c r="E115">
        <v>275</v>
      </c>
      <c r="F115">
        <v>167.5</v>
      </c>
      <c r="G115">
        <v>330</v>
      </c>
      <c r="H115">
        <v>772.5</v>
      </c>
      <c r="I115">
        <v>2015</v>
      </c>
      <c r="J115" t="s">
        <v>29</v>
      </c>
      <c r="K115" t="s">
        <v>30</v>
      </c>
    </row>
    <row r="116" spans="1:11">
      <c r="A116" t="s">
        <v>628</v>
      </c>
      <c r="B116">
        <v>1988</v>
      </c>
      <c r="C116" t="s">
        <v>51</v>
      </c>
      <c r="D116">
        <v>92.95</v>
      </c>
      <c r="E116">
        <v>280</v>
      </c>
      <c r="F116">
        <v>187.5</v>
      </c>
      <c r="G116">
        <v>305</v>
      </c>
      <c r="H116">
        <v>772.5</v>
      </c>
      <c r="I116">
        <v>2013</v>
      </c>
      <c r="J116" t="s">
        <v>29</v>
      </c>
      <c r="K116" t="s">
        <v>30</v>
      </c>
    </row>
    <row r="117" spans="1:11">
      <c r="A117" t="s">
        <v>632</v>
      </c>
      <c r="B117">
        <v>1987</v>
      </c>
      <c r="C117" t="s">
        <v>51</v>
      </c>
      <c r="D117">
        <v>92.8</v>
      </c>
      <c r="E117">
        <v>255</v>
      </c>
      <c r="F117">
        <v>172.5</v>
      </c>
      <c r="G117">
        <v>345</v>
      </c>
      <c r="H117">
        <v>772.5</v>
      </c>
      <c r="I117">
        <v>2014</v>
      </c>
      <c r="J117" t="s">
        <v>29</v>
      </c>
      <c r="K117" t="s">
        <v>30</v>
      </c>
    </row>
    <row r="118" spans="1:11">
      <c r="A118" t="s">
        <v>642</v>
      </c>
      <c r="B118">
        <v>1978</v>
      </c>
      <c r="C118" t="s">
        <v>62</v>
      </c>
      <c r="D118">
        <v>92.25</v>
      </c>
      <c r="E118">
        <v>267.5</v>
      </c>
      <c r="F118">
        <v>212.5</v>
      </c>
      <c r="G118">
        <v>292.5</v>
      </c>
      <c r="H118">
        <v>772.5</v>
      </c>
      <c r="I118">
        <v>2014</v>
      </c>
      <c r="J118" t="s">
        <v>29</v>
      </c>
      <c r="K118" t="s">
        <v>30</v>
      </c>
    </row>
    <row r="119" spans="1:11">
      <c r="A119" t="s">
        <v>108</v>
      </c>
      <c r="B119">
        <v>1969</v>
      </c>
      <c r="C119" t="s">
        <v>109</v>
      </c>
      <c r="D119">
        <v>115.7</v>
      </c>
      <c r="E119">
        <v>290</v>
      </c>
      <c r="F119">
        <v>180</v>
      </c>
      <c r="G119">
        <v>300</v>
      </c>
      <c r="H119">
        <v>770</v>
      </c>
      <c r="I119">
        <v>2012</v>
      </c>
      <c r="J119" t="s">
        <v>29</v>
      </c>
      <c r="K119" t="s">
        <v>30</v>
      </c>
    </row>
    <row r="120" spans="1:11">
      <c r="A120" t="s">
        <v>422</v>
      </c>
      <c r="B120">
        <v>1986</v>
      </c>
      <c r="C120" t="s">
        <v>282</v>
      </c>
      <c r="D120">
        <v>82.4</v>
      </c>
      <c r="E120">
        <v>272.5</v>
      </c>
      <c r="F120">
        <v>182.5</v>
      </c>
      <c r="G120">
        <v>315</v>
      </c>
      <c r="H120">
        <v>770</v>
      </c>
      <c r="I120">
        <v>2014</v>
      </c>
      <c r="J120" t="s">
        <v>29</v>
      </c>
      <c r="K120" t="s">
        <v>30</v>
      </c>
    </row>
    <row r="121" spans="1:11">
      <c r="A121" t="s">
        <v>841</v>
      </c>
      <c r="B121">
        <v>1967</v>
      </c>
      <c r="C121" t="s">
        <v>51</v>
      </c>
      <c r="D121">
        <v>115.8</v>
      </c>
      <c r="E121">
        <v>285</v>
      </c>
      <c r="F121">
        <v>177.5</v>
      </c>
      <c r="G121">
        <v>305</v>
      </c>
      <c r="H121">
        <v>767.5</v>
      </c>
      <c r="I121">
        <v>2013</v>
      </c>
      <c r="J121" t="s">
        <v>29</v>
      </c>
      <c r="K121" t="s">
        <v>30</v>
      </c>
    </row>
    <row r="122" spans="1:11">
      <c r="A122" t="s">
        <v>488</v>
      </c>
      <c r="B122">
        <v>1983</v>
      </c>
      <c r="C122" t="s">
        <v>137</v>
      </c>
      <c r="D122">
        <v>92.65</v>
      </c>
      <c r="E122">
        <v>282.5</v>
      </c>
      <c r="F122">
        <v>192.5</v>
      </c>
      <c r="G122">
        <v>292.5</v>
      </c>
      <c r="H122">
        <v>767.5</v>
      </c>
      <c r="I122">
        <v>2014</v>
      </c>
      <c r="J122" t="s">
        <v>29</v>
      </c>
      <c r="K122" t="s">
        <v>30</v>
      </c>
    </row>
    <row r="123" spans="1:11">
      <c r="A123" t="s">
        <v>93</v>
      </c>
      <c r="B123">
        <v>1971</v>
      </c>
      <c r="C123" t="s">
        <v>51</v>
      </c>
      <c r="D123">
        <v>116.2</v>
      </c>
      <c r="E123">
        <v>282.5</v>
      </c>
      <c r="F123">
        <v>195</v>
      </c>
      <c r="G123">
        <v>290</v>
      </c>
      <c r="H123">
        <v>767.5</v>
      </c>
      <c r="I123">
        <v>2012</v>
      </c>
      <c r="J123" t="s">
        <v>29</v>
      </c>
      <c r="K123" t="s">
        <v>30</v>
      </c>
    </row>
    <row r="124" spans="1:11">
      <c r="A124" t="s">
        <v>48</v>
      </c>
      <c r="B124">
        <v>1983</v>
      </c>
      <c r="C124" t="s">
        <v>49</v>
      </c>
      <c r="D124">
        <v>92.2</v>
      </c>
      <c r="E124">
        <v>280</v>
      </c>
      <c r="F124">
        <v>177.5</v>
      </c>
      <c r="G124">
        <v>307.5</v>
      </c>
      <c r="H124">
        <v>765</v>
      </c>
      <c r="I124">
        <v>2014</v>
      </c>
      <c r="J124" t="s">
        <v>29</v>
      </c>
      <c r="K124" t="s">
        <v>30</v>
      </c>
    </row>
    <row r="125" spans="1:11">
      <c r="A125" t="s">
        <v>134</v>
      </c>
      <c r="B125">
        <v>1988</v>
      </c>
      <c r="C125" t="s">
        <v>51</v>
      </c>
      <c r="D125">
        <v>142.75</v>
      </c>
      <c r="E125">
        <v>305</v>
      </c>
      <c r="F125">
        <v>195</v>
      </c>
      <c r="G125">
        <v>265</v>
      </c>
      <c r="H125">
        <v>765</v>
      </c>
      <c r="I125">
        <v>2013</v>
      </c>
      <c r="J125" t="s">
        <v>29</v>
      </c>
      <c r="K125" t="s">
        <v>30</v>
      </c>
    </row>
    <row r="126" spans="1:11">
      <c r="A126" t="s">
        <v>127</v>
      </c>
      <c r="B126">
        <v>1978</v>
      </c>
      <c r="C126" t="s">
        <v>49</v>
      </c>
      <c r="D126">
        <v>128.05000000000001</v>
      </c>
      <c r="E126">
        <v>295</v>
      </c>
      <c r="F126">
        <v>195</v>
      </c>
      <c r="G126">
        <v>275</v>
      </c>
      <c r="H126">
        <v>765</v>
      </c>
      <c r="I126">
        <v>2012</v>
      </c>
      <c r="J126" t="s">
        <v>29</v>
      </c>
      <c r="K126" t="s">
        <v>30</v>
      </c>
    </row>
    <row r="127" spans="1:11">
      <c r="A127" t="s">
        <v>676</v>
      </c>
      <c r="B127">
        <v>1990</v>
      </c>
      <c r="C127" t="s">
        <v>194</v>
      </c>
      <c r="D127">
        <v>126</v>
      </c>
      <c r="E127">
        <v>260</v>
      </c>
      <c r="F127">
        <v>180</v>
      </c>
      <c r="G127">
        <v>325</v>
      </c>
      <c r="H127">
        <v>765</v>
      </c>
      <c r="I127">
        <v>2015</v>
      </c>
      <c r="J127" t="s">
        <v>29</v>
      </c>
      <c r="K127" t="s">
        <v>30</v>
      </c>
    </row>
    <row r="128" spans="1:11">
      <c r="A128" t="s">
        <v>164</v>
      </c>
      <c r="B128">
        <v>1990</v>
      </c>
      <c r="C128" t="s">
        <v>85</v>
      </c>
      <c r="D128">
        <v>89.3</v>
      </c>
      <c r="E128">
        <v>252.5</v>
      </c>
      <c r="F128">
        <v>182.5</v>
      </c>
      <c r="G128">
        <v>330</v>
      </c>
      <c r="H128">
        <v>765</v>
      </c>
      <c r="I128">
        <v>2012</v>
      </c>
      <c r="J128" t="s">
        <v>29</v>
      </c>
      <c r="K128" t="s">
        <v>30</v>
      </c>
    </row>
    <row r="129" spans="1:11">
      <c r="A129" t="s">
        <v>443</v>
      </c>
      <c r="B129">
        <v>1981</v>
      </c>
      <c r="C129" t="s">
        <v>119</v>
      </c>
      <c r="D129">
        <v>103.55</v>
      </c>
      <c r="E129">
        <v>280</v>
      </c>
      <c r="F129">
        <v>177.5</v>
      </c>
      <c r="G129">
        <v>305</v>
      </c>
      <c r="H129">
        <v>762.5</v>
      </c>
      <c r="I129">
        <v>2013</v>
      </c>
      <c r="J129" t="s">
        <v>29</v>
      </c>
      <c r="K129" t="s">
        <v>30</v>
      </c>
    </row>
    <row r="130" spans="1:11">
      <c r="A130" t="s">
        <v>530</v>
      </c>
      <c r="B130">
        <v>1982</v>
      </c>
      <c r="C130" t="s">
        <v>56</v>
      </c>
      <c r="D130">
        <v>101.95</v>
      </c>
      <c r="E130">
        <v>267.5</v>
      </c>
      <c r="F130">
        <v>205</v>
      </c>
      <c r="G130">
        <v>290</v>
      </c>
      <c r="H130">
        <v>762.5</v>
      </c>
      <c r="I130">
        <v>2013</v>
      </c>
      <c r="J130" t="s">
        <v>29</v>
      </c>
      <c r="K130" t="s">
        <v>30</v>
      </c>
    </row>
    <row r="131" spans="1:11">
      <c r="A131" t="s">
        <v>458</v>
      </c>
      <c r="B131">
        <v>1985</v>
      </c>
      <c r="C131" t="s">
        <v>194</v>
      </c>
      <c r="D131">
        <v>117.35</v>
      </c>
      <c r="E131">
        <v>265</v>
      </c>
      <c r="F131">
        <v>205</v>
      </c>
      <c r="G131">
        <v>292.5</v>
      </c>
      <c r="H131">
        <v>762.5</v>
      </c>
      <c r="I131">
        <v>2014</v>
      </c>
      <c r="J131" t="s">
        <v>29</v>
      </c>
      <c r="K131" t="s">
        <v>30</v>
      </c>
    </row>
    <row r="132" spans="1:11">
      <c r="A132" t="s">
        <v>659</v>
      </c>
      <c r="B132">
        <v>1988</v>
      </c>
      <c r="C132" t="s">
        <v>80</v>
      </c>
      <c r="D132">
        <v>104.09</v>
      </c>
      <c r="E132">
        <v>275</v>
      </c>
      <c r="F132">
        <v>172.5</v>
      </c>
      <c r="G132">
        <v>312.5</v>
      </c>
      <c r="H132">
        <v>760</v>
      </c>
      <c r="I132">
        <v>2015</v>
      </c>
      <c r="J132" t="s">
        <v>29</v>
      </c>
      <c r="K132" t="s">
        <v>30</v>
      </c>
    </row>
    <row r="133" spans="1:11">
      <c r="A133" t="s">
        <v>474</v>
      </c>
      <c r="B133">
        <v>1988</v>
      </c>
      <c r="C133" t="s">
        <v>113</v>
      </c>
      <c r="D133">
        <v>104.07</v>
      </c>
      <c r="E133">
        <v>285</v>
      </c>
      <c r="F133">
        <v>185</v>
      </c>
      <c r="G133">
        <v>290</v>
      </c>
      <c r="H133">
        <v>760</v>
      </c>
      <c r="I133">
        <v>2015</v>
      </c>
      <c r="J133" t="s">
        <v>29</v>
      </c>
      <c r="K133" t="s">
        <v>30</v>
      </c>
    </row>
    <row r="134" spans="1:11">
      <c r="A134" t="s">
        <v>105</v>
      </c>
      <c r="B134">
        <v>1982</v>
      </c>
      <c r="C134" t="s">
        <v>28</v>
      </c>
      <c r="D134">
        <v>81.849999999999994</v>
      </c>
      <c r="E134">
        <v>265</v>
      </c>
      <c r="F134">
        <v>182.5</v>
      </c>
      <c r="G134">
        <v>312.5</v>
      </c>
      <c r="H134">
        <v>760</v>
      </c>
      <c r="I134">
        <v>2013</v>
      </c>
      <c r="J134" t="s">
        <v>29</v>
      </c>
      <c r="K134" t="s">
        <v>30</v>
      </c>
    </row>
    <row r="135" spans="1:11">
      <c r="A135" t="s">
        <v>405</v>
      </c>
      <c r="B135">
        <v>1989</v>
      </c>
      <c r="C135" t="s">
        <v>406</v>
      </c>
      <c r="D135">
        <v>117.2</v>
      </c>
      <c r="E135">
        <v>300</v>
      </c>
      <c r="F135">
        <v>210</v>
      </c>
      <c r="G135">
        <v>250</v>
      </c>
      <c r="H135">
        <v>760</v>
      </c>
      <c r="I135">
        <v>2013</v>
      </c>
      <c r="J135" t="s">
        <v>29</v>
      </c>
      <c r="K135" t="s">
        <v>30</v>
      </c>
    </row>
    <row r="136" spans="1:11">
      <c r="A136" t="s">
        <v>134</v>
      </c>
      <c r="B136">
        <v>1988</v>
      </c>
      <c r="C136" t="s">
        <v>51</v>
      </c>
      <c r="D136">
        <v>138.05000000000001</v>
      </c>
      <c r="E136">
        <v>285</v>
      </c>
      <c r="F136">
        <v>200</v>
      </c>
      <c r="G136">
        <v>275</v>
      </c>
      <c r="H136">
        <v>760</v>
      </c>
      <c r="I136">
        <v>2012</v>
      </c>
      <c r="J136" t="s">
        <v>29</v>
      </c>
      <c r="K136" t="s">
        <v>30</v>
      </c>
    </row>
    <row r="137" spans="1:11">
      <c r="A137" t="s">
        <v>86</v>
      </c>
      <c r="B137">
        <v>1981</v>
      </c>
      <c r="C137" t="s">
        <v>51</v>
      </c>
      <c r="D137">
        <v>117.3</v>
      </c>
      <c r="E137">
        <v>265</v>
      </c>
      <c r="F137">
        <v>187.5</v>
      </c>
      <c r="G137">
        <v>305</v>
      </c>
      <c r="H137">
        <v>757.5</v>
      </c>
      <c r="I137">
        <v>2012</v>
      </c>
      <c r="J137" t="s">
        <v>29</v>
      </c>
      <c r="K137" t="s">
        <v>30</v>
      </c>
    </row>
    <row r="138" spans="1:11">
      <c r="A138" t="s">
        <v>90</v>
      </c>
      <c r="B138">
        <v>1980</v>
      </c>
      <c r="C138" t="s">
        <v>28</v>
      </c>
      <c r="D138">
        <v>92.25</v>
      </c>
      <c r="E138">
        <v>252.5</v>
      </c>
      <c r="F138">
        <v>205</v>
      </c>
      <c r="G138">
        <v>300</v>
      </c>
      <c r="H138">
        <v>757.5</v>
      </c>
      <c r="I138">
        <v>2012</v>
      </c>
      <c r="J138" t="s">
        <v>29</v>
      </c>
      <c r="K138" t="s">
        <v>30</v>
      </c>
    </row>
    <row r="139" spans="1:11">
      <c r="A139" t="s">
        <v>562</v>
      </c>
      <c r="B139">
        <v>1982</v>
      </c>
      <c r="C139" t="s">
        <v>563</v>
      </c>
      <c r="D139">
        <v>131.5</v>
      </c>
      <c r="E139">
        <v>270</v>
      </c>
      <c r="F139">
        <v>222.5</v>
      </c>
      <c r="G139">
        <v>265</v>
      </c>
      <c r="H139">
        <v>757.5</v>
      </c>
      <c r="I139">
        <v>2013</v>
      </c>
      <c r="J139" t="s">
        <v>29</v>
      </c>
      <c r="K139" t="s">
        <v>30</v>
      </c>
    </row>
    <row r="140" spans="1:11">
      <c r="A140" t="s">
        <v>446</v>
      </c>
      <c r="B140">
        <v>1977</v>
      </c>
      <c r="C140" t="s">
        <v>72</v>
      </c>
      <c r="D140">
        <v>119.6</v>
      </c>
      <c r="E140">
        <v>265</v>
      </c>
      <c r="F140">
        <v>220</v>
      </c>
      <c r="G140">
        <v>272.5</v>
      </c>
      <c r="H140">
        <v>757.5</v>
      </c>
      <c r="I140">
        <v>2013</v>
      </c>
      <c r="J140" t="s">
        <v>29</v>
      </c>
      <c r="K140" t="s">
        <v>30</v>
      </c>
    </row>
    <row r="141" spans="1:11">
      <c r="A141" t="s">
        <v>65</v>
      </c>
      <c r="B141">
        <v>1976</v>
      </c>
      <c r="C141" t="s">
        <v>66</v>
      </c>
      <c r="D141">
        <v>117.15</v>
      </c>
      <c r="E141">
        <v>275</v>
      </c>
      <c r="F141">
        <v>160</v>
      </c>
      <c r="G141">
        <v>320</v>
      </c>
      <c r="H141">
        <v>755</v>
      </c>
      <c r="I141">
        <v>2012</v>
      </c>
      <c r="J141" t="s">
        <v>29</v>
      </c>
      <c r="K141" t="s">
        <v>30</v>
      </c>
    </row>
    <row r="142" spans="1:11">
      <c r="A142" t="s">
        <v>670</v>
      </c>
      <c r="B142">
        <v>1979</v>
      </c>
      <c r="C142" t="s">
        <v>289</v>
      </c>
      <c r="D142">
        <v>103.1</v>
      </c>
      <c r="E142">
        <v>270</v>
      </c>
      <c r="F142">
        <v>170</v>
      </c>
      <c r="G142">
        <v>315</v>
      </c>
      <c r="H142">
        <v>755</v>
      </c>
      <c r="I142">
        <v>2014</v>
      </c>
      <c r="J142" t="s">
        <v>29</v>
      </c>
      <c r="K142" t="s">
        <v>30</v>
      </c>
    </row>
    <row r="143" spans="1:11">
      <c r="A143" t="s">
        <v>105</v>
      </c>
      <c r="B143">
        <v>1982</v>
      </c>
      <c r="C143" t="s">
        <v>28</v>
      </c>
      <c r="D143">
        <v>82.3</v>
      </c>
      <c r="E143">
        <v>267.5</v>
      </c>
      <c r="F143">
        <v>182.5</v>
      </c>
      <c r="G143">
        <v>305</v>
      </c>
      <c r="H143">
        <v>755</v>
      </c>
      <c r="I143">
        <v>2014</v>
      </c>
      <c r="J143" t="s">
        <v>29</v>
      </c>
      <c r="K143" t="s">
        <v>30</v>
      </c>
    </row>
    <row r="144" spans="1:11">
      <c r="A144" t="s">
        <v>160</v>
      </c>
      <c r="B144">
        <v>1983</v>
      </c>
      <c r="C144" t="s">
        <v>125</v>
      </c>
      <c r="D144">
        <v>92.76</v>
      </c>
      <c r="E144">
        <v>277.5</v>
      </c>
      <c r="F144">
        <v>190</v>
      </c>
      <c r="G144">
        <v>287.5</v>
      </c>
      <c r="H144">
        <v>755</v>
      </c>
      <c r="I144">
        <v>2015</v>
      </c>
      <c r="J144" t="s">
        <v>29</v>
      </c>
      <c r="K144" t="s">
        <v>30</v>
      </c>
    </row>
    <row r="145" spans="1:11">
      <c r="A145" t="s">
        <v>561</v>
      </c>
      <c r="B145">
        <v>1988</v>
      </c>
      <c r="C145" t="s">
        <v>100</v>
      </c>
      <c r="D145">
        <v>104.45</v>
      </c>
      <c r="E145">
        <v>265</v>
      </c>
      <c r="F145">
        <v>207.5</v>
      </c>
      <c r="G145">
        <v>282.5</v>
      </c>
      <c r="H145">
        <v>755</v>
      </c>
      <c r="I145">
        <v>2013</v>
      </c>
      <c r="J145" t="s">
        <v>29</v>
      </c>
      <c r="K145" t="s">
        <v>30</v>
      </c>
    </row>
    <row r="146" spans="1:11">
      <c r="A146" t="s">
        <v>60</v>
      </c>
      <c r="B146">
        <v>1979</v>
      </c>
      <c r="C146" t="s">
        <v>35</v>
      </c>
      <c r="D146">
        <v>99</v>
      </c>
      <c r="E146">
        <v>270</v>
      </c>
      <c r="F146">
        <v>180</v>
      </c>
      <c r="G146">
        <v>302.5</v>
      </c>
      <c r="H146">
        <v>752.5</v>
      </c>
      <c r="I146">
        <v>2012</v>
      </c>
      <c r="J146" t="s">
        <v>29</v>
      </c>
      <c r="K146" t="s">
        <v>30</v>
      </c>
    </row>
    <row r="147" spans="1:11">
      <c r="A147" t="s">
        <v>396</v>
      </c>
      <c r="B147">
        <v>1990</v>
      </c>
      <c r="C147" t="s">
        <v>194</v>
      </c>
      <c r="D147">
        <v>130</v>
      </c>
      <c r="E147">
        <v>287.5</v>
      </c>
      <c r="F147">
        <v>200</v>
      </c>
      <c r="G147">
        <v>265</v>
      </c>
      <c r="H147">
        <v>752.5</v>
      </c>
      <c r="I147">
        <v>2014</v>
      </c>
      <c r="J147" t="s">
        <v>29</v>
      </c>
      <c r="K147" t="s">
        <v>30</v>
      </c>
    </row>
    <row r="148" spans="1:11">
      <c r="A148" t="s">
        <v>689</v>
      </c>
      <c r="B148">
        <v>1983</v>
      </c>
      <c r="C148" t="s">
        <v>85</v>
      </c>
      <c r="D148">
        <v>118.6</v>
      </c>
      <c r="E148">
        <v>272.5</v>
      </c>
      <c r="F148">
        <v>190</v>
      </c>
      <c r="G148">
        <v>290</v>
      </c>
      <c r="H148">
        <v>752.5</v>
      </c>
      <c r="I148">
        <v>2014</v>
      </c>
      <c r="J148" t="s">
        <v>29</v>
      </c>
      <c r="K148" t="s">
        <v>30</v>
      </c>
    </row>
    <row r="149" spans="1:11">
      <c r="A149" t="s">
        <v>800</v>
      </c>
      <c r="B149">
        <v>1986</v>
      </c>
      <c r="C149" t="s">
        <v>62</v>
      </c>
      <c r="D149">
        <v>103.3</v>
      </c>
      <c r="E149">
        <v>270</v>
      </c>
      <c r="F149">
        <v>197.5</v>
      </c>
      <c r="G149">
        <v>285</v>
      </c>
      <c r="H149">
        <v>752.5</v>
      </c>
      <c r="I149">
        <v>2013</v>
      </c>
      <c r="J149" t="s">
        <v>29</v>
      </c>
      <c r="K149" t="s">
        <v>30</v>
      </c>
    </row>
    <row r="150" spans="1:11">
      <c r="A150" t="s">
        <v>754</v>
      </c>
      <c r="B150">
        <v>1984</v>
      </c>
      <c r="C150" t="s">
        <v>109</v>
      </c>
      <c r="D150">
        <v>118.28</v>
      </c>
      <c r="E150">
        <v>275</v>
      </c>
      <c r="F150">
        <v>207.5</v>
      </c>
      <c r="G150">
        <v>270</v>
      </c>
      <c r="H150">
        <v>752.5</v>
      </c>
      <c r="I150">
        <v>2015</v>
      </c>
      <c r="J150" t="s">
        <v>29</v>
      </c>
      <c r="K150" t="s">
        <v>30</v>
      </c>
    </row>
    <row r="151" spans="1:11">
      <c r="A151" t="s">
        <v>48</v>
      </c>
      <c r="B151">
        <v>1983</v>
      </c>
      <c r="C151" t="s">
        <v>49</v>
      </c>
      <c r="D151">
        <v>92.5</v>
      </c>
      <c r="E151">
        <v>267.5</v>
      </c>
      <c r="F151">
        <v>175</v>
      </c>
      <c r="G151">
        <v>307.5</v>
      </c>
      <c r="H151">
        <v>750</v>
      </c>
      <c r="I151">
        <v>2013</v>
      </c>
      <c r="J151" t="s">
        <v>29</v>
      </c>
      <c r="K151" t="s">
        <v>30</v>
      </c>
    </row>
    <row r="152" spans="1:11">
      <c r="A152" t="s">
        <v>126</v>
      </c>
      <c r="B152">
        <v>1987</v>
      </c>
      <c r="C152" t="s">
        <v>80</v>
      </c>
      <c r="D152">
        <v>103.35</v>
      </c>
      <c r="E152">
        <v>255</v>
      </c>
      <c r="F152">
        <v>185</v>
      </c>
      <c r="G152">
        <v>310</v>
      </c>
      <c r="H152">
        <v>750</v>
      </c>
      <c r="I152">
        <v>2012</v>
      </c>
      <c r="J152" t="s">
        <v>29</v>
      </c>
      <c r="K152" t="s">
        <v>30</v>
      </c>
    </row>
    <row r="153" spans="1:11">
      <c r="A153" t="s">
        <v>111</v>
      </c>
      <c r="B153">
        <v>1984</v>
      </c>
      <c r="C153" t="s">
        <v>32</v>
      </c>
      <c r="D153">
        <v>129.35</v>
      </c>
      <c r="E153">
        <v>260</v>
      </c>
      <c r="F153">
        <v>215</v>
      </c>
      <c r="G153">
        <v>275</v>
      </c>
      <c r="H153">
        <v>750</v>
      </c>
      <c r="I153">
        <v>2012</v>
      </c>
      <c r="J153" t="s">
        <v>29</v>
      </c>
      <c r="K153" t="s">
        <v>30</v>
      </c>
    </row>
    <row r="154" spans="1:11">
      <c r="A154" t="s">
        <v>97</v>
      </c>
      <c r="B154">
        <v>1985</v>
      </c>
      <c r="C154" t="s">
        <v>85</v>
      </c>
      <c r="D154">
        <v>104.65</v>
      </c>
      <c r="E154">
        <v>270</v>
      </c>
      <c r="F154">
        <v>187.5</v>
      </c>
      <c r="G154">
        <v>290</v>
      </c>
      <c r="H154">
        <v>747.5</v>
      </c>
      <c r="I154">
        <v>2012</v>
      </c>
      <c r="J154" t="s">
        <v>29</v>
      </c>
      <c r="K154" t="s">
        <v>30</v>
      </c>
    </row>
    <row r="155" spans="1:11">
      <c r="A155" t="s">
        <v>395</v>
      </c>
      <c r="B155">
        <v>1990</v>
      </c>
      <c r="C155" t="s">
        <v>45</v>
      </c>
      <c r="D155">
        <v>92.75</v>
      </c>
      <c r="E155">
        <v>250</v>
      </c>
      <c r="F155">
        <v>190</v>
      </c>
      <c r="G155">
        <v>307.5</v>
      </c>
      <c r="H155">
        <v>747.5</v>
      </c>
      <c r="I155">
        <v>2014</v>
      </c>
      <c r="J155" t="s">
        <v>29</v>
      </c>
      <c r="K155" t="s">
        <v>30</v>
      </c>
    </row>
    <row r="156" spans="1:11">
      <c r="A156" t="s">
        <v>150</v>
      </c>
      <c r="B156">
        <v>1985</v>
      </c>
      <c r="C156" t="s">
        <v>54</v>
      </c>
      <c r="D156">
        <v>119.9</v>
      </c>
      <c r="E156">
        <v>262.5</v>
      </c>
      <c r="F156">
        <v>200</v>
      </c>
      <c r="G156">
        <v>285</v>
      </c>
      <c r="H156">
        <v>747.5</v>
      </c>
      <c r="I156">
        <v>2013</v>
      </c>
      <c r="J156" t="s">
        <v>29</v>
      </c>
      <c r="K156" t="s">
        <v>30</v>
      </c>
    </row>
    <row r="157" spans="1:11">
      <c r="A157" t="s">
        <v>644</v>
      </c>
      <c r="B157">
        <v>1978</v>
      </c>
      <c r="C157" t="s">
        <v>62</v>
      </c>
      <c r="D157">
        <v>91.65</v>
      </c>
      <c r="E157">
        <v>252.5</v>
      </c>
      <c r="F157">
        <v>205</v>
      </c>
      <c r="G157">
        <v>290</v>
      </c>
      <c r="H157">
        <v>747.5</v>
      </c>
      <c r="I157">
        <v>2013</v>
      </c>
      <c r="J157" t="s">
        <v>29</v>
      </c>
      <c r="K157" t="s">
        <v>30</v>
      </c>
    </row>
    <row r="158" spans="1:11">
      <c r="A158" t="s">
        <v>71</v>
      </c>
      <c r="B158">
        <v>1978</v>
      </c>
      <c r="C158" t="s">
        <v>72</v>
      </c>
      <c r="D158">
        <v>91.6</v>
      </c>
      <c r="E158">
        <v>260</v>
      </c>
      <c r="F158">
        <v>180</v>
      </c>
      <c r="G158">
        <v>305</v>
      </c>
      <c r="H158">
        <v>745</v>
      </c>
      <c r="I158">
        <v>2012</v>
      </c>
      <c r="J158" t="s">
        <v>29</v>
      </c>
      <c r="K158" t="s">
        <v>30</v>
      </c>
    </row>
    <row r="159" spans="1:11">
      <c r="A159" t="s">
        <v>786</v>
      </c>
      <c r="B159">
        <v>1988</v>
      </c>
      <c r="C159" t="s">
        <v>80</v>
      </c>
      <c r="D159">
        <v>104.4</v>
      </c>
      <c r="E159">
        <v>257.5</v>
      </c>
      <c r="F159">
        <v>185</v>
      </c>
      <c r="G159">
        <v>302.5</v>
      </c>
      <c r="H159">
        <v>745</v>
      </c>
      <c r="I159">
        <v>2014</v>
      </c>
      <c r="J159" t="s">
        <v>29</v>
      </c>
      <c r="K159" t="s">
        <v>30</v>
      </c>
    </row>
    <row r="160" spans="1:11">
      <c r="A160" t="s">
        <v>128</v>
      </c>
      <c r="B160">
        <v>1979</v>
      </c>
      <c r="C160" t="s">
        <v>289</v>
      </c>
      <c r="D160">
        <v>103.05</v>
      </c>
      <c r="E160">
        <v>270</v>
      </c>
      <c r="F160">
        <v>160</v>
      </c>
      <c r="G160">
        <v>312.5</v>
      </c>
      <c r="H160">
        <v>742.5</v>
      </c>
      <c r="I160">
        <v>2013</v>
      </c>
      <c r="J160" t="s">
        <v>29</v>
      </c>
      <c r="K160" t="s">
        <v>30</v>
      </c>
    </row>
    <row r="161" spans="1:11">
      <c r="A161" t="s">
        <v>439</v>
      </c>
      <c r="B161">
        <v>1982</v>
      </c>
      <c r="C161" t="s">
        <v>100</v>
      </c>
      <c r="D161">
        <v>92.07</v>
      </c>
      <c r="E161">
        <v>270</v>
      </c>
      <c r="F161">
        <v>172.5</v>
      </c>
      <c r="G161">
        <v>300</v>
      </c>
      <c r="H161">
        <v>742.5</v>
      </c>
      <c r="I161">
        <v>2015</v>
      </c>
      <c r="J161" t="s">
        <v>29</v>
      </c>
      <c r="K161" t="s">
        <v>30</v>
      </c>
    </row>
    <row r="162" spans="1:11">
      <c r="A162" t="s">
        <v>104</v>
      </c>
      <c r="B162">
        <v>1986</v>
      </c>
      <c r="C162" t="s">
        <v>39</v>
      </c>
      <c r="D162">
        <v>92.95</v>
      </c>
      <c r="E162">
        <v>252.5</v>
      </c>
      <c r="F162">
        <v>192.5</v>
      </c>
      <c r="G162">
        <v>297.5</v>
      </c>
      <c r="H162">
        <v>742.5</v>
      </c>
      <c r="I162">
        <v>2012</v>
      </c>
      <c r="J162" t="s">
        <v>29</v>
      </c>
      <c r="K162" t="s">
        <v>30</v>
      </c>
    </row>
    <row r="163" spans="1:11">
      <c r="A163" t="s">
        <v>522</v>
      </c>
      <c r="B163">
        <v>1988</v>
      </c>
      <c r="C163" t="s">
        <v>296</v>
      </c>
      <c r="D163">
        <v>136</v>
      </c>
      <c r="E163">
        <v>275</v>
      </c>
      <c r="F163">
        <v>165</v>
      </c>
      <c r="G163">
        <v>300</v>
      </c>
      <c r="H163">
        <v>740</v>
      </c>
      <c r="I163">
        <v>2015</v>
      </c>
      <c r="J163" t="s">
        <v>29</v>
      </c>
      <c r="K163" t="s">
        <v>30</v>
      </c>
    </row>
    <row r="164" spans="1:11">
      <c r="A164" t="s">
        <v>849</v>
      </c>
      <c r="B164">
        <v>1991</v>
      </c>
      <c r="C164" t="s">
        <v>49</v>
      </c>
      <c r="D164">
        <v>102.71</v>
      </c>
      <c r="E164">
        <v>255</v>
      </c>
      <c r="F164">
        <v>182.5</v>
      </c>
      <c r="G164">
        <v>302.5</v>
      </c>
      <c r="H164">
        <v>740</v>
      </c>
      <c r="I164">
        <v>2015</v>
      </c>
      <c r="J164" t="s">
        <v>29</v>
      </c>
      <c r="K164" t="s">
        <v>30</v>
      </c>
    </row>
    <row r="165" spans="1:11">
      <c r="A165" t="s">
        <v>155</v>
      </c>
      <c r="B165">
        <v>1985</v>
      </c>
      <c r="C165" t="s">
        <v>77</v>
      </c>
      <c r="D165">
        <v>99.85</v>
      </c>
      <c r="E165">
        <v>275</v>
      </c>
      <c r="F165">
        <v>205</v>
      </c>
      <c r="G165">
        <v>260</v>
      </c>
      <c r="H165">
        <v>740</v>
      </c>
      <c r="I165">
        <v>2012</v>
      </c>
      <c r="J165" t="s">
        <v>29</v>
      </c>
      <c r="K165" t="s">
        <v>30</v>
      </c>
    </row>
    <row r="166" spans="1:11">
      <c r="A166" t="s">
        <v>143</v>
      </c>
      <c r="B166">
        <v>1987</v>
      </c>
      <c r="C166" t="s">
        <v>80</v>
      </c>
      <c r="D166">
        <v>92.3</v>
      </c>
      <c r="E166">
        <v>260</v>
      </c>
      <c r="F166">
        <v>170</v>
      </c>
      <c r="G166">
        <v>305</v>
      </c>
      <c r="H166">
        <v>735</v>
      </c>
      <c r="I166">
        <v>2012</v>
      </c>
      <c r="J166" t="s">
        <v>29</v>
      </c>
      <c r="K166" t="s">
        <v>30</v>
      </c>
    </row>
    <row r="167" spans="1:11">
      <c r="A167" t="s">
        <v>161</v>
      </c>
      <c r="B167">
        <v>1988</v>
      </c>
      <c r="C167" t="s">
        <v>45</v>
      </c>
      <c r="D167">
        <v>104.55</v>
      </c>
      <c r="E167">
        <v>272.5</v>
      </c>
      <c r="F167">
        <v>190</v>
      </c>
      <c r="G167">
        <v>270</v>
      </c>
      <c r="H167">
        <v>732.5</v>
      </c>
      <c r="I167">
        <v>2012</v>
      </c>
      <c r="J167" t="s">
        <v>29</v>
      </c>
      <c r="K167" t="s">
        <v>30</v>
      </c>
    </row>
    <row r="168" spans="1:11">
      <c r="A168" t="s">
        <v>798</v>
      </c>
      <c r="B168">
        <v>1980</v>
      </c>
      <c r="C168" t="s">
        <v>51</v>
      </c>
      <c r="D168">
        <v>100.15</v>
      </c>
      <c r="E168">
        <v>242.5</v>
      </c>
      <c r="F168">
        <v>182.5</v>
      </c>
      <c r="G168">
        <v>307.5</v>
      </c>
      <c r="H168">
        <v>732.5</v>
      </c>
      <c r="I168">
        <v>2015</v>
      </c>
      <c r="J168" t="s">
        <v>29</v>
      </c>
      <c r="K168" t="s">
        <v>30</v>
      </c>
    </row>
    <row r="169" spans="1:11">
      <c r="A169" t="s">
        <v>44</v>
      </c>
      <c r="B169">
        <v>1972</v>
      </c>
      <c r="C169" t="s">
        <v>45</v>
      </c>
      <c r="D169">
        <v>110.35</v>
      </c>
      <c r="E169">
        <v>245</v>
      </c>
      <c r="F169">
        <v>185</v>
      </c>
      <c r="G169">
        <v>300</v>
      </c>
      <c r="H169">
        <v>730</v>
      </c>
      <c r="I169">
        <v>2012</v>
      </c>
      <c r="J169" t="s">
        <v>29</v>
      </c>
      <c r="K169" t="s">
        <v>30</v>
      </c>
    </row>
    <row r="170" spans="1:11">
      <c r="A170" t="s">
        <v>128</v>
      </c>
      <c r="B170">
        <v>1979</v>
      </c>
      <c r="C170" t="s">
        <v>129</v>
      </c>
      <c r="D170">
        <v>103.8</v>
      </c>
      <c r="E170">
        <v>265</v>
      </c>
      <c r="F170">
        <v>150</v>
      </c>
      <c r="G170">
        <v>312.5</v>
      </c>
      <c r="H170">
        <v>727.5</v>
      </c>
      <c r="I170">
        <v>2012</v>
      </c>
      <c r="J170" t="s">
        <v>29</v>
      </c>
      <c r="K170" t="s">
        <v>30</v>
      </c>
    </row>
    <row r="171" spans="1:11">
      <c r="A171" t="s">
        <v>847</v>
      </c>
      <c r="B171">
        <v>1985</v>
      </c>
      <c r="C171" t="s">
        <v>28</v>
      </c>
      <c r="D171">
        <v>82.6</v>
      </c>
      <c r="E171">
        <v>260</v>
      </c>
      <c r="F171">
        <v>167.5</v>
      </c>
      <c r="G171">
        <v>300</v>
      </c>
      <c r="H171">
        <v>727.5</v>
      </c>
      <c r="I171">
        <v>2015</v>
      </c>
      <c r="J171" t="s">
        <v>29</v>
      </c>
      <c r="K171" t="s">
        <v>30</v>
      </c>
    </row>
    <row r="172" spans="1:11">
      <c r="A172" t="s">
        <v>798</v>
      </c>
      <c r="B172">
        <v>1980</v>
      </c>
      <c r="C172" t="s">
        <v>51</v>
      </c>
      <c r="D172">
        <v>99.75</v>
      </c>
      <c r="E172">
        <v>240</v>
      </c>
      <c r="F172">
        <v>187.5</v>
      </c>
      <c r="G172">
        <v>300</v>
      </c>
      <c r="H172">
        <v>727.5</v>
      </c>
      <c r="I172">
        <v>2014</v>
      </c>
      <c r="J172" t="s">
        <v>29</v>
      </c>
      <c r="K172" t="s">
        <v>30</v>
      </c>
    </row>
    <row r="173" spans="1:11">
      <c r="A173" t="s">
        <v>696</v>
      </c>
      <c r="B173">
        <v>1990</v>
      </c>
      <c r="C173" t="s">
        <v>39</v>
      </c>
      <c r="D173">
        <v>104.37</v>
      </c>
      <c r="E173">
        <v>275</v>
      </c>
      <c r="F173">
        <v>172.5</v>
      </c>
      <c r="G173">
        <v>277.5</v>
      </c>
      <c r="H173">
        <v>725</v>
      </c>
      <c r="I173">
        <v>2015</v>
      </c>
      <c r="J173" t="s">
        <v>29</v>
      </c>
      <c r="K173" t="s">
        <v>30</v>
      </c>
    </row>
    <row r="174" spans="1:11">
      <c r="A174" t="s">
        <v>48</v>
      </c>
      <c r="B174">
        <v>1983</v>
      </c>
      <c r="C174" t="s">
        <v>49</v>
      </c>
      <c r="D174">
        <v>91.8</v>
      </c>
      <c r="E174">
        <v>260</v>
      </c>
      <c r="F174">
        <v>175</v>
      </c>
      <c r="G174">
        <v>290</v>
      </c>
      <c r="H174">
        <v>725</v>
      </c>
      <c r="I174">
        <v>2012</v>
      </c>
      <c r="J174" t="s">
        <v>29</v>
      </c>
      <c r="K174" t="s">
        <v>30</v>
      </c>
    </row>
    <row r="175" spans="1:11">
      <c r="A175" t="s">
        <v>807</v>
      </c>
      <c r="B175">
        <v>1986</v>
      </c>
      <c r="C175" t="s">
        <v>80</v>
      </c>
      <c r="D175">
        <v>104.15</v>
      </c>
      <c r="E175">
        <v>255</v>
      </c>
      <c r="F175">
        <v>180</v>
      </c>
      <c r="G175">
        <v>290</v>
      </c>
      <c r="H175">
        <v>725</v>
      </c>
      <c r="I175">
        <v>2014</v>
      </c>
      <c r="J175" t="s">
        <v>29</v>
      </c>
      <c r="K175" t="s">
        <v>30</v>
      </c>
    </row>
    <row r="176" spans="1:11">
      <c r="A176" t="s">
        <v>150</v>
      </c>
      <c r="B176">
        <v>1985</v>
      </c>
      <c r="C176" t="s">
        <v>54</v>
      </c>
      <c r="D176">
        <v>119</v>
      </c>
      <c r="E176">
        <v>255</v>
      </c>
      <c r="F176">
        <v>195</v>
      </c>
      <c r="G176">
        <v>275</v>
      </c>
      <c r="H176">
        <v>725</v>
      </c>
      <c r="I176">
        <v>2012</v>
      </c>
      <c r="J176" t="s">
        <v>29</v>
      </c>
      <c r="K176" t="s">
        <v>30</v>
      </c>
    </row>
    <row r="177" spans="1:11">
      <c r="A177" t="s">
        <v>143</v>
      </c>
      <c r="B177">
        <v>1987</v>
      </c>
      <c r="C177" t="s">
        <v>80</v>
      </c>
      <c r="D177">
        <v>92.6</v>
      </c>
      <c r="E177">
        <v>255</v>
      </c>
      <c r="F177">
        <v>170</v>
      </c>
      <c r="G177">
        <v>297.5</v>
      </c>
      <c r="H177">
        <v>722.5</v>
      </c>
      <c r="I177">
        <v>2013</v>
      </c>
      <c r="J177" t="s">
        <v>29</v>
      </c>
      <c r="K177" t="s">
        <v>30</v>
      </c>
    </row>
    <row r="178" spans="1:11">
      <c r="A178" t="s">
        <v>139</v>
      </c>
      <c r="B178">
        <v>1987</v>
      </c>
      <c r="C178" t="s">
        <v>137</v>
      </c>
      <c r="D178">
        <v>89.05</v>
      </c>
      <c r="E178">
        <v>250</v>
      </c>
      <c r="F178">
        <v>170</v>
      </c>
      <c r="G178">
        <v>302.5</v>
      </c>
      <c r="H178">
        <v>722.5</v>
      </c>
      <c r="I178">
        <v>2012</v>
      </c>
      <c r="J178" t="s">
        <v>29</v>
      </c>
      <c r="K178" t="s">
        <v>30</v>
      </c>
    </row>
    <row r="179" spans="1:11">
      <c r="A179" t="s">
        <v>709</v>
      </c>
      <c r="B179">
        <v>1983</v>
      </c>
      <c r="C179" t="s">
        <v>109</v>
      </c>
      <c r="D179">
        <v>117</v>
      </c>
      <c r="E179">
        <v>247.5</v>
      </c>
      <c r="F179">
        <v>175</v>
      </c>
      <c r="G179">
        <v>300</v>
      </c>
      <c r="H179">
        <v>722.5</v>
      </c>
      <c r="I179">
        <v>2014</v>
      </c>
      <c r="J179" t="s">
        <v>29</v>
      </c>
      <c r="K179" t="s">
        <v>30</v>
      </c>
    </row>
    <row r="180" spans="1:11">
      <c r="A180" t="s">
        <v>370</v>
      </c>
      <c r="B180">
        <v>1974</v>
      </c>
      <c r="C180" t="s">
        <v>54</v>
      </c>
      <c r="D180">
        <v>104.95</v>
      </c>
      <c r="E180">
        <v>245</v>
      </c>
      <c r="F180">
        <v>190</v>
      </c>
      <c r="G180">
        <v>287.5</v>
      </c>
      <c r="H180">
        <v>722.5</v>
      </c>
      <c r="I180">
        <v>2013</v>
      </c>
      <c r="J180" t="s">
        <v>29</v>
      </c>
      <c r="K180" t="s">
        <v>30</v>
      </c>
    </row>
    <row r="181" spans="1:11">
      <c r="A181" t="s">
        <v>792</v>
      </c>
      <c r="B181">
        <v>1987</v>
      </c>
      <c r="C181" t="s">
        <v>228</v>
      </c>
      <c r="D181">
        <v>91.25</v>
      </c>
      <c r="E181">
        <v>242.5</v>
      </c>
      <c r="F181">
        <v>195</v>
      </c>
      <c r="G181">
        <v>285</v>
      </c>
      <c r="H181">
        <v>722.5</v>
      </c>
      <c r="I181">
        <v>2014</v>
      </c>
      <c r="J181" t="s">
        <v>29</v>
      </c>
      <c r="K181" t="s">
        <v>30</v>
      </c>
    </row>
    <row r="182" spans="1:11">
      <c r="A182" t="s">
        <v>120</v>
      </c>
      <c r="B182">
        <v>1959</v>
      </c>
      <c r="C182" t="s">
        <v>51</v>
      </c>
      <c r="D182">
        <v>103.35</v>
      </c>
      <c r="E182">
        <v>270</v>
      </c>
      <c r="F182">
        <v>170</v>
      </c>
      <c r="G182">
        <v>280</v>
      </c>
      <c r="H182">
        <v>720</v>
      </c>
      <c r="I182">
        <v>2012</v>
      </c>
      <c r="J182" t="s">
        <v>29</v>
      </c>
      <c r="K182" t="s">
        <v>30</v>
      </c>
    </row>
    <row r="183" spans="1:11">
      <c r="A183" t="s">
        <v>159</v>
      </c>
      <c r="B183">
        <v>1974</v>
      </c>
      <c r="C183" t="s">
        <v>39</v>
      </c>
      <c r="D183">
        <v>80</v>
      </c>
      <c r="E183">
        <v>252.5</v>
      </c>
      <c r="F183">
        <v>172.5</v>
      </c>
      <c r="G183">
        <v>295</v>
      </c>
      <c r="H183">
        <v>720</v>
      </c>
      <c r="I183">
        <v>2012</v>
      </c>
      <c r="J183" t="s">
        <v>29</v>
      </c>
      <c r="K183" t="s">
        <v>30</v>
      </c>
    </row>
    <row r="184" spans="1:11">
      <c r="A184" t="s">
        <v>52</v>
      </c>
      <c r="B184">
        <v>1983</v>
      </c>
      <c r="C184" t="s">
        <v>35</v>
      </c>
      <c r="D184">
        <v>93</v>
      </c>
      <c r="E184">
        <v>255</v>
      </c>
      <c r="F184">
        <v>172.5</v>
      </c>
      <c r="G184">
        <v>290</v>
      </c>
      <c r="H184">
        <v>717.5</v>
      </c>
      <c r="I184">
        <v>2012</v>
      </c>
      <c r="J184" t="s">
        <v>29</v>
      </c>
      <c r="K184" t="s">
        <v>30</v>
      </c>
    </row>
    <row r="185" spans="1:11">
      <c r="A185" t="s">
        <v>126</v>
      </c>
      <c r="B185">
        <v>1987</v>
      </c>
      <c r="C185" t="s">
        <v>80</v>
      </c>
      <c r="D185">
        <v>91.33</v>
      </c>
      <c r="E185">
        <v>257.5</v>
      </c>
      <c r="F185">
        <v>175</v>
      </c>
      <c r="G185">
        <v>285</v>
      </c>
      <c r="H185">
        <v>717.5</v>
      </c>
      <c r="I185">
        <v>2015</v>
      </c>
      <c r="J185" t="s">
        <v>29</v>
      </c>
      <c r="K185" t="s">
        <v>30</v>
      </c>
    </row>
    <row r="186" spans="1:11">
      <c r="A186" t="s">
        <v>709</v>
      </c>
      <c r="B186">
        <v>1983</v>
      </c>
      <c r="C186" t="s">
        <v>109</v>
      </c>
      <c r="D186">
        <v>117.85</v>
      </c>
      <c r="E186">
        <v>242.5</v>
      </c>
      <c r="F186">
        <v>175</v>
      </c>
      <c r="G186">
        <v>300</v>
      </c>
      <c r="H186">
        <v>717.5</v>
      </c>
      <c r="I186">
        <v>2013</v>
      </c>
      <c r="J186" t="s">
        <v>29</v>
      </c>
      <c r="K186" t="s">
        <v>30</v>
      </c>
    </row>
    <row r="187" spans="1:11">
      <c r="A187" t="s">
        <v>548</v>
      </c>
      <c r="B187">
        <v>1981</v>
      </c>
      <c r="C187" t="s">
        <v>56</v>
      </c>
      <c r="D187">
        <v>104.65</v>
      </c>
      <c r="E187">
        <v>267.5</v>
      </c>
      <c r="F187">
        <v>142.5</v>
      </c>
      <c r="G187">
        <v>305</v>
      </c>
      <c r="H187">
        <v>715</v>
      </c>
      <c r="I187">
        <v>2014</v>
      </c>
      <c r="J187" t="s">
        <v>29</v>
      </c>
      <c r="K187" t="s">
        <v>30</v>
      </c>
    </row>
    <row r="188" spans="1:11">
      <c r="A188" t="s">
        <v>105</v>
      </c>
      <c r="B188">
        <v>1982</v>
      </c>
      <c r="C188" t="s">
        <v>28</v>
      </c>
      <c r="D188">
        <v>81.150000000000006</v>
      </c>
      <c r="E188">
        <v>252.5</v>
      </c>
      <c r="F188">
        <v>175</v>
      </c>
      <c r="G188">
        <v>287.5</v>
      </c>
      <c r="H188">
        <v>715</v>
      </c>
      <c r="I188">
        <v>2012</v>
      </c>
      <c r="J188" t="s">
        <v>29</v>
      </c>
      <c r="K188" t="s">
        <v>30</v>
      </c>
    </row>
    <row r="189" spans="1:11">
      <c r="A189" t="s">
        <v>718</v>
      </c>
      <c r="B189">
        <v>1988</v>
      </c>
      <c r="C189" t="s">
        <v>51</v>
      </c>
      <c r="D189">
        <v>103.7</v>
      </c>
      <c r="E189">
        <v>245</v>
      </c>
      <c r="F189">
        <v>170</v>
      </c>
      <c r="G189">
        <v>300</v>
      </c>
      <c r="H189">
        <v>715</v>
      </c>
      <c r="I189">
        <v>2013</v>
      </c>
      <c r="J189" t="s">
        <v>29</v>
      </c>
      <c r="K189" t="s">
        <v>30</v>
      </c>
    </row>
    <row r="190" spans="1:11">
      <c r="A190" t="s">
        <v>705</v>
      </c>
      <c r="B190">
        <v>1988</v>
      </c>
      <c r="C190" t="s">
        <v>163</v>
      </c>
      <c r="D190">
        <v>90.95</v>
      </c>
      <c r="E190">
        <v>272.5</v>
      </c>
      <c r="F190">
        <v>160</v>
      </c>
      <c r="G190">
        <v>280</v>
      </c>
      <c r="H190">
        <v>712.5</v>
      </c>
      <c r="I190">
        <v>2014</v>
      </c>
      <c r="J190" t="s">
        <v>29</v>
      </c>
      <c r="K190" t="s">
        <v>30</v>
      </c>
    </row>
    <row r="191" spans="1:11">
      <c r="A191" t="s">
        <v>533</v>
      </c>
      <c r="B191">
        <v>1976</v>
      </c>
      <c r="C191" t="s">
        <v>83</v>
      </c>
      <c r="D191">
        <v>73.569999999999993</v>
      </c>
      <c r="E191">
        <v>247.5</v>
      </c>
      <c r="F191">
        <v>167.5</v>
      </c>
      <c r="G191">
        <v>297.5</v>
      </c>
      <c r="H191">
        <v>712.5</v>
      </c>
      <c r="I191">
        <v>2015</v>
      </c>
      <c r="J191" t="s">
        <v>29</v>
      </c>
      <c r="K191" t="s">
        <v>30</v>
      </c>
    </row>
    <row r="192" spans="1:11">
      <c r="A192" t="s">
        <v>658</v>
      </c>
      <c r="B192">
        <v>1981</v>
      </c>
      <c r="C192" t="s">
        <v>56</v>
      </c>
      <c r="D192">
        <v>118.94</v>
      </c>
      <c r="E192">
        <v>270</v>
      </c>
      <c r="F192">
        <v>165</v>
      </c>
      <c r="G192">
        <v>275</v>
      </c>
      <c r="H192">
        <v>710</v>
      </c>
      <c r="I192">
        <v>2015</v>
      </c>
      <c r="J192" t="s">
        <v>29</v>
      </c>
      <c r="K192" t="s">
        <v>30</v>
      </c>
    </row>
    <row r="193" spans="1:11">
      <c r="A193" t="s">
        <v>89</v>
      </c>
      <c r="B193">
        <v>1966</v>
      </c>
      <c r="C193" t="s">
        <v>56</v>
      </c>
      <c r="D193">
        <v>103.75</v>
      </c>
      <c r="E193">
        <v>255</v>
      </c>
      <c r="F193">
        <v>185</v>
      </c>
      <c r="G193">
        <v>270</v>
      </c>
      <c r="H193">
        <v>710</v>
      </c>
      <c r="I193">
        <v>2012</v>
      </c>
      <c r="J193" t="s">
        <v>29</v>
      </c>
      <c r="K193" t="s">
        <v>30</v>
      </c>
    </row>
    <row r="194" spans="1:11">
      <c r="A194" t="s">
        <v>803</v>
      </c>
      <c r="B194">
        <v>1989</v>
      </c>
      <c r="C194" t="s">
        <v>119</v>
      </c>
      <c r="D194">
        <v>82.05</v>
      </c>
      <c r="E194">
        <v>255</v>
      </c>
      <c r="F194">
        <v>185</v>
      </c>
      <c r="G194">
        <v>270</v>
      </c>
      <c r="H194">
        <v>710</v>
      </c>
      <c r="I194">
        <v>2013</v>
      </c>
      <c r="J194" t="s">
        <v>29</v>
      </c>
      <c r="K194" t="s">
        <v>30</v>
      </c>
    </row>
    <row r="195" spans="1:11">
      <c r="A195" t="s">
        <v>126</v>
      </c>
      <c r="B195">
        <v>1987</v>
      </c>
      <c r="C195" t="s">
        <v>80</v>
      </c>
      <c r="D195">
        <v>92.45</v>
      </c>
      <c r="E195">
        <v>235</v>
      </c>
      <c r="F195">
        <v>180</v>
      </c>
      <c r="G195">
        <v>295</v>
      </c>
      <c r="H195">
        <v>710</v>
      </c>
      <c r="I195">
        <v>2013</v>
      </c>
      <c r="J195" t="s">
        <v>29</v>
      </c>
      <c r="K195" t="s">
        <v>30</v>
      </c>
    </row>
    <row r="196" spans="1:11">
      <c r="A196" t="s">
        <v>754</v>
      </c>
      <c r="B196">
        <v>1984</v>
      </c>
      <c r="C196" t="s">
        <v>109</v>
      </c>
      <c r="D196">
        <v>104.25</v>
      </c>
      <c r="E196">
        <v>245</v>
      </c>
      <c r="F196">
        <v>200</v>
      </c>
      <c r="G196">
        <v>265</v>
      </c>
      <c r="H196">
        <v>710</v>
      </c>
      <c r="I196">
        <v>2014</v>
      </c>
      <c r="J196" t="s">
        <v>29</v>
      </c>
      <c r="K196" t="s">
        <v>30</v>
      </c>
    </row>
    <row r="197" spans="1:11">
      <c r="A197" t="s">
        <v>399</v>
      </c>
      <c r="B197">
        <v>1987</v>
      </c>
      <c r="C197" t="s">
        <v>42</v>
      </c>
      <c r="D197">
        <v>136.19999999999999</v>
      </c>
      <c r="E197">
        <v>240</v>
      </c>
      <c r="F197">
        <v>240</v>
      </c>
      <c r="G197">
        <v>230</v>
      </c>
      <c r="H197">
        <v>710</v>
      </c>
      <c r="I197">
        <v>2014</v>
      </c>
      <c r="J197" t="s">
        <v>29</v>
      </c>
      <c r="K197" t="s">
        <v>30</v>
      </c>
    </row>
    <row r="198" spans="1:11">
      <c r="A198" t="s">
        <v>96</v>
      </c>
      <c r="B198">
        <v>1988</v>
      </c>
      <c r="C198" t="s">
        <v>72</v>
      </c>
      <c r="D198">
        <v>91.3</v>
      </c>
      <c r="E198">
        <v>265</v>
      </c>
      <c r="F198">
        <v>162.5</v>
      </c>
      <c r="G198">
        <v>280</v>
      </c>
      <c r="H198">
        <v>707.5</v>
      </c>
      <c r="I198">
        <v>2012</v>
      </c>
      <c r="J198" t="s">
        <v>29</v>
      </c>
      <c r="K198" t="s">
        <v>30</v>
      </c>
    </row>
    <row r="199" spans="1:11">
      <c r="A199" t="s">
        <v>159</v>
      </c>
      <c r="B199">
        <v>1974</v>
      </c>
      <c r="C199" t="s">
        <v>39</v>
      </c>
      <c r="D199">
        <v>81.2</v>
      </c>
      <c r="E199">
        <v>255</v>
      </c>
      <c r="F199">
        <v>165</v>
      </c>
      <c r="G199">
        <v>287.5</v>
      </c>
      <c r="H199">
        <v>707.5</v>
      </c>
      <c r="I199">
        <v>2013</v>
      </c>
      <c r="J199" t="s">
        <v>29</v>
      </c>
      <c r="K199" t="s">
        <v>30</v>
      </c>
    </row>
    <row r="200" spans="1:11">
      <c r="A200" t="s">
        <v>157</v>
      </c>
      <c r="B200">
        <v>1978</v>
      </c>
      <c r="C200" t="s">
        <v>62</v>
      </c>
      <c r="D200">
        <v>82.9</v>
      </c>
      <c r="E200">
        <v>235</v>
      </c>
      <c r="F200">
        <v>162.5</v>
      </c>
      <c r="G200">
        <v>310</v>
      </c>
      <c r="H200">
        <v>707.5</v>
      </c>
      <c r="I200">
        <v>2012</v>
      </c>
      <c r="J200" t="s">
        <v>29</v>
      </c>
      <c r="K200" t="s">
        <v>30</v>
      </c>
    </row>
    <row r="201" spans="1:11">
      <c r="A201" t="s">
        <v>764</v>
      </c>
      <c r="B201">
        <v>1988</v>
      </c>
      <c r="C201" t="s">
        <v>51</v>
      </c>
      <c r="D201">
        <v>91.39</v>
      </c>
      <c r="E201">
        <v>250</v>
      </c>
      <c r="F201">
        <v>160</v>
      </c>
      <c r="G201">
        <v>295</v>
      </c>
      <c r="H201">
        <v>705</v>
      </c>
      <c r="I201">
        <v>2015</v>
      </c>
      <c r="J201" t="s">
        <v>29</v>
      </c>
      <c r="K201" t="s">
        <v>30</v>
      </c>
    </row>
    <row r="202" spans="1:11">
      <c r="A202" t="s">
        <v>441</v>
      </c>
      <c r="B202">
        <v>1991</v>
      </c>
      <c r="C202" t="s">
        <v>113</v>
      </c>
      <c r="D202">
        <v>130.12</v>
      </c>
      <c r="E202">
        <v>260</v>
      </c>
      <c r="F202">
        <v>170</v>
      </c>
      <c r="G202">
        <v>275</v>
      </c>
      <c r="H202">
        <v>705</v>
      </c>
      <c r="I202">
        <v>2015</v>
      </c>
      <c r="J202" t="s">
        <v>29</v>
      </c>
      <c r="K202" t="s">
        <v>30</v>
      </c>
    </row>
    <row r="203" spans="1:11">
      <c r="A203" t="s">
        <v>143</v>
      </c>
      <c r="B203">
        <v>1987</v>
      </c>
      <c r="C203" t="s">
        <v>80</v>
      </c>
      <c r="D203">
        <v>82.72</v>
      </c>
      <c r="E203">
        <v>250</v>
      </c>
      <c r="F203">
        <v>165</v>
      </c>
      <c r="G203">
        <v>290</v>
      </c>
      <c r="H203">
        <v>705</v>
      </c>
      <c r="I203">
        <v>2015</v>
      </c>
      <c r="J203" t="s">
        <v>29</v>
      </c>
      <c r="K203" t="s">
        <v>30</v>
      </c>
    </row>
    <row r="204" spans="1:11">
      <c r="A204" t="s">
        <v>827</v>
      </c>
      <c r="B204">
        <v>1989</v>
      </c>
      <c r="C204" t="s">
        <v>113</v>
      </c>
      <c r="D204">
        <v>81.45</v>
      </c>
      <c r="E204">
        <v>247.5</v>
      </c>
      <c r="F204">
        <v>165</v>
      </c>
      <c r="G204">
        <v>290</v>
      </c>
      <c r="H204">
        <v>702.5</v>
      </c>
      <c r="I204">
        <v>2015</v>
      </c>
      <c r="J204" t="s">
        <v>29</v>
      </c>
      <c r="K204" t="s">
        <v>30</v>
      </c>
    </row>
    <row r="205" spans="1:11">
      <c r="A205" t="s">
        <v>151</v>
      </c>
      <c r="B205">
        <v>1973</v>
      </c>
      <c r="C205" t="s">
        <v>54</v>
      </c>
      <c r="D205">
        <v>118.2</v>
      </c>
      <c r="E205">
        <v>275</v>
      </c>
      <c r="F205">
        <v>160</v>
      </c>
      <c r="G205">
        <v>265</v>
      </c>
      <c r="H205">
        <v>700</v>
      </c>
      <c r="I205">
        <v>2012</v>
      </c>
      <c r="J205" t="s">
        <v>29</v>
      </c>
      <c r="K205" t="s">
        <v>30</v>
      </c>
    </row>
    <row r="206" spans="1:11">
      <c r="A206" t="s">
        <v>498</v>
      </c>
      <c r="B206">
        <v>1987</v>
      </c>
      <c r="C206" t="s">
        <v>62</v>
      </c>
      <c r="D206">
        <v>82.55</v>
      </c>
      <c r="E206">
        <v>257.5</v>
      </c>
      <c r="F206">
        <v>152.5</v>
      </c>
      <c r="G206">
        <v>290</v>
      </c>
      <c r="H206">
        <v>700</v>
      </c>
      <c r="I206">
        <v>2014</v>
      </c>
      <c r="J206" t="s">
        <v>29</v>
      </c>
      <c r="K206" t="s">
        <v>30</v>
      </c>
    </row>
    <row r="207" spans="1:11">
      <c r="A207" t="s">
        <v>705</v>
      </c>
      <c r="B207">
        <v>1988</v>
      </c>
      <c r="C207" t="s">
        <v>163</v>
      </c>
      <c r="D207">
        <v>91.4</v>
      </c>
      <c r="E207">
        <v>260</v>
      </c>
      <c r="F207">
        <v>155</v>
      </c>
      <c r="G207">
        <v>285</v>
      </c>
      <c r="H207">
        <v>700</v>
      </c>
      <c r="I207">
        <v>2013</v>
      </c>
      <c r="J207" t="s">
        <v>29</v>
      </c>
      <c r="K207" t="s">
        <v>30</v>
      </c>
    </row>
    <row r="208" spans="1:11">
      <c r="A208" t="s">
        <v>68</v>
      </c>
      <c r="B208">
        <v>1977</v>
      </c>
      <c r="C208" t="s">
        <v>56</v>
      </c>
      <c r="D208">
        <v>91.95</v>
      </c>
      <c r="E208">
        <v>250</v>
      </c>
      <c r="F208">
        <v>180</v>
      </c>
      <c r="G208">
        <v>270</v>
      </c>
      <c r="H208">
        <v>700</v>
      </c>
      <c r="I208">
        <v>2012</v>
      </c>
      <c r="J208" t="s">
        <v>29</v>
      </c>
      <c r="K208" t="s">
        <v>30</v>
      </c>
    </row>
    <row r="209" spans="1:11">
      <c r="A209" t="s">
        <v>400</v>
      </c>
      <c r="B209">
        <v>1986</v>
      </c>
      <c r="C209" t="s">
        <v>113</v>
      </c>
      <c r="D209">
        <v>103.2</v>
      </c>
      <c r="E209">
        <v>252.5</v>
      </c>
      <c r="F209">
        <v>197.5</v>
      </c>
      <c r="G209">
        <v>250</v>
      </c>
      <c r="H209">
        <v>700</v>
      </c>
      <c r="I209">
        <v>2013</v>
      </c>
      <c r="J209" t="s">
        <v>29</v>
      </c>
      <c r="K209" t="s">
        <v>30</v>
      </c>
    </row>
    <row r="210" spans="1:11">
      <c r="A210" t="s">
        <v>55</v>
      </c>
      <c r="B210">
        <v>1986</v>
      </c>
      <c r="C210" t="s">
        <v>56</v>
      </c>
      <c r="D210">
        <v>82.63</v>
      </c>
      <c r="E210">
        <v>252.5</v>
      </c>
      <c r="F210">
        <v>147.5</v>
      </c>
      <c r="G210">
        <v>297.5</v>
      </c>
      <c r="H210">
        <v>697.5</v>
      </c>
      <c r="I210">
        <v>2015</v>
      </c>
      <c r="J210" t="s">
        <v>29</v>
      </c>
      <c r="K210" t="s">
        <v>30</v>
      </c>
    </row>
    <row r="211" spans="1:11">
      <c r="A211" t="s">
        <v>698</v>
      </c>
      <c r="B211">
        <v>1979</v>
      </c>
      <c r="C211" t="s">
        <v>80</v>
      </c>
      <c r="D211">
        <v>82.35</v>
      </c>
      <c r="E211">
        <v>242.5</v>
      </c>
      <c r="F211">
        <v>165</v>
      </c>
      <c r="G211">
        <v>290</v>
      </c>
      <c r="H211">
        <v>697.5</v>
      </c>
      <c r="I211">
        <v>2014</v>
      </c>
      <c r="J211" t="s">
        <v>29</v>
      </c>
      <c r="K211" t="s">
        <v>30</v>
      </c>
    </row>
    <row r="212" spans="1:11">
      <c r="A212" t="s">
        <v>739</v>
      </c>
      <c r="B212">
        <v>1987</v>
      </c>
      <c r="C212" t="s">
        <v>142</v>
      </c>
      <c r="D212">
        <v>92.39</v>
      </c>
      <c r="E212">
        <v>247.5</v>
      </c>
      <c r="F212">
        <v>175</v>
      </c>
      <c r="G212">
        <v>275</v>
      </c>
      <c r="H212">
        <v>697.5</v>
      </c>
      <c r="I212">
        <v>2015</v>
      </c>
      <c r="J212" t="s">
        <v>29</v>
      </c>
      <c r="K212" t="s">
        <v>30</v>
      </c>
    </row>
    <row r="213" spans="1:11">
      <c r="A213" t="s">
        <v>112</v>
      </c>
      <c r="B213">
        <v>1990</v>
      </c>
      <c r="C213" t="s">
        <v>113</v>
      </c>
      <c r="D213">
        <v>81.400000000000006</v>
      </c>
      <c r="E213">
        <v>242.5</v>
      </c>
      <c r="F213">
        <v>193.5</v>
      </c>
      <c r="G213">
        <v>260</v>
      </c>
      <c r="H213">
        <v>696</v>
      </c>
      <c r="I213">
        <v>2014</v>
      </c>
      <c r="J213" t="s">
        <v>29</v>
      </c>
      <c r="K213" t="s">
        <v>30</v>
      </c>
    </row>
    <row r="214" spans="1:11">
      <c r="A214" t="s">
        <v>460</v>
      </c>
      <c r="B214">
        <v>1975</v>
      </c>
      <c r="C214" t="s">
        <v>137</v>
      </c>
      <c r="D214">
        <v>73.040000000000006</v>
      </c>
      <c r="E214">
        <v>240</v>
      </c>
      <c r="F214">
        <v>150</v>
      </c>
      <c r="G214">
        <v>305</v>
      </c>
      <c r="H214">
        <v>695</v>
      </c>
      <c r="I214">
        <v>2015</v>
      </c>
      <c r="J214" t="s">
        <v>29</v>
      </c>
      <c r="K214" t="s">
        <v>30</v>
      </c>
    </row>
    <row r="215" spans="1:11">
      <c r="A215" t="s">
        <v>615</v>
      </c>
      <c r="B215">
        <v>1986</v>
      </c>
      <c r="C215" t="s">
        <v>125</v>
      </c>
      <c r="D215">
        <v>104.25</v>
      </c>
      <c r="E215">
        <v>235</v>
      </c>
      <c r="F215">
        <v>165</v>
      </c>
      <c r="G215">
        <v>295</v>
      </c>
      <c r="H215">
        <v>695</v>
      </c>
      <c r="I215">
        <v>2014</v>
      </c>
      <c r="J215" t="s">
        <v>29</v>
      </c>
      <c r="K215" t="s">
        <v>30</v>
      </c>
    </row>
    <row r="216" spans="1:11">
      <c r="A216" t="s">
        <v>132</v>
      </c>
      <c r="B216">
        <v>1986</v>
      </c>
      <c r="C216" t="s">
        <v>62</v>
      </c>
      <c r="D216">
        <v>91.65</v>
      </c>
      <c r="E216">
        <v>230</v>
      </c>
      <c r="F216">
        <v>172.5</v>
      </c>
      <c r="G216">
        <v>292.5</v>
      </c>
      <c r="H216">
        <v>695</v>
      </c>
      <c r="I216">
        <v>2012</v>
      </c>
      <c r="J216" t="s">
        <v>29</v>
      </c>
      <c r="K216" t="s">
        <v>30</v>
      </c>
    </row>
    <row r="217" spans="1:11">
      <c r="A217" t="s">
        <v>524</v>
      </c>
      <c r="B217">
        <v>1973</v>
      </c>
      <c r="C217" t="s">
        <v>318</v>
      </c>
      <c r="D217">
        <v>114.2</v>
      </c>
      <c r="E217">
        <v>250</v>
      </c>
      <c r="F217">
        <v>195</v>
      </c>
      <c r="G217">
        <v>250</v>
      </c>
      <c r="H217">
        <v>695</v>
      </c>
      <c r="I217">
        <v>2013</v>
      </c>
      <c r="J217" t="s">
        <v>29</v>
      </c>
      <c r="K217" t="s">
        <v>30</v>
      </c>
    </row>
    <row r="218" spans="1:11">
      <c r="A218" t="s">
        <v>703</v>
      </c>
      <c r="B218">
        <v>1991</v>
      </c>
      <c r="C218" t="s">
        <v>137</v>
      </c>
      <c r="D218">
        <v>73.27</v>
      </c>
      <c r="E218">
        <v>232.5</v>
      </c>
      <c r="F218">
        <v>210.5</v>
      </c>
      <c r="G218">
        <v>250</v>
      </c>
      <c r="H218">
        <v>693</v>
      </c>
      <c r="I218">
        <v>2015</v>
      </c>
      <c r="J218" t="s">
        <v>29</v>
      </c>
      <c r="K218" t="s">
        <v>30</v>
      </c>
    </row>
    <row r="219" spans="1:11">
      <c r="A219" t="s">
        <v>136</v>
      </c>
      <c r="B219">
        <v>1987</v>
      </c>
      <c r="C219" t="s">
        <v>137</v>
      </c>
      <c r="D219">
        <v>82.2</v>
      </c>
      <c r="E219">
        <v>255</v>
      </c>
      <c r="F219">
        <v>162.5</v>
      </c>
      <c r="G219">
        <v>275</v>
      </c>
      <c r="H219">
        <v>692.5</v>
      </c>
      <c r="I219">
        <v>2013</v>
      </c>
      <c r="J219" t="s">
        <v>29</v>
      </c>
      <c r="K219" t="s">
        <v>30</v>
      </c>
    </row>
    <row r="220" spans="1:11">
      <c r="A220" t="s">
        <v>79</v>
      </c>
      <c r="B220">
        <v>1982</v>
      </c>
      <c r="C220" t="s">
        <v>80</v>
      </c>
      <c r="D220">
        <v>92.4</v>
      </c>
      <c r="E220">
        <v>240</v>
      </c>
      <c r="F220">
        <v>182.5</v>
      </c>
      <c r="G220">
        <v>270</v>
      </c>
      <c r="H220">
        <v>692.5</v>
      </c>
      <c r="I220">
        <v>2012</v>
      </c>
      <c r="J220" t="s">
        <v>29</v>
      </c>
      <c r="K220" t="s">
        <v>30</v>
      </c>
    </row>
    <row r="221" spans="1:11">
      <c r="A221" t="s">
        <v>146</v>
      </c>
      <c r="B221">
        <v>1988</v>
      </c>
      <c r="C221" t="s">
        <v>32</v>
      </c>
      <c r="D221">
        <v>116.65</v>
      </c>
      <c r="E221">
        <v>265</v>
      </c>
      <c r="F221">
        <v>162.5</v>
      </c>
      <c r="G221">
        <v>262.5</v>
      </c>
      <c r="H221">
        <v>690</v>
      </c>
      <c r="I221">
        <v>2012</v>
      </c>
      <c r="J221" t="s">
        <v>29</v>
      </c>
      <c r="K221" t="s">
        <v>30</v>
      </c>
    </row>
    <row r="222" spans="1:11">
      <c r="A222" t="s">
        <v>136</v>
      </c>
      <c r="B222">
        <v>1987</v>
      </c>
      <c r="C222" t="s">
        <v>137</v>
      </c>
      <c r="D222">
        <v>82.2</v>
      </c>
      <c r="E222">
        <v>255</v>
      </c>
      <c r="F222">
        <v>160</v>
      </c>
      <c r="G222">
        <v>275</v>
      </c>
      <c r="H222">
        <v>690</v>
      </c>
      <c r="I222">
        <v>2012</v>
      </c>
      <c r="J222" t="s">
        <v>29</v>
      </c>
      <c r="K222" t="s">
        <v>30</v>
      </c>
    </row>
    <row r="223" spans="1:11">
      <c r="A223" t="s">
        <v>529</v>
      </c>
      <c r="B223">
        <v>1991</v>
      </c>
      <c r="C223" t="s">
        <v>289</v>
      </c>
      <c r="D223">
        <v>90.58</v>
      </c>
      <c r="E223">
        <v>252.5</v>
      </c>
      <c r="F223">
        <v>162.5</v>
      </c>
      <c r="G223">
        <v>272.5</v>
      </c>
      <c r="H223">
        <v>687.5</v>
      </c>
      <c r="I223">
        <v>2015</v>
      </c>
      <c r="J223" t="s">
        <v>29</v>
      </c>
      <c r="K223" t="s">
        <v>30</v>
      </c>
    </row>
    <row r="224" spans="1:11">
      <c r="A224" t="s">
        <v>533</v>
      </c>
      <c r="B224">
        <v>1976</v>
      </c>
      <c r="C224" t="s">
        <v>83</v>
      </c>
      <c r="D224">
        <v>73.55</v>
      </c>
      <c r="E224">
        <v>235</v>
      </c>
      <c r="F224">
        <v>165</v>
      </c>
      <c r="G224">
        <v>287.5</v>
      </c>
      <c r="H224">
        <v>687.5</v>
      </c>
      <c r="I224">
        <v>2014</v>
      </c>
      <c r="J224" t="s">
        <v>29</v>
      </c>
      <c r="K224" t="s">
        <v>30</v>
      </c>
    </row>
    <row r="225" spans="1:11">
      <c r="A225" t="s">
        <v>663</v>
      </c>
      <c r="B225">
        <v>1979</v>
      </c>
      <c r="C225" t="s">
        <v>56</v>
      </c>
      <c r="D225">
        <v>119.65</v>
      </c>
      <c r="E225">
        <v>235</v>
      </c>
      <c r="F225">
        <v>180</v>
      </c>
      <c r="G225">
        <v>272.5</v>
      </c>
      <c r="H225">
        <v>687.5</v>
      </c>
      <c r="I225">
        <v>2013</v>
      </c>
      <c r="J225" t="s">
        <v>29</v>
      </c>
      <c r="K225" t="s">
        <v>30</v>
      </c>
    </row>
    <row r="226" spans="1:11">
      <c r="A226" t="s">
        <v>533</v>
      </c>
      <c r="B226">
        <v>1976</v>
      </c>
      <c r="C226" t="s">
        <v>83</v>
      </c>
      <c r="D226">
        <v>73.650000000000006</v>
      </c>
      <c r="E226">
        <v>235</v>
      </c>
      <c r="F226">
        <v>160</v>
      </c>
      <c r="G226">
        <v>291</v>
      </c>
      <c r="H226">
        <v>686</v>
      </c>
      <c r="I226">
        <v>2013</v>
      </c>
      <c r="J226" t="s">
        <v>29</v>
      </c>
      <c r="K226" t="s">
        <v>30</v>
      </c>
    </row>
    <row r="227" spans="1:11">
      <c r="A227" t="s">
        <v>640</v>
      </c>
      <c r="B227">
        <v>1983</v>
      </c>
      <c r="C227" t="s">
        <v>85</v>
      </c>
      <c r="D227">
        <v>82.4</v>
      </c>
      <c r="E227">
        <v>217.5</v>
      </c>
      <c r="F227">
        <v>152.5</v>
      </c>
      <c r="G227">
        <v>315.5</v>
      </c>
      <c r="H227">
        <v>685.5</v>
      </c>
      <c r="I227">
        <v>2014</v>
      </c>
      <c r="J227" t="s">
        <v>29</v>
      </c>
      <c r="K227" t="s">
        <v>30</v>
      </c>
    </row>
    <row r="228" spans="1:11">
      <c r="A228" t="s">
        <v>616</v>
      </c>
      <c r="B228">
        <v>1986</v>
      </c>
      <c r="C228" t="s">
        <v>125</v>
      </c>
      <c r="D228">
        <v>104.75</v>
      </c>
      <c r="E228">
        <v>232.5</v>
      </c>
      <c r="F228">
        <v>162.5</v>
      </c>
      <c r="G228">
        <v>290</v>
      </c>
      <c r="H228">
        <v>685</v>
      </c>
      <c r="I228">
        <v>2013</v>
      </c>
      <c r="J228" t="s">
        <v>29</v>
      </c>
      <c r="K228" t="s">
        <v>30</v>
      </c>
    </row>
    <row r="229" spans="1:11">
      <c r="A229" t="s">
        <v>829</v>
      </c>
      <c r="B229">
        <v>1985</v>
      </c>
      <c r="C229" t="s">
        <v>56</v>
      </c>
      <c r="D229">
        <v>82.4</v>
      </c>
      <c r="E229">
        <v>257.5</v>
      </c>
      <c r="F229">
        <v>152.5</v>
      </c>
      <c r="G229">
        <v>270</v>
      </c>
      <c r="H229">
        <v>680</v>
      </c>
      <c r="I229">
        <v>2014</v>
      </c>
      <c r="J229" t="s">
        <v>29</v>
      </c>
      <c r="K229" t="s">
        <v>30</v>
      </c>
    </row>
    <row r="230" spans="1:11">
      <c r="A230" t="s">
        <v>542</v>
      </c>
      <c r="B230">
        <v>1986</v>
      </c>
      <c r="C230" t="s">
        <v>39</v>
      </c>
      <c r="D230">
        <v>72.7</v>
      </c>
      <c r="E230">
        <v>250</v>
      </c>
      <c r="F230">
        <v>167.5</v>
      </c>
      <c r="G230">
        <v>262.5</v>
      </c>
      <c r="H230">
        <v>680</v>
      </c>
      <c r="I230">
        <v>2015</v>
      </c>
      <c r="J230" t="s">
        <v>29</v>
      </c>
      <c r="K230" t="s">
        <v>30</v>
      </c>
    </row>
    <row r="231" spans="1:11">
      <c r="A231" t="s">
        <v>774</v>
      </c>
      <c r="B231">
        <v>1983</v>
      </c>
      <c r="C231" t="s">
        <v>80</v>
      </c>
      <c r="D231">
        <v>153.30000000000001</v>
      </c>
      <c r="E231">
        <v>235</v>
      </c>
      <c r="F231">
        <v>270</v>
      </c>
      <c r="G231">
        <v>175</v>
      </c>
      <c r="H231">
        <v>680</v>
      </c>
      <c r="I231">
        <v>2015</v>
      </c>
      <c r="J231" t="s">
        <v>29</v>
      </c>
      <c r="K231" t="s">
        <v>30</v>
      </c>
    </row>
    <row r="232" spans="1:11">
      <c r="A232" t="s">
        <v>462</v>
      </c>
      <c r="B232">
        <v>1975</v>
      </c>
      <c r="C232" t="s">
        <v>137</v>
      </c>
      <c r="D232">
        <v>72.55</v>
      </c>
      <c r="E232">
        <v>222.5</v>
      </c>
      <c r="F232">
        <v>145</v>
      </c>
      <c r="G232">
        <v>310</v>
      </c>
      <c r="H232">
        <v>677.5</v>
      </c>
      <c r="I232">
        <v>2014</v>
      </c>
      <c r="J232" t="s">
        <v>29</v>
      </c>
      <c r="K232" t="s">
        <v>30</v>
      </c>
    </row>
    <row r="233" spans="1:11">
      <c r="A233" t="s">
        <v>160</v>
      </c>
      <c r="B233">
        <v>1983</v>
      </c>
      <c r="C233" t="s">
        <v>125</v>
      </c>
      <c r="D233">
        <v>82.3</v>
      </c>
      <c r="E233">
        <v>250</v>
      </c>
      <c r="F233">
        <v>177.5</v>
      </c>
      <c r="G233">
        <v>250</v>
      </c>
      <c r="H233">
        <v>677.5</v>
      </c>
      <c r="I233">
        <v>2012</v>
      </c>
      <c r="J233" t="s">
        <v>29</v>
      </c>
      <c r="K233" t="s">
        <v>30</v>
      </c>
    </row>
    <row r="234" spans="1:11">
      <c r="A234" t="s">
        <v>822</v>
      </c>
      <c r="B234">
        <v>1983</v>
      </c>
      <c r="C234" t="s">
        <v>142</v>
      </c>
      <c r="D234">
        <v>90.33</v>
      </c>
      <c r="E234">
        <v>225</v>
      </c>
      <c r="F234">
        <v>167.5</v>
      </c>
      <c r="G234">
        <v>285</v>
      </c>
      <c r="H234">
        <v>677.5</v>
      </c>
      <c r="I234">
        <v>2015</v>
      </c>
      <c r="J234" t="s">
        <v>29</v>
      </c>
      <c r="K234" t="s">
        <v>30</v>
      </c>
    </row>
    <row r="235" spans="1:11">
      <c r="A235" t="s">
        <v>53</v>
      </c>
      <c r="B235">
        <v>1982</v>
      </c>
      <c r="C235" t="s">
        <v>54</v>
      </c>
      <c r="D235">
        <v>92.25</v>
      </c>
      <c r="E235">
        <v>217.5</v>
      </c>
      <c r="F235">
        <v>175</v>
      </c>
      <c r="G235">
        <v>285</v>
      </c>
      <c r="H235">
        <v>677.5</v>
      </c>
      <c r="I235">
        <v>2012</v>
      </c>
      <c r="J235" t="s">
        <v>29</v>
      </c>
      <c r="K235" t="s">
        <v>30</v>
      </c>
    </row>
    <row r="236" spans="1:11">
      <c r="A236" t="s">
        <v>507</v>
      </c>
      <c r="B236">
        <v>1979</v>
      </c>
      <c r="C236" t="s">
        <v>113</v>
      </c>
      <c r="D236">
        <v>73.099999999999994</v>
      </c>
      <c r="E236">
        <v>242.5</v>
      </c>
      <c r="F236">
        <v>142.5</v>
      </c>
      <c r="G236">
        <v>290</v>
      </c>
      <c r="H236">
        <v>675</v>
      </c>
      <c r="I236">
        <v>2014</v>
      </c>
      <c r="J236" t="s">
        <v>29</v>
      </c>
      <c r="K236" t="s">
        <v>30</v>
      </c>
    </row>
    <row r="237" spans="1:11">
      <c r="A237" t="s">
        <v>130</v>
      </c>
      <c r="B237">
        <v>1975</v>
      </c>
      <c r="C237" t="s">
        <v>80</v>
      </c>
      <c r="D237">
        <v>73.760000000000005</v>
      </c>
      <c r="E237">
        <v>230</v>
      </c>
      <c r="F237">
        <v>152.5</v>
      </c>
      <c r="G237">
        <v>292.5</v>
      </c>
      <c r="H237">
        <v>675</v>
      </c>
      <c r="I237">
        <v>2015</v>
      </c>
      <c r="J237" t="s">
        <v>29</v>
      </c>
      <c r="K237" t="s">
        <v>30</v>
      </c>
    </row>
    <row r="238" spans="1:11">
      <c r="A238" t="s">
        <v>535</v>
      </c>
      <c r="B238">
        <v>1981</v>
      </c>
      <c r="C238" t="s">
        <v>74</v>
      </c>
      <c r="D238">
        <v>73.62</v>
      </c>
      <c r="E238">
        <v>225</v>
      </c>
      <c r="F238">
        <v>150</v>
      </c>
      <c r="G238">
        <v>300</v>
      </c>
      <c r="H238">
        <v>675</v>
      </c>
      <c r="I238">
        <v>2015</v>
      </c>
      <c r="J238" t="s">
        <v>29</v>
      </c>
      <c r="K238" t="s">
        <v>30</v>
      </c>
    </row>
    <row r="239" spans="1:11">
      <c r="A239" t="s">
        <v>620</v>
      </c>
      <c r="B239">
        <v>1986</v>
      </c>
      <c r="C239" t="s">
        <v>113</v>
      </c>
      <c r="D239">
        <v>91.11</v>
      </c>
      <c r="E239">
        <v>230</v>
      </c>
      <c r="F239">
        <v>155</v>
      </c>
      <c r="G239">
        <v>290</v>
      </c>
      <c r="H239">
        <v>675</v>
      </c>
      <c r="I239">
        <v>2015</v>
      </c>
      <c r="J239" t="s">
        <v>29</v>
      </c>
      <c r="K239" t="s">
        <v>30</v>
      </c>
    </row>
    <row r="240" spans="1:11">
      <c r="A240" t="s">
        <v>765</v>
      </c>
      <c r="B240">
        <v>1985</v>
      </c>
      <c r="C240" t="s">
        <v>194</v>
      </c>
      <c r="D240">
        <v>72.2</v>
      </c>
      <c r="E240">
        <v>220</v>
      </c>
      <c r="F240">
        <v>150</v>
      </c>
      <c r="G240">
        <v>305</v>
      </c>
      <c r="H240">
        <v>675</v>
      </c>
      <c r="I240">
        <v>2014</v>
      </c>
      <c r="J240" t="s">
        <v>29</v>
      </c>
      <c r="K240" t="s">
        <v>30</v>
      </c>
    </row>
    <row r="241" spans="1:11">
      <c r="A241" t="s">
        <v>36</v>
      </c>
      <c r="B241">
        <v>1967</v>
      </c>
      <c r="C241" t="s">
        <v>35</v>
      </c>
      <c r="D241">
        <v>73.5</v>
      </c>
      <c r="E241">
        <v>235</v>
      </c>
      <c r="F241">
        <v>175</v>
      </c>
      <c r="G241">
        <v>265</v>
      </c>
      <c r="H241">
        <v>675</v>
      </c>
      <c r="I241">
        <v>2014</v>
      </c>
      <c r="J241" t="s">
        <v>29</v>
      </c>
      <c r="K241" t="s">
        <v>30</v>
      </c>
    </row>
    <row r="242" spans="1:11">
      <c r="A242" t="s">
        <v>131</v>
      </c>
      <c r="B242">
        <v>1985</v>
      </c>
      <c r="C242" t="s">
        <v>77</v>
      </c>
      <c r="D242">
        <v>92.3</v>
      </c>
      <c r="E242">
        <v>260</v>
      </c>
      <c r="F242">
        <v>142.5</v>
      </c>
      <c r="G242">
        <v>270</v>
      </c>
      <c r="H242">
        <v>672.5</v>
      </c>
      <c r="I242">
        <v>2012</v>
      </c>
      <c r="J242" t="s">
        <v>29</v>
      </c>
      <c r="K242" t="s">
        <v>30</v>
      </c>
    </row>
    <row r="243" spans="1:11">
      <c r="A243" t="s">
        <v>575</v>
      </c>
      <c r="B243">
        <v>1983</v>
      </c>
      <c r="C243" t="s">
        <v>576</v>
      </c>
      <c r="D243">
        <v>73.22</v>
      </c>
      <c r="E243">
        <v>242.5</v>
      </c>
      <c r="F243">
        <v>135</v>
      </c>
      <c r="G243">
        <v>295</v>
      </c>
      <c r="H243">
        <v>672.5</v>
      </c>
      <c r="I243">
        <v>2015</v>
      </c>
      <c r="J243" t="s">
        <v>29</v>
      </c>
      <c r="K243" t="s">
        <v>30</v>
      </c>
    </row>
    <row r="244" spans="1:11">
      <c r="A244" t="s">
        <v>829</v>
      </c>
      <c r="B244">
        <v>1985</v>
      </c>
      <c r="C244" t="s">
        <v>56</v>
      </c>
      <c r="D244">
        <v>82.2</v>
      </c>
      <c r="E244">
        <v>242.5</v>
      </c>
      <c r="F244">
        <v>145</v>
      </c>
      <c r="G244">
        <v>285</v>
      </c>
      <c r="H244">
        <v>672.5</v>
      </c>
      <c r="I244">
        <v>2013</v>
      </c>
      <c r="J244" t="s">
        <v>29</v>
      </c>
      <c r="K244" t="s">
        <v>30</v>
      </c>
    </row>
    <row r="245" spans="1:11">
      <c r="A245" t="s">
        <v>760</v>
      </c>
      <c r="B245">
        <v>1982</v>
      </c>
      <c r="C245" t="s">
        <v>35</v>
      </c>
      <c r="D245">
        <v>82.95</v>
      </c>
      <c r="E245">
        <v>225</v>
      </c>
      <c r="F245">
        <v>160</v>
      </c>
      <c r="G245">
        <v>287.5</v>
      </c>
      <c r="H245">
        <v>672.5</v>
      </c>
      <c r="I245">
        <v>2015</v>
      </c>
      <c r="J245" t="s">
        <v>29</v>
      </c>
      <c r="K245" t="s">
        <v>30</v>
      </c>
    </row>
    <row r="246" spans="1:11">
      <c r="A246" t="s">
        <v>469</v>
      </c>
      <c r="B246">
        <v>1990</v>
      </c>
      <c r="C246" t="s">
        <v>42</v>
      </c>
      <c r="D246">
        <v>73.84</v>
      </c>
      <c r="E246">
        <v>250</v>
      </c>
      <c r="F246">
        <v>150</v>
      </c>
      <c r="G246">
        <v>270</v>
      </c>
      <c r="H246">
        <v>670</v>
      </c>
      <c r="I246">
        <v>2015</v>
      </c>
      <c r="J246" t="s">
        <v>29</v>
      </c>
      <c r="K246" t="s">
        <v>30</v>
      </c>
    </row>
    <row r="247" spans="1:11">
      <c r="A247" t="s">
        <v>734</v>
      </c>
      <c r="B247">
        <v>1990</v>
      </c>
      <c r="C247" t="s">
        <v>142</v>
      </c>
      <c r="D247">
        <v>81.349999999999994</v>
      </c>
      <c r="E247">
        <v>230</v>
      </c>
      <c r="F247">
        <v>160</v>
      </c>
      <c r="G247">
        <v>280</v>
      </c>
      <c r="H247">
        <v>670</v>
      </c>
      <c r="I247">
        <v>2015</v>
      </c>
      <c r="J247" t="s">
        <v>29</v>
      </c>
      <c r="K247" t="s">
        <v>30</v>
      </c>
    </row>
    <row r="248" spans="1:11">
      <c r="A248" t="s">
        <v>33</v>
      </c>
      <c r="B248">
        <v>1981</v>
      </c>
      <c r="C248" t="s">
        <v>28</v>
      </c>
      <c r="D248">
        <v>73.400000000000006</v>
      </c>
      <c r="E248">
        <v>225</v>
      </c>
      <c r="F248">
        <v>167.5</v>
      </c>
      <c r="G248">
        <v>277.5</v>
      </c>
      <c r="H248">
        <v>670</v>
      </c>
      <c r="I248">
        <v>2012</v>
      </c>
      <c r="J248" t="s">
        <v>29</v>
      </c>
      <c r="K248" t="s">
        <v>30</v>
      </c>
    </row>
    <row r="249" spans="1:11">
      <c r="A249" t="s">
        <v>36</v>
      </c>
      <c r="B249">
        <v>1967</v>
      </c>
      <c r="C249" t="s">
        <v>35</v>
      </c>
      <c r="D249">
        <v>74</v>
      </c>
      <c r="E249">
        <v>230</v>
      </c>
      <c r="F249">
        <v>172.5</v>
      </c>
      <c r="G249">
        <v>267.5</v>
      </c>
      <c r="H249">
        <v>670</v>
      </c>
      <c r="I249">
        <v>2013</v>
      </c>
      <c r="J249" t="s">
        <v>29</v>
      </c>
      <c r="K249" t="s">
        <v>30</v>
      </c>
    </row>
    <row r="250" spans="1:11">
      <c r="A250" t="s">
        <v>535</v>
      </c>
      <c r="B250">
        <v>1981</v>
      </c>
      <c r="C250" t="s">
        <v>74</v>
      </c>
      <c r="D250">
        <v>73.55</v>
      </c>
      <c r="E250">
        <v>220</v>
      </c>
      <c r="F250">
        <v>170</v>
      </c>
      <c r="G250">
        <v>280</v>
      </c>
      <c r="H250">
        <v>670</v>
      </c>
      <c r="I250">
        <v>2013</v>
      </c>
      <c r="J250" t="s">
        <v>29</v>
      </c>
      <c r="K250" t="s">
        <v>30</v>
      </c>
    </row>
    <row r="251" spans="1:11">
      <c r="A251" t="s">
        <v>754</v>
      </c>
      <c r="B251">
        <v>1984</v>
      </c>
      <c r="C251" t="s">
        <v>109</v>
      </c>
      <c r="D251">
        <v>102.55</v>
      </c>
      <c r="E251">
        <v>225</v>
      </c>
      <c r="F251">
        <v>185</v>
      </c>
      <c r="G251">
        <v>260</v>
      </c>
      <c r="H251">
        <v>670</v>
      </c>
      <c r="I251">
        <v>2013</v>
      </c>
      <c r="J251" t="s">
        <v>29</v>
      </c>
      <c r="K251" t="s">
        <v>30</v>
      </c>
    </row>
    <row r="252" spans="1:11">
      <c r="A252" t="s">
        <v>553</v>
      </c>
      <c r="B252">
        <v>1982</v>
      </c>
      <c r="C252" t="s">
        <v>54</v>
      </c>
      <c r="D252">
        <v>91.15</v>
      </c>
      <c r="E252">
        <v>220</v>
      </c>
      <c r="F252">
        <v>170</v>
      </c>
      <c r="G252">
        <v>275</v>
      </c>
      <c r="H252">
        <v>665</v>
      </c>
      <c r="I252">
        <v>2013</v>
      </c>
      <c r="J252" t="s">
        <v>29</v>
      </c>
      <c r="K252" t="s">
        <v>30</v>
      </c>
    </row>
    <row r="253" spans="1:11">
      <c r="A253" t="s">
        <v>78</v>
      </c>
      <c r="B253">
        <v>1989</v>
      </c>
      <c r="C253" t="s">
        <v>45</v>
      </c>
      <c r="D253">
        <v>90.8</v>
      </c>
      <c r="E253">
        <v>220</v>
      </c>
      <c r="F253">
        <v>185</v>
      </c>
      <c r="G253">
        <v>260</v>
      </c>
      <c r="H253">
        <v>665</v>
      </c>
      <c r="I253">
        <v>2012</v>
      </c>
      <c r="J253" t="s">
        <v>29</v>
      </c>
      <c r="K253" t="s">
        <v>30</v>
      </c>
    </row>
    <row r="254" spans="1:11">
      <c r="A254" t="s">
        <v>669</v>
      </c>
      <c r="B254">
        <v>1978</v>
      </c>
      <c r="C254" t="s">
        <v>39</v>
      </c>
      <c r="D254">
        <v>115.7</v>
      </c>
      <c r="E254">
        <v>180</v>
      </c>
      <c r="F254">
        <v>245</v>
      </c>
      <c r="G254">
        <v>240</v>
      </c>
      <c r="H254">
        <v>665</v>
      </c>
      <c r="I254">
        <v>2013</v>
      </c>
      <c r="J254" t="s">
        <v>29</v>
      </c>
      <c r="K254" t="s">
        <v>30</v>
      </c>
    </row>
    <row r="255" spans="1:11">
      <c r="A255" t="s">
        <v>750</v>
      </c>
      <c r="B255">
        <v>1989</v>
      </c>
      <c r="C255" t="s">
        <v>359</v>
      </c>
      <c r="D255">
        <v>78.900000000000006</v>
      </c>
      <c r="E255">
        <v>245</v>
      </c>
      <c r="F255">
        <v>135</v>
      </c>
      <c r="G255">
        <v>282.5</v>
      </c>
      <c r="H255">
        <v>662.5</v>
      </c>
      <c r="I255">
        <v>2013</v>
      </c>
      <c r="J255" t="s">
        <v>29</v>
      </c>
      <c r="K255" t="s">
        <v>30</v>
      </c>
    </row>
    <row r="256" spans="1:11">
      <c r="A256" t="s">
        <v>509</v>
      </c>
      <c r="B256">
        <v>1987</v>
      </c>
      <c r="C256" t="s">
        <v>35</v>
      </c>
      <c r="D256">
        <v>81.88</v>
      </c>
      <c r="E256">
        <v>232.5</v>
      </c>
      <c r="F256">
        <v>145</v>
      </c>
      <c r="G256">
        <v>285</v>
      </c>
      <c r="H256">
        <v>662.5</v>
      </c>
      <c r="I256">
        <v>2015</v>
      </c>
      <c r="J256" t="s">
        <v>29</v>
      </c>
      <c r="K256" t="s">
        <v>30</v>
      </c>
    </row>
    <row r="257" spans="1:11">
      <c r="A257" t="s">
        <v>92</v>
      </c>
      <c r="B257">
        <v>1985</v>
      </c>
      <c r="C257" t="s">
        <v>51</v>
      </c>
      <c r="D257">
        <v>92.75</v>
      </c>
      <c r="E257">
        <v>222.5</v>
      </c>
      <c r="F257">
        <v>180</v>
      </c>
      <c r="G257">
        <v>260</v>
      </c>
      <c r="H257">
        <v>662.5</v>
      </c>
      <c r="I257">
        <v>2012</v>
      </c>
      <c r="J257" t="s">
        <v>29</v>
      </c>
      <c r="K257" t="s">
        <v>30</v>
      </c>
    </row>
    <row r="258" spans="1:11">
      <c r="A258" t="s">
        <v>57</v>
      </c>
      <c r="B258">
        <v>1982</v>
      </c>
      <c r="C258" t="s">
        <v>28</v>
      </c>
      <c r="D258">
        <v>58.2</v>
      </c>
      <c r="E258">
        <v>225.5</v>
      </c>
      <c r="F258">
        <v>165</v>
      </c>
      <c r="G258">
        <v>270.5</v>
      </c>
      <c r="H258">
        <v>661</v>
      </c>
      <c r="I258">
        <v>2014</v>
      </c>
      <c r="J258" t="s">
        <v>29</v>
      </c>
      <c r="K258" t="s">
        <v>30</v>
      </c>
    </row>
    <row r="259" spans="1:11">
      <c r="A259" t="s">
        <v>101</v>
      </c>
      <c r="B259">
        <v>1987</v>
      </c>
      <c r="C259" t="s">
        <v>77</v>
      </c>
      <c r="D259">
        <v>92.45</v>
      </c>
      <c r="E259">
        <v>260</v>
      </c>
      <c r="F259">
        <v>150</v>
      </c>
      <c r="G259">
        <v>250</v>
      </c>
      <c r="H259">
        <v>660</v>
      </c>
      <c r="I259">
        <v>2012</v>
      </c>
      <c r="J259" t="s">
        <v>29</v>
      </c>
      <c r="K259" t="s">
        <v>30</v>
      </c>
    </row>
    <row r="260" spans="1:11">
      <c r="A260" t="s">
        <v>625</v>
      </c>
      <c r="B260">
        <v>1990</v>
      </c>
      <c r="C260" t="s">
        <v>119</v>
      </c>
      <c r="D260">
        <v>73.56</v>
      </c>
      <c r="E260">
        <v>237.5</v>
      </c>
      <c r="F260">
        <v>140</v>
      </c>
      <c r="G260">
        <v>280</v>
      </c>
      <c r="H260">
        <v>657.5</v>
      </c>
      <c r="I260">
        <v>2015</v>
      </c>
      <c r="J260" t="s">
        <v>29</v>
      </c>
      <c r="K260" t="s">
        <v>30</v>
      </c>
    </row>
    <row r="261" spans="1:11">
      <c r="A261" t="s">
        <v>366</v>
      </c>
      <c r="B261">
        <v>1968</v>
      </c>
      <c r="C261" t="s">
        <v>137</v>
      </c>
      <c r="D261">
        <v>73.900000000000006</v>
      </c>
      <c r="E261">
        <v>225</v>
      </c>
      <c r="F261">
        <v>155</v>
      </c>
      <c r="G261">
        <v>277.5</v>
      </c>
      <c r="H261">
        <v>657.5</v>
      </c>
      <c r="I261">
        <v>2014</v>
      </c>
      <c r="J261" t="s">
        <v>29</v>
      </c>
      <c r="K261" t="s">
        <v>30</v>
      </c>
    </row>
    <row r="262" spans="1:11">
      <c r="A262" t="s">
        <v>50</v>
      </c>
      <c r="B262">
        <v>1975</v>
      </c>
      <c r="C262" t="s">
        <v>51</v>
      </c>
      <c r="D262">
        <v>73.150000000000006</v>
      </c>
      <c r="E262">
        <v>210</v>
      </c>
      <c r="F262">
        <v>162.5</v>
      </c>
      <c r="G262">
        <v>285</v>
      </c>
      <c r="H262">
        <v>657.5</v>
      </c>
      <c r="I262">
        <v>2014</v>
      </c>
      <c r="J262" t="s">
        <v>29</v>
      </c>
      <c r="K262" t="s">
        <v>30</v>
      </c>
    </row>
    <row r="263" spans="1:11">
      <c r="A263" t="s">
        <v>57</v>
      </c>
      <c r="B263">
        <v>1982</v>
      </c>
      <c r="C263" t="s">
        <v>28</v>
      </c>
      <c r="D263">
        <v>58.15</v>
      </c>
      <c r="E263">
        <v>226</v>
      </c>
      <c r="F263">
        <v>170</v>
      </c>
      <c r="G263">
        <v>260</v>
      </c>
      <c r="H263">
        <v>656</v>
      </c>
      <c r="I263">
        <v>2015</v>
      </c>
      <c r="J263" t="s">
        <v>29</v>
      </c>
      <c r="K263" t="s">
        <v>30</v>
      </c>
    </row>
    <row r="264" spans="1:11">
      <c r="A264" t="s">
        <v>436</v>
      </c>
      <c r="B264">
        <v>1987</v>
      </c>
      <c r="C264" t="s">
        <v>194</v>
      </c>
      <c r="D264">
        <v>81.45</v>
      </c>
      <c r="E264">
        <v>240</v>
      </c>
      <c r="F264">
        <v>165</v>
      </c>
      <c r="G264">
        <v>250</v>
      </c>
      <c r="H264">
        <v>655</v>
      </c>
      <c r="I264">
        <v>2014</v>
      </c>
      <c r="J264" t="s">
        <v>29</v>
      </c>
      <c r="K264" t="s">
        <v>30</v>
      </c>
    </row>
    <row r="265" spans="1:11">
      <c r="A265" t="s">
        <v>599</v>
      </c>
      <c r="B265">
        <v>1990</v>
      </c>
      <c r="C265" t="s">
        <v>142</v>
      </c>
      <c r="D265">
        <v>79.95</v>
      </c>
      <c r="E265">
        <v>230</v>
      </c>
      <c r="F265">
        <v>165</v>
      </c>
      <c r="G265">
        <v>260</v>
      </c>
      <c r="H265">
        <v>655</v>
      </c>
      <c r="I265">
        <v>2015</v>
      </c>
      <c r="J265" t="s">
        <v>29</v>
      </c>
      <c r="K265" t="s">
        <v>30</v>
      </c>
    </row>
    <row r="266" spans="1:11">
      <c r="A266" t="s">
        <v>148</v>
      </c>
      <c r="B266">
        <v>1978</v>
      </c>
      <c r="C266" t="s">
        <v>80</v>
      </c>
      <c r="D266">
        <v>81.95</v>
      </c>
      <c r="E266">
        <v>210</v>
      </c>
      <c r="F266">
        <v>165</v>
      </c>
      <c r="G266">
        <v>280</v>
      </c>
      <c r="H266">
        <v>655</v>
      </c>
      <c r="I266">
        <v>2012</v>
      </c>
      <c r="J266" t="s">
        <v>29</v>
      </c>
      <c r="K266" t="s">
        <v>30</v>
      </c>
    </row>
    <row r="267" spans="1:11">
      <c r="A267" t="s">
        <v>64</v>
      </c>
      <c r="B267">
        <v>1980</v>
      </c>
      <c r="C267" t="s">
        <v>56</v>
      </c>
      <c r="D267">
        <v>92.35</v>
      </c>
      <c r="E267">
        <v>232.5</v>
      </c>
      <c r="F267">
        <v>145</v>
      </c>
      <c r="G267">
        <v>275</v>
      </c>
      <c r="H267">
        <v>652.5</v>
      </c>
      <c r="I267">
        <v>2012</v>
      </c>
      <c r="J267" t="s">
        <v>29</v>
      </c>
      <c r="K267" t="s">
        <v>30</v>
      </c>
    </row>
    <row r="268" spans="1:11">
      <c r="A268" t="s">
        <v>569</v>
      </c>
      <c r="B268">
        <v>1987</v>
      </c>
      <c r="C268" t="s">
        <v>39</v>
      </c>
      <c r="D268">
        <v>73.88</v>
      </c>
      <c r="E268">
        <v>252.5</v>
      </c>
      <c r="F268">
        <v>160</v>
      </c>
      <c r="G268">
        <v>240</v>
      </c>
      <c r="H268">
        <v>652.5</v>
      </c>
      <c r="I268">
        <v>2015</v>
      </c>
      <c r="J268" t="s">
        <v>29</v>
      </c>
      <c r="K268" t="s">
        <v>30</v>
      </c>
    </row>
    <row r="269" spans="1:11">
      <c r="A269" t="s">
        <v>130</v>
      </c>
      <c r="B269">
        <v>1975</v>
      </c>
      <c r="C269" t="s">
        <v>80</v>
      </c>
      <c r="D269">
        <v>73.650000000000006</v>
      </c>
      <c r="E269">
        <v>225</v>
      </c>
      <c r="F269">
        <v>150</v>
      </c>
      <c r="G269">
        <v>277.5</v>
      </c>
      <c r="H269">
        <v>652.5</v>
      </c>
      <c r="I269">
        <v>2013</v>
      </c>
      <c r="J269" t="s">
        <v>29</v>
      </c>
      <c r="K269" t="s">
        <v>30</v>
      </c>
    </row>
    <row r="270" spans="1:11">
      <c r="A270" t="s">
        <v>57</v>
      </c>
      <c r="B270">
        <v>1982</v>
      </c>
      <c r="C270" t="s">
        <v>28</v>
      </c>
      <c r="D270">
        <v>57.6</v>
      </c>
      <c r="E270">
        <v>221</v>
      </c>
      <c r="F270">
        <v>160</v>
      </c>
      <c r="G270">
        <v>270</v>
      </c>
      <c r="H270">
        <v>651</v>
      </c>
      <c r="I270">
        <v>2012</v>
      </c>
      <c r="J270" t="s">
        <v>29</v>
      </c>
      <c r="K270" t="s">
        <v>30</v>
      </c>
    </row>
    <row r="271" spans="1:11">
      <c r="A271" t="s">
        <v>748</v>
      </c>
      <c r="B271">
        <v>1978</v>
      </c>
      <c r="C271" t="s">
        <v>80</v>
      </c>
      <c r="D271">
        <v>65.56</v>
      </c>
      <c r="E271">
        <v>215</v>
      </c>
      <c r="F271">
        <v>157.5</v>
      </c>
      <c r="G271">
        <v>278</v>
      </c>
      <c r="H271">
        <v>650.5</v>
      </c>
      <c r="I271">
        <v>2015</v>
      </c>
      <c r="J271" t="s">
        <v>29</v>
      </c>
      <c r="K271" t="s">
        <v>30</v>
      </c>
    </row>
    <row r="272" spans="1:11">
      <c r="A272" t="s">
        <v>846</v>
      </c>
      <c r="B272">
        <v>1989</v>
      </c>
      <c r="C272" t="s">
        <v>77</v>
      </c>
      <c r="D272">
        <v>80.48</v>
      </c>
      <c r="E272">
        <v>240</v>
      </c>
      <c r="F272">
        <v>150</v>
      </c>
      <c r="G272">
        <v>260</v>
      </c>
      <c r="H272">
        <v>650</v>
      </c>
      <c r="I272">
        <v>2015</v>
      </c>
      <c r="J272" t="s">
        <v>29</v>
      </c>
      <c r="K272" t="s">
        <v>30</v>
      </c>
    </row>
    <row r="273" spans="1:11">
      <c r="A273" t="s">
        <v>727</v>
      </c>
      <c r="B273">
        <v>1989</v>
      </c>
      <c r="C273" t="s">
        <v>51</v>
      </c>
      <c r="D273">
        <v>82.62</v>
      </c>
      <c r="E273">
        <v>235</v>
      </c>
      <c r="F273">
        <v>152.5</v>
      </c>
      <c r="G273">
        <v>262.5</v>
      </c>
      <c r="H273">
        <v>650</v>
      </c>
      <c r="I273">
        <v>2015</v>
      </c>
      <c r="J273" t="s">
        <v>29</v>
      </c>
      <c r="K273" t="s">
        <v>30</v>
      </c>
    </row>
    <row r="274" spans="1:11">
      <c r="A274" t="s">
        <v>130</v>
      </c>
      <c r="B274">
        <v>1975</v>
      </c>
      <c r="C274" t="s">
        <v>80</v>
      </c>
      <c r="D274">
        <v>73.2</v>
      </c>
      <c r="E274">
        <v>220</v>
      </c>
      <c r="F274">
        <v>150</v>
      </c>
      <c r="G274">
        <v>280</v>
      </c>
      <c r="H274">
        <v>650</v>
      </c>
      <c r="I274">
        <v>2012</v>
      </c>
      <c r="J274" t="s">
        <v>29</v>
      </c>
      <c r="K274" t="s">
        <v>30</v>
      </c>
    </row>
    <row r="275" spans="1:11">
      <c r="A275" t="s">
        <v>73</v>
      </c>
      <c r="B275">
        <v>1982</v>
      </c>
      <c r="C275" t="s">
        <v>74</v>
      </c>
      <c r="D275">
        <v>63.27</v>
      </c>
      <c r="E275">
        <v>222.5</v>
      </c>
      <c r="F275">
        <v>162.5</v>
      </c>
      <c r="G275">
        <v>265</v>
      </c>
      <c r="H275">
        <v>650</v>
      </c>
      <c r="I275">
        <v>2015</v>
      </c>
      <c r="J275" t="s">
        <v>29</v>
      </c>
      <c r="K275" t="s">
        <v>30</v>
      </c>
    </row>
    <row r="276" spans="1:11">
      <c r="A276" t="s">
        <v>112</v>
      </c>
      <c r="B276">
        <v>1990</v>
      </c>
      <c r="C276" t="s">
        <v>113</v>
      </c>
      <c r="D276">
        <v>80.400000000000006</v>
      </c>
      <c r="E276">
        <v>227.5</v>
      </c>
      <c r="F276">
        <v>177.5</v>
      </c>
      <c r="G276">
        <v>245</v>
      </c>
      <c r="H276">
        <v>650</v>
      </c>
      <c r="I276">
        <v>2012</v>
      </c>
      <c r="J276" t="s">
        <v>29</v>
      </c>
      <c r="K276" t="s">
        <v>30</v>
      </c>
    </row>
    <row r="277" spans="1:11">
      <c r="A277" t="s">
        <v>117</v>
      </c>
      <c r="B277">
        <v>1982</v>
      </c>
      <c r="C277" t="s">
        <v>113</v>
      </c>
      <c r="D277">
        <v>92.1</v>
      </c>
      <c r="E277">
        <v>210</v>
      </c>
      <c r="F277">
        <v>187.5</v>
      </c>
      <c r="G277">
        <v>252.5</v>
      </c>
      <c r="H277">
        <v>650</v>
      </c>
      <c r="I277">
        <v>2012</v>
      </c>
      <c r="J277" t="s">
        <v>29</v>
      </c>
      <c r="K277" t="s">
        <v>30</v>
      </c>
    </row>
    <row r="278" spans="1:11">
      <c r="A278" t="s">
        <v>70</v>
      </c>
      <c r="B278">
        <v>1979</v>
      </c>
      <c r="C278" t="s">
        <v>51</v>
      </c>
      <c r="D278">
        <v>82.09</v>
      </c>
      <c r="E278">
        <v>220</v>
      </c>
      <c r="F278">
        <v>147.5</v>
      </c>
      <c r="G278">
        <v>280</v>
      </c>
      <c r="H278">
        <v>647.5</v>
      </c>
      <c r="I278">
        <v>2015</v>
      </c>
      <c r="J278" t="s">
        <v>29</v>
      </c>
      <c r="K278" t="s">
        <v>30</v>
      </c>
    </row>
    <row r="279" spans="1:11">
      <c r="A279" t="s">
        <v>148</v>
      </c>
      <c r="B279">
        <v>1978</v>
      </c>
      <c r="C279" t="s">
        <v>80</v>
      </c>
      <c r="D279">
        <v>73.62</v>
      </c>
      <c r="E279">
        <v>210</v>
      </c>
      <c r="F279">
        <v>157.5</v>
      </c>
      <c r="G279">
        <v>280</v>
      </c>
      <c r="H279">
        <v>647.5</v>
      </c>
      <c r="I279">
        <v>2015</v>
      </c>
      <c r="J279" t="s">
        <v>29</v>
      </c>
      <c r="K279" t="s">
        <v>30</v>
      </c>
    </row>
    <row r="280" spans="1:11">
      <c r="A280" t="s">
        <v>610</v>
      </c>
      <c r="B280">
        <v>1983</v>
      </c>
      <c r="C280" t="s">
        <v>74</v>
      </c>
      <c r="D280">
        <v>72.5</v>
      </c>
      <c r="E280">
        <v>237.5</v>
      </c>
      <c r="F280">
        <v>145</v>
      </c>
      <c r="G280">
        <v>262.5</v>
      </c>
      <c r="H280">
        <v>645</v>
      </c>
      <c r="I280">
        <v>2013</v>
      </c>
      <c r="J280" t="s">
        <v>29</v>
      </c>
      <c r="K280" t="s">
        <v>30</v>
      </c>
    </row>
    <row r="281" spans="1:11">
      <c r="A281" t="s">
        <v>36</v>
      </c>
      <c r="B281">
        <v>1967</v>
      </c>
      <c r="C281" t="s">
        <v>35</v>
      </c>
      <c r="D281">
        <v>73.8</v>
      </c>
      <c r="E281">
        <v>227.5</v>
      </c>
      <c r="F281">
        <v>162.5</v>
      </c>
      <c r="G281">
        <v>255</v>
      </c>
      <c r="H281">
        <v>645</v>
      </c>
      <c r="I281">
        <v>2012</v>
      </c>
      <c r="J281" t="s">
        <v>29</v>
      </c>
      <c r="K281" t="s">
        <v>30</v>
      </c>
    </row>
    <row r="282" spans="1:11">
      <c r="A282" t="s">
        <v>623</v>
      </c>
      <c r="B282">
        <v>1971</v>
      </c>
      <c r="C282" t="s">
        <v>113</v>
      </c>
      <c r="D282">
        <v>101.75</v>
      </c>
      <c r="E282">
        <v>227.5</v>
      </c>
      <c r="F282">
        <v>162.5</v>
      </c>
      <c r="G282">
        <v>255</v>
      </c>
      <c r="H282">
        <v>645</v>
      </c>
      <c r="I282">
        <v>2013</v>
      </c>
      <c r="J282" t="s">
        <v>29</v>
      </c>
      <c r="K282" t="s">
        <v>30</v>
      </c>
    </row>
    <row r="283" spans="1:11">
      <c r="A283" t="s">
        <v>27</v>
      </c>
      <c r="B283">
        <v>1970</v>
      </c>
      <c r="C283" t="s">
        <v>28</v>
      </c>
      <c r="D283">
        <v>65.900000000000006</v>
      </c>
      <c r="E283">
        <v>240</v>
      </c>
      <c r="F283">
        <v>137.5</v>
      </c>
      <c r="G283">
        <v>265</v>
      </c>
      <c r="H283">
        <v>642.5</v>
      </c>
      <c r="I283">
        <v>2014</v>
      </c>
      <c r="J283" t="s">
        <v>29</v>
      </c>
      <c r="K283" t="s">
        <v>30</v>
      </c>
    </row>
    <row r="284" spans="1:11">
      <c r="A284" t="s">
        <v>84</v>
      </c>
      <c r="B284">
        <v>1987</v>
      </c>
      <c r="C284" t="s">
        <v>85</v>
      </c>
      <c r="D284">
        <v>73.599999999999994</v>
      </c>
      <c r="E284">
        <v>237.5</v>
      </c>
      <c r="F284">
        <v>160</v>
      </c>
      <c r="G284">
        <v>245</v>
      </c>
      <c r="H284">
        <v>642.5</v>
      </c>
      <c r="I284">
        <v>2013</v>
      </c>
      <c r="J284" t="s">
        <v>29</v>
      </c>
      <c r="K284" t="s">
        <v>30</v>
      </c>
    </row>
    <row r="285" spans="1:11">
      <c r="A285" t="s">
        <v>828</v>
      </c>
      <c r="B285">
        <v>1990</v>
      </c>
      <c r="C285" t="s">
        <v>51</v>
      </c>
      <c r="D285">
        <v>91.76</v>
      </c>
      <c r="E285">
        <v>215</v>
      </c>
      <c r="F285">
        <v>147.5</v>
      </c>
      <c r="G285">
        <v>280</v>
      </c>
      <c r="H285">
        <v>642.5</v>
      </c>
      <c r="I285">
        <v>2015</v>
      </c>
      <c r="J285" t="s">
        <v>29</v>
      </c>
      <c r="K285" t="s">
        <v>30</v>
      </c>
    </row>
    <row r="286" spans="1:11">
      <c r="A286" t="s">
        <v>569</v>
      </c>
      <c r="B286">
        <v>1987</v>
      </c>
      <c r="C286" t="s">
        <v>39</v>
      </c>
      <c r="D286">
        <v>73.25</v>
      </c>
      <c r="E286">
        <v>245</v>
      </c>
      <c r="F286">
        <v>165</v>
      </c>
      <c r="G286">
        <v>230</v>
      </c>
      <c r="H286">
        <v>640</v>
      </c>
      <c r="I286">
        <v>2013</v>
      </c>
      <c r="J286" t="s">
        <v>29</v>
      </c>
      <c r="K286" t="s">
        <v>30</v>
      </c>
    </row>
    <row r="287" spans="1:11">
      <c r="A287" t="s">
        <v>91</v>
      </c>
      <c r="B287">
        <v>1970</v>
      </c>
      <c r="C287" t="s">
        <v>77</v>
      </c>
      <c r="D287">
        <v>99.75</v>
      </c>
      <c r="E287">
        <v>235</v>
      </c>
      <c r="F287">
        <v>170</v>
      </c>
      <c r="G287">
        <v>235</v>
      </c>
      <c r="H287">
        <v>640</v>
      </c>
      <c r="I287">
        <v>2012</v>
      </c>
      <c r="J287" t="s">
        <v>29</v>
      </c>
      <c r="K287" t="s">
        <v>30</v>
      </c>
    </row>
    <row r="288" spans="1:11">
      <c r="A288" t="s">
        <v>73</v>
      </c>
      <c r="B288">
        <v>1982</v>
      </c>
      <c r="C288" t="s">
        <v>74</v>
      </c>
      <c r="D288">
        <v>64</v>
      </c>
      <c r="E288">
        <v>220</v>
      </c>
      <c r="F288">
        <v>160</v>
      </c>
      <c r="G288">
        <v>260</v>
      </c>
      <c r="H288">
        <v>640</v>
      </c>
      <c r="I288">
        <v>2012</v>
      </c>
      <c r="J288" t="s">
        <v>29</v>
      </c>
      <c r="K288" t="s">
        <v>30</v>
      </c>
    </row>
    <row r="289" spans="1:11">
      <c r="A289" t="s">
        <v>792</v>
      </c>
      <c r="B289">
        <v>1987</v>
      </c>
      <c r="C289" t="s">
        <v>228</v>
      </c>
      <c r="D289">
        <v>82.35</v>
      </c>
      <c r="E289">
        <v>230</v>
      </c>
      <c r="F289">
        <v>167.5</v>
      </c>
      <c r="G289">
        <v>242.5</v>
      </c>
      <c r="H289">
        <v>640</v>
      </c>
      <c r="I289">
        <v>2013</v>
      </c>
      <c r="J289" t="s">
        <v>29</v>
      </c>
      <c r="K289" t="s">
        <v>30</v>
      </c>
    </row>
    <row r="290" spans="1:11">
      <c r="A290" t="s">
        <v>73</v>
      </c>
      <c r="B290">
        <v>1982</v>
      </c>
      <c r="C290" t="s">
        <v>74</v>
      </c>
      <c r="D290">
        <v>63.4</v>
      </c>
      <c r="E290">
        <v>210</v>
      </c>
      <c r="F290">
        <v>165</v>
      </c>
      <c r="G290">
        <v>265</v>
      </c>
      <c r="H290">
        <v>640</v>
      </c>
      <c r="I290">
        <v>2014</v>
      </c>
      <c r="J290" t="s">
        <v>29</v>
      </c>
      <c r="K290" t="s">
        <v>30</v>
      </c>
    </row>
    <row r="291" spans="1:11">
      <c r="A291" t="s">
        <v>610</v>
      </c>
      <c r="B291">
        <v>1983</v>
      </c>
      <c r="C291" t="s">
        <v>74</v>
      </c>
      <c r="D291">
        <v>72.5</v>
      </c>
      <c r="E291">
        <v>242.5</v>
      </c>
      <c r="F291">
        <v>150</v>
      </c>
      <c r="G291">
        <v>245</v>
      </c>
      <c r="H291">
        <v>637.5</v>
      </c>
      <c r="I291">
        <v>2014</v>
      </c>
      <c r="J291" t="s">
        <v>29</v>
      </c>
      <c r="K291" t="s">
        <v>30</v>
      </c>
    </row>
    <row r="292" spans="1:11">
      <c r="A292" t="s">
        <v>525</v>
      </c>
      <c r="B292">
        <v>1986</v>
      </c>
      <c r="C292" t="s">
        <v>77</v>
      </c>
      <c r="D292">
        <v>81.41</v>
      </c>
      <c r="E292">
        <v>232.5</v>
      </c>
      <c r="F292">
        <v>150</v>
      </c>
      <c r="G292">
        <v>255</v>
      </c>
      <c r="H292">
        <v>637.5</v>
      </c>
      <c r="I292">
        <v>2015</v>
      </c>
      <c r="J292" t="s">
        <v>29</v>
      </c>
      <c r="K292" t="s">
        <v>30</v>
      </c>
    </row>
    <row r="293" spans="1:11">
      <c r="A293" t="s">
        <v>421</v>
      </c>
      <c r="B293">
        <v>1991</v>
      </c>
      <c r="C293" t="s">
        <v>113</v>
      </c>
      <c r="D293">
        <v>64.87</v>
      </c>
      <c r="E293">
        <v>240.5</v>
      </c>
      <c r="F293">
        <v>150</v>
      </c>
      <c r="G293">
        <v>245</v>
      </c>
      <c r="H293">
        <v>635.5</v>
      </c>
      <c r="I293">
        <v>2015</v>
      </c>
      <c r="J293" t="s">
        <v>29</v>
      </c>
      <c r="K293" t="s">
        <v>30</v>
      </c>
    </row>
    <row r="294" spans="1:11">
      <c r="A294" t="s">
        <v>471</v>
      </c>
      <c r="B294">
        <v>1989</v>
      </c>
      <c r="C294" t="s">
        <v>39</v>
      </c>
      <c r="D294">
        <v>73.25</v>
      </c>
      <c r="E294">
        <v>220</v>
      </c>
      <c r="F294">
        <v>155</v>
      </c>
      <c r="G294">
        <v>260</v>
      </c>
      <c r="H294">
        <v>635</v>
      </c>
      <c r="I294">
        <v>2013</v>
      </c>
      <c r="J294" t="s">
        <v>29</v>
      </c>
      <c r="K294" t="s">
        <v>30</v>
      </c>
    </row>
    <row r="295" spans="1:11">
      <c r="A295" t="s">
        <v>34</v>
      </c>
      <c r="B295">
        <v>1970</v>
      </c>
      <c r="C295" t="s">
        <v>35</v>
      </c>
      <c r="D295">
        <v>82.6</v>
      </c>
      <c r="E295">
        <v>222.5</v>
      </c>
      <c r="F295">
        <v>177.5</v>
      </c>
      <c r="G295">
        <v>232.5</v>
      </c>
      <c r="H295">
        <v>632.5</v>
      </c>
      <c r="I295">
        <v>2012</v>
      </c>
      <c r="J295" t="s">
        <v>29</v>
      </c>
      <c r="K295" t="s">
        <v>30</v>
      </c>
    </row>
    <row r="296" spans="1:11">
      <c r="A296" t="s">
        <v>772</v>
      </c>
      <c r="B296">
        <v>1983</v>
      </c>
      <c r="C296" t="s">
        <v>28</v>
      </c>
      <c r="D296">
        <v>65.150000000000006</v>
      </c>
      <c r="E296">
        <v>205</v>
      </c>
      <c r="F296">
        <v>172.5</v>
      </c>
      <c r="G296">
        <v>255</v>
      </c>
      <c r="H296">
        <v>632.5</v>
      </c>
      <c r="I296">
        <v>2013</v>
      </c>
      <c r="J296" t="s">
        <v>29</v>
      </c>
      <c r="K296" t="s">
        <v>30</v>
      </c>
    </row>
    <row r="297" spans="1:11">
      <c r="A297" t="s">
        <v>31</v>
      </c>
      <c r="B297">
        <v>1987</v>
      </c>
      <c r="C297" t="s">
        <v>32</v>
      </c>
      <c r="D297">
        <v>103.85</v>
      </c>
      <c r="E297">
        <v>240</v>
      </c>
      <c r="F297">
        <v>120</v>
      </c>
      <c r="G297">
        <v>270</v>
      </c>
      <c r="H297">
        <v>630</v>
      </c>
      <c r="I297">
        <v>2012</v>
      </c>
      <c r="J297" t="s">
        <v>29</v>
      </c>
      <c r="K297" t="s">
        <v>30</v>
      </c>
    </row>
    <row r="298" spans="1:11">
      <c r="A298" t="s">
        <v>55</v>
      </c>
      <c r="B298">
        <v>1986</v>
      </c>
      <c r="C298" t="s">
        <v>56</v>
      </c>
      <c r="D298">
        <v>82.4</v>
      </c>
      <c r="E298">
        <v>215</v>
      </c>
      <c r="F298">
        <v>135</v>
      </c>
      <c r="G298">
        <v>280</v>
      </c>
      <c r="H298">
        <v>630</v>
      </c>
      <c r="I298">
        <v>2012</v>
      </c>
      <c r="J298" t="s">
        <v>29</v>
      </c>
      <c r="K298" t="s">
        <v>30</v>
      </c>
    </row>
    <row r="299" spans="1:11">
      <c r="A299" t="s">
        <v>748</v>
      </c>
      <c r="B299">
        <v>1978</v>
      </c>
      <c r="C299" t="s">
        <v>80</v>
      </c>
      <c r="D299">
        <v>65.5</v>
      </c>
      <c r="E299">
        <v>210</v>
      </c>
      <c r="F299">
        <v>155</v>
      </c>
      <c r="G299">
        <v>265</v>
      </c>
      <c r="H299">
        <v>630</v>
      </c>
      <c r="I299">
        <v>2014</v>
      </c>
      <c r="J299" t="s">
        <v>29</v>
      </c>
      <c r="K299" t="s">
        <v>30</v>
      </c>
    </row>
    <row r="300" spans="1:11">
      <c r="A300" t="s">
        <v>537</v>
      </c>
      <c r="B300">
        <v>1981</v>
      </c>
      <c r="C300" t="s">
        <v>194</v>
      </c>
      <c r="D300">
        <v>91.85</v>
      </c>
      <c r="E300">
        <v>235</v>
      </c>
      <c r="F300">
        <v>140</v>
      </c>
      <c r="G300">
        <v>250</v>
      </c>
      <c r="H300">
        <v>625</v>
      </c>
      <c r="I300">
        <v>2014</v>
      </c>
      <c r="J300" t="s">
        <v>29</v>
      </c>
      <c r="K300" t="s">
        <v>30</v>
      </c>
    </row>
    <row r="301" spans="1:11">
      <c r="A301" t="s">
        <v>437</v>
      </c>
      <c r="B301">
        <v>1987</v>
      </c>
      <c r="C301" t="s">
        <v>282</v>
      </c>
      <c r="D301">
        <v>73.150000000000006</v>
      </c>
      <c r="E301">
        <v>225</v>
      </c>
      <c r="F301">
        <v>140</v>
      </c>
      <c r="G301">
        <v>260</v>
      </c>
      <c r="H301">
        <v>625</v>
      </c>
      <c r="I301">
        <v>2014</v>
      </c>
      <c r="J301" t="s">
        <v>29</v>
      </c>
      <c r="K301" t="s">
        <v>30</v>
      </c>
    </row>
    <row r="302" spans="1:11">
      <c r="A302" t="s">
        <v>89</v>
      </c>
      <c r="B302">
        <v>1966</v>
      </c>
      <c r="C302" t="s">
        <v>56</v>
      </c>
      <c r="D302">
        <v>82.4</v>
      </c>
      <c r="E302">
        <v>205</v>
      </c>
      <c r="F302">
        <v>160</v>
      </c>
      <c r="G302">
        <v>260</v>
      </c>
      <c r="H302">
        <v>625</v>
      </c>
      <c r="I302">
        <v>2014</v>
      </c>
      <c r="J302" t="s">
        <v>29</v>
      </c>
      <c r="K302" t="s">
        <v>30</v>
      </c>
    </row>
    <row r="303" spans="1:11">
      <c r="A303" t="s">
        <v>388</v>
      </c>
      <c r="B303">
        <v>1989</v>
      </c>
      <c r="C303" t="s">
        <v>62</v>
      </c>
      <c r="D303">
        <v>72.849999999999994</v>
      </c>
      <c r="E303">
        <v>217.5</v>
      </c>
      <c r="F303">
        <v>160</v>
      </c>
      <c r="G303">
        <v>245</v>
      </c>
      <c r="H303">
        <v>622.5</v>
      </c>
      <c r="I303">
        <v>2014</v>
      </c>
      <c r="J303" t="s">
        <v>29</v>
      </c>
      <c r="K303" t="s">
        <v>30</v>
      </c>
    </row>
    <row r="304" spans="1:11">
      <c r="A304" t="s">
        <v>772</v>
      </c>
      <c r="B304">
        <v>1983</v>
      </c>
      <c r="C304" t="s">
        <v>28</v>
      </c>
      <c r="D304">
        <v>65.86</v>
      </c>
      <c r="E304">
        <v>210</v>
      </c>
      <c r="F304">
        <v>172.5</v>
      </c>
      <c r="G304">
        <v>240</v>
      </c>
      <c r="H304">
        <v>622.5</v>
      </c>
      <c r="I304">
        <v>2015</v>
      </c>
      <c r="J304" t="s">
        <v>29</v>
      </c>
      <c r="K304" t="s">
        <v>30</v>
      </c>
    </row>
    <row r="305" spans="1:11">
      <c r="A305" t="s">
        <v>426</v>
      </c>
      <c r="B305">
        <v>1977</v>
      </c>
      <c r="C305" t="s">
        <v>119</v>
      </c>
      <c r="D305">
        <v>65.599999999999994</v>
      </c>
      <c r="E305">
        <v>232.5</v>
      </c>
      <c r="F305">
        <v>145</v>
      </c>
      <c r="G305">
        <v>242.5</v>
      </c>
      <c r="H305">
        <v>620</v>
      </c>
      <c r="I305">
        <v>2013</v>
      </c>
      <c r="J305" t="s">
        <v>29</v>
      </c>
      <c r="K305" t="s">
        <v>30</v>
      </c>
    </row>
    <row r="306" spans="1:11">
      <c r="A306" t="s">
        <v>545</v>
      </c>
      <c r="B306">
        <v>1987</v>
      </c>
      <c r="C306" t="s">
        <v>359</v>
      </c>
      <c r="D306">
        <v>73.3</v>
      </c>
      <c r="E306">
        <v>210</v>
      </c>
      <c r="F306">
        <v>157.5</v>
      </c>
      <c r="G306">
        <v>252.5</v>
      </c>
      <c r="H306">
        <v>620</v>
      </c>
      <c r="I306">
        <v>2014</v>
      </c>
      <c r="J306" t="s">
        <v>29</v>
      </c>
      <c r="K306" t="s">
        <v>30</v>
      </c>
    </row>
    <row r="307" spans="1:11">
      <c r="A307" t="s">
        <v>618</v>
      </c>
      <c r="B307">
        <v>1989</v>
      </c>
      <c r="C307" t="s">
        <v>56</v>
      </c>
      <c r="D307">
        <v>73.8</v>
      </c>
      <c r="E307">
        <v>215</v>
      </c>
      <c r="F307">
        <v>165</v>
      </c>
      <c r="G307">
        <v>240</v>
      </c>
      <c r="H307">
        <v>620</v>
      </c>
      <c r="I307">
        <v>2014</v>
      </c>
      <c r="J307" t="s">
        <v>29</v>
      </c>
      <c r="K307" t="s">
        <v>30</v>
      </c>
    </row>
    <row r="308" spans="1:11">
      <c r="A308" t="s">
        <v>81</v>
      </c>
      <c r="B308">
        <v>1981</v>
      </c>
      <c r="C308" t="s">
        <v>77</v>
      </c>
      <c r="D308">
        <v>66</v>
      </c>
      <c r="E308">
        <v>222.5</v>
      </c>
      <c r="F308">
        <v>160</v>
      </c>
      <c r="G308">
        <v>235</v>
      </c>
      <c r="H308">
        <v>617.5</v>
      </c>
      <c r="I308">
        <v>2012</v>
      </c>
      <c r="J308" t="s">
        <v>29</v>
      </c>
      <c r="K308" t="s">
        <v>30</v>
      </c>
    </row>
    <row r="309" spans="1:11">
      <c r="A309" t="s">
        <v>89</v>
      </c>
      <c r="B309">
        <v>1966</v>
      </c>
      <c r="C309" t="s">
        <v>56</v>
      </c>
      <c r="D309">
        <v>82.55</v>
      </c>
      <c r="E309">
        <v>195</v>
      </c>
      <c r="F309">
        <v>172.5</v>
      </c>
      <c r="G309">
        <v>250</v>
      </c>
      <c r="H309">
        <v>617.5</v>
      </c>
      <c r="I309">
        <v>2013</v>
      </c>
      <c r="J309" t="s">
        <v>29</v>
      </c>
      <c r="K309" t="s">
        <v>30</v>
      </c>
    </row>
    <row r="310" spans="1:11">
      <c r="A310" t="s">
        <v>166</v>
      </c>
      <c r="B310">
        <v>1986</v>
      </c>
      <c r="C310" t="s">
        <v>85</v>
      </c>
      <c r="D310">
        <v>81.5</v>
      </c>
      <c r="E310">
        <v>195</v>
      </c>
      <c r="F310">
        <v>192.5</v>
      </c>
      <c r="G310">
        <v>230</v>
      </c>
      <c r="H310">
        <v>617.5</v>
      </c>
      <c r="I310">
        <v>2012</v>
      </c>
      <c r="J310" t="s">
        <v>29</v>
      </c>
      <c r="K310" t="s">
        <v>30</v>
      </c>
    </row>
    <row r="311" spans="1:11">
      <c r="A311" t="s">
        <v>59</v>
      </c>
      <c r="B311">
        <v>1982</v>
      </c>
      <c r="C311" t="s">
        <v>32</v>
      </c>
      <c r="D311">
        <v>101.55</v>
      </c>
      <c r="E311">
        <v>187.5</v>
      </c>
      <c r="F311">
        <v>187.5</v>
      </c>
      <c r="G311">
        <v>240</v>
      </c>
      <c r="H311">
        <v>615</v>
      </c>
      <c r="I311">
        <v>2012</v>
      </c>
      <c r="J311" t="s">
        <v>29</v>
      </c>
      <c r="K311" t="s">
        <v>30</v>
      </c>
    </row>
    <row r="312" spans="1:11">
      <c r="A312" t="s">
        <v>50</v>
      </c>
      <c r="B312">
        <v>1975</v>
      </c>
      <c r="C312" t="s">
        <v>51</v>
      </c>
      <c r="D312">
        <v>73.400000000000006</v>
      </c>
      <c r="E312">
        <v>192.5</v>
      </c>
      <c r="F312">
        <v>155</v>
      </c>
      <c r="G312">
        <v>265</v>
      </c>
      <c r="H312">
        <v>612.5</v>
      </c>
      <c r="I312">
        <v>2012</v>
      </c>
      <c r="J312" t="s">
        <v>29</v>
      </c>
      <c r="K312" t="s">
        <v>30</v>
      </c>
    </row>
    <row r="313" spans="1:11">
      <c r="A313" t="s">
        <v>144</v>
      </c>
      <c r="B313">
        <v>1975</v>
      </c>
      <c r="C313" t="s">
        <v>125</v>
      </c>
      <c r="D313">
        <v>79.3</v>
      </c>
      <c r="E313">
        <v>232.5</v>
      </c>
      <c r="F313">
        <v>142.5</v>
      </c>
      <c r="G313">
        <v>235</v>
      </c>
      <c r="H313">
        <v>610</v>
      </c>
      <c r="I313">
        <v>2013</v>
      </c>
      <c r="J313" t="s">
        <v>29</v>
      </c>
      <c r="K313" t="s">
        <v>30</v>
      </c>
    </row>
    <row r="314" spans="1:11">
      <c r="A314" t="s">
        <v>598</v>
      </c>
      <c r="B314">
        <v>1986</v>
      </c>
      <c r="C314" t="s">
        <v>39</v>
      </c>
      <c r="D314">
        <v>65.66</v>
      </c>
      <c r="E314">
        <v>225</v>
      </c>
      <c r="F314">
        <v>145</v>
      </c>
      <c r="G314">
        <v>240</v>
      </c>
      <c r="H314">
        <v>610</v>
      </c>
      <c r="I314">
        <v>2015</v>
      </c>
      <c r="J314" t="s">
        <v>29</v>
      </c>
      <c r="K314" t="s">
        <v>30</v>
      </c>
    </row>
    <row r="315" spans="1:11">
      <c r="A315" t="s">
        <v>84</v>
      </c>
      <c r="B315">
        <v>1987</v>
      </c>
      <c r="C315" t="s">
        <v>85</v>
      </c>
      <c r="D315">
        <v>73.55</v>
      </c>
      <c r="E315">
        <v>220</v>
      </c>
      <c r="F315">
        <v>150</v>
      </c>
      <c r="G315">
        <v>240</v>
      </c>
      <c r="H315">
        <v>610</v>
      </c>
      <c r="I315">
        <v>2012</v>
      </c>
      <c r="J315" t="s">
        <v>29</v>
      </c>
      <c r="K315" t="s">
        <v>30</v>
      </c>
    </row>
    <row r="316" spans="1:11">
      <c r="A316" t="s">
        <v>118</v>
      </c>
      <c r="B316">
        <v>1980</v>
      </c>
      <c r="C316" t="s">
        <v>119</v>
      </c>
      <c r="D316">
        <v>72.2</v>
      </c>
      <c r="E316">
        <v>200</v>
      </c>
      <c r="F316">
        <v>162.5</v>
      </c>
      <c r="G316">
        <v>247.5</v>
      </c>
      <c r="H316">
        <v>610</v>
      </c>
      <c r="I316">
        <v>2012</v>
      </c>
      <c r="J316" t="s">
        <v>29</v>
      </c>
      <c r="K316" t="s">
        <v>30</v>
      </c>
    </row>
    <row r="317" spans="1:11">
      <c r="A317" t="s">
        <v>651</v>
      </c>
      <c r="B317">
        <v>1985</v>
      </c>
      <c r="C317" t="s">
        <v>194</v>
      </c>
      <c r="D317">
        <v>82</v>
      </c>
      <c r="E317">
        <v>190</v>
      </c>
      <c r="F317">
        <v>165</v>
      </c>
      <c r="G317">
        <v>255</v>
      </c>
      <c r="H317">
        <v>610</v>
      </c>
      <c r="I317">
        <v>2014</v>
      </c>
      <c r="J317" t="s">
        <v>29</v>
      </c>
      <c r="K317" t="s">
        <v>30</v>
      </c>
    </row>
    <row r="318" spans="1:11">
      <c r="A318" t="s">
        <v>95</v>
      </c>
      <c r="B318">
        <v>1983</v>
      </c>
      <c r="C318" t="s">
        <v>54</v>
      </c>
      <c r="D318">
        <v>92</v>
      </c>
      <c r="E318">
        <v>220</v>
      </c>
      <c r="F318">
        <v>167.5</v>
      </c>
      <c r="G318">
        <v>220</v>
      </c>
      <c r="H318">
        <v>607.5</v>
      </c>
      <c r="I318">
        <v>2012</v>
      </c>
      <c r="J318" t="s">
        <v>29</v>
      </c>
      <c r="K318" t="s">
        <v>30</v>
      </c>
    </row>
    <row r="319" spans="1:11">
      <c r="A319" t="s">
        <v>772</v>
      </c>
      <c r="B319">
        <v>1983</v>
      </c>
      <c r="C319" t="s">
        <v>28</v>
      </c>
      <c r="D319">
        <v>65.75</v>
      </c>
      <c r="E319">
        <v>210</v>
      </c>
      <c r="F319">
        <v>167.5</v>
      </c>
      <c r="G319">
        <v>230</v>
      </c>
      <c r="H319">
        <v>607.5</v>
      </c>
      <c r="I319">
        <v>2014</v>
      </c>
      <c r="J319" t="s">
        <v>29</v>
      </c>
      <c r="K319" t="s">
        <v>30</v>
      </c>
    </row>
    <row r="320" spans="1:11">
      <c r="A320" t="s">
        <v>747</v>
      </c>
      <c r="B320">
        <v>1982</v>
      </c>
      <c r="C320" t="s">
        <v>480</v>
      </c>
      <c r="D320">
        <v>96.35</v>
      </c>
      <c r="E320">
        <v>220</v>
      </c>
      <c r="F320">
        <v>207.5</v>
      </c>
      <c r="G320">
        <v>180</v>
      </c>
      <c r="H320">
        <v>607.5</v>
      </c>
      <c r="I320">
        <v>2013</v>
      </c>
      <c r="J320" t="s">
        <v>29</v>
      </c>
      <c r="K320" t="s">
        <v>30</v>
      </c>
    </row>
    <row r="321" spans="1:11">
      <c r="A321" t="s">
        <v>583</v>
      </c>
      <c r="B321">
        <v>1987</v>
      </c>
      <c r="C321" t="s">
        <v>28</v>
      </c>
      <c r="D321">
        <v>58.62</v>
      </c>
      <c r="E321">
        <v>210</v>
      </c>
      <c r="F321">
        <v>142.5</v>
      </c>
      <c r="G321">
        <v>250</v>
      </c>
      <c r="H321">
        <v>602.5</v>
      </c>
      <c r="I321">
        <v>2015</v>
      </c>
      <c r="J321" t="s">
        <v>29</v>
      </c>
      <c r="K321" t="s">
        <v>30</v>
      </c>
    </row>
    <row r="322" spans="1:11">
      <c r="A322" t="s">
        <v>585</v>
      </c>
      <c r="B322">
        <v>1981</v>
      </c>
      <c r="C322" t="s">
        <v>77</v>
      </c>
      <c r="D322">
        <v>82.3</v>
      </c>
      <c r="E322">
        <v>207.5</v>
      </c>
      <c r="F322">
        <v>150</v>
      </c>
      <c r="G322">
        <v>245</v>
      </c>
      <c r="H322">
        <v>602.5</v>
      </c>
      <c r="I322">
        <v>2014</v>
      </c>
      <c r="J322" t="s">
        <v>29</v>
      </c>
      <c r="K322" t="s">
        <v>30</v>
      </c>
    </row>
    <row r="323" spans="1:11">
      <c r="A323" t="s">
        <v>641</v>
      </c>
      <c r="B323">
        <v>1979</v>
      </c>
      <c r="C323" t="s">
        <v>51</v>
      </c>
      <c r="D323">
        <v>82.3</v>
      </c>
      <c r="E323">
        <v>235</v>
      </c>
      <c r="F323">
        <v>135</v>
      </c>
      <c r="G323">
        <v>230</v>
      </c>
      <c r="H323">
        <v>600</v>
      </c>
      <c r="I323">
        <v>2013</v>
      </c>
      <c r="J323" t="s">
        <v>29</v>
      </c>
      <c r="K323" t="s">
        <v>30</v>
      </c>
    </row>
    <row r="324" spans="1:11">
      <c r="A324" t="s">
        <v>712</v>
      </c>
      <c r="B324">
        <v>1980</v>
      </c>
      <c r="C324" t="s">
        <v>480</v>
      </c>
      <c r="D324">
        <v>92.6</v>
      </c>
      <c r="E324">
        <v>220</v>
      </c>
      <c r="F324">
        <v>130</v>
      </c>
      <c r="G324">
        <v>250</v>
      </c>
      <c r="H324">
        <v>600</v>
      </c>
      <c r="I324">
        <v>2013</v>
      </c>
      <c r="J324" t="s">
        <v>29</v>
      </c>
      <c r="K324" t="s">
        <v>30</v>
      </c>
    </row>
    <row r="325" spans="1:11">
      <c r="A325" t="s">
        <v>27</v>
      </c>
      <c r="B325">
        <v>1970</v>
      </c>
      <c r="C325" t="s">
        <v>28</v>
      </c>
      <c r="D325">
        <v>65.75</v>
      </c>
      <c r="E325">
        <v>215</v>
      </c>
      <c r="F325">
        <v>135</v>
      </c>
      <c r="G325">
        <v>250</v>
      </c>
      <c r="H325">
        <v>600</v>
      </c>
      <c r="I325">
        <v>2012</v>
      </c>
      <c r="J325" t="s">
        <v>29</v>
      </c>
      <c r="K325" t="s">
        <v>30</v>
      </c>
    </row>
    <row r="326" spans="1:11">
      <c r="A326" t="s">
        <v>785</v>
      </c>
      <c r="B326">
        <v>1989</v>
      </c>
      <c r="C326" t="s">
        <v>56</v>
      </c>
      <c r="D326">
        <v>73.92</v>
      </c>
      <c r="E326">
        <v>210</v>
      </c>
      <c r="F326">
        <v>140</v>
      </c>
      <c r="G326">
        <v>250</v>
      </c>
      <c r="H326">
        <v>600</v>
      </c>
      <c r="I326">
        <v>2015</v>
      </c>
      <c r="J326" t="s">
        <v>29</v>
      </c>
      <c r="K326" t="s">
        <v>30</v>
      </c>
    </row>
    <row r="327" spans="1:11">
      <c r="A327" t="s">
        <v>748</v>
      </c>
      <c r="B327">
        <v>1978</v>
      </c>
      <c r="C327" t="s">
        <v>80</v>
      </c>
      <c r="D327">
        <v>65.8</v>
      </c>
      <c r="E327">
        <v>192.5</v>
      </c>
      <c r="F327">
        <v>155</v>
      </c>
      <c r="G327">
        <v>252.5</v>
      </c>
      <c r="H327">
        <v>600</v>
      </c>
      <c r="I327">
        <v>2013</v>
      </c>
      <c r="J327" t="s">
        <v>29</v>
      </c>
      <c r="K327" t="s">
        <v>30</v>
      </c>
    </row>
    <row r="328" spans="1:11">
      <c r="A328" t="s">
        <v>590</v>
      </c>
      <c r="B328">
        <v>1988</v>
      </c>
      <c r="C328" t="s">
        <v>28</v>
      </c>
      <c r="D328">
        <v>65.150000000000006</v>
      </c>
      <c r="E328">
        <v>225</v>
      </c>
      <c r="F328">
        <v>130</v>
      </c>
      <c r="G328">
        <v>242.5</v>
      </c>
      <c r="H328">
        <v>597.5</v>
      </c>
      <c r="I328">
        <v>2013</v>
      </c>
      <c r="J328" t="s">
        <v>29</v>
      </c>
      <c r="K328" t="s">
        <v>30</v>
      </c>
    </row>
    <row r="329" spans="1:11">
      <c r="A329" t="s">
        <v>589</v>
      </c>
      <c r="B329">
        <v>1989</v>
      </c>
      <c r="C329" t="s">
        <v>359</v>
      </c>
      <c r="D329">
        <v>82.7</v>
      </c>
      <c r="E329">
        <v>205</v>
      </c>
      <c r="F329">
        <v>142.5</v>
      </c>
      <c r="G329">
        <v>250</v>
      </c>
      <c r="H329">
        <v>597.5</v>
      </c>
      <c r="I329">
        <v>2013</v>
      </c>
      <c r="J329" t="s">
        <v>29</v>
      </c>
      <c r="K329" t="s">
        <v>30</v>
      </c>
    </row>
    <row r="330" spans="1:11">
      <c r="A330" t="s">
        <v>75</v>
      </c>
      <c r="B330">
        <v>1989</v>
      </c>
      <c r="C330" t="s">
        <v>74</v>
      </c>
      <c r="D330">
        <v>71.5</v>
      </c>
      <c r="E330">
        <v>200</v>
      </c>
      <c r="F330">
        <v>120</v>
      </c>
      <c r="G330">
        <v>272.5</v>
      </c>
      <c r="H330">
        <v>592.5</v>
      </c>
      <c r="I330">
        <v>2012</v>
      </c>
      <c r="J330" t="s">
        <v>29</v>
      </c>
      <c r="K330" t="s">
        <v>30</v>
      </c>
    </row>
    <row r="331" spans="1:11">
      <c r="A331" t="s">
        <v>135</v>
      </c>
      <c r="B331">
        <v>1991</v>
      </c>
      <c r="C331" t="s">
        <v>66</v>
      </c>
      <c r="D331">
        <v>72.650000000000006</v>
      </c>
      <c r="E331">
        <v>205</v>
      </c>
      <c r="F331">
        <v>125</v>
      </c>
      <c r="G331">
        <v>262.5</v>
      </c>
      <c r="H331">
        <v>592.5</v>
      </c>
      <c r="I331">
        <v>2012</v>
      </c>
      <c r="J331" t="s">
        <v>29</v>
      </c>
      <c r="K331" t="s">
        <v>30</v>
      </c>
    </row>
    <row r="332" spans="1:11">
      <c r="A332" t="s">
        <v>61</v>
      </c>
      <c r="B332">
        <v>1986</v>
      </c>
      <c r="C332" t="s">
        <v>62</v>
      </c>
      <c r="D332">
        <v>65.05</v>
      </c>
      <c r="E332">
        <v>197.5</v>
      </c>
      <c r="F332">
        <v>155</v>
      </c>
      <c r="G332">
        <v>240</v>
      </c>
      <c r="H332">
        <v>592.5</v>
      </c>
      <c r="I332">
        <v>2014</v>
      </c>
      <c r="J332" t="s">
        <v>29</v>
      </c>
      <c r="K332" t="s">
        <v>30</v>
      </c>
    </row>
    <row r="333" spans="1:11">
      <c r="A333" t="s">
        <v>610</v>
      </c>
      <c r="B333">
        <v>1983</v>
      </c>
      <c r="C333" t="s">
        <v>74</v>
      </c>
      <c r="D333">
        <v>72.180000000000007</v>
      </c>
      <c r="E333">
        <v>210</v>
      </c>
      <c r="F333">
        <v>150</v>
      </c>
      <c r="G333">
        <v>230</v>
      </c>
      <c r="H333">
        <v>590</v>
      </c>
      <c r="I333">
        <v>2015</v>
      </c>
      <c r="J333" t="s">
        <v>29</v>
      </c>
      <c r="K333" t="s">
        <v>30</v>
      </c>
    </row>
    <row r="334" spans="1:11">
      <c r="A334" t="s">
        <v>364</v>
      </c>
      <c r="B334">
        <v>1984</v>
      </c>
      <c r="C334" t="s">
        <v>365</v>
      </c>
      <c r="D334">
        <v>81.260000000000005</v>
      </c>
      <c r="E334">
        <v>190</v>
      </c>
      <c r="F334">
        <v>180</v>
      </c>
      <c r="G334">
        <v>220</v>
      </c>
      <c r="H334">
        <v>590</v>
      </c>
      <c r="I334">
        <v>2015</v>
      </c>
      <c r="J334" t="s">
        <v>29</v>
      </c>
      <c r="K334" t="s">
        <v>30</v>
      </c>
    </row>
    <row r="335" spans="1:11">
      <c r="A335" t="s">
        <v>124</v>
      </c>
      <c r="B335">
        <v>1966</v>
      </c>
      <c r="C335" t="s">
        <v>125</v>
      </c>
      <c r="D335">
        <v>73.25</v>
      </c>
      <c r="E335">
        <v>220</v>
      </c>
      <c r="F335">
        <v>125</v>
      </c>
      <c r="G335">
        <v>242.5</v>
      </c>
      <c r="H335">
        <v>587.5</v>
      </c>
      <c r="I335">
        <v>2012</v>
      </c>
      <c r="J335" t="s">
        <v>29</v>
      </c>
      <c r="K335" t="s">
        <v>30</v>
      </c>
    </row>
    <row r="336" spans="1:11">
      <c r="A336" t="s">
        <v>144</v>
      </c>
      <c r="B336">
        <v>1974</v>
      </c>
      <c r="C336" t="s">
        <v>125</v>
      </c>
      <c r="D336">
        <v>72.599999999999994</v>
      </c>
      <c r="E336">
        <v>220</v>
      </c>
      <c r="F336">
        <v>135</v>
      </c>
      <c r="G336">
        <v>230</v>
      </c>
      <c r="H336">
        <v>585</v>
      </c>
      <c r="I336">
        <v>2012</v>
      </c>
      <c r="J336" t="s">
        <v>29</v>
      </c>
      <c r="K336" t="s">
        <v>30</v>
      </c>
    </row>
    <row r="337" spans="1:11">
      <c r="A337" t="s">
        <v>680</v>
      </c>
      <c r="B337">
        <v>1990</v>
      </c>
      <c r="C337" t="s">
        <v>282</v>
      </c>
      <c r="D337">
        <v>65.45</v>
      </c>
      <c r="E337">
        <v>210</v>
      </c>
      <c r="F337">
        <v>132.5</v>
      </c>
      <c r="G337">
        <v>240</v>
      </c>
      <c r="H337">
        <v>582.5</v>
      </c>
      <c r="I337">
        <v>2014</v>
      </c>
      <c r="J337" t="s">
        <v>29</v>
      </c>
      <c r="K337" t="s">
        <v>30</v>
      </c>
    </row>
    <row r="338" spans="1:11">
      <c r="A338" t="s">
        <v>785</v>
      </c>
      <c r="B338">
        <v>1989</v>
      </c>
      <c r="C338" t="s">
        <v>56</v>
      </c>
      <c r="D338">
        <v>73.55</v>
      </c>
      <c r="E338">
        <v>205</v>
      </c>
      <c r="F338">
        <v>137.5</v>
      </c>
      <c r="G338">
        <v>240</v>
      </c>
      <c r="H338">
        <v>582.5</v>
      </c>
      <c r="I338">
        <v>2014</v>
      </c>
      <c r="J338" t="s">
        <v>29</v>
      </c>
      <c r="K338" t="s">
        <v>30</v>
      </c>
    </row>
    <row r="339" spans="1:11">
      <c r="A339" t="s">
        <v>61</v>
      </c>
      <c r="B339">
        <v>1986</v>
      </c>
      <c r="C339" t="s">
        <v>62</v>
      </c>
      <c r="D339">
        <v>72</v>
      </c>
      <c r="E339">
        <v>202.5</v>
      </c>
      <c r="F339">
        <v>155</v>
      </c>
      <c r="G339">
        <v>225</v>
      </c>
      <c r="H339">
        <v>582.5</v>
      </c>
      <c r="I339">
        <v>2012</v>
      </c>
      <c r="J339" t="s">
        <v>29</v>
      </c>
      <c r="K339" t="s">
        <v>30</v>
      </c>
    </row>
    <row r="340" spans="1:11">
      <c r="A340" t="s">
        <v>61</v>
      </c>
      <c r="B340">
        <v>1986</v>
      </c>
      <c r="C340" t="s">
        <v>62</v>
      </c>
      <c r="D340">
        <v>65.45</v>
      </c>
      <c r="E340">
        <v>195</v>
      </c>
      <c r="F340">
        <v>155</v>
      </c>
      <c r="G340">
        <v>232.5</v>
      </c>
      <c r="H340">
        <v>582.5</v>
      </c>
      <c r="I340">
        <v>2013</v>
      </c>
      <c r="J340" t="s">
        <v>29</v>
      </c>
      <c r="K340" t="s">
        <v>30</v>
      </c>
    </row>
    <row r="341" spans="1:11">
      <c r="A341" t="s">
        <v>572</v>
      </c>
      <c r="B341">
        <v>1968</v>
      </c>
      <c r="C341" t="s">
        <v>359</v>
      </c>
      <c r="D341">
        <v>84.5</v>
      </c>
      <c r="E341">
        <v>180</v>
      </c>
      <c r="F341">
        <v>125</v>
      </c>
      <c r="G341">
        <v>275</v>
      </c>
      <c r="H341">
        <v>580</v>
      </c>
      <c r="I341">
        <v>2013</v>
      </c>
      <c r="J341" t="s">
        <v>29</v>
      </c>
      <c r="K341" t="s">
        <v>30</v>
      </c>
    </row>
    <row r="342" spans="1:11">
      <c r="A342" t="s">
        <v>552</v>
      </c>
      <c r="B342">
        <v>1984</v>
      </c>
      <c r="C342" t="s">
        <v>113</v>
      </c>
      <c r="D342">
        <v>72.069999999999993</v>
      </c>
      <c r="E342">
        <v>205</v>
      </c>
      <c r="F342">
        <v>130</v>
      </c>
      <c r="G342">
        <v>240</v>
      </c>
      <c r="H342">
        <v>575</v>
      </c>
      <c r="I342">
        <v>2015</v>
      </c>
      <c r="J342" t="s">
        <v>29</v>
      </c>
      <c r="K342" t="s">
        <v>30</v>
      </c>
    </row>
    <row r="343" spans="1:11">
      <c r="A343" t="s">
        <v>517</v>
      </c>
      <c r="B343">
        <v>1977</v>
      </c>
      <c r="C343" t="s">
        <v>56</v>
      </c>
      <c r="D343">
        <v>73.650000000000006</v>
      </c>
      <c r="E343">
        <v>202.5</v>
      </c>
      <c r="F343">
        <v>132.5</v>
      </c>
      <c r="G343">
        <v>240</v>
      </c>
      <c r="H343">
        <v>575</v>
      </c>
      <c r="I343">
        <v>2013</v>
      </c>
      <c r="J343" t="s">
        <v>29</v>
      </c>
      <c r="K343" t="s">
        <v>30</v>
      </c>
    </row>
    <row r="344" spans="1:11">
      <c r="A344" t="s">
        <v>167</v>
      </c>
      <c r="B344">
        <v>1978</v>
      </c>
      <c r="C344" t="s">
        <v>85</v>
      </c>
      <c r="D344">
        <v>58.3</v>
      </c>
      <c r="E344">
        <v>215</v>
      </c>
      <c r="F344">
        <v>152.5</v>
      </c>
      <c r="G344">
        <v>205</v>
      </c>
      <c r="H344">
        <v>572.5</v>
      </c>
      <c r="I344">
        <v>2014</v>
      </c>
      <c r="J344" t="s">
        <v>29</v>
      </c>
      <c r="K344" t="s">
        <v>30</v>
      </c>
    </row>
    <row r="345" spans="1:11">
      <c r="A345" t="s">
        <v>479</v>
      </c>
      <c r="B345">
        <v>1982</v>
      </c>
      <c r="C345" t="s">
        <v>480</v>
      </c>
      <c r="D345">
        <v>73.25</v>
      </c>
      <c r="E345">
        <v>200</v>
      </c>
      <c r="F345">
        <v>130</v>
      </c>
      <c r="G345">
        <v>240</v>
      </c>
      <c r="H345">
        <v>570</v>
      </c>
      <c r="I345">
        <v>2013</v>
      </c>
      <c r="J345" t="s">
        <v>29</v>
      </c>
      <c r="K345" t="s">
        <v>30</v>
      </c>
    </row>
    <row r="346" spans="1:11">
      <c r="A346" t="s">
        <v>167</v>
      </c>
      <c r="B346">
        <v>1978</v>
      </c>
      <c r="C346" t="s">
        <v>85</v>
      </c>
      <c r="D346">
        <v>58.55</v>
      </c>
      <c r="E346">
        <v>215</v>
      </c>
      <c r="F346">
        <v>147.5</v>
      </c>
      <c r="G346">
        <v>207.5</v>
      </c>
      <c r="H346">
        <v>570</v>
      </c>
      <c r="I346">
        <v>2013</v>
      </c>
      <c r="J346" t="s">
        <v>29</v>
      </c>
      <c r="K346" t="s">
        <v>30</v>
      </c>
    </row>
    <row r="347" spans="1:11">
      <c r="A347" t="s">
        <v>710</v>
      </c>
      <c r="B347">
        <v>1981</v>
      </c>
      <c r="C347" t="s">
        <v>711</v>
      </c>
      <c r="D347">
        <v>65.2</v>
      </c>
      <c r="E347">
        <v>210</v>
      </c>
      <c r="F347">
        <v>132.5</v>
      </c>
      <c r="G347">
        <v>225</v>
      </c>
      <c r="H347">
        <v>567.5</v>
      </c>
      <c r="I347">
        <v>2015</v>
      </c>
      <c r="J347" t="s">
        <v>29</v>
      </c>
      <c r="K347" t="s">
        <v>30</v>
      </c>
    </row>
    <row r="348" spans="1:11">
      <c r="A348" t="s">
        <v>167</v>
      </c>
      <c r="B348">
        <v>1978</v>
      </c>
      <c r="C348" t="s">
        <v>85</v>
      </c>
      <c r="D348">
        <v>58.3</v>
      </c>
      <c r="E348">
        <v>215</v>
      </c>
      <c r="F348">
        <v>147.5</v>
      </c>
      <c r="G348">
        <v>205</v>
      </c>
      <c r="H348">
        <v>567.5</v>
      </c>
      <c r="I348">
        <v>2015</v>
      </c>
      <c r="J348" t="s">
        <v>29</v>
      </c>
      <c r="K348" t="s">
        <v>30</v>
      </c>
    </row>
    <row r="349" spans="1:11">
      <c r="A349" t="s">
        <v>612</v>
      </c>
      <c r="B349">
        <v>1979</v>
      </c>
      <c r="C349" t="s">
        <v>137</v>
      </c>
      <c r="D349">
        <v>58.48</v>
      </c>
      <c r="E349">
        <v>195</v>
      </c>
      <c r="F349">
        <v>135</v>
      </c>
      <c r="G349">
        <v>235</v>
      </c>
      <c r="H349">
        <v>565</v>
      </c>
      <c r="I349">
        <v>2015</v>
      </c>
      <c r="J349" t="s">
        <v>29</v>
      </c>
      <c r="K349" t="s">
        <v>30</v>
      </c>
    </row>
    <row r="350" spans="1:11">
      <c r="A350" t="s">
        <v>70</v>
      </c>
      <c r="B350">
        <v>1979</v>
      </c>
      <c r="C350" t="s">
        <v>51</v>
      </c>
      <c r="D350">
        <v>81.2</v>
      </c>
      <c r="E350">
        <v>177.5</v>
      </c>
      <c r="F350">
        <v>137.5</v>
      </c>
      <c r="G350">
        <v>250</v>
      </c>
      <c r="H350">
        <v>565</v>
      </c>
      <c r="I350">
        <v>2012</v>
      </c>
      <c r="J350" t="s">
        <v>29</v>
      </c>
      <c r="K350" t="s">
        <v>30</v>
      </c>
    </row>
    <row r="351" spans="1:11">
      <c r="A351" t="s">
        <v>153</v>
      </c>
      <c r="B351">
        <v>1984</v>
      </c>
      <c r="C351" t="s">
        <v>74</v>
      </c>
      <c r="D351">
        <v>65.7</v>
      </c>
      <c r="E351">
        <v>187.5</v>
      </c>
      <c r="F351">
        <v>140</v>
      </c>
      <c r="G351">
        <v>235</v>
      </c>
      <c r="H351">
        <v>562.5</v>
      </c>
      <c r="I351">
        <v>2012</v>
      </c>
      <c r="J351" t="s">
        <v>29</v>
      </c>
      <c r="K351" t="s">
        <v>30</v>
      </c>
    </row>
    <row r="352" spans="1:11">
      <c r="A352" t="s">
        <v>662</v>
      </c>
      <c r="B352">
        <v>1981</v>
      </c>
      <c r="C352" t="s">
        <v>77</v>
      </c>
      <c r="D352">
        <v>73.77</v>
      </c>
      <c r="E352">
        <v>182.5</v>
      </c>
      <c r="F352">
        <v>160</v>
      </c>
      <c r="G352">
        <v>220</v>
      </c>
      <c r="H352">
        <v>562.5</v>
      </c>
      <c r="I352">
        <v>2015</v>
      </c>
      <c r="J352" t="s">
        <v>29</v>
      </c>
      <c r="K352" t="s">
        <v>30</v>
      </c>
    </row>
    <row r="353" spans="1:11">
      <c r="A353" t="s">
        <v>802</v>
      </c>
      <c r="B353">
        <v>1989</v>
      </c>
      <c r="C353" t="s">
        <v>51</v>
      </c>
      <c r="D353">
        <v>72.8</v>
      </c>
      <c r="E353">
        <v>195</v>
      </c>
      <c r="F353">
        <v>130</v>
      </c>
      <c r="G353">
        <v>235</v>
      </c>
      <c r="H353">
        <v>560</v>
      </c>
      <c r="I353">
        <v>2014</v>
      </c>
      <c r="J353" t="s">
        <v>29</v>
      </c>
      <c r="K353" t="s">
        <v>30</v>
      </c>
    </row>
    <row r="354" spans="1:11">
      <c r="A354" t="s">
        <v>607</v>
      </c>
      <c r="B354">
        <v>1983</v>
      </c>
      <c r="C354" t="s">
        <v>282</v>
      </c>
      <c r="D354">
        <v>58.45</v>
      </c>
      <c r="E354">
        <v>200</v>
      </c>
      <c r="F354">
        <v>140</v>
      </c>
      <c r="G354">
        <v>220</v>
      </c>
      <c r="H354">
        <v>560</v>
      </c>
      <c r="I354">
        <v>2014</v>
      </c>
      <c r="J354" t="s">
        <v>29</v>
      </c>
      <c r="K354" t="s">
        <v>30</v>
      </c>
    </row>
    <row r="355" spans="1:11">
      <c r="A355" t="s">
        <v>767</v>
      </c>
      <c r="B355">
        <v>1982</v>
      </c>
      <c r="C355" t="s">
        <v>77</v>
      </c>
      <c r="D355">
        <v>73.05</v>
      </c>
      <c r="E355">
        <v>215</v>
      </c>
      <c r="F355">
        <v>132.5</v>
      </c>
      <c r="G355">
        <v>210</v>
      </c>
      <c r="H355">
        <v>557.5</v>
      </c>
      <c r="I355">
        <v>2013</v>
      </c>
      <c r="J355" t="s">
        <v>29</v>
      </c>
      <c r="K355" t="s">
        <v>30</v>
      </c>
    </row>
    <row r="356" spans="1:11">
      <c r="A356" t="s">
        <v>770</v>
      </c>
      <c r="B356">
        <v>1986</v>
      </c>
      <c r="C356" t="s">
        <v>51</v>
      </c>
      <c r="D356">
        <v>64.55</v>
      </c>
      <c r="E356">
        <v>187.5</v>
      </c>
      <c r="F356">
        <v>140</v>
      </c>
      <c r="G356">
        <v>230</v>
      </c>
      <c r="H356">
        <v>557.5</v>
      </c>
      <c r="I356">
        <v>2014</v>
      </c>
      <c r="J356" t="s">
        <v>29</v>
      </c>
      <c r="K356" t="s">
        <v>30</v>
      </c>
    </row>
    <row r="357" spans="1:11">
      <c r="A357" t="s">
        <v>106</v>
      </c>
      <c r="B357">
        <v>1978</v>
      </c>
      <c r="C357" t="s">
        <v>32</v>
      </c>
      <c r="D357">
        <v>80.7</v>
      </c>
      <c r="E357">
        <v>170</v>
      </c>
      <c r="F357">
        <v>160</v>
      </c>
      <c r="G357">
        <v>225</v>
      </c>
      <c r="H357">
        <v>555</v>
      </c>
      <c r="I357">
        <v>2012</v>
      </c>
      <c r="J357" t="s">
        <v>29</v>
      </c>
      <c r="K357" t="s">
        <v>30</v>
      </c>
    </row>
    <row r="358" spans="1:11">
      <c r="A358" t="s">
        <v>122</v>
      </c>
      <c r="B358">
        <v>1977</v>
      </c>
      <c r="C358" t="s">
        <v>77</v>
      </c>
      <c r="D358">
        <v>65.25</v>
      </c>
      <c r="E358">
        <v>185</v>
      </c>
      <c r="F358">
        <v>127.5</v>
      </c>
      <c r="G358">
        <v>237.5</v>
      </c>
      <c r="H358">
        <v>550</v>
      </c>
      <c r="I358">
        <v>2013</v>
      </c>
      <c r="J358" t="s">
        <v>29</v>
      </c>
      <c r="K358" t="s">
        <v>30</v>
      </c>
    </row>
    <row r="359" spans="1:11">
      <c r="A359" t="s">
        <v>453</v>
      </c>
      <c r="B359">
        <v>1979</v>
      </c>
      <c r="C359" t="s">
        <v>289</v>
      </c>
      <c r="D359">
        <v>92.36</v>
      </c>
      <c r="E359">
        <v>182.5</v>
      </c>
      <c r="F359">
        <v>137.5</v>
      </c>
      <c r="G359">
        <v>230</v>
      </c>
      <c r="H359">
        <v>550</v>
      </c>
      <c r="I359">
        <v>2015</v>
      </c>
      <c r="J359" t="s">
        <v>29</v>
      </c>
      <c r="K359" t="s">
        <v>30</v>
      </c>
    </row>
    <row r="360" spans="1:11">
      <c r="A360" t="s">
        <v>167</v>
      </c>
      <c r="B360">
        <v>1978</v>
      </c>
      <c r="C360" t="s">
        <v>85</v>
      </c>
      <c r="D360">
        <v>57.8</v>
      </c>
      <c r="E360">
        <v>202.5</v>
      </c>
      <c r="F360">
        <v>145</v>
      </c>
      <c r="G360">
        <v>200</v>
      </c>
      <c r="H360">
        <v>547.5</v>
      </c>
      <c r="I360">
        <v>2012</v>
      </c>
      <c r="J360" t="s">
        <v>29</v>
      </c>
      <c r="K360" t="s">
        <v>30</v>
      </c>
    </row>
    <row r="361" spans="1:11">
      <c r="A361" t="s">
        <v>818</v>
      </c>
      <c r="B361">
        <v>1986</v>
      </c>
      <c r="C361" t="s">
        <v>39</v>
      </c>
      <c r="D361">
        <v>65.239999999999995</v>
      </c>
      <c r="E361">
        <v>195</v>
      </c>
      <c r="F361">
        <v>152.5</v>
      </c>
      <c r="G361">
        <v>200</v>
      </c>
      <c r="H361">
        <v>547.5</v>
      </c>
      <c r="I361">
        <v>2015</v>
      </c>
      <c r="J361" t="s">
        <v>29</v>
      </c>
      <c r="K361" t="s">
        <v>30</v>
      </c>
    </row>
    <row r="362" spans="1:11">
      <c r="A362" t="s">
        <v>457</v>
      </c>
      <c r="B362">
        <v>1980</v>
      </c>
      <c r="C362" t="s">
        <v>77</v>
      </c>
      <c r="D362">
        <v>58.47</v>
      </c>
      <c r="E362">
        <v>185</v>
      </c>
      <c r="F362">
        <v>140</v>
      </c>
      <c r="G362">
        <v>220</v>
      </c>
      <c r="H362">
        <v>545</v>
      </c>
      <c r="I362">
        <v>2015</v>
      </c>
      <c r="J362" t="s">
        <v>29</v>
      </c>
      <c r="K362" t="s">
        <v>30</v>
      </c>
    </row>
    <row r="363" spans="1:11">
      <c r="A363" t="s">
        <v>88</v>
      </c>
      <c r="B363">
        <v>1967</v>
      </c>
      <c r="C363" t="s">
        <v>35</v>
      </c>
      <c r="D363">
        <v>65.8</v>
      </c>
      <c r="E363">
        <v>180</v>
      </c>
      <c r="F363">
        <v>130</v>
      </c>
      <c r="G363">
        <v>232.5</v>
      </c>
      <c r="H363">
        <v>542.5</v>
      </c>
      <c r="I363">
        <v>2012</v>
      </c>
      <c r="J363" t="s">
        <v>29</v>
      </c>
      <c r="K363" t="s">
        <v>30</v>
      </c>
    </row>
    <row r="364" spans="1:11">
      <c r="A364" t="s">
        <v>103</v>
      </c>
      <c r="B364">
        <v>1966</v>
      </c>
      <c r="C364" t="s">
        <v>62</v>
      </c>
      <c r="D364">
        <v>58.55</v>
      </c>
      <c r="E364">
        <v>187.5</v>
      </c>
      <c r="F364">
        <v>100</v>
      </c>
      <c r="G364">
        <v>252.5</v>
      </c>
      <c r="H364">
        <v>540</v>
      </c>
      <c r="I364">
        <v>2012</v>
      </c>
      <c r="J364" t="s">
        <v>29</v>
      </c>
      <c r="K364" t="s">
        <v>30</v>
      </c>
    </row>
    <row r="365" spans="1:11">
      <c r="A365" t="s">
        <v>457</v>
      </c>
      <c r="B365">
        <v>1980</v>
      </c>
      <c r="C365" t="s">
        <v>77</v>
      </c>
      <c r="D365">
        <v>58.7</v>
      </c>
      <c r="E365">
        <v>185</v>
      </c>
      <c r="F365">
        <v>140</v>
      </c>
      <c r="G365">
        <v>215</v>
      </c>
      <c r="H365">
        <v>540</v>
      </c>
      <c r="I365">
        <v>2014</v>
      </c>
      <c r="J365" t="s">
        <v>29</v>
      </c>
      <c r="K365" t="s">
        <v>30</v>
      </c>
    </row>
    <row r="366" spans="1:11">
      <c r="A366" t="s">
        <v>107</v>
      </c>
      <c r="B366">
        <v>1982</v>
      </c>
      <c r="C366" t="s">
        <v>42</v>
      </c>
      <c r="D366">
        <v>58.5</v>
      </c>
      <c r="E366">
        <v>210</v>
      </c>
      <c r="F366">
        <v>110</v>
      </c>
      <c r="G366">
        <v>215</v>
      </c>
      <c r="H366">
        <v>535</v>
      </c>
      <c r="I366">
        <v>2014</v>
      </c>
      <c r="J366" t="s">
        <v>29</v>
      </c>
      <c r="K366" t="s">
        <v>30</v>
      </c>
    </row>
    <row r="367" spans="1:11">
      <c r="A367" t="s">
        <v>114</v>
      </c>
      <c r="B367">
        <v>1975</v>
      </c>
      <c r="C367" t="s">
        <v>56</v>
      </c>
      <c r="D367">
        <v>65.900000000000006</v>
      </c>
      <c r="E367">
        <v>180</v>
      </c>
      <c r="F367">
        <v>100</v>
      </c>
      <c r="G367">
        <v>255</v>
      </c>
      <c r="H367">
        <v>535</v>
      </c>
      <c r="I367">
        <v>2014</v>
      </c>
      <c r="J367" t="s">
        <v>29</v>
      </c>
      <c r="K367" t="s">
        <v>30</v>
      </c>
    </row>
    <row r="368" spans="1:11">
      <c r="A368" t="s">
        <v>122</v>
      </c>
      <c r="B368">
        <v>1977</v>
      </c>
      <c r="C368" t="s">
        <v>77</v>
      </c>
      <c r="D368">
        <v>65.599999999999994</v>
      </c>
      <c r="E368">
        <v>185</v>
      </c>
      <c r="F368">
        <v>120</v>
      </c>
      <c r="G368">
        <v>230</v>
      </c>
      <c r="H368">
        <v>535</v>
      </c>
      <c r="I368">
        <v>2012</v>
      </c>
      <c r="J368" t="s">
        <v>29</v>
      </c>
      <c r="K368" t="s">
        <v>30</v>
      </c>
    </row>
    <row r="369" spans="1:11">
      <c r="A369" t="s">
        <v>700</v>
      </c>
      <c r="B369">
        <v>1981</v>
      </c>
      <c r="C369" t="s">
        <v>194</v>
      </c>
      <c r="D369">
        <v>64.2</v>
      </c>
      <c r="E369">
        <v>185</v>
      </c>
      <c r="F369">
        <v>130</v>
      </c>
      <c r="G369">
        <v>220</v>
      </c>
      <c r="H369">
        <v>535</v>
      </c>
      <c r="I369">
        <v>2014</v>
      </c>
      <c r="J369" t="s">
        <v>29</v>
      </c>
      <c r="K369" t="s">
        <v>30</v>
      </c>
    </row>
    <row r="370" spans="1:11">
      <c r="A370" t="s">
        <v>639</v>
      </c>
      <c r="B370">
        <v>1975</v>
      </c>
      <c r="C370" t="s">
        <v>77</v>
      </c>
      <c r="D370">
        <v>64.7</v>
      </c>
      <c r="E370">
        <v>180</v>
      </c>
      <c r="F370">
        <v>120</v>
      </c>
      <c r="G370">
        <v>230</v>
      </c>
      <c r="H370">
        <v>530</v>
      </c>
      <c r="I370">
        <v>2013</v>
      </c>
      <c r="J370" t="s">
        <v>29</v>
      </c>
      <c r="K370" t="s">
        <v>30</v>
      </c>
    </row>
    <row r="371" spans="1:11">
      <c r="A371" t="s">
        <v>403</v>
      </c>
      <c r="B371">
        <v>1983</v>
      </c>
      <c r="C371" t="s">
        <v>51</v>
      </c>
      <c r="D371">
        <v>73.25</v>
      </c>
      <c r="E371">
        <v>185</v>
      </c>
      <c r="F371">
        <v>145</v>
      </c>
      <c r="G371">
        <v>200</v>
      </c>
      <c r="H371">
        <v>530</v>
      </c>
      <c r="I371">
        <v>2013</v>
      </c>
      <c r="J371" t="s">
        <v>29</v>
      </c>
      <c r="K371" t="s">
        <v>30</v>
      </c>
    </row>
    <row r="372" spans="1:11">
      <c r="A372" t="s">
        <v>107</v>
      </c>
      <c r="B372">
        <v>1982</v>
      </c>
      <c r="C372" t="s">
        <v>42</v>
      </c>
      <c r="D372">
        <v>59</v>
      </c>
      <c r="E372">
        <v>200</v>
      </c>
      <c r="F372">
        <v>110</v>
      </c>
      <c r="G372">
        <v>217.5</v>
      </c>
      <c r="H372">
        <v>527.5</v>
      </c>
      <c r="I372">
        <v>2012</v>
      </c>
      <c r="J372" t="s">
        <v>29</v>
      </c>
      <c r="K372" t="s">
        <v>30</v>
      </c>
    </row>
    <row r="373" spans="1:11">
      <c r="A373" t="s">
        <v>453</v>
      </c>
      <c r="B373">
        <v>1979</v>
      </c>
      <c r="C373" t="s">
        <v>289</v>
      </c>
      <c r="D373">
        <v>90.45</v>
      </c>
      <c r="E373">
        <v>170</v>
      </c>
      <c r="F373">
        <v>132.5</v>
      </c>
      <c r="G373">
        <v>225</v>
      </c>
      <c r="H373">
        <v>527.5</v>
      </c>
      <c r="I373">
        <v>2014</v>
      </c>
      <c r="J373" t="s">
        <v>29</v>
      </c>
      <c r="K373" t="s">
        <v>30</v>
      </c>
    </row>
    <row r="374" spans="1:11">
      <c r="A374" t="s">
        <v>103</v>
      </c>
      <c r="B374">
        <v>1966</v>
      </c>
      <c r="C374" t="s">
        <v>62</v>
      </c>
      <c r="D374">
        <v>58.75</v>
      </c>
      <c r="E374">
        <v>192.5</v>
      </c>
      <c r="F374">
        <v>100</v>
      </c>
      <c r="G374">
        <v>230</v>
      </c>
      <c r="H374">
        <v>522.5</v>
      </c>
      <c r="I374">
        <v>2013</v>
      </c>
      <c r="J374" t="s">
        <v>29</v>
      </c>
      <c r="K374" t="s">
        <v>30</v>
      </c>
    </row>
    <row r="375" spans="1:11">
      <c r="A375" t="s">
        <v>114</v>
      </c>
      <c r="B375">
        <v>1975</v>
      </c>
      <c r="C375" t="s">
        <v>56</v>
      </c>
      <c r="D375">
        <v>65.45</v>
      </c>
      <c r="E375">
        <v>172.5</v>
      </c>
      <c r="F375">
        <v>97.5</v>
      </c>
      <c r="G375">
        <v>250</v>
      </c>
      <c r="H375">
        <v>520</v>
      </c>
      <c r="I375">
        <v>2012</v>
      </c>
      <c r="J375" t="s">
        <v>29</v>
      </c>
      <c r="K375" t="s">
        <v>30</v>
      </c>
    </row>
    <row r="376" spans="1:11">
      <c r="A376" t="s">
        <v>356</v>
      </c>
      <c r="B376">
        <v>1978</v>
      </c>
      <c r="C376" t="s">
        <v>357</v>
      </c>
      <c r="D376">
        <v>84.95</v>
      </c>
      <c r="E376">
        <v>160</v>
      </c>
      <c r="F376">
        <v>180</v>
      </c>
      <c r="G376">
        <v>180</v>
      </c>
      <c r="H376">
        <v>520</v>
      </c>
      <c r="I376">
        <v>2013</v>
      </c>
      <c r="J376" t="s">
        <v>29</v>
      </c>
      <c r="K376" t="s">
        <v>30</v>
      </c>
    </row>
    <row r="377" spans="1:11">
      <c r="A377" t="s">
        <v>63</v>
      </c>
      <c r="B377">
        <v>1989</v>
      </c>
      <c r="C377" t="s">
        <v>56</v>
      </c>
      <c r="D377">
        <v>73.849999999999994</v>
      </c>
      <c r="E377">
        <v>187.5</v>
      </c>
      <c r="F377">
        <v>102.5</v>
      </c>
      <c r="G377">
        <v>227.5</v>
      </c>
      <c r="H377">
        <v>517.5</v>
      </c>
      <c r="I377">
        <v>2012</v>
      </c>
      <c r="J377" t="s">
        <v>29</v>
      </c>
      <c r="K377" t="s">
        <v>30</v>
      </c>
    </row>
    <row r="378" spans="1:11">
      <c r="A378" t="s">
        <v>442</v>
      </c>
      <c r="B378">
        <v>1990</v>
      </c>
      <c r="C378" t="s">
        <v>163</v>
      </c>
      <c r="D378">
        <v>65.87</v>
      </c>
      <c r="E378">
        <v>175</v>
      </c>
      <c r="F378">
        <v>122.5</v>
      </c>
      <c r="G378">
        <v>220</v>
      </c>
      <c r="H378">
        <v>517.5</v>
      </c>
      <c r="I378">
        <v>2015</v>
      </c>
      <c r="J378" t="s">
        <v>29</v>
      </c>
      <c r="K378" t="s">
        <v>30</v>
      </c>
    </row>
    <row r="379" spans="1:11">
      <c r="A379" t="s">
        <v>397</v>
      </c>
      <c r="B379">
        <v>1989</v>
      </c>
      <c r="C379" t="s">
        <v>194</v>
      </c>
      <c r="D379">
        <v>64.319999999999993</v>
      </c>
      <c r="E379">
        <v>172.5</v>
      </c>
      <c r="F379">
        <v>140</v>
      </c>
      <c r="G379">
        <v>202.5</v>
      </c>
      <c r="H379">
        <v>515</v>
      </c>
      <c r="I379">
        <v>2015</v>
      </c>
      <c r="J379" t="s">
        <v>29</v>
      </c>
      <c r="K379" t="s">
        <v>30</v>
      </c>
    </row>
    <row r="380" spans="1:11">
      <c r="A380" t="s">
        <v>582</v>
      </c>
      <c r="B380">
        <v>1985</v>
      </c>
      <c r="C380" t="s">
        <v>365</v>
      </c>
      <c r="D380">
        <v>73.63</v>
      </c>
      <c r="E380">
        <v>175</v>
      </c>
      <c r="F380">
        <v>155</v>
      </c>
      <c r="G380">
        <v>185</v>
      </c>
      <c r="H380">
        <v>515</v>
      </c>
      <c r="I380">
        <v>2015</v>
      </c>
      <c r="J380" t="s">
        <v>29</v>
      </c>
      <c r="K380" t="s">
        <v>30</v>
      </c>
    </row>
    <row r="381" spans="1:11">
      <c r="A381" t="s">
        <v>661</v>
      </c>
      <c r="B381">
        <v>1986</v>
      </c>
      <c r="C381" t="s">
        <v>62</v>
      </c>
      <c r="D381">
        <v>58.29</v>
      </c>
      <c r="E381">
        <v>182.5</v>
      </c>
      <c r="F381">
        <v>127.5</v>
      </c>
      <c r="G381">
        <v>202.5</v>
      </c>
      <c r="H381">
        <v>512.5</v>
      </c>
      <c r="I381">
        <v>2015</v>
      </c>
      <c r="J381" t="s">
        <v>29</v>
      </c>
      <c r="K381" t="s">
        <v>30</v>
      </c>
    </row>
    <row r="382" spans="1:11">
      <c r="A382" t="s">
        <v>477</v>
      </c>
      <c r="B382">
        <v>1985</v>
      </c>
      <c r="C382" t="s">
        <v>194</v>
      </c>
      <c r="D382">
        <v>63.3</v>
      </c>
      <c r="E382">
        <v>167.5</v>
      </c>
      <c r="F382">
        <v>100</v>
      </c>
      <c r="G382">
        <v>235</v>
      </c>
      <c r="H382">
        <v>502.5</v>
      </c>
      <c r="I382">
        <v>2014</v>
      </c>
      <c r="J382" t="s">
        <v>29</v>
      </c>
      <c r="K382" t="s">
        <v>30</v>
      </c>
    </row>
    <row r="383" spans="1:11">
      <c r="A383" t="s">
        <v>687</v>
      </c>
      <c r="B383">
        <v>1990</v>
      </c>
      <c r="C383" t="s">
        <v>576</v>
      </c>
      <c r="D383">
        <v>65.430000000000007</v>
      </c>
      <c r="E383">
        <v>182.5</v>
      </c>
      <c r="F383">
        <v>110</v>
      </c>
      <c r="G383">
        <v>210</v>
      </c>
      <c r="H383">
        <v>502.5</v>
      </c>
      <c r="I383">
        <v>2015</v>
      </c>
      <c r="J383" t="s">
        <v>29</v>
      </c>
      <c r="K383" t="s">
        <v>30</v>
      </c>
    </row>
    <row r="384" spans="1:11">
      <c r="A384" t="s">
        <v>76</v>
      </c>
      <c r="B384">
        <v>1991</v>
      </c>
      <c r="C384" t="s">
        <v>77</v>
      </c>
      <c r="D384">
        <v>66.45</v>
      </c>
      <c r="E384">
        <v>170</v>
      </c>
      <c r="F384">
        <v>115</v>
      </c>
      <c r="G384">
        <v>215</v>
      </c>
      <c r="H384">
        <v>500</v>
      </c>
      <c r="I384">
        <v>2012</v>
      </c>
      <c r="J384" t="s">
        <v>29</v>
      </c>
      <c r="K384" t="s">
        <v>30</v>
      </c>
    </row>
    <row r="385" spans="1:11">
      <c r="A385" t="s">
        <v>115</v>
      </c>
      <c r="B385">
        <v>1994</v>
      </c>
      <c r="C385" t="s">
        <v>56</v>
      </c>
      <c r="D385">
        <v>73.849999999999994</v>
      </c>
      <c r="E385">
        <v>185</v>
      </c>
      <c r="F385">
        <v>102.5</v>
      </c>
      <c r="G385">
        <v>210</v>
      </c>
      <c r="H385">
        <v>497.5</v>
      </c>
      <c r="I385">
        <v>2012</v>
      </c>
      <c r="J385" t="s">
        <v>29</v>
      </c>
      <c r="K385" t="s">
        <v>30</v>
      </c>
    </row>
    <row r="386" spans="1:11">
      <c r="A386" t="s">
        <v>493</v>
      </c>
      <c r="B386">
        <v>1989</v>
      </c>
      <c r="C386" t="s">
        <v>282</v>
      </c>
      <c r="D386">
        <v>57.95</v>
      </c>
      <c r="E386">
        <v>167.5</v>
      </c>
      <c r="F386">
        <v>125</v>
      </c>
      <c r="G386">
        <v>205</v>
      </c>
      <c r="H386">
        <v>497.5</v>
      </c>
      <c r="I386">
        <v>2014</v>
      </c>
      <c r="J386" t="s">
        <v>29</v>
      </c>
      <c r="K386" t="s">
        <v>30</v>
      </c>
    </row>
    <row r="387" spans="1:11">
      <c r="A387" t="s">
        <v>102</v>
      </c>
      <c r="B387">
        <v>1985</v>
      </c>
      <c r="C387" t="s">
        <v>62</v>
      </c>
      <c r="D387">
        <v>58.7</v>
      </c>
      <c r="E387">
        <v>225</v>
      </c>
      <c r="F387">
        <v>97.5</v>
      </c>
      <c r="G387">
        <v>172.5</v>
      </c>
      <c r="H387">
        <v>495</v>
      </c>
      <c r="I387">
        <v>2012</v>
      </c>
      <c r="J387" t="s">
        <v>29</v>
      </c>
      <c r="K387" t="s">
        <v>30</v>
      </c>
    </row>
    <row r="388" spans="1:11">
      <c r="A388" t="s">
        <v>121</v>
      </c>
      <c r="B388">
        <v>1967</v>
      </c>
      <c r="C388" t="s">
        <v>77</v>
      </c>
      <c r="D388">
        <v>58.5</v>
      </c>
      <c r="E388">
        <v>165</v>
      </c>
      <c r="F388">
        <v>130</v>
      </c>
      <c r="G388">
        <v>200</v>
      </c>
      <c r="H388">
        <v>495</v>
      </c>
      <c r="I388">
        <v>2013</v>
      </c>
      <c r="J388" t="s">
        <v>29</v>
      </c>
      <c r="K388" t="s">
        <v>30</v>
      </c>
    </row>
    <row r="389" spans="1:11">
      <c r="A389" t="s">
        <v>87</v>
      </c>
      <c r="B389">
        <v>1987</v>
      </c>
      <c r="C389" t="s">
        <v>85</v>
      </c>
      <c r="D389">
        <v>65.95</v>
      </c>
      <c r="E389">
        <v>160</v>
      </c>
      <c r="F389">
        <v>135</v>
      </c>
      <c r="G389">
        <v>200</v>
      </c>
      <c r="H389">
        <v>495</v>
      </c>
      <c r="I389">
        <v>2012</v>
      </c>
      <c r="J389" t="s">
        <v>29</v>
      </c>
      <c r="K389" t="s">
        <v>30</v>
      </c>
    </row>
    <row r="390" spans="1:11">
      <c r="A390" t="s">
        <v>121</v>
      </c>
      <c r="B390">
        <v>1967</v>
      </c>
      <c r="C390" t="s">
        <v>77</v>
      </c>
      <c r="D390">
        <v>58.6</v>
      </c>
      <c r="E390">
        <v>165</v>
      </c>
      <c r="F390">
        <v>125</v>
      </c>
      <c r="G390">
        <v>200</v>
      </c>
      <c r="H390">
        <v>490</v>
      </c>
      <c r="I390">
        <v>2012</v>
      </c>
      <c r="J390" t="s">
        <v>29</v>
      </c>
      <c r="K390" t="s">
        <v>30</v>
      </c>
    </row>
    <row r="391" spans="1:11">
      <c r="A391" t="s">
        <v>103</v>
      </c>
      <c r="B391">
        <v>1966</v>
      </c>
      <c r="C391" t="s">
        <v>62</v>
      </c>
      <c r="D391">
        <v>58.55</v>
      </c>
      <c r="E391">
        <v>172.5</v>
      </c>
      <c r="F391">
        <v>75</v>
      </c>
      <c r="G391">
        <v>235</v>
      </c>
      <c r="H391">
        <v>482.5</v>
      </c>
      <c r="I391">
        <v>2014</v>
      </c>
      <c r="J391" t="s">
        <v>29</v>
      </c>
      <c r="K391" t="s">
        <v>30</v>
      </c>
    </row>
    <row r="392" spans="1:11">
      <c r="A392" t="s">
        <v>356</v>
      </c>
      <c r="B392">
        <v>1978</v>
      </c>
      <c r="C392" t="s">
        <v>357</v>
      </c>
      <c r="D392">
        <v>81.45</v>
      </c>
      <c r="E392">
        <v>140</v>
      </c>
      <c r="F392">
        <v>175</v>
      </c>
      <c r="G392">
        <v>160</v>
      </c>
      <c r="H392">
        <v>475</v>
      </c>
      <c r="I392">
        <v>2014</v>
      </c>
      <c r="J392" t="s">
        <v>29</v>
      </c>
      <c r="K392" t="s">
        <v>30</v>
      </c>
    </row>
    <row r="393" spans="1:11">
      <c r="A393" t="s">
        <v>549</v>
      </c>
      <c r="B393">
        <v>1989</v>
      </c>
      <c r="C393" t="s">
        <v>51</v>
      </c>
      <c r="D393">
        <v>57.75</v>
      </c>
      <c r="E393">
        <v>155</v>
      </c>
      <c r="F393">
        <v>80</v>
      </c>
      <c r="G393">
        <v>225</v>
      </c>
      <c r="H393">
        <v>460</v>
      </c>
      <c r="I393">
        <v>2014</v>
      </c>
      <c r="J393" t="s">
        <v>29</v>
      </c>
      <c r="K393" t="s">
        <v>30</v>
      </c>
    </row>
    <row r="394" spans="1:11">
      <c r="A394" t="s">
        <v>168</v>
      </c>
      <c r="B394">
        <v>1969</v>
      </c>
      <c r="C394" t="s">
        <v>35</v>
      </c>
      <c r="D394">
        <v>58.9</v>
      </c>
      <c r="E394">
        <v>155</v>
      </c>
      <c r="F394">
        <v>87.5</v>
      </c>
      <c r="G394">
        <v>215</v>
      </c>
      <c r="H394">
        <v>457.5</v>
      </c>
      <c r="I394">
        <v>2012</v>
      </c>
      <c r="J394" t="s">
        <v>29</v>
      </c>
      <c r="K394" t="s">
        <v>30</v>
      </c>
    </row>
    <row r="395" spans="1:11">
      <c r="A395" t="s">
        <v>165</v>
      </c>
      <c r="B395">
        <v>1978</v>
      </c>
      <c r="C395" t="s">
        <v>51</v>
      </c>
      <c r="D395">
        <v>63.3</v>
      </c>
      <c r="E395">
        <v>150</v>
      </c>
      <c r="F395">
        <v>112.5</v>
      </c>
      <c r="G395">
        <v>182.5</v>
      </c>
      <c r="H395">
        <v>445</v>
      </c>
      <c r="I395">
        <v>2012</v>
      </c>
      <c r="J395" t="s">
        <v>29</v>
      </c>
      <c r="K395" t="s">
        <v>30</v>
      </c>
    </row>
    <row r="397" spans="1:11">
      <c r="A397" t="s">
        <v>262</v>
      </c>
      <c r="B397">
        <v>1988</v>
      </c>
      <c r="C397" t="s">
        <v>62</v>
      </c>
      <c r="D397">
        <v>130.29</v>
      </c>
      <c r="E397">
        <v>247.5</v>
      </c>
      <c r="F397">
        <v>145.5</v>
      </c>
      <c r="G397">
        <v>222.5</v>
      </c>
      <c r="H397">
        <v>615.5</v>
      </c>
      <c r="I397">
        <v>2015</v>
      </c>
      <c r="J397" t="s">
        <v>852</v>
      </c>
      <c r="K397" t="s">
        <v>30</v>
      </c>
    </row>
    <row r="398" spans="1:11">
      <c r="A398" t="s">
        <v>880</v>
      </c>
      <c r="B398">
        <v>1988</v>
      </c>
      <c r="C398" t="s">
        <v>62</v>
      </c>
      <c r="D398">
        <v>121.8</v>
      </c>
      <c r="E398">
        <v>230</v>
      </c>
      <c r="F398">
        <v>112.5</v>
      </c>
      <c r="G398">
        <v>217.5</v>
      </c>
      <c r="H398">
        <v>560</v>
      </c>
      <c r="I398">
        <v>2014</v>
      </c>
      <c r="J398" t="s">
        <v>852</v>
      </c>
      <c r="K398" t="s">
        <v>30</v>
      </c>
    </row>
    <row r="399" spans="1:11">
      <c r="A399" t="s">
        <v>290</v>
      </c>
      <c r="B399">
        <v>1980</v>
      </c>
      <c r="C399" t="s">
        <v>35</v>
      </c>
      <c r="D399">
        <v>110.32</v>
      </c>
      <c r="E399">
        <v>215</v>
      </c>
      <c r="F399">
        <v>127.5</v>
      </c>
      <c r="G399">
        <v>205</v>
      </c>
      <c r="H399">
        <v>547.5</v>
      </c>
      <c r="I399">
        <v>2015</v>
      </c>
      <c r="J399" t="s">
        <v>852</v>
      </c>
      <c r="K399" t="s">
        <v>30</v>
      </c>
    </row>
    <row r="400" spans="1:11">
      <c r="A400" t="s">
        <v>321</v>
      </c>
      <c r="B400">
        <v>1992</v>
      </c>
      <c r="C400" t="s">
        <v>74</v>
      </c>
      <c r="D400">
        <v>113.68</v>
      </c>
      <c r="E400">
        <v>232.5</v>
      </c>
      <c r="F400">
        <v>112.5</v>
      </c>
      <c r="G400">
        <v>195</v>
      </c>
      <c r="H400">
        <v>540</v>
      </c>
      <c r="I400">
        <v>2015</v>
      </c>
      <c r="J400" t="s">
        <v>852</v>
      </c>
      <c r="K400" t="s">
        <v>30</v>
      </c>
    </row>
    <row r="401" spans="1:11">
      <c r="A401" t="s">
        <v>317</v>
      </c>
      <c r="B401">
        <v>1973</v>
      </c>
      <c r="C401" t="s">
        <v>318</v>
      </c>
      <c r="D401">
        <v>83.35</v>
      </c>
      <c r="E401">
        <v>205</v>
      </c>
      <c r="F401">
        <v>135</v>
      </c>
      <c r="G401">
        <v>195</v>
      </c>
      <c r="H401">
        <v>535</v>
      </c>
      <c r="I401">
        <v>2012</v>
      </c>
      <c r="J401" t="s">
        <v>852</v>
      </c>
      <c r="K401" t="s">
        <v>30</v>
      </c>
    </row>
    <row r="402" spans="1:11">
      <c r="A402" t="s">
        <v>963</v>
      </c>
      <c r="B402">
        <v>1961</v>
      </c>
      <c r="C402" t="s">
        <v>163</v>
      </c>
      <c r="D402">
        <v>128.30000000000001</v>
      </c>
      <c r="E402">
        <v>177.5</v>
      </c>
      <c r="F402">
        <v>120</v>
      </c>
      <c r="G402">
        <v>236</v>
      </c>
      <c r="H402">
        <v>533.5</v>
      </c>
      <c r="I402">
        <v>2013</v>
      </c>
      <c r="J402" t="s">
        <v>852</v>
      </c>
      <c r="K402" t="s">
        <v>30</v>
      </c>
    </row>
    <row r="403" spans="1:11">
      <c r="A403" t="s">
        <v>317</v>
      </c>
      <c r="B403">
        <v>1973</v>
      </c>
      <c r="C403" t="s">
        <v>318</v>
      </c>
      <c r="D403">
        <v>83.45</v>
      </c>
      <c r="E403">
        <v>200</v>
      </c>
      <c r="F403">
        <v>135.5</v>
      </c>
      <c r="G403">
        <v>195</v>
      </c>
      <c r="H403">
        <v>530.5</v>
      </c>
      <c r="I403">
        <v>2013</v>
      </c>
      <c r="J403" t="s">
        <v>852</v>
      </c>
      <c r="K403" t="s">
        <v>30</v>
      </c>
    </row>
    <row r="404" spans="1:11">
      <c r="A404" t="s">
        <v>342</v>
      </c>
      <c r="B404">
        <v>1978</v>
      </c>
      <c r="C404" t="s">
        <v>62</v>
      </c>
      <c r="D404">
        <v>69.02</v>
      </c>
      <c r="E404">
        <v>175</v>
      </c>
      <c r="F404">
        <v>112.5</v>
      </c>
      <c r="G404">
        <v>240.5</v>
      </c>
      <c r="H404">
        <v>528</v>
      </c>
      <c r="I404">
        <v>2015</v>
      </c>
      <c r="J404" t="s">
        <v>852</v>
      </c>
      <c r="K404" t="s">
        <v>30</v>
      </c>
    </row>
    <row r="405" spans="1:11">
      <c r="A405" t="s">
        <v>904</v>
      </c>
      <c r="B405">
        <v>1983</v>
      </c>
      <c r="C405" t="s">
        <v>28</v>
      </c>
      <c r="D405">
        <v>82.65</v>
      </c>
      <c r="E405">
        <v>202.5</v>
      </c>
      <c r="F405">
        <v>110</v>
      </c>
      <c r="G405">
        <v>215</v>
      </c>
      <c r="H405">
        <v>527.5</v>
      </c>
      <c r="I405">
        <v>2013</v>
      </c>
      <c r="J405" t="s">
        <v>852</v>
      </c>
      <c r="K405" t="s">
        <v>30</v>
      </c>
    </row>
    <row r="406" spans="1:11">
      <c r="A406" t="s">
        <v>317</v>
      </c>
      <c r="B406">
        <v>1973</v>
      </c>
      <c r="C406" t="s">
        <v>318</v>
      </c>
      <c r="D406">
        <v>83.71</v>
      </c>
      <c r="E406">
        <v>197.5</v>
      </c>
      <c r="F406">
        <v>136</v>
      </c>
      <c r="G406">
        <v>190</v>
      </c>
      <c r="H406">
        <v>523.5</v>
      </c>
      <c r="I406">
        <v>2015</v>
      </c>
      <c r="J406" t="s">
        <v>852</v>
      </c>
      <c r="K406" t="s">
        <v>30</v>
      </c>
    </row>
    <row r="407" spans="1:11">
      <c r="A407" t="s">
        <v>1054</v>
      </c>
      <c r="B407">
        <v>1986</v>
      </c>
      <c r="C407" t="s">
        <v>28</v>
      </c>
      <c r="D407">
        <v>105.75</v>
      </c>
      <c r="E407">
        <v>192.5</v>
      </c>
      <c r="F407">
        <v>110</v>
      </c>
      <c r="G407">
        <v>220</v>
      </c>
      <c r="H407">
        <v>522.5</v>
      </c>
      <c r="I407">
        <v>2012</v>
      </c>
      <c r="J407" t="s">
        <v>852</v>
      </c>
      <c r="K407" t="s">
        <v>30</v>
      </c>
    </row>
    <row r="408" spans="1:11">
      <c r="A408" t="s">
        <v>982</v>
      </c>
      <c r="B408">
        <v>1983</v>
      </c>
      <c r="C408" t="s">
        <v>62</v>
      </c>
      <c r="D408">
        <v>102.65</v>
      </c>
      <c r="E408">
        <v>185</v>
      </c>
      <c r="F408">
        <v>122.5</v>
      </c>
      <c r="G408">
        <v>215</v>
      </c>
      <c r="H408">
        <v>522.5</v>
      </c>
      <c r="I408">
        <v>2013</v>
      </c>
      <c r="J408" t="s">
        <v>852</v>
      </c>
      <c r="K408" t="s">
        <v>30</v>
      </c>
    </row>
    <row r="409" spans="1:11">
      <c r="A409" t="s">
        <v>271</v>
      </c>
      <c r="B409">
        <v>1974</v>
      </c>
      <c r="C409" t="s">
        <v>28</v>
      </c>
      <c r="D409">
        <v>95.7</v>
      </c>
      <c r="E409">
        <v>195</v>
      </c>
      <c r="F409">
        <v>125</v>
      </c>
      <c r="G409">
        <v>197.5</v>
      </c>
      <c r="H409">
        <v>517.5</v>
      </c>
      <c r="I409">
        <v>2015</v>
      </c>
      <c r="J409" t="s">
        <v>852</v>
      </c>
      <c r="K409" t="s">
        <v>30</v>
      </c>
    </row>
    <row r="410" spans="1:11">
      <c r="A410" t="s">
        <v>196</v>
      </c>
      <c r="B410">
        <v>1984</v>
      </c>
      <c r="C410" t="s">
        <v>74</v>
      </c>
      <c r="D410">
        <v>91.59</v>
      </c>
      <c r="E410">
        <v>215</v>
      </c>
      <c r="F410">
        <v>110</v>
      </c>
      <c r="G410">
        <v>190</v>
      </c>
      <c r="H410">
        <v>515</v>
      </c>
      <c r="I410">
        <v>2015</v>
      </c>
      <c r="J410" t="s">
        <v>852</v>
      </c>
      <c r="K410" t="s">
        <v>30</v>
      </c>
    </row>
    <row r="411" spans="1:11">
      <c r="A411" t="s">
        <v>963</v>
      </c>
      <c r="B411">
        <v>1961</v>
      </c>
      <c r="C411" t="s">
        <v>163</v>
      </c>
      <c r="D411">
        <v>126</v>
      </c>
      <c r="E411">
        <v>177.5</v>
      </c>
      <c r="F411">
        <v>112.5</v>
      </c>
      <c r="G411">
        <v>225</v>
      </c>
      <c r="H411">
        <v>515</v>
      </c>
      <c r="I411">
        <v>2012</v>
      </c>
      <c r="J411" t="s">
        <v>852</v>
      </c>
      <c r="K411" t="s">
        <v>30</v>
      </c>
    </row>
    <row r="412" spans="1:11">
      <c r="A412" t="s">
        <v>321</v>
      </c>
      <c r="B412">
        <v>1992</v>
      </c>
      <c r="C412" t="s">
        <v>74</v>
      </c>
      <c r="D412">
        <v>112.5</v>
      </c>
      <c r="E412">
        <v>230.5</v>
      </c>
      <c r="F412">
        <v>102.5</v>
      </c>
      <c r="G412">
        <v>180</v>
      </c>
      <c r="H412">
        <v>513</v>
      </c>
      <c r="I412">
        <v>2014</v>
      </c>
      <c r="J412" t="s">
        <v>852</v>
      </c>
      <c r="K412" t="s">
        <v>30</v>
      </c>
    </row>
    <row r="413" spans="1:11">
      <c r="A413" t="s">
        <v>317</v>
      </c>
      <c r="B413">
        <v>1973</v>
      </c>
      <c r="C413" t="s">
        <v>318</v>
      </c>
      <c r="D413">
        <v>83</v>
      </c>
      <c r="E413">
        <v>195</v>
      </c>
      <c r="F413">
        <v>127.5</v>
      </c>
      <c r="G413">
        <v>190</v>
      </c>
      <c r="H413">
        <v>512.5</v>
      </c>
      <c r="I413">
        <v>2014</v>
      </c>
      <c r="J413" t="s">
        <v>852</v>
      </c>
      <c r="K413" t="s">
        <v>30</v>
      </c>
    </row>
    <row r="414" spans="1:11">
      <c r="A414" t="s">
        <v>342</v>
      </c>
      <c r="B414">
        <v>1978</v>
      </c>
      <c r="C414" t="s">
        <v>62</v>
      </c>
      <c r="D414">
        <v>65.25</v>
      </c>
      <c r="E414">
        <v>172.5</v>
      </c>
      <c r="F414">
        <v>107.5</v>
      </c>
      <c r="G414">
        <v>230</v>
      </c>
      <c r="H414">
        <v>510</v>
      </c>
      <c r="I414">
        <v>2014</v>
      </c>
      <c r="J414" t="s">
        <v>852</v>
      </c>
      <c r="K414" t="s">
        <v>30</v>
      </c>
    </row>
    <row r="415" spans="1:11">
      <c r="A415" t="s">
        <v>195</v>
      </c>
      <c r="B415">
        <v>1985</v>
      </c>
      <c r="C415" t="s">
        <v>49</v>
      </c>
      <c r="D415">
        <v>68.150000000000006</v>
      </c>
      <c r="E415">
        <v>185.5</v>
      </c>
      <c r="F415">
        <v>122.5</v>
      </c>
      <c r="G415">
        <v>200</v>
      </c>
      <c r="H415">
        <v>508</v>
      </c>
      <c r="I415">
        <v>2014</v>
      </c>
      <c r="J415" t="s">
        <v>852</v>
      </c>
      <c r="K415" t="s">
        <v>30</v>
      </c>
    </row>
    <row r="416" spans="1:11">
      <c r="A416" t="s">
        <v>321</v>
      </c>
      <c r="B416">
        <v>1992</v>
      </c>
      <c r="C416" t="s">
        <v>74</v>
      </c>
      <c r="D416">
        <v>107.55</v>
      </c>
      <c r="E416">
        <v>230</v>
      </c>
      <c r="F416">
        <v>102.5</v>
      </c>
      <c r="G416">
        <v>175</v>
      </c>
      <c r="H416">
        <v>507.5</v>
      </c>
      <c r="I416">
        <v>2013</v>
      </c>
      <c r="J416" t="s">
        <v>852</v>
      </c>
      <c r="K416" t="s">
        <v>30</v>
      </c>
    </row>
    <row r="417" spans="1:11">
      <c r="A417" t="s">
        <v>963</v>
      </c>
      <c r="B417">
        <v>1961</v>
      </c>
      <c r="C417" t="s">
        <v>163</v>
      </c>
      <c r="D417">
        <v>124.15</v>
      </c>
      <c r="E417">
        <v>175</v>
      </c>
      <c r="F417">
        <v>102.5</v>
      </c>
      <c r="G417">
        <v>230</v>
      </c>
      <c r="H417">
        <v>507.5</v>
      </c>
      <c r="I417">
        <v>2014</v>
      </c>
      <c r="J417" t="s">
        <v>852</v>
      </c>
      <c r="K417" t="s">
        <v>30</v>
      </c>
    </row>
    <row r="418" spans="1:11">
      <c r="A418" t="s">
        <v>247</v>
      </c>
      <c r="B418">
        <v>1982</v>
      </c>
      <c r="C418" t="s">
        <v>56</v>
      </c>
      <c r="D418">
        <v>123.56</v>
      </c>
      <c r="E418">
        <v>212.5</v>
      </c>
      <c r="F418">
        <v>87.5</v>
      </c>
      <c r="G418">
        <v>205</v>
      </c>
      <c r="H418">
        <v>505</v>
      </c>
      <c r="I418">
        <v>2015</v>
      </c>
      <c r="J418" t="s">
        <v>852</v>
      </c>
      <c r="K418" t="s">
        <v>30</v>
      </c>
    </row>
    <row r="419" spans="1:11">
      <c r="A419" t="s">
        <v>904</v>
      </c>
      <c r="B419">
        <v>1983</v>
      </c>
      <c r="C419" t="s">
        <v>28</v>
      </c>
      <c r="D419">
        <v>83.1</v>
      </c>
      <c r="E419">
        <v>190</v>
      </c>
      <c r="F419">
        <v>105</v>
      </c>
      <c r="G419">
        <v>210</v>
      </c>
      <c r="H419">
        <v>505</v>
      </c>
      <c r="I419">
        <v>2012</v>
      </c>
      <c r="J419" t="s">
        <v>852</v>
      </c>
      <c r="K419" t="s">
        <v>30</v>
      </c>
    </row>
    <row r="420" spans="1:11">
      <c r="A420" t="s">
        <v>173</v>
      </c>
      <c r="B420">
        <v>1987</v>
      </c>
      <c r="C420" t="s">
        <v>32</v>
      </c>
      <c r="D420">
        <v>90.3</v>
      </c>
      <c r="E420">
        <v>195</v>
      </c>
      <c r="F420">
        <v>95</v>
      </c>
      <c r="G420">
        <v>207.5</v>
      </c>
      <c r="H420">
        <v>497.5</v>
      </c>
      <c r="I420">
        <v>2015</v>
      </c>
      <c r="J420" t="s">
        <v>852</v>
      </c>
      <c r="K420" t="s">
        <v>30</v>
      </c>
    </row>
    <row r="421" spans="1:11">
      <c r="A421" t="s">
        <v>347</v>
      </c>
      <c r="B421">
        <v>1991</v>
      </c>
      <c r="C421" t="s">
        <v>83</v>
      </c>
      <c r="D421">
        <v>79.28</v>
      </c>
      <c r="E421">
        <v>192.5</v>
      </c>
      <c r="F421">
        <v>92.5</v>
      </c>
      <c r="G421">
        <v>207.5</v>
      </c>
      <c r="H421">
        <v>492.5</v>
      </c>
      <c r="I421">
        <v>2015</v>
      </c>
      <c r="J421" t="s">
        <v>852</v>
      </c>
      <c r="K421" t="s">
        <v>30</v>
      </c>
    </row>
    <row r="422" spans="1:11">
      <c r="A422" t="s">
        <v>271</v>
      </c>
      <c r="B422">
        <v>1974</v>
      </c>
      <c r="C422" t="s">
        <v>28</v>
      </c>
      <c r="D422">
        <v>95.4</v>
      </c>
      <c r="E422">
        <v>182.5</v>
      </c>
      <c r="F422">
        <v>115</v>
      </c>
      <c r="G422">
        <v>190</v>
      </c>
      <c r="H422">
        <v>487.5</v>
      </c>
      <c r="I422">
        <v>2013</v>
      </c>
      <c r="J422" t="s">
        <v>852</v>
      </c>
      <c r="K422" t="s">
        <v>30</v>
      </c>
    </row>
    <row r="423" spans="1:11">
      <c r="A423" t="s">
        <v>206</v>
      </c>
      <c r="B423">
        <v>1970</v>
      </c>
      <c r="C423" t="s">
        <v>62</v>
      </c>
      <c r="D423">
        <v>81.08</v>
      </c>
      <c r="E423">
        <v>165</v>
      </c>
      <c r="F423">
        <v>100</v>
      </c>
      <c r="G423">
        <v>217.5</v>
      </c>
      <c r="H423">
        <v>482.5</v>
      </c>
      <c r="I423">
        <v>2015</v>
      </c>
      <c r="J423" t="s">
        <v>852</v>
      </c>
      <c r="K423" t="s">
        <v>30</v>
      </c>
    </row>
    <row r="424" spans="1:11">
      <c r="A424" t="s">
        <v>326</v>
      </c>
      <c r="B424">
        <v>1973</v>
      </c>
      <c r="C424" t="s">
        <v>62</v>
      </c>
      <c r="D424">
        <v>61.4</v>
      </c>
      <c r="E424">
        <v>142.5</v>
      </c>
      <c r="F424">
        <v>140.5</v>
      </c>
      <c r="G424">
        <v>197.5</v>
      </c>
      <c r="H424">
        <v>480.5</v>
      </c>
      <c r="I424">
        <v>2015</v>
      </c>
      <c r="J424" t="s">
        <v>852</v>
      </c>
      <c r="K424" t="s">
        <v>30</v>
      </c>
    </row>
    <row r="425" spans="1:11">
      <c r="A425" t="s">
        <v>330</v>
      </c>
      <c r="B425">
        <v>1988</v>
      </c>
      <c r="C425" t="s">
        <v>28</v>
      </c>
      <c r="D425">
        <v>79.849999999999994</v>
      </c>
      <c r="E425">
        <v>180</v>
      </c>
      <c r="F425">
        <v>110</v>
      </c>
      <c r="G425">
        <v>190</v>
      </c>
      <c r="H425">
        <v>480</v>
      </c>
      <c r="I425">
        <v>2014</v>
      </c>
      <c r="J425" t="s">
        <v>852</v>
      </c>
      <c r="K425" t="s">
        <v>30</v>
      </c>
    </row>
    <row r="426" spans="1:11">
      <c r="A426" t="s">
        <v>299</v>
      </c>
      <c r="B426">
        <v>1967</v>
      </c>
      <c r="C426" t="s">
        <v>300</v>
      </c>
      <c r="D426">
        <v>93.43</v>
      </c>
      <c r="E426">
        <v>200</v>
      </c>
      <c r="F426">
        <v>102.5</v>
      </c>
      <c r="G426">
        <v>175</v>
      </c>
      <c r="H426">
        <v>477.5</v>
      </c>
      <c r="I426">
        <v>2015</v>
      </c>
      <c r="J426" t="s">
        <v>852</v>
      </c>
      <c r="K426" t="s">
        <v>30</v>
      </c>
    </row>
    <row r="427" spans="1:11">
      <c r="A427" t="s">
        <v>326</v>
      </c>
      <c r="B427">
        <v>1973</v>
      </c>
      <c r="C427" t="s">
        <v>62</v>
      </c>
      <c r="D427">
        <v>60.65</v>
      </c>
      <c r="E427">
        <v>142.5</v>
      </c>
      <c r="F427">
        <v>137.5</v>
      </c>
      <c r="G427">
        <v>197.5</v>
      </c>
      <c r="H427">
        <v>477.5</v>
      </c>
      <c r="I427">
        <v>2014</v>
      </c>
      <c r="J427" t="s">
        <v>852</v>
      </c>
      <c r="K427" t="s">
        <v>30</v>
      </c>
    </row>
    <row r="428" spans="1:11">
      <c r="A428" t="s">
        <v>342</v>
      </c>
      <c r="B428">
        <v>1978</v>
      </c>
      <c r="C428" t="s">
        <v>62</v>
      </c>
      <c r="D428">
        <v>62.25</v>
      </c>
      <c r="E428">
        <v>157.5</v>
      </c>
      <c r="F428">
        <v>97.5</v>
      </c>
      <c r="G428">
        <v>221</v>
      </c>
      <c r="H428">
        <v>476</v>
      </c>
      <c r="I428">
        <v>2013</v>
      </c>
      <c r="J428" t="s">
        <v>852</v>
      </c>
      <c r="K428" t="s">
        <v>30</v>
      </c>
    </row>
    <row r="429" spans="1:11">
      <c r="A429" t="s">
        <v>342</v>
      </c>
      <c r="B429">
        <v>1978</v>
      </c>
      <c r="C429" t="s">
        <v>62</v>
      </c>
      <c r="D429">
        <v>61.65</v>
      </c>
      <c r="E429">
        <v>142.5</v>
      </c>
      <c r="F429">
        <v>105</v>
      </c>
      <c r="G429">
        <v>220.5</v>
      </c>
      <c r="H429">
        <v>468</v>
      </c>
      <c r="I429">
        <v>2012</v>
      </c>
      <c r="J429" t="s">
        <v>852</v>
      </c>
      <c r="K429" t="s">
        <v>30</v>
      </c>
    </row>
    <row r="430" spans="1:11">
      <c r="A430" t="s">
        <v>295</v>
      </c>
      <c r="B430">
        <v>1971</v>
      </c>
      <c r="C430" t="s">
        <v>296</v>
      </c>
      <c r="D430">
        <v>70.69</v>
      </c>
      <c r="E430">
        <v>182.5</v>
      </c>
      <c r="F430">
        <v>97.5</v>
      </c>
      <c r="G430">
        <v>187.5</v>
      </c>
      <c r="H430">
        <v>467.5</v>
      </c>
      <c r="I430">
        <v>2015</v>
      </c>
      <c r="J430" t="s">
        <v>852</v>
      </c>
      <c r="K430" t="s">
        <v>30</v>
      </c>
    </row>
    <row r="431" spans="1:11">
      <c r="A431" t="s">
        <v>326</v>
      </c>
      <c r="B431">
        <v>1973</v>
      </c>
      <c r="C431" t="s">
        <v>62</v>
      </c>
      <c r="D431">
        <v>61.6</v>
      </c>
      <c r="E431">
        <v>142.5</v>
      </c>
      <c r="F431">
        <v>132.5</v>
      </c>
      <c r="G431">
        <v>192.5</v>
      </c>
      <c r="H431">
        <v>467.5</v>
      </c>
      <c r="I431">
        <v>2012</v>
      </c>
      <c r="J431" t="s">
        <v>852</v>
      </c>
      <c r="K431" t="s">
        <v>30</v>
      </c>
    </row>
    <row r="432" spans="1:11">
      <c r="A432" t="s">
        <v>339</v>
      </c>
      <c r="B432">
        <v>1989</v>
      </c>
      <c r="C432" t="s">
        <v>35</v>
      </c>
      <c r="D432">
        <v>71.3</v>
      </c>
      <c r="E432">
        <v>180</v>
      </c>
      <c r="F432">
        <v>92.5</v>
      </c>
      <c r="G432">
        <v>192.5</v>
      </c>
      <c r="H432">
        <v>465</v>
      </c>
      <c r="I432">
        <v>2015</v>
      </c>
      <c r="J432" t="s">
        <v>852</v>
      </c>
      <c r="K432" t="s">
        <v>30</v>
      </c>
    </row>
    <row r="433" spans="1:11">
      <c r="A433" t="s">
        <v>987</v>
      </c>
      <c r="B433">
        <v>1989</v>
      </c>
      <c r="C433" t="s">
        <v>85</v>
      </c>
      <c r="D433">
        <v>75.5</v>
      </c>
      <c r="E433">
        <v>162.5</v>
      </c>
      <c r="F433">
        <v>100</v>
      </c>
      <c r="G433">
        <v>202.5</v>
      </c>
      <c r="H433">
        <v>465</v>
      </c>
      <c r="I433">
        <v>2014</v>
      </c>
      <c r="J433" t="s">
        <v>852</v>
      </c>
      <c r="K433" t="s">
        <v>30</v>
      </c>
    </row>
    <row r="434" spans="1:11">
      <c r="A434" t="s">
        <v>316</v>
      </c>
      <c r="B434">
        <v>1988</v>
      </c>
      <c r="C434" t="s">
        <v>113</v>
      </c>
      <c r="D434">
        <v>71.69</v>
      </c>
      <c r="E434">
        <v>170</v>
      </c>
      <c r="F434">
        <v>115</v>
      </c>
      <c r="G434">
        <v>180</v>
      </c>
      <c r="H434">
        <v>465</v>
      </c>
      <c r="I434">
        <v>2015</v>
      </c>
      <c r="J434" t="s">
        <v>852</v>
      </c>
      <c r="K434" t="s">
        <v>30</v>
      </c>
    </row>
    <row r="435" spans="1:11">
      <c r="A435" t="s">
        <v>278</v>
      </c>
      <c r="B435">
        <v>1973</v>
      </c>
      <c r="C435" t="s">
        <v>80</v>
      </c>
      <c r="D435">
        <v>103.75</v>
      </c>
      <c r="E435">
        <v>190</v>
      </c>
      <c r="F435">
        <v>95</v>
      </c>
      <c r="G435">
        <v>177.5</v>
      </c>
      <c r="H435">
        <v>462.5</v>
      </c>
      <c r="I435">
        <v>2013</v>
      </c>
      <c r="J435" t="s">
        <v>852</v>
      </c>
      <c r="K435" t="s">
        <v>30</v>
      </c>
    </row>
    <row r="436" spans="1:11">
      <c r="A436" t="s">
        <v>278</v>
      </c>
      <c r="B436">
        <v>1973</v>
      </c>
      <c r="C436" t="s">
        <v>80</v>
      </c>
      <c r="D436">
        <v>101.74</v>
      </c>
      <c r="E436">
        <v>185</v>
      </c>
      <c r="F436">
        <v>97.5</v>
      </c>
      <c r="G436">
        <v>180</v>
      </c>
      <c r="H436">
        <v>462.5</v>
      </c>
      <c r="I436">
        <v>2015</v>
      </c>
      <c r="J436" t="s">
        <v>852</v>
      </c>
      <c r="K436" t="s">
        <v>30</v>
      </c>
    </row>
    <row r="437" spans="1:11">
      <c r="A437" t="s">
        <v>344</v>
      </c>
      <c r="B437">
        <v>1973</v>
      </c>
      <c r="C437" t="s">
        <v>163</v>
      </c>
      <c r="D437">
        <v>81.510000000000005</v>
      </c>
      <c r="E437">
        <v>165</v>
      </c>
      <c r="F437">
        <v>100</v>
      </c>
      <c r="G437">
        <v>197.5</v>
      </c>
      <c r="H437">
        <v>462.5</v>
      </c>
      <c r="I437">
        <v>2015</v>
      </c>
      <c r="J437" t="s">
        <v>852</v>
      </c>
      <c r="K437" t="s">
        <v>30</v>
      </c>
    </row>
    <row r="438" spans="1:11">
      <c r="A438" t="s">
        <v>857</v>
      </c>
      <c r="B438">
        <v>1989</v>
      </c>
      <c r="C438" t="s">
        <v>39</v>
      </c>
      <c r="D438">
        <v>93.5</v>
      </c>
      <c r="E438">
        <v>170</v>
      </c>
      <c r="F438">
        <v>107.5</v>
      </c>
      <c r="G438">
        <v>185</v>
      </c>
      <c r="H438">
        <v>462.5</v>
      </c>
      <c r="I438">
        <v>2013</v>
      </c>
      <c r="J438" t="s">
        <v>852</v>
      </c>
      <c r="K438" t="s">
        <v>30</v>
      </c>
    </row>
    <row r="439" spans="1:11">
      <c r="A439" t="s">
        <v>264</v>
      </c>
      <c r="B439">
        <v>1984</v>
      </c>
      <c r="C439" t="s">
        <v>51</v>
      </c>
      <c r="D439">
        <v>105.92</v>
      </c>
      <c r="E439">
        <v>192.5</v>
      </c>
      <c r="F439">
        <v>75</v>
      </c>
      <c r="G439">
        <v>192.5</v>
      </c>
      <c r="H439">
        <v>460</v>
      </c>
      <c r="I439">
        <v>2015</v>
      </c>
      <c r="J439" t="s">
        <v>852</v>
      </c>
      <c r="K439" t="s">
        <v>30</v>
      </c>
    </row>
    <row r="440" spans="1:11">
      <c r="A440" t="s">
        <v>206</v>
      </c>
      <c r="B440">
        <v>1970</v>
      </c>
      <c r="C440" t="s">
        <v>62</v>
      </c>
      <c r="D440">
        <v>71.099999999999994</v>
      </c>
      <c r="E440">
        <v>157.5</v>
      </c>
      <c r="F440">
        <v>92.5</v>
      </c>
      <c r="G440">
        <v>207.5</v>
      </c>
      <c r="H440">
        <v>457.5</v>
      </c>
      <c r="I440">
        <v>2013</v>
      </c>
      <c r="J440" t="s">
        <v>852</v>
      </c>
      <c r="K440" t="s">
        <v>30</v>
      </c>
    </row>
    <row r="441" spans="1:11">
      <c r="A441" t="s">
        <v>1044</v>
      </c>
      <c r="B441">
        <v>1990</v>
      </c>
      <c r="C441" t="s">
        <v>56</v>
      </c>
      <c r="D441">
        <v>80.099999999999994</v>
      </c>
      <c r="E441">
        <v>160</v>
      </c>
      <c r="F441">
        <v>105</v>
      </c>
      <c r="G441">
        <v>192.5</v>
      </c>
      <c r="H441">
        <v>457.5</v>
      </c>
      <c r="I441">
        <v>2014</v>
      </c>
      <c r="J441" t="s">
        <v>852</v>
      </c>
      <c r="K441" t="s">
        <v>30</v>
      </c>
    </row>
    <row r="442" spans="1:11">
      <c r="A442" t="s">
        <v>212</v>
      </c>
      <c r="B442">
        <v>1983</v>
      </c>
      <c r="C442" t="s">
        <v>113</v>
      </c>
      <c r="D442">
        <v>75.41</v>
      </c>
      <c r="E442">
        <v>170</v>
      </c>
      <c r="F442">
        <v>92.5</v>
      </c>
      <c r="G442">
        <v>192.5</v>
      </c>
      <c r="H442">
        <v>455</v>
      </c>
      <c r="I442">
        <v>2015</v>
      </c>
      <c r="J442" t="s">
        <v>852</v>
      </c>
      <c r="K442" t="s">
        <v>30</v>
      </c>
    </row>
    <row r="443" spans="1:11">
      <c r="A443" t="s">
        <v>256</v>
      </c>
      <c r="B443">
        <v>1985</v>
      </c>
      <c r="C443" t="s">
        <v>39</v>
      </c>
      <c r="D443">
        <v>70.45</v>
      </c>
      <c r="E443">
        <v>160</v>
      </c>
      <c r="F443">
        <v>115</v>
      </c>
      <c r="G443">
        <v>180</v>
      </c>
      <c r="H443">
        <v>455</v>
      </c>
      <c r="I443">
        <v>2013</v>
      </c>
      <c r="J443" t="s">
        <v>852</v>
      </c>
      <c r="K443" t="s">
        <v>30</v>
      </c>
    </row>
    <row r="444" spans="1:11">
      <c r="A444" t="s">
        <v>323</v>
      </c>
      <c r="B444">
        <v>1986</v>
      </c>
      <c r="C444" t="s">
        <v>35</v>
      </c>
      <c r="D444">
        <v>82.56</v>
      </c>
      <c r="E444">
        <v>177.5</v>
      </c>
      <c r="F444">
        <v>85</v>
      </c>
      <c r="G444">
        <v>190</v>
      </c>
      <c r="H444">
        <v>452.5</v>
      </c>
      <c r="I444">
        <v>2015</v>
      </c>
      <c r="J444" t="s">
        <v>852</v>
      </c>
      <c r="K444" t="s">
        <v>30</v>
      </c>
    </row>
    <row r="445" spans="1:11">
      <c r="A445" t="s">
        <v>917</v>
      </c>
      <c r="B445">
        <v>1989</v>
      </c>
      <c r="C445" t="s">
        <v>56</v>
      </c>
      <c r="D445">
        <v>77.900000000000006</v>
      </c>
      <c r="E445">
        <v>170</v>
      </c>
      <c r="F445">
        <v>107.5</v>
      </c>
      <c r="G445">
        <v>175</v>
      </c>
      <c r="H445">
        <v>452.5</v>
      </c>
      <c r="I445">
        <v>2014</v>
      </c>
      <c r="J445" t="s">
        <v>852</v>
      </c>
      <c r="K445" t="s">
        <v>30</v>
      </c>
    </row>
    <row r="446" spans="1:11">
      <c r="A446" t="s">
        <v>218</v>
      </c>
      <c r="B446">
        <v>1976</v>
      </c>
      <c r="C446" t="s">
        <v>28</v>
      </c>
      <c r="D446">
        <v>59.8</v>
      </c>
      <c r="E446">
        <v>177.5</v>
      </c>
      <c r="F446">
        <v>92.5</v>
      </c>
      <c r="G446">
        <v>180</v>
      </c>
      <c r="H446">
        <v>450</v>
      </c>
      <c r="I446">
        <v>2013</v>
      </c>
      <c r="J446" t="s">
        <v>852</v>
      </c>
      <c r="K446" t="s">
        <v>30</v>
      </c>
    </row>
    <row r="447" spans="1:11">
      <c r="A447" t="s">
        <v>246</v>
      </c>
      <c r="B447">
        <v>1984</v>
      </c>
      <c r="C447" t="s">
        <v>80</v>
      </c>
      <c r="D447">
        <v>76.03</v>
      </c>
      <c r="E447">
        <v>175</v>
      </c>
      <c r="F447">
        <v>105</v>
      </c>
      <c r="G447">
        <v>170</v>
      </c>
      <c r="H447">
        <v>450</v>
      </c>
      <c r="I447">
        <v>2015</v>
      </c>
      <c r="J447" t="s">
        <v>852</v>
      </c>
      <c r="K447" t="s">
        <v>30</v>
      </c>
    </row>
    <row r="448" spans="1:11">
      <c r="A448" t="s">
        <v>218</v>
      </c>
      <c r="B448">
        <v>1976</v>
      </c>
      <c r="C448" t="s">
        <v>28</v>
      </c>
      <c r="D448">
        <v>56.54</v>
      </c>
      <c r="E448">
        <v>172.5</v>
      </c>
      <c r="F448">
        <v>85</v>
      </c>
      <c r="G448">
        <v>190</v>
      </c>
      <c r="H448">
        <v>447.5</v>
      </c>
      <c r="I448">
        <v>2015</v>
      </c>
      <c r="J448" t="s">
        <v>852</v>
      </c>
      <c r="K448" t="s">
        <v>30</v>
      </c>
    </row>
    <row r="449" spans="1:11">
      <c r="A449" t="s">
        <v>246</v>
      </c>
      <c r="B449">
        <v>1984</v>
      </c>
      <c r="C449" t="s">
        <v>80</v>
      </c>
      <c r="D449">
        <v>71.5</v>
      </c>
      <c r="E449">
        <v>162.5</v>
      </c>
      <c r="F449">
        <v>110</v>
      </c>
      <c r="G449">
        <v>175</v>
      </c>
      <c r="H449">
        <v>447.5</v>
      </c>
      <c r="I449">
        <v>2013</v>
      </c>
      <c r="J449" t="s">
        <v>852</v>
      </c>
      <c r="K449" t="s">
        <v>30</v>
      </c>
    </row>
    <row r="450" spans="1:11">
      <c r="A450" t="s">
        <v>997</v>
      </c>
      <c r="B450">
        <v>1967</v>
      </c>
      <c r="C450" t="s">
        <v>62</v>
      </c>
      <c r="D450">
        <v>86.65</v>
      </c>
      <c r="E450">
        <v>155</v>
      </c>
      <c r="F450">
        <v>117.5</v>
      </c>
      <c r="G450">
        <v>170</v>
      </c>
      <c r="H450">
        <v>442.5</v>
      </c>
      <c r="I450">
        <v>2013</v>
      </c>
      <c r="J450" t="s">
        <v>852</v>
      </c>
      <c r="K450" t="s">
        <v>30</v>
      </c>
    </row>
    <row r="451" spans="1:11">
      <c r="A451" t="s">
        <v>941</v>
      </c>
      <c r="B451">
        <v>1987</v>
      </c>
      <c r="C451" t="s">
        <v>39</v>
      </c>
      <c r="D451">
        <v>64.2</v>
      </c>
      <c r="E451">
        <v>145</v>
      </c>
      <c r="F451">
        <v>112.5</v>
      </c>
      <c r="G451">
        <v>185</v>
      </c>
      <c r="H451">
        <v>442.5</v>
      </c>
      <c r="I451">
        <v>2013</v>
      </c>
      <c r="J451" t="s">
        <v>852</v>
      </c>
      <c r="K451" t="s">
        <v>30</v>
      </c>
    </row>
    <row r="452" spans="1:11">
      <c r="A452" t="s">
        <v>172</v>
      </c>
      <c r="B452">
        <v>1982</v>
      </c>
      <c r="C452" t="s">
        <v>35</v>
      </c>
      <c r="D452">
        <v>62.54</v>
      </c>
      <c r="E452">
        <v>152.5</v>
      </c>
      <c r="F452">
        <v>110</v>
      </c>
      <c r="G452">
        <v>177.5</v>
      </c>
      <c r="H452">
        <v>440</v>
      </c>
      <c r="I452">
        <v>2015</v>
      </c>
      <c r="J452" t="s">
        <v>852</v>
      </c>
      <c r="K452" t="s">
        <v>30</v>
      </c>
    </row>
    <row r="453" spans="1:11">
      <c r="A453" t="s">
        <v>172</v>
      </c>
      <c r="B453">
        <v>1982</v>
      </c>
      <c r="C453" t="s">
        <v>35</v>
      </c>
      <c r="D453">
        <v>62.4</v>
      </c>
      <c r="E453">
        <v>150</v>
      </c>
      <c r="F453">
        <v>112.5</v>
      </c>
      <c r="G453">
        <v>177.5</v>
      </c>
      <c r="H453">
        <v>440</v>
      </c>
      <c r="I453">
        <v>2014</v>
      </c>
      <c r="J453" t="s">
        <v>852</v>
      </c>
      <c r="K453" t="s">
        <v>30</v>
      </c>
    </row>
    <row r="454" spans="1:11">
      <c r="A454" t="s">
        <v>1011</v>
      </c>
      <c r="B454">
        <v>1976</v>
      </c>
      <c r="C454" t="s">
        <v>35</v>
      </c>
      <c r="D454">
        <v>94.84</v>
      </c>
      <c r="E454">
        <v>155</v>
      </c>
      <c r="F454">
        <v>95</v>
      </c>
      <c r="G454">
        <v>187.5</v>
      </c>
      <c r="H454">
        <v>437.5</v>
      </c>
      <c r="I454">
        <v>2012</v>
      </c>
      <c r="J454" t="s">
        <v>852</v>
      </c>
      <c r="K454" t="s">
        <v>30</v>
      </c>
    </row>
    <row r="455" spans="1:11">
      <c r="A455" t="s">
        <v>264</v>
      </c>
      <c r="B455">
        <v>1984</v>
      </c>
      <c r="C455" t="s">
        <v>51</v>
      </c>
      <c r="D455">
        <v>108.75</v>
      </c>
      <c r="E455">
        <v>170</v>
      </c>
      <c r="F455">
        <v>82.5</v>
      </c>
      <c r="G455">
        <v>180</v>
      </c>
      <c r="H455">
        <v>432.5</v>
      </c>
      <c r="I455">
        <v>2014</v>
      </c>
      <c r="J455" t="s">
        <v>852</v>
      </c>
      <c r="K455" t="s">
        <v>30</v>
      </c>
    </row>
    <row r="456" spans="1:11">
      <c r="A456" t="s">
        <v>324</v>
      </c>
      <c r="B456">
        <v>1976</v>
      </c>
      <c r="C456" t="s">
        <v>49</v>
      </c>
      <c r="D456">
        <v>62.77</v>
      </c>
      <c r="E456">
        <v>167.5</v>
      </c>
      <c r="F456">
        <v>85</v>
      </c>
      <c r="G456">
        <v>180</v>
      </c>
      <c r="H456">
        <v>432.5</v>
      </c>
      <c r="I456">
        <v>2015</v>
      </c>
      <c r="J456" t="s">
        <v>852</v>
      </c>
      <c r="K456" t="s">
        <v>30</v>
      </c>
    </row>
    <row r="457" spans="1:11">
      <c r="A457" t="s">
        <v>1046</v>
      </c>
      <c r="B457">
        <v>1990</v>
      </c>
      <c r="C457" t="s">
        <v>282</v>
      </c>
      <c r="D457">
        <v>106.1</v>
      </c>
      <c r="E457">
        <v>160</v>
      </c>
      <c r="F457">
        <v>87.5</v>
      </c>
      <c r="G457">
        <v>185</v>
      </c>
      <c r="H457">
        <v>432.5</v>
      </c>
      <c r="I457">
        <v>2014</v>
      </c>
      <c r="J457" t="s">
        <v>852</v>
      </c>
      <c r="K457" t="s">
        <v>30</v>
      </c>
    </row>
    <row r="458" spans="1:11">
      <c r="A458" t="s">
        <v>218</v>
      </c>
      <c r="B458">
        <v>1976</v>
      </c>
      <c r="C458" t="s">
        <v>28</v>
      </c>
      <c r="D458">
        <v>55.95</v>
      </c>
      <c r="E458">
        <v>167.5</v>
      </c>
      <c r="F458">
        <v>77.5</v>
      </c>
      <c r="G458">
        <v>185</v>
      </c>
      <c r="H458">
        <v>430</v>
      </c>
      <c r="I458">
        <v>2014</v>
      </c>
      <c r="J458" t="s">
        <v>852</v>
      </c>
      <c r="K458" t="s">
        <v>30</v>
      </c>
    </row>
    <row r="459" spans="1:11">
      <c r="A459" t="s">
        <v>246</v>
      </c>
      <c r="B459">
        <v>1984</v>
      </c>
      <c r="C459" t="s">
        <v>80</v>
      </c>
      <c r="D459">
        <v>71.05</v>
      </c>
      <c r="E459">
        <v>165</v>
      </c>
      <c r="F459">
        <v>102.5</v>
      </c>
      <c r="G459">
        <v>160</v>
      </c>
      <c r="H459">
        <v>427.5</v>
      </c>
      <c r="I459">
        <v>2014</v>
      </c>
      <c r="J459" t="s">
        <v>852</v>
      </c>
      <c r="K459" t="s">
        <v>30</v>
      </c>
    </row>
    <row r="460" spans="1:11">
      <c r="A460" t="s">
        <v>987</v>
      </c>
      <c r="B460">
        <v>1989</v>
      </c>
      <c r="C460" t="s">
        <v>85</v>
      </c>
      <c r="D460">
        <v>74.55</v>
      </c>
      <c r="E460">
        <v>147.5</v>
      </c>
      <c r="F460">
        <v>95</v>
      </c>
      <c r="G460">
        <v>185</v>
      </c>
      <c r="H460">
        <v>427.5</v>
      </c>
      <c r="I460">
        <v>2013</v>
      </c>
      <c r="J460" t="s">
        <v>852</v>
      </c>
      <c r="K460" t="s">
        <v>30</v>
      </c>
    </row>
    <row r="461" spans="1:11">
      <c r="A461" t="s">
        <v>246</v>
      </c>
      <c r="B461">
        <v>1984</v>
      </c>
      <c r="C461" t="s">
        <v>80</v>
      </c>
      <c r="D461">
        <v>70.95</v>
      </c>
      <c r="E461">
        <v>155</v>
      </c>
      <c r="F461">
        <v>102.5</v>
      </c>
      <c r="G461">
        <v>167.5</v>
      </c>
      <c r="H461">
        <v>425</v>
      </c>
      <c r="I461">
        <v>2012</v>
      </c>
      <c r="J461" t="s">
        <v>852</v>
      </c>
      <c r="K461" t="s">
        <v>30</v>
      </c>
    </row>
    <row r="462" spans="1:11">
      <c r="A462" t="s">
        <v>204</v>
      </c>
      <c r="B462">
        <v>1980</v>
      </c>
      <c r="C462" t="s">
        <v>56</v>
      </c>
      <c r="D462">
        <v>61.98</v>
      </c>
      <c r="E462">
        <v>160</v>
      </c>
      <c r="F462">
        <v>75</v>
      </c>
      <c r="G462">
        <v>187.5</v>
      </c>
      <c r="H462">
        <v>422.5</v>
      </c>
      <c r="I462">
        <v>2015</v>
      </c>
      <c r="J462" t="s">
        <v>852</v>
      </c>
      <c r="K462" t="s">
        <v>30</v>
      </c>
    </row>
    <row r="463" spans="1:11">
      <c r="A463" t="s">
        <v>341</v>
      </c>
      <c r="B463">
        <v>1988</v>
      </c>
      <c r="C463" t="s">
        <v>80</v>
      </c>
      <c r="D463">
        <v>62.48</v>
      </c>
      <c r="E463">
        <v>162.5</v>
      </c>
      <c r="F463">
        <v>80</v>
      </c>
      <c r="G463">
        <v>180</v>
      </c>
      <c r="H463">
        <v>422.5</v>
      </c>
      <c r="I463">
        <v>2015</v>
      </c>
      <c r="J463" t="s">
        <v>852</v>
      </c>
      <c r="K463" t="s">
        <v>30</v>
      </c>
    </row>
    <row r="464" spans="1:11">
      <c r="A464" t="s">
        <v>207</v>
      </c>
      <c r="B464">
        <v>1979</v>
      </c>
      <c r="C464" t="s">
        <v>163</v>
      </c>
      <c r="D464">
        <v>101.84</v>
      </c>
      <c r="E464">
        <v>165</v>
      </c>
      <c r="F464">
        <v>82.5</v>
      </c>
      <c r="G464">
        <v>175</v>
      </c>
      <c r="H464">
        <v>422.5</v>
      </c>
      <c r="I464">
        <v>2015</v>
      </c>
      <c r="J464" t="s">
        <v>852</v>
      </c>
      <c r="K464" t="s">
        <v>30</v>
      </c>
    </row>
    <row r="465" spans="1:11">
      <c r="A465" t="s">
        <v>324</v>
      </c>
      <c r="B465">
        <v>1976</v>
      </c>
      <c r="C465" t="s">
        <v>49</v>
      </c>
      <c r="D465">
        <v>61.85</v>
      </c>
      <c r="E465">
        <v>160</v>
      </c>
      <c r="F465">
        <v>80</v>
      </c>
      <c r="G465">
        <v>182.5</v>
      </c>
      <c r="H465">
        <v>422.5</v>
      </c>
      <c r="I465">
        <v>2014</v>
      </c>
      <c r="J465" t="s">
        <v>852</v>
      </c>
      <c r="K465" t="s">
        <v>30</v>
      </c>
    </row>
    <row r="466" spans="1:11">
      <c r="A466" t="s">
        <v>868</v>
      </c>
      <c r="B466">
        <v>1988</v>
      </c>
      <c r="C466" t="s">
        <v>35</v>
      </c>
      <c r="D466">
        <v>82.85</v>
      </c>
      <c r="E466">
        <v>162.5</v>
      </c>
      <c r="F466">
        <v>85</v>
      </c>
      <c r="G466">
        <v>175</v>
      </c>
      <c r="H466">
        <v>422.5</v>
      </c>
      <c r="I466">
        <v>2012</v>
      </c>
      <c r="J466" t="s">
        <v>852</v>
      </c>
      <c r="K466" t="s">
        <v>30</v>
      </c>
    </row>
    <row r="467" spans="1:11">
      <c r="A467" t="s">
        <v>238</v>
      </c>
      <c r="B467">
        <v>1990</v>
      </c>
      <c r="C467" t="s">
        <v>239</v>
      </c>
      <c r="D467">
        <v>62.49</v>
      </c>
      <c r="E467">
        <v>157.5</v>
      </c>
      <c r="F467">
        <v>77.5</v>
      </c>
      <c r="G467">
        <v>185</v>
      </c>
      <c r="H467">
        <v>420</v>
      </c>
      <c r="I467">
        <v>2015</v>
      </c>
      <c r="J467" t="s">
        <v>852</v>
      </c>
      <c r="K467" t="s">
        <v>30</v>
      </c>
    </row>
    <row r="468" spans="1:11">
      <c r="A468" t="s">
        <v>998</v>
      </c>
      <c r="B468">
        <v>1986</v>
      </c>
      <c r="C468" t="s">
        <v>28</v>
      </c>
      <c r="D468">
        <v>56.65</v>
      </c>
      <c r="E468">
        <v>150</v>
      </c>
      <c r="F468">
        <v>95</v>
      </c>
      <c r="G468">
        <v>175</v>
      </c>
      <c r="H468">
        <v>420</v>
      </c>
      <c r="I468">
        <v>2013</v>
      </c>
      <c r="J468" t="s">
        <v>852</v>
      </c>
      <c r="K468" t="s">
        <v>30</v>
      </c>
    </row>
    <row r="469" spans="1:11">
      <c r="A469" t="s">
        <v>340</v>
      </c>
      <c r="B469">
        <v>1975</v>
      </c>
      <c r="C469" t="s">
        <v>28</v>
      </c>
      <c r="D469">
        <v>62.25</v>
      </c>
      <c r="E469">
        <v>145</v>
      </c>
      <c r="F469">
        <v>95</v>
      </c>
      <c r="G469">
        <v>180</v>
      </c>
      <c r="H469">
        <v>420</v>
      </c>
      <c r="I469">
        <v>2014</v>
      </c>
      <c r="J469" t="s">
        <v>852</v>
      </c>
      <c r="K469" t="s">
        <v>30</v>
      </c>
    </row>
    <row r="470" spans="1:11">
      <c r="A470" t="s">
        <v>338</v>
      </c>
      <c r="B470">
        <v>1972</v>
      </c>
      <c r="C470" t="s">
        <v>28</v>
      </c>
      <c r="D470">
        <v>70.709999999999994</v>
      </c>
      <c r="E470">
        <v>160</v>
      </c>
      <c r="F470">
        <v>107.5</v>
      </c>
      <c r="G470">
        <v>152.5</v>
      </c>
      <c r="H470">
        <v>420</v>
      </c>
      <c r="I470">
        <v>2015</v>
      </c>
      <c r="J470" t="s">
        <v>852</v>
      </c>
      <c r="K470" t="s">
        <v>30</v>
      </c>
    </row>
    <row r="471" spans="1:11">
      <c r="A471" t="s">
        <v>340</v>
      </c>
      <c r="B471">
        <v>1975</v>
      </c>
      <c r="C471" t="s">
        <v>28</v>
      </c>
      <c r="D471">
        <v>61.99</v>
      </c>
      <c r="E471">
        <v>142.5</v>
      </c>
      <c r="F471">
        <v>95</v>
      </c>
      <c r="G471">
        <v>180</v>
      </c>
      <c r="H471">
        <v>417.5</v>
      </c>
      <c r="I471">
        <v>2015</v>
      </c>
      <c r="J471" t="s">
        <v>852</v>
      </c>
      <c r="K471" t="s">
        <v>30</v>
      </c>
    </row>
    <row r="472" spans="1:11">
      <c r="A472" t="s">
        <v>211</v>
      </c>
      <c r="B472">
        <v>1988</v>
      </c>
      <c r="C472" t="s">
        <v>28</v>
      </c>
      <c r="D472">
        <v>61.95</v>
      </c>
      <c r="E472">
        <v>142.5</v>
      </c>
      <c r="F472">
        <v>107.5</v>
      </c>
      <c r="G472">
        <v>167.5</v>
      </c>
      <c r="H472">
        <v>417.5</v>
      </c>
      <c r="I472">
        <v>2014</v>
      </c>
      <c r="J472" t="s">
        <v>852</v>
      </c>
      <c r="K472" t="s">
        <v>30</v>
      </c>
    </row>
    <row r="473" spans="1:11">
      <c r="A473" t="s">
        <v>868</v>
      </c>
      <c r="B473">
        <v>1988</v>
      </c>
      <c r="C473" t="s">
        <v>35</v>
      </c>
      <c r="D473">
        <v>83.6</v>
      </c>
      <c r="E473">
        <v>157.5</v>
      </c>
      <c r="F473">
        <v>85</v>
      </c>
      <c r="G473">
        <v>172.5</v>
      </c>
      <c r="H473">
        <v>415</v>
      </c>
      <c r="I473">
        <v>2013</v>
      </c>
      <c r="J473" t="s">
        <v>852</v>
      </c>
      <c r="K473" t="s">
        <v>30</v>
      </c>
    </row>
    <row r="474" spans="1:11">
      <c r="A474" t="s">
        <v>341</v>
      </c>
      <c r="B474">
        <v>1988</v>
      </c>
      <c r="C474" t="s">
        <v>80</v>
      </c>
      <c r="D474">
        <v>62.95</v>
      </c>
      <c r="E474">
        <v>155</v>
      </c>
      <c r="F474">
        <v>90</v>
      </c>
      <c r="G474">
        <v>170</v>
      </c>
      <c r="H474">
        <v>415</v>
      </c>
      <c r="I474">
        <v>2013</v>
      </c>
      <c r="J474" t="s">
        <v>852</v>
      </c>
      <c r="K474" t="s">
        <v>30</v>
      </c>
    </row>
    <row r="475" spans="1:11">
      <c r="A475" t="s">
        <v>873</v>
      </c>
      <c r="B475">
        <v>1991</v>
      </c>
      <c r="C475" t="s">
        <v>85</v>
      </c>
      <c r="D475">
        <v>85.8</v>
      </c>
      <c r="E475">
        <v>152.5</v>
      </c>
      <c r="F475">
        <v>80</v>
      </c>
      <c r="G475">
        <v>180</v>
      </c>
      <c r="H475">
        <v>412.5</v>
      </c>
      <c r="I475">
        <v>2012</v>
      </c>
      <c r="J475" t="s">
        <v>852</v>
      </c>
      <c r="K475" t="s">
        <v>30</v>
      </c>
    </row>
    <row r="476" spans="1:11">
      <c r="A476" t="s">
        <v>212</v>
      </c>
      <c r="B476">
        <v>1983</v>
      </c>
      <c r="C476" t="s">
        <v>113</v>
      </c>
      <c r="D476">
        <v>71.400000000000006</v>
      </c>
      <c r="E476">
        <v>155</v>
      </c>
      <c r="F476">
        <v>85</v>
      </c>
      <c r="G476">
        <v>172.5</v>
      </c>
      <c r="H476">
        <v>412.5</v>
      </c>
      <c r="I476">
        <v>2014</v>
      </c>
      <c r="J476" t="s">
        <v>852</v>
      </c>
      <c r="K476" t="s">
        <v>30</v>
      </c>
    </row>
    <row r="477" spans="1:11">
      <c r="A477" t="s">
        <v>987</v>
      </c>
      <c r="B477">
        <v>1989</v>
      </c>
      <c r="C477" t="s">
        <v>85</v>
      </c>
      <c r="D477">
        <v>70.8</v>
      </c>
      <c r="E477">
        <v>137.5</v>
      </c>
      <c r="F477">
        <v>85</v>
      </c>
      <c r="G477">
        <v>190</v>
      </c>
      <c r="H477">
        <v>412.5</v>
      </c>
      <c r="I477">
        <v>2012</v>
      </c>
      <c r="J477" t="s">
        <v>852</v>
      </c>
      <c r="K477" t="s">
        <v>30</v>
      </c>
    </row>
    <row r="478" spans="1:11">
      <c r="A478" t="s">
        <v>259</v>
      </c>
      <c r="B478">
        <v>1990</v>
      </c>
      <c r="C478" t="s">
        <v>35</v>
      </c>
      <c r="D478">
        <v>51.14</v>
      </c>
      <c r="E478">
        <v>147.5</v>
      </c>
      <c r="F478">
        <v>92.5</v>
      </c>
      <c r="G478">
        <v>172.5</v>
      </c>
      <c r="H478">
        <v>412.5</v>
      </c>
      <c r="I478">
        <v>2015</v>
      </c>
      <c r="J478" t="s">
        <v>852</v>
      </c>
      <c r="K478" t="s">
        <v>30</v>
      </c>
    </row>
    <row r="479" spans="1:11">
      <c r="A479" t="s">
        <v>311</v>
      </c>
      <c r="B479">
        <v>1983</v>
      </c>
      <c r="C479" t="s">
        <v>51</v>
      </c>
      <c r="D479">
        <v>84</v>
      </c>
      <c r="E479">
        <v>155</v>
      </c>
      <c r="F479">
        <v>85</v>
      </c>
      <c r="G479">
        <v>170</v>
      </c>
      <c r="H479">
        <v>410</v>
      </c>
      <c r="I479">
        <v>2014</v>
      </c>
      <c r="J479" t="s">
        <v>852</v>
      </c>
      <c r="K479" t="s">
        <v>30</v>
      </c>
    </row>
    <row r="480" spans="1:11">
      <c r="A480" t="s">
        <v>913</v>
      </c>
      <c r="B480">
        <v>1980</v>
      </c>
      <c r="C480" t="s">
        <v>28</v>
      </c>
      <c r="D480">
        <v>60.15</v>
      </c>
      <c r="E480">
        <v>142.5</v>
      </c>
      <c r="F480">
        <v>97.5</v>
      </c>
      <c r="G480">
        <v>170</v>
      </c>
      <c r="H480">
        <v>410</v>
      </c>
      <c r="I480">
        <v>2012</v>
      </c>
      <c r="J480" t="s">
        <v>852</v>
      </c>
      <c r="K480" t="s">
        <v>30</v>
      </c>
    </row>
    <row r="481" spans="1:11">
      <c r="A481" t="s">
        <v>198</v>
      </c>
      <c r="B481">
        <v>1982</v>
      </c>
      <c r="C481" t="s">
        <v>74</v>
      </c>
      <c r="D481">
        <v>46.56</v>
      </c>
      <c r="E481">
        <v>152.5</v>
      </c>
      <c r="F481">
        <v>80</v>
      </c>
      <c r="G481">
        <v>175</v>
      </c>
      <c r="H481">
        <v>407.5</v>
      </c>
      <c r="I481">
        <v>2015</v>
      </c>
      <c r="J481" t="s">
        <v>852</v>
      </c>
      <c r="K481" t="s">
        <v>30</v>
      </c>
    </row>
    <row r="482" spans="1:11">
      <c r="A482" t="s">
        <v>886</v>
      </c>
      <c r="B482">
        <v>1979</v>
      </c>
      <c r="C482" t="s">
        <v>282</v>
      </c>
      <c r="D482">
        <v>56.6</v>
      </c>
      <c r="E482">
        <v>147.5</v>
      </c>
      <c r="F482">
        <v>87.5</v>
      </c>
      <c r="G482">
        <v>172.5</v>
      </c>
      <c r="H482">
        <v>407.5</v>
      </c>
      <c r="I482">
        <v>2014</v>
      </c>
      <c r="J482" t="s">
        <v>852</v>
      </c>
      <c r="K482" t="s">
        <v>30</v>
      </c>
    </row>
    <row r="483" spans="1:11">
      <c r="A483" t="s">
        <v>345</v>
      </c>
      <c r="B483">
        <v>1986</v>
      </c>
      <c r="C483" t="s">
        <v>74</v>
      </c>
      <c r="D483">
        <v>56.63</v>
      </c>
      <c r="E483">
        <v>137.5</v>
      </c>
      <c r="F483">
        <v>100</v>
      </c>
      <c r="G483">
        <v>170</v>
      </c>
      <c r="H483">
        <v>407.5</v>
      </c>
      <c r="I483">
        <v>2015</v>
      </c>
      <c r="J483" t="s">
        <v>852</v>
      </c>
      <c r="K483" t="s">
        <v>30</v>
      </c>
    </row>
    <row r="484" spans="1:11">
      <c r="A484" t="s">
        <v>240</v>
      </c>
      <c r="B484">
        <v>1988</v>
      </c>
      <c r="C484" t="s">
        <v>113</v>
      </c>
      <c r="D484">
        <v>56.21</v>
      </c>
      <c r="E484">
        <v>162.5</v>
      </c>
      <c r="F484">
        <v>87.5</v>
      </c>
      <c r="G484">
        <v>155</v>
      </c>
      <c r="H484">
        <v>405</v>
      </c>
      <c r="I484">
        <v>2015</v>
      </c>
      <c r="J484" t="s">
        <v>852</v>
      </c>
      <c r="K484" t="s">
        <v>30</v>
      </c>
    </row>
    <row r="485" spans="1:11">
      <c r="A485" t="s">
        <v>855</v>
      </c>
      <c r="B485">
        <v>1967</v>
      </c>
      <c r="C485" t="s">
        <v>119</v>
      </c>
      <c r="D485">
        <v>56</v>
      </c>
      <c r="E485">
        <v>152.5</v>
      </c>
      <c r="F485">
        <v>85</v>
      </c>
      <c r="G485">
        <v>167.5</v>
      </c>
      <c r="H485">
        <v>405</v>
      </c>
      <c r="I485">
        <v>2014</v>
      </c>
      <c r="J485" t="s">
        <v>852</v>
      </c>
      <c r="K485" t="s">
        <v>30</v>
      </c>
    </row>
    <row r="486" spans="1:11">
      <c r="A486" t="s">
        <v>1060</v>
      </c>
      <c r="B486">
        <v>1967</v>
      </c>
      <c r="C486" t="s">
        <v>28</v>
      </c>
      <c r="D486">
        <v>66.95</v>
      </c>
      <c r="E486">
        <v>137.5</v>
      </c>
      <c r="F486">
        <v>82.5</v>
      </c>
      <c r="G486">
        <v>185</v>
      </c>
      <c r="H486">
        <v>405</v>
      </c>
      <c r="I486">
        <v>2012</v>
      </c>
      <c r="J486" t="s">
        <v>852</v>
      </c>
      <c r="K486" t="s">
        <v>30</v>
      </c>
    </row>
    <row r="487" spans="1:11">
      <c r="A487" t="s">
        <v>341</v>
      </c>
      <c r="B487">
        <v>1988</v>
      </c>
      <c r="C487" t="s">
        <v>80</v>
      </c>
      <c r="D487">
        <v>62.75</v>
      </c>
      <c r="E487">
        <v>142.5</v>
      </c>
      <c r="F487">
        <v>90</v>
      </c>
      <c r="G487">
        <v>172.5</v>
      </c>
      <c r="H487">
        <v>405</v>
      </c>
      <c r="I487">
        <v>2012</v>
      </c>
      <c r="J487" t="s">
        <v>852</v>
      </c>
      <c r="K487" t="s">
        <v>30</v>
      </c>
    </row>
    <row r="488" spans="1:11">
      <c r="A488" t="s">
        <v>959</v>
      </c>
      <c r="B488">
        <v>1978</v>
      </c>
      <c r="C488" t="s">
        <v>289</v>
      </c>
      <c r="D488">
        <v>115.2</v>
      </c>
      <c r="E488">
        <v>132.5</v>
      </c>
      <c r="F488">
        <v>112.5</v>
      </c>
      <c r="G488">
        <v>160</v>
      </c>
      <c r="H488">
        <v>405</v>
      </c>
      <c r="I488">
        <v>2012</v>
      </c>
      <c r="J488" t="s">
        <v>852</v>
      </c>
      <c r="K488" t="s">
        <v>30</v>
      </c>
    </row>
    <row r="489" spans="1:11">
      <c r="A489" t="s">
        <v>223</v>
      </c>
      <c r="B489">
        <v>1970</v>
      </c>
      <c r="C489" t="s">
        <v>28</v>
      </c>
      <c r="D489">
        <v>51.48</v>
      </c>
      <c r="E489">
        <v>135</v>
      </c>
      <c r="F489">
        <v>97.5</v>
      </c>
      <c r="G489">
        <v>170</v>
      </c>
      <c r="H489">
        <v>402.5</v>
      </c>
      <c r="I489">
        <v>2015</v>
      </c>
      <c r="J489" t="s">
        <v>852</v>
      </c>
      <c r="K489" t="s">
        <v>30</v>
      </c>
    </row>
    <row r="490" spans="1:11">
      <c r="A490" t="s">
        <v>864</v>
      </c>
      <c r="B490">
        <v>1985</v>
      </c>
      <c r="C490" t="s">
        <v>35</v>
      </c>
      <c r="D490">
        <v>70.599999999999994</v>
      </c>
      <c r="E490">
        <v>142.5</v>
      </c>
      <c r="F490">
        <v>105</v>
      </c>
      <c r="G490">
        <v>155</v>
      </c>
      <c r="H490">
        <v>402.5</v>
      </c>
      <c r="I490">
        <v>2013</v>
      </c>
      <c r="J490" t="s">
        <v>852</v>
      </c>
      <c r="K490" t="s">
        <v>30</v>
      </c>
    </row>
    <row r="491" spans="1:11">
      <c r="A491" t="s">
        <v>985</v>
      </c>
      <c r="B491">
        <v>1984</v>
      </c>
      <c r="C491" t="s">
        <v>62</v>
      </c>
      <c r="D491">
        <v>61.25</v>
      </c>
      <c r="E491">
        <v>137.5</v>
      </c>
      <c r="F491">
        <v>77.5</v>
      </c>
      <c r="G491">
        <v>182.5</v>
      </c>
      <c r="H491">
        <v>397.5</v>
      </c>
      <c r="I491">
        <v>2014</v>
      </c>
      <c r="J491" t="s">
        <v>852</v>
      </c>
      <c r="K491" t="s">
        <v>30</v>
      </c>
    </row>
    <row r="492" spans="1:11">
      <c r="A492" t="s">
        <v>1010</v>
      </c>
      <c r="B492">
        <v>1986</v>
      </c>
      <c r="C492" t="s">
        <v>62</v>
      </c>
      <c r="D492">
        <v>69.349999999999994</v>
      </c>
      <c r="E492">
        <v>132.5</v>
      </c>
      <c r="F492">
        <v>82.5</v>
      </c>
      <c r="G492">
        <v>182.5</v>
      </c>
      <c r="H492">
        <v>397.5</v>
      </c>
      <c r="I492">
        <v>2012</v>
      </c>
      <c r="J492" t="s">
        <v>852</v>
      </c>
      <c r="K492" t="s">
        <v>30</v>
      </c>
    </row>
    <row r="493" spans="1:11">
      <c r="A493" t="s">
        <v>345</v>
      </c>
      <c r="B493">
        <v>1986</v>
      </c>
      <c r="C493" t="s">
        <v>74</v>
      </c>
      <c r="D493">
        <v>56.5</v>
      </c>
      <c r="E493">
        <v>130</v>
      </c>
      <c r="F493">
        <v>92.5</v>
      </c>
      <c r="G493">
        <v>175</v>
      </c>
      <c r="H493">
        <v>397.5</v>
      </c>
      <c r="I493">
        <v>2013</v>
      </c>
      <c r="J493" t="s">
        <v>852</v>
      </c>
      <c r="K493" t="s">
        <v>30</v>
      </c>
    </row>
    <row r="494" spans="1:11">
      <c r="A494" t="s">
        <v>345</v>
      </c>
      <c r="B494">
        <v>1986</v>
      </c>
      <c r="C494" t="s">
        <v>74</v>
      </c>
      <c r="D494">
        <v>56.7</v>
      </c>
      <c r="E494">
        <v>130</v>
      </c>
      <c r="F494">
        <v>95</v>
      </c>
      <c r="G494">
        <v>172.5</v>
      </c>
      <c r="H494">
        <v>397.5</v>
      </c>
      <c r="I494">
        <v>2012</v>
      </c>
      <c r="J494" t="s">
        <v>852</v>
      </c>
      <c r="K494" t="s">
        <v>30</v>
      </c>
    </row>
    <row r="495" spans="1:11">
      <c r="A495" t="s">
        <v>345</v>
      </c>
      <c r="B495">
        <v>1986</v>
      </c>
      <c r="C495" t="s">
        <v>74</v>
      </c>
      <c r="D495">
        <v>56.3</v>
      </c>
      <c r="E495">
        <v>125</v>
      </c>
      <c r="F495">
        <v>97.5</v>
      </c>
      <c r="G495">
        <v>175</v>
      </c>
      <c r="H495">
        <v>397.5</v>
      </c>
      <c r="I495">
        <v>2014</v>
      </c>
      <c r="J495" t="s">
        <v>852</v>
      </c>
      <c r="K495" t="s">
        <v>30</v>
      </c>
    </row>
    <row r="496" spans="1:11">
      <c r="A496" t="s">
        <v>191</v>
      </c>
      <c r="B496">
        <v>1983</v>
      </c>
      <c r="C496" t="s">
        <v>51</v>
      </c>
      <c r="D496">
        <v>69.849999999999994</v>
      </c>
      <c r="E496">
        <v>137.5</v>
      </c>
      <c r="F496">
        <v>72.5</v>
      </c>
      <c r="G496">
        <v>185</v>
      </c>
      <c r="H496">
        <v>395</v>
      </c>
      <c r="I496">
        <v>2015</v>
      </c>
      <c r="J496" t="s">
        <v>852</v>
      </c>
      <c r="K496" t="s">
        <v>30</v>
      </c>
    </row>
    <row r="497" spans="1:11">
      <c r="A497" t="s">
        <v>198</v>
      </c>
      <c r="B497">
        <v>1982</v>
      </c>
      <c r="C497" t="s">
        <v>74</v>
      </c>
      <c r="D497">
        <v>46.7</v>
      </c>
      <c r="E497">
        <v>145</v>
      </c>
      <c r="F497">
        <v>77.5</v>
      </c>
      <c r="G497">
        <v>172.5</v>
      </c>
      <c r="H497">
        <v>395</v>
      </c>
      <c r="I497">
        <v>2012</v>
      </c>
      <c r="J497" t="s">
        <v>852</v>
      </c>
      <c r="K497" t="s">
        <v>30</v>
      </c>
    </row>
    <row r="498" spans="1:11">
      <c r="A498" t="s">
        <v>921</v>
      </c>
      <c r="B498">
        <v>1984</v>
      </c>
      <c r="C498" t="s">
        <v>56</v>
      </c>
      <c r="D498">
        <v>80.349999999999994</v>
      </c>
      <c r="E498">
        <v>147.5</v>
      </c>
      <c r="F498">
        <v>80</v>
      </c>
      <c r="G498">
        <v>167.5</v>
      </c>
      <c r="H498">
        <v>395</v>
      </c>
      <c r="I498">
        <v>2013</v>
      </c>
      <c r="J498" t="s">
        <v>852</v>
      </c>
      <c r="K498" t="s">
        <v>30</v>
      </c>
    </row>
    <row r="499" spans="1:11">
      <c r="A499" t="s">
        <v>337</v>
      </c>
      <c r="B499">
        <v>1979</v>
      </c>
      <c r="C499" t="s">
        <v>28</v>
      </c>
      <c r="D499">
        <v>56.7</v>
      </c>
      <c r="E499">
        <v>140</v>
      </c>
      <c r="F499">
        <v>92.5</v>
      </c>
      <c r="G499">
        <v>162.5</v>
      </c>
      <c r="H499">
        <v>395</v>
      </c>
      <c r="I499">
        <v>2012</v>
      </c>
      <c r="J499" t="s">
        <v>852</v>
      </c>
      <c r="K499" t="s">
        <v>30</v>
      </c>
    </row>
    <row r="500" spans="1:11">
      <c r="A500" t="s">
        <v>1056</v>
      </c>
      <c r="B500">
        <v>1988</v>
      </c>
      <c r="C500" t="s">
        <v>480</v>
      </c>
      <c r="D500">
        <v>75.8</v>
      </c>
      <c r="E500">
        <v>150</v>
      </c>
      <c r="F500">
        <v>105</v>
      </c>
      <c r="G500">
        <v>140</v>
      </c>
      <c r="H500">
        <v>395</v>
      </c>
      <c r="I500">
        <v>2013</v>
      </c>
      <c r="J500" t="s">
        <v>852</v>
      </c>
      <c r="K500" t="s">
        <v>30</v>
      </c>
    </row>
    <row r="501" spans="1:11">
      <c r="A501" t="s">
        <v>302</v>
      </c>
      <c r="B501">
        <v>1977</v>
      </c>
      <c r="C501" t="s">
        <v>51</v>
      </c>
      <c r="D501">
        <v>68.25</v>
      </c>
      <c r="E501">
        <v>150</v>
      </c>
      <c r="F501">
        <v>70</v>
      </c>
      <c r="G501">
        <v>172.5</v>
      </c>
      <c r="H501">
        <v>392.5</v>
      </c>
      <c r="I501">
        <v>2014</v>
      </c>
      <c r="J501" t="s">
        <v>852</v>
      </c>
      <c r="K501" t="s">
        <v>30</v>
      </c>
    </row>
    <row r="502" spans="1:11">
      <c r="A502" t="s">
        <v>1035</v>
      </c>
      <c r="B502">
        <v>1982</v>
      </c>
      <c r="C502" t="s">
        <v>125</v>
      </c>
      <c r="D502">
        <v>67.650000000000006</v>
      </c>
      <c r="E502">
        <v>152.5</v>
      </c>
      <c r="F502">
        <v>80</v>
      </c>
      <c r="G502">
        <v>160</v>
      </c>
      <c r="H502">
        <v>392.5</v>
      </c>
      <c r="I502">
        <v>2014</v>
      </c>
      <c r="J502" t="s">
        <v>852</v>
      </c>
      <c r="K502" t="s">
        <v>30</v>
      </c>
    </row>
    <row r="503" spans="1:11">
      <c r="A503" t="s">
        <v>1037</v>
      </c>
      <c r="B503">
        <v>1981</v>
      </c>
      <c r="C503" t="s">
        <v>56</v>
      </c>
      <c r="D503">
        <v>101.35</v>
      </c>
      <c r="E503">
        <v>145</v>
      </c>
      <c r="F503">
        <v>77.5</v>
      </c>
      <c r="G503">
        <v>170</v>
      </c>
      <c r="H503">
        <v>392.5</v>
      </c>
      <c r="I503">
        <v>2012</v>
      </c>
      <c r="J503" t="s">
        <v>852</v>
      </c>
      <c r="K503" t="s">
        <v>30</v>
      </c>
    </row>
    <row r="504" spans="1:11">
      <c r="A504" t="s">
        <v>250</v>
      </c>
      <c r="B504">
        <v>1991</v>
      </c>
      <c r="C504" t="s">
        <v>80</v>
      </c>
      <c r="D504">
        <v>71.48</v>
      </c>
      <c r="E504">
        <v>140</v>
      </c>
      <c r="F504">
        <v>75</v>
      </c>
      <c r="G504">
        <v>177.5</v>
      </c>
      <c r="H504">
        <v>392.5</v>
      </c>
      <c r="I504">
        <v>2015</v>
      </c>
      <c r="J504" t="s">
        <v>852</v>
      </c>
      <c r="K504" t="s">
        <v>30</v>
      </c>
    </row>
    <row r="505" spans="1:11">
      <c r="A505" t="s">
        <v>177</v>
      </c>
      <c r="B505">
        <v>1991</v>
      </c>
      <c r="C505" t="s">
        <v>51</v>
      </c>
      <c r="D505">
        <v>80.8</v>
      </c>
      <c r="E505">
        <v>135</v>
      </c>
      <c r="F505">
        <v>75</v>
      </c>
      <c r="G505">
        <v>182.5</v>
      </c>
      <c r="H505">
        <v>392.5</v>
      </c>
      <c r="I505">
        <v>2015</v>
      </c>
      <c r="J505" t="s">
        <v>852</v>
      </c>
      <c r="K505" t="s">
        <v>30</v>
      </c>
    </row>
    <row r="506" spans="1:11">
      <c r="A506" t="s">
        <v>337</v>
      </c>
      <c r="B506">
        <v>1979</v>
      </c>
      <c r="C506" t="s">
        <v>28</v>
      </c>
      <c r="D506">
        <v>56.99</v>
      </c>
      <c r="E506">
        <v>145</v>
      </c>
      <c r="F506">
        <v>85</v>
      </c>
      <c r="G506">
        <v>162.5</v>
      </c>
      <c r="H506">
        <v>392.5</v>
      </c>
      <c r="I506">
        <v>2015</v>
      </c>
      <c r="J506" t="s">
        <v>852</v>
      </c>
      <c r="K506" t="s">
        <v>30</v>
      </c>
    </row>
    <row r="507" spans="1:11">
      <c r="A507" t="s">
        <v>1048</v>
      </c>
      <c r="B507">
        <v>1968</v>
      </c>
      <c r="C507" t="s">
        <v>62</v>
      </c>
      <c r="D507">
        <v>81.900000000000006</v>
      </c>
      <c r="E507">
        <v>122.5</v>
      </c>
      <c r="F507">
        <v>110</v>
      </c>
      <c r="G507">
        <v>160</v>
      </c>
      <c r="H507">
        <v>392.5</v>
      </c>
      <c r="I507">
        <v>2012</v>
      </c>
      <c r="J507" t="s">
        <v>852</v>
      </c>
      <c r="K507" t="s">
        <v>30</v>
      </c>
    </row>
    <row r="508" spans="1:11">
      <c r="A508" t="s">
        <v>921</v>
      </c>
      <c r="B508">
        <v>1984</v>
      </c>
      <c r="C508" t="s">
        <v>56</v>
      </c>
      <c r="D508">
        <v>85</v>
      </c>
      <c r="E508">
        <v>145</v>
      </c>
      <c r="F508">
        <v>80</v>
      </c>
      <c r="G508">
        <v>165</v>
      </c>
      <c r="H508">
        <v>390</v>
      </c>
      <c r="I508">
        <v>2014</v>
      </c>
      <c r="J508" t="s">
        <v>852</v>
      </c>
      <c r="K508" t="s">
        <v>30</v>
      </c>
    </row>
    <row r="509" spans="1:11">
      <c r="A509" t="s">
        <v>179</v>
      </c>
      <c r="B509">
        <v>1987</v>
      </c>
      <c r="C509" t="s">
        <v>49</v>
      </c>
      <c r="D509">
        <v>79.27</v>
      </c>
      <c r="E509">
        <v>145</v>
      </c>
      <c r="F509">
        <v>67.5</v>
      </c>
      <c r="G509">
        <v>175</v>
      </c>
      <c r="H509">
        <v>387.5</v>
      </c>
      <c r="I509">
        <v>2015</v>
      </c>
      <c r="J509" t="s">
        <v>852</v>
      </c>
      <c r="K509" t="s">
        <v>30</v>
      </c>
    </row>
    <row r="510" spans="1:11">
      <c r="A510" t="s">
        <v>204</v>
      </c>
      <c r="B510">
        <v>1980</v>
      </c>
      <c r="C510" t="s">
        <v>56</v>
      </c>
      <c r="D510">
        <v>62.35</v>
      </c>
      <c r="E510">
        <v>152.5</v>
      </c>
      <c r="F510">
        <v>72.5</v>
      </c>
      <c r="G510">
        <v>162.5</v>
      </c>
      <c r="H510">
        <v>387.5</v>
      </c>
      <c r="I510">
        <v>2014</v>
      </c>
      <c r="J510" t="s">
        <v>852</v>
      </c>
      <c r="K510" t="s">
        <v>30</v>
      </c>
    </row>
    <row r="511" spans="1:11">
      <c r="A511" t="s">
        <v>864</v>
      </c>
      <c r="B511">
        <v>1985</v>
      </c>
      <c r="C511" t="s">
        <v>35</v>
      </c>
      <c r="D511">
        <v>71.349999999999994</v>
      </c>
      <c r="E511">
        <v>140</v>
      </c>
      <c r="F511">
        <v>102.5</v>
      </c>
      <c r="G511">
        <v>145</v>
      </c>
      <c r="H511">
        <v>387.5</v>
      </c>
      <c r="I511">
        <v>2012</v>
      </c>
      <c r="J511" t="s">
        <v>852</v>
      </c>
      <c r="K511" t="s">
        <v>30</v>
      </c>
    </row>
    <row r="512" spans="1:11">
      <c r="A512" t="s">
        <v>288</v>
      </c>
      <c r="B512">
        <v>1968</v>
      </c>
      <c r="C512" t="s">
        <v>289</v>
      </c>
      <c r="D512">
        <v>51.59</v>
      </c>
      <c r="E512">
        <v>140</v>
      </c>
      <c r="F512">
        <v>80</v>
      </c>
      <c r="G512">
        <v>165</v>
      </c>
      <c r="H512">
        <v>385</v>
      </c>
      <c r="I512">
        <v>2015</v>
      </c>
      <c r="J512" t="s">
        <v>852</v>
      </c>
      <c r="K512" t="s">
        <v>30</v>
      </c>
    </row>
    <row r="513" spans="1:11">
      <c r="A513" t="s">
        <v>259</v>
      </c>
      <c r="B513">
        <v>1990</v>
      </c>
      <c r="C513" t="s">
        <v>35</v>
      </c>
      <c r="D513">
        <v>50.55</v>
      </c>
      <c r="E513">
        <v>140</v>
      </c>
      <c r="F513">
        <v>82.5</v>
      </c>
      <c r="G513">
        <v>162.5</v>
      </c>
      <c r="H513">
        <v>385</v>
      </c>
      <c r="I513">
        <v>2014</v>
      </c>
      <c r="J513" t="s">
        <v>852</v>
      </c>
      <c r="K513" t="s">
        <v>30</v>
      </c>
    </row>
    <row r="514" spans="1:11">
      <c r="A514" t="s">
        <v>944</v>
      </c>
      <c r="B514">
        <v>1979</v>
      </c>
      <c r="C514" t="s">
        <v>28</v>
      </c>
      <c r="D514">
        <v>51.3</v>
      </c>
      <c r="E514">
        <v>140</v>
      </c>
      <c r="F514">
        <v>85</v>
      </c>
      <c r="G514">
        <v>160</v>
      </c>
      <c r="H514">
        <v>385</v>
      </c>
      <c r="I514">
        <v>2013</v>
      </c>
      <c r="J514" t="s">
        <v>852</v>
      </c>
      <c r="K514" t="s">
        <v>30</v>
      </c>
    </row>
    <row r="515" spans="1:11">
      <c r="A515" t="s">
        <v>302</v>
      </c>
      <c r="B515">
        <v>1977</v>
      </c>
      <c r="C515" t="s">
        <v>51</v>
      </c>
      <c r="D515">
        <v>68.44</v>
      </c>
      <c r="E515">
        <v>152.5</v>
      </c>
      <c r="F515">
        <v>70</v>
      </c>
      <c r="G515">
        <v>160</v>
      </c>
      <c r="H515">
        <v>382.5</v>
      </c>
      <c r="I515">
        <v>2015</v>
      </c>
      <c r="J515" t="s">
        <v>852</v>
      </c>
      <c r="K515" t="s">
        <v>30</v>
      </c>
    </row>
    <row r="516" spans="1:11">
      <c r="A516" t="s">
        <v>944</v>
      </c>
      <c r="B516">
        <v>1979</v>
      </c>
      <c r="C516" t="s">
        <v>28</v>
      </c>
      <c r="D516">
        <v>51.65</v>
      </c>
      <c r="E516">
        <v>132.5</v>
      </c>
      <c r="F516">
        <v>90</v>
      </c>
      <c r="G516">
        <v>160</v>
      </c>
      <c r="H516">
        <v>382.5</v>
      </c>
      <c r="I516">
        <v>2012</v>
      </c>
      <c r="J516" t="s">
        <v>852</v>
      </c>
      <c r="K516" t="s">
        <v>30</v>
      </c>
    </row>
    <row r="517" spans="1:11">
      <c r="A517" t="s">
        <v>871</v>
      </c>
      <c r="B517">
        <v>1981</v>
      </c>
      <c r="C517" t="s">
        <v>113</v>
      </c>
      <c r="D517">
        <v>55.35</v>
      </c>
      <c r="E517">
        <v>135</v>
      </c>
      <c r="F517">
        <v>95</v>
      </c>
      <c r="G517">
        <v>152.5</v>
      </c>
      <c r="H517">
        <v>382.5</v>
      </c>
      <c r="I517">
        <v>2014</v>
      </c>
      <c r="J517" t="s">
        <v>852</v>
      </c>
      <c r="K517" t="s">
        <v>30</v>
      </c>
    </row>
    <row r="518" spans="1:11">
      <c r="A518" t="s">
        <v>226</v>
      </c>
      <c r="B518">
        <v>1986</v>
      </c>
      <c r="C518" t="s">
        <v>35</v>
      </c>
      <c r="D518">
        <v>50.65</v>
      </c>
      <c r="E518">
        <v>140</v>
      </c>
      <c r="F518">
        <v>72.5</v>
      </c>
      <c r="G518">
        <v>167.5</v>
      </c>
      <c r="H518">
        <v>380</v>
      </c>
      <c r="I518">
        <v>2014</v>
      </c>
      <c r="J518" t="s">
        <v>852</v>
      </c>
      <c r="K518" t="s">
        <v>30</v>
      </c>
    </row>
    <row r="519" spans="1:11">
      <c r="A519" t="s">
        <v>180</v>
      </c>
      <c r="B519">
        <v>1980</v>
      </c>
      <c r="C519" t="s">
        <v>113</v>
      </c>
      <c r="D519">
        <v>61.42</v>
      </c>
      <c r="E519">
        <v>130</v>
      </c>
      <c r="F519">
        <v>70</v>
      </c>
      <c r="G519">
        <v>180</v>
      </c>
      <c r="H519">
        <v>380</v>
      </c>
      <c r="I519">
        <v>2015</v>
      </c>
      <c r="J519" t="s">
        <v>852</v>
      </c>
      <c r="K519" t="s">
        <v>30</v>
      </c>
    </row>
    <row r="520" spans="1:11">
      <c r="A520" t="s">
        <v>281</v>
      </c>
      <c r="B520">
        <v>1980</v>
      </c>
      <c r="C520" t="s">
        <v>282</v>
      </c>
      <c r="D520">
        <v>51.9</v>
      </c>
      <c r="E520">
        <v>147.5</v>
      </c>
      <c r="F520">
        <v>82.5</v>
      </c>
      <c r="G520">
        <v>150</v>
      </c>
      <c r="H520">
        <v>380</v>
      </c>
      <c r="I520">
        <v>2014</v>
      </c>
      <c r="J520" t="s">
        <v>852</v>
      </c>
      <c r="K520" t="s">
        <v>30</v>
      </c>
    </row>
    <row r="521" spans="1:11">
      <c r="A521" t="s">
        <v>1009</v>
      </c>
      <c r="B521">
        <v>1988</v>
      </c>
      <c r="C521" t="s">
        <v>113</v>
      </c>
      <c r="D521">
        <v>62.1</v>
      </c>
      <c r="E521">
        <v>135</v>
      </c>
      <c r="F521">
        <v>85</v>
      </c>
      <c r="G521">
        <v>160</v>
      </c>
      <c r="H521">
        <v>380</v>
      </c>
      <c r="I521">
        <v>2013</v>
      </c>
      <c r="J521" t="s">
        <v>852</v>
      </c>
      <c r="K521" t="s">
        <v>30</v>
      </c>
    </row>
    <row r="522" spans="1:11">
      <c r="A522" t="s">
        <v>223</v>
      </c>
      <c r="B522">
        <v>1970</v>
      </c>
      <c r="C522" t="s">
        <v>28</v>
      </c>
      <c r="D522">
        <v>46.75</v>
      </c>
      <c r="E522">
        <v>117.5</v>
      </c>
      <c r="F522">
        <v>90.5</v>
      </c>
      <c r="G522">
        <v>170.5</v>
      </c>
      <c r="H522">
        <v>378.5</v>
      </c>
      <c r="I522">
        <v>2012</v>
      </c>
      <c r="J522" t="s">
        <v>852</v>
      </c>
      <c r="K522" t="s">
        <v>30</v>
      </c>
    </row>
    <row r="523" spans="1:11">
      <c r="A523" t="s">
        <v>225</v>
      </c>
      <c r="B523">
        <v>1978</v>
      </c>
      <c r="C523" t="s">
        <v>51</v>
      </c>
      <c r="D523">
        <v>62.12</v>
      </c>
      <c r="E523">
        <v>125</v>
      </c>
      <c r="F523">
        <v>77.5</v>
      </c>
      <c r="G523">
        <v>175</v>
      </c>
      <c r="H523">
        <v>377.5</v>
      </c>
      <c r="I523">
        <v>2015</v>
      </c>
      <c r="J523" t="s">
        <v>852</v>
      </c>
      <c r="K523" t="s">
        <v>30</v>
      </c>
    </row>
    <row r="524" spans="1:11">
      <c r="A524" t="s">
        <v>974</v>
      </c>
      <c r="B524">
        <v>1965</v>
      </c>
      <c r="C524" t="s">
        <v>39</v>
      </c>
      <c r="D524">
        <v>61.95</v>
      </c>
      <c r="E524">
        <v>125</v>
      </c>
      <c r="F524">
        <v>87.5</v>
      </c>
      <c r="G524">
        <v>165</v>
      </c>
      <c r="H524">
        <v>377.5</v>
      </c>
      <c r="I524">
        <v>2013</v>
      </c>
      <c r="J524" t="s">
        <v>852</v>
      </c>
      <c r="K524" t="s">
        <v>30</v>
      </c>
    </row>
    <row r="525" spans="1:11">
      <c r="A525" t="s">
        <v>938</v>
      </c>
      <c r="B525">
        <v>1984</v>
      </c>
      <c r="C525" t="s">
        <v>35</v>
      </c>
      <c r="D525">
        <v>71.400000000000006</v>
      </c>
      <c r="E525">
        <v>142.5</v>
      </c>
      <c r="F525">
        <v>77.5</v>
      </c>
      <c r="G525">
        <v>155</v>
      </c>
      <c r="H525">
        <v>375</v>
      </c>
      <c r="I525">
        <v>2012</v>
      </c>
      <c r="J525" t="s">
        <v>852</v>
      </c>
      <c r="K525" t="s">
        <v>30</v>
      </c>
    </row>
    <row r="526" spans="1:11">
      <c r="A526" t="s">
        <v>874</v>
      </c>
      <c r="B526">
        <v>1963</v>
      </c>
      <c r="C526" t="s">
        <v>51</v>
      </c>
      <c r="D526">
        <v>77.55</v>
      </c>
      <c r="E526">
        <v>135</v>
      </c>
      <c r="F526">
        <v>80</v>
      </c>
      <c r="G526">
        <v>160</v>
      </c>
      <c r="H526">
        <v>375</v>
      </c>
      <c r="I526">
        <v>2012</v>
      </c>
      <c r="J526" t="s">
        <v>852</v>
      </c>
      <c r="K526" t="s">
        <v>30</v>
      </c>
    </row>
    <row r="527" spans="1:11">
      <c r="A527" t="s">
        <v>337</v>
      </c>
      <c r="B527">
        <v>1979</v>
      </c>
      <c r="C527" t="s">
        <v>28</v>
      </c>
      <c r="D527">
        <v>56.8</v>
      </c>
      <c r="E527">
        <v>142.5</v>
      </c>
      <c r="F527">
        <v>87.5</v>
      </c>
      <c r="G527">
        <v>145</v>
      </c>
      <c r="H527">
        <v>375</v>
      </c>
      <c r="I527">
        <v>2014</v>
      </c>
      <c r="J527" t="s">
        <v>852</v>
      </c>
      <c r="K527" t="s">
        <v>30</v>
      </c>
    </row>
    <row r="528" spans="1:11">
      <c r="A528" t="s">
        <v>906</v>
      </c>
      <c r="B528">
        <v>1983</v>
      </c>
      <c r="C528" t="s">
        <v>35</v>
      </c>
      <c r="D528">
        <v>55.65</v>
      </c>
      <c r="E528">
        <v>122.5</v>
      </c>
      <c r="F528">
        <v>77.5</v>
      </c>
      <c r="G528">
        <v>175</v>
      </c>
      <c r="H528">
        <v>375</v>
      </c>
      <c r="I528">
        <v>2012</v>
      </c>
      <c r="J528" t="s">
        <v>852</v>
      </c>
      <c r="K528" t="s">
        <v>30</v>
      </c>
    </row>
    <row r="529" spans="1:11">
      <c r="A529" t="s">
        <v>232</v>
      </c>
      <c r="B529">
        <v>1968</v>
      </c>
      <c r="C529" t="s">
        <v>62</v>
      </c>
      <c r="D529">
        <v>51.15</v>
      </c>
      <c r="E529">
        <v>150</v>
      </c>
      <c r="F529">
        <v>70</v>
      </c>
      <c r="G529">
        <v>152.5</v>
      </c>
      <c r="H529">
        <v>372.5</v>
      </c>
      <c r="I529">
        <v>2014</v>
      </c>
      <c r="J529" t="s">
        <v>852</v>
      </c>
      <c r="K529" t="s">
        <v>30</v>
      </c>
    </row>
    <row r="530" spans="1:11">
      <c r="A530" t="s">
        <v>967</v>
      </c>
      <c r="B530">
        <v>1982</v>
      </c>
      <c r="C530" t="s">
        <v>125</v>
      </c>
      <c r="D530">
        <v>68.150000000000006</v>
      </c>
      <c r="E530">
        <v>142.5</v>
      </c>
      <c r="F530">
        <v>72.5</v>
      </c>
      <c r="G530">
        <v>157.5</v>
      </c>
      <c r="H530">
        <v>372.5</v>
      </c>
      <c r="I530">
        <v>2013</v>
      </c>
      <c r="J530" t="s">
        <v>852</v>
      </c>
      <c r="K530" t="s">
        <v>30</v>
      </c>
    </row>
    <row r="531" spans="1:11">
      <c r="A531" t="s">
        <v>232</v>
      </c>
      <c r="B531">
        <v>1968</v>
      </c>
      <c r="C531" t="s">
        <v>62</v>
      </c>
      <c r="D531">
        <v>51.55</v>
      </c>
      <c r="E531">
        <v>145</v>
      </c>
      <c r="F531">
        <v>80</v>
      </c>
      <c r="G531">
        <v>147.5</v>
      </c>
      <c r="H531">
        <v>372.5</v>
      </c>
      <c r="I531">
        <v>2012</v>
      </c>
      <c r="J531" t="s">
        <v>852</v>
      </c>
      <c r="K531" t="s">
        <v>30</v>
      </c>
    </row>
    <row r="532" spans="1:11">
      <c r="A532" t="s">
        <v>871</v>
      </c>
      <c r="B532">
        <v>1981</v>
      </c>
      <c r="C532" t="s">
        <v>113</v>
      </c>
      <c r="D532">
        <v>58.15</v>
      </c>
      <c r="E532">
        <v>137.5</v>
      </c>
      <c r="F532">
        <v>90</v>
      </c>
      <c r="G532">
        <v>145</v>
      </c>
      <c r="H532">
        <v>372.5</v>
      </c>
      <c r="I532">
        <v>2013</v>
      </c>
      <c r="J532" t="s">
        <v>852</v>
      </c>
      <c r="K532" t="s">
        <v>30</v>
      </c>
    </row>
    <row r="533" spans="1:11">
      <c r="A533" t="s">
        <v>1049</v>
      </c>
      <c r="B533">
        <v>1986</v>
      </c>
      <c r="C533" t="s">
        <v>51</v>
      </c>
      <c r="D533">
        <v>62.5</v>
      </c>
      <c r="E533">
        <v>132.5</v>
      </c>
      <c r="F533">
        <v>72.5</v>
      </c>
      <c r="G533">
        <v>165</v>
      </c>
      <c r="H533">
        <v>370</v>
      </c>
      <c r="I533">
        <v>2013</v>
      </c>
      <c r="J533" t="s">
        <v>852</v>
      </c>
      <c r="K533" t="s">
        <v>30</v>
      </c>
    </row>
    <row r="534" spans="1:11">
      <c r="A534" t="s">
        <v>275</v>
      </c>
      <c r="B534">
        <v>1988</v>
      </c>
      <c r="C534" t="s">
        <v>51</v>
      </c>
      <c r="D534">
        <v>56.84</v>
      </c>
      <c r="E534">
        <v>137.5</v>
      </c>
      <c r="F534">
        <v>85</v>
      </c>
      <c r="G534">
        <v>147.5</v>
      </c>
      <c r="H534">
        <v>370</v>
      </c>
      <c r="I534">
        <v>2015</v>
      </c>
      <c r="J534" t="s">
        <v>852</v>
      </c>
      <c r="K534" t="s">
        <v>30</v>
      </c>
    </row>
    <row r="535" spans="1:11">
      <c r="A535" t="s">
        <v>910</v>
      </c>
      <c r="B535">
        <v>1983</v>
      </c>
      <c r="C535" t="s">
        <v>51</v>
      </c>
      <c r="D535">
        <v>67.3</v>
      </c>
      <c r="E535">
        <v>135</v>
      </c>
      <c r="F535">
        <v>90</v>
      </c>
      <c r="G535">
        <v>145</v>
      </c>
      <c r="H535">
        <v>370</v>
      </c>
      <c r="I535">
        <v>2013</v>
      </c>
      <c r="J535" t="s">
        <v>852</v>
      </c>
      <c r="K535" t="s">
        <v>30</v>
      </c>
    </row>
    <row r="536" spans="1:11">
      <c r="A536" t="s">
        <v>879</v>
      </c>
      <c r="B536">
        <v>1987</v>
      </c>
      <c r="C536" t="s">
        <v>35</v>
      </c>
      <c r="D536">
        <v>56.5</v>
      </c>
      <c r="E536">
        <v>115</v>
      </c>
      <c r="F536">
        <v>80</v>
      </c>
      <c r="G536">
        <v>175</v>
      </c>
      <c r="H536">
        <v>370</v>
      </c>
      <c r="I536">
        <v>2012</v>
      </c>
      <c r="J536" t="s">
        <v>852</v>
      </c>
      <c r="K536" t="s">
        <v>30</v>
      </c>
    </row>
    <row r="537" spans="1:11">
      <c r="A537" t="s">
        <v>270</v>
      </c>
      <c r="B537">
        <v>1980</v>
      </c>
      <c r="C537" t="s">
        <v>49</v>
      </c>
      <c r="D537">
        <v>70.17</v>
      </c>
      <c r="E537">
        <v>142.5</v>
      </c>
      <c r="F537">
        <v>75</v>
      </c>
      <c r="G537">
        <v>150</v>
      </c>
      <c r="H537">
        <v>367.5</v>
      </c>
      <c r="I537">
        <v>2015</v>
      </c>
      <c r="J537" t="s">
        <v>852</v>
      </c>
      <c r="K537" t="s">
        <v>30</v>
      </c>
    </row>
    <row r="538" spans="1:11">
      <c r="A538" t="s">
        <v>232</v>
      </c>
      <c r="B538">
        <v>1968</v>
      </c>
      <c r="C538" t="s">
        <v>62</v>
      </c>
      <c r="D538">
        <v>51.09</v>
      </c>
      <c r="E538">
        <v>145</v>
      </c>
      <c r="F538">
        <v>75</v>
      </c>
      <c r="G538">
        <v>145</v>
      </c>
      <c r="H538">
        <v>365</v>
      </c>
      <c r="I538">
        <v>2015</v>
      </c>
      <c r="J538" t="s">
        <v>852</v>
      </c>
      <c r="K538" t="s">
        <v>30</v>
      </c>
    </row>
    <row r="539" spans="1:11">
      <c r="A539" t="s">
        <v>284</v>
      </c>
      <c r="B539">
        <v>1991</v>
      </c>
      <c r="C539" t="s">
        <v>83</v>
      </c>
      <c r="D539">
        <v>46.42</v>
      </c>
      <c r="E539">
        <v>140</v>
      </c>
      <c r="F539">
        <v>72.5</v>
      </c>
      <c r="G539">
        <v>150</v>
      </c>
      <c r="H539">
        <v>362.5</v>
      </c>
      <c r="I539">
        <v>2015</v>
      </c>
      <c r="J539" t="s">
        <v>852</v>
      </c>
      <c r="K539" t="s">
        <v>30</v>
      </c>
    </row>
    <row r="540" spans="1:11">
      <c r="A540" t="s">
        <v>956</v>
      </c>
      <c r="B540">
        <v>1977</v>
      </c>
      <c r="C540" t="s">
        <v>51</v>
      </c>
      <c r="D540">
        <v>55.85</v>
      </c>
      <c r="E540">
        <v>127.5</v>
      </c>
      <c r="F540">
        <v>80</v>
      </c>
      <c r="G540">
        <v>155</v>
      </c>
      <c r="H540">
        <v>362.5</v>
      </c>
      <c r="I540">
        <v>2014</v>
      </c>
      <c r="J540" t="s">
        <v>852</v>
      </c>
      <c r="K540" t="s">
        <v>30</v>
      </c>
    </row>
    <row r="541" spans="1:11">
      <c r="A541" t="s">
        <v>320</v>
      </c>
      <c r="B541">
        <v>1978</v>
      </c>
      <c r="C541" t="s">
        <v>125</v>
      </c>
      <c r="D541">
        <v>62.59</v>
      </c>
      <c r="E541">
        <v>110</v>
      </c>
      <c r="F541">
        <v>82.5</v>
      </c>
      <c r="G541">
        <v>170</v>
      </c>
      <c r="H541">
        <v>362.5</v>
      </c>
      <c r="I541">
        <v>2015</v>
      </c>
      <c r="J541" t="s">
        <v>852</v>
      </c>
      <c r="K541" t="s">
        <v>30</v>
      </c>
    </row>
    <row r="542" spans="1:11">
      <c r="A542" t="s">
        <v>275</v>
      </c>
      <c r="B542">
        <v>1988</v>
      </c>
      <c r="C542" t="s">
        <v>51</v>
      </c>
      <c r="D542">
        <v>54.85</v>
      </c>
      <c r="E542">
        <v>130</v>
      </c>
      <c r="F542">
        <v>82.5</v>
      </c>
      <c r="G542">
        <v>147.5</v>
      </c>
      <c r="H542">
        <v>360</v>
      </c>
      <c r="I542">
        <v>2014</v>
      </c>
      <c r="J542" t="s">
        <v>852</v>
      </c>
      <c r="K542" t="s">
        <v>30</v>
      </c>
    </row>
    <row r="543" spans="1:11">
      <c r="A543" t="s">
        <v>253</v>
      </c>
      <c r="B543">
        <v>1971</v>
      </c>
      <c r="C543" t="s">
        <v>194</v>
      </c>
      <c r="D543">
        <v>54.72</v>
      </c>
      <c r="E543">
        <v>125</v>
      </c>
      <c r="F543">
        <v>90</v>
      </c>
      <c r="G543">
        <v>145</v>
      </c>
      <c r="H543">
        <v>360</v>
      </c>
      <c r="I543">
        <v>2015</v>
      </c>
      <c r="J543" t="s">
        <v>852</v>
      </c>
      <c r="K543" t="s">
        <v>30</v>
      </c>
    </row>
    <row r="544" spans="1:11">
      <c r="A544" t="s">
        <v>200</v>
      </c>
      <c r="B544">
        <v>1982</v>
      </c>
      <c r="C544" t="s">
        <v>62</v>
      </c>
      <c r="D544">
        <v>56</v>
      </c>
      <c r="E544">
        <v>125</v>
      </c>
      <c r="F544">
        <v>67.5</v>
      </c>
      <c r="G544">
        <v>165</v>
      </c>
      <c r="H544">
        <v>357.5</v>
      </c>
      <c r="I544">
        <v>2015</v>
      </c>
      <c r="J544" t="s">
        <v>852</v>
      </c>
      <c r="K544" t="s">
        <v>30</v>
      </c>
    </row>
    <row r="545" spans="1:11">
      <c r="A545" t="s">
        <v>315</v>
      </c>
      <c r="B545">
        <v>1990</v>
      </c>
      <c r="C545" t="s">
        <v>54</v>
      </c>
      <c r="D545">
        <v>62.04</v>
      </c>
      <c r="E545">
        <v>127.5</v>
      </c>
      <c r="F545">
        <v>70</v>
      </c>
      <c r="G545">
        <v>160</v>
      </c>
      <c r="H545">
        <v>357.5</v>
      </c>
      <c r="I545">
        <v>2015</v>
      </c>
      <c r="J545" t="s">
        <v>852</v>
      </c>
      <c r="K545" t="s">
        <v>30</v>
      </c>
    </row>
    <row r="546" spans="1:11">
      <c r="A546" t="s">
        <v>978</v>
      </c>
      <c r="B546">
        <v>1975</v>
      </c>
      <c r="C546" t="s">
        <v>80</v>
      </c>
      <c r="D546">
        <v>62.7</v>
      </c>
      <c r="E546">
        <v>125</v>
      </c>
      <c r="F546">
        <v>75</v>
      </c>
      <c r="G546">
        <v>157.5</v>
      </c>
      <c r="H546">
        <v>357.5</v>
      </c>
      <c r="I546">
        <v>2012</v>
      </c>
      <c r="J546" t="s">
        <v>852</v>
      </c>
      <c r="K546" t="s">
        <v>30</v>
      </c>
    </row>
    <row r="547" spans="1:11">
      <c r="A547" t="s">
        <v>1053</v>
      </c>
      <c r="B547">
        <v>1986</v>
      </c>
      <c r="C547" t="s">
        <v>39</v>
      </c>
      <c r="D547">
        <v>51.3</v>
      </c>
      <c r="E547">
        <v>115</v>
      </c>
      <c r="F547">
        <v>90</v>
      </c>
      <c r="G547">
        <v>152.5</v>
      </c>
      <c r="H547">
        <v>357.5</v>
      </c>
      <c r="I547">
        <v>2013</v>
      </c>
      <c r="J547" t="s">
        <v>852</v>
      </c>
      <c r="K547" t="s">
        <v>30</v>
      </c>
    </row>
    <row r="548" spans="1:11">
      <c r="A548" t="s">
        <v>232</v>
      </c>
      <c r="B548">
        <v>1968</v>
      </c>
      <c r="C548" t="s">
        <v>62</v>
      </c>
      <c r="D548">
        <v>51.65</v>
      </c>
      <c r="E548">
        <v>140</v>
      </c>
      <c r="F548">
        <v>75</v>
      </c>
      <c r="G548">
        <v>140</v>
      </c>
      <c r="H548">
        <v>355</v>
      </c>
      <c r="I548">
        <v>2013</v>
      </c>
      <c r="J548" t="s">
        <v>852</v>
      </c>
      <c r="K548" t="s">
        <v>30</v>
      </c>
    </row>
    <row r="549" spans="1:11">
      <c r="A549" t="s">
        <v>226</v>
      </c>
      <c r="B549">
        <v>1986</v>
      </c>
      <c r="C549" t="s">
        <v>35</v>
      </c>
      <c r="D549">
        <v>50.13</v>
      </c>
      <c r="E549">
        <v>125</v>
      </c>
      <c r="F549">
        <v>70</v>
      </c>
      <c r="G549">
        <v>160</v>
      </c>
      <c r="H549">
        <v>355</v>
      </c>
      <c r="I549">
        <v>2015</v>
      </c>
      <c r="J549" t="s">
        <v>852</v>
      </c>
      <c r="K549" t="s">
        <v>30</v>
      </c>
    </row>
    <row r="550" spans="1:11">
      <c r="A550" t="s">
        <v>233</v>
      </c>
      <c r="B550">
        <v>1988</v>
      </c>
      <c r="C550" t="s">
        <v>62</v>
      </c>
      <c r="D550">
        <v>56.48</v>
      </c>
      <c r="E550">
        <v>122.5</v>
      </c>
      <c r="F550">
        <v>72.5</v>
      </c>
      <c r="G550">
        <v>160</v>
      </c>
      <c r="H550">
        <v>355</v>
      </c>
      <c r="I550">
        <v>2015</v>
      </c>
      <c r="J550" t="s">
        <v>852</v>
      </c>
      <c r="K550" t="s">
        <v>30</v>
      </c>
    </row>
    <row r="551" spans="1:11">
      <c r="A551" t="s">
        <v>892</v>
      </c>
      <c r="B551">
        <v>1986</v>
      </c>
      <c r="C551" t="s">
        <v>39</v>
      </c>
      <c r="D551">
        <v>56.6</v>
      </c>
      <c r="E551">
        <v>130</v>
      </c>
      <c r="F551">
        <v>82.5</v>
      </c>
      <c r="G551">
        <v>142.5</v>
      </c>
      <c r="H551">
        <v>355</v>
      </c>
      <c r="I551">
        <v>2013</v>
      </c>
      <c r="J551" t="s">
        <v>852</v>
      </c>
      <c r="K551" t="s">
        <v>30</v>
      </c>
    </row>
    <row r="552" spans="1:11">
      <c r="A552" t="s">
        <v>957</v>
      </c>
      <c r="B552">
        <v>1973</v>
      </c>
      <c r="C552" t="s">
        <v>80</v>
      </c>
      <c r="D552">
        <v>56.55</v>
      </c>
      <c r="E552">
        <v>112.5</v>
      </c>
      <c r="F552">
        <v>85</v>
      </c>
      <c r="G552">
        <v>157.5</v>
      </c>
      <c r="H552">
        <v>355</v>
      </c>
      <c r="I552">
        <v>2013</v>
      </c>
      <c r="J552" t="s">
        <v>852</v>
      </c>
      <c r="K552" t="s">
        <v>30</v>
      </c>
    </row>
    <row r="553" spans="1:11">
      <c r="A553" t="s">
        <v>288</v>
      </c>
      <c r="B553">
        <v>1968</v>
      </c>
      <c r="C553" t="s">
        <v>289</v>
      </c>
      <c r="D553">
        <v>50.7</v>
      </c>
      <c r="E553">
        <v>125</v>
      </c>
      <c r="F553">
        <v>75</v>
      </c>
      <c r="G553">
        <v>152.5</v>
      </c>
      <c r="H553">
        <v>352.5</v>
      </c>
      <c r="I553">
        <v>2012</v>
      </c>
      <c r="J553" t="s">
        <v>852</v>
      </c>
      <c r="K553" t="s">
        <v>30</v>
      </c>
    </row>
    <row r="554" spans="1:11">
      <c r="A554" t="s">
        <v>931</v>
      </c>
      <c r="B554">
        <v>1976</v>
      </c>
      <c r="C554" t="s">
        <v>62</v>
      </c>
      <c r="D554">
        <v>49.9</v>
      </c>
      <c r="E554">
        <v>122.5</v>
      </c>
      <c r="F554">
        <v>75</v>
      </c>
      <c r="G554">
        <v>155</v>
      </c>
      <c r="H554">
        <v>352.5</v>
      </c>
      <c r="I554">
        <v>2014</v>
      </c>
      <c r="J554" t="s">
        <v>852</v>
      </c>
      <c r="K554" t="s">
        <v>30</v>
      </c>
    </row>
    <row r="555" spans="1:11">
      <c r="A555" t="s">
        <v>334</v>
      </c>
      <c r="B555">
        <v>1977</v>
      </c>
      <c r="C555" t="s">
        <v>194</v>
      </c>
      <c r="D555">
        <v>61.93</v>
      </c>
      <c r="E555">
        <v>127.5</v>
      </c>
      <c r="F555">
        <v>80</v>
      </c>
      <c r="G555">
        <v>145</v>
      </c>
      <c r="H555">
        <v>352.5</v>
      </c>
      <c r="I555">
        <v>2015</v>
      </c>
      <c r="J555" t="s">
        <v>852</v>
      </c>
      <c r="K555" t="s">
        <v>30</v>
      </c>
    </row>
    <row r="556" spans="1:11">
      <c r="A556" t="s">
        <v>188</v>
      </c>
      <c r="B556">
        <v>1986</v>
      </c>
      <c r="C556" t="s">
        <v>137</v>
      </c>
      <c r="D556">
        <v>54.98</v>
      </c>
      <c r="E556">
        <v>125</v>
      </c>
      <c r="F556">
        <v>87.5</v>
      </c>
      <c r="G556">
        <v>140</v>
      </c>
      <c r="H556">
        <v>352.5</v>
      </c>
      <c r="I556">
        <v>2015</v>
      </c>
      <c r="J556" t="s">
        <v>852</v>
      </c>
      <c r="K556" t="s">
        <v>30</v>
      </c>
    </row>
    <row r="557" spans="1:11">
      <c r="A557" t="s">
        <v>999</v>
      </c>
      <c r="B557">
        <v>1973</v>
      </c>
      <c r="C557" t="s">
        <v>80</v>
      </c>
      <c r="D557">
        <v>69.45</v>
      </c>
      <c r="E557">
        <v>112.5</v>
      </c>
      <c r="F557">
        <v>90</v>
      </c>
      <c r="G557">
        <v>150</v>
      </c>
      <c r="H557">
        <v>352.5</v>
      </c>
      <c r="I557">
        <v>2012</v>
      </c>
      <c r="J557" t="s">
        <v>852</v>
      </c>
      <c r="K557" t="s">
        <v>30</v>
      </c>
    </row>
    <row r="558" spans="1:11">
      <c r="A558" t="s">
        <v>209</v>
      </c>
      <c r="B558">
        <v>1983</v>
      </c>
      <c r="C558" t="s">
        <v>163</v>
      </c>
      <c r="D558">
        <v>62.84</v>
      </c>
      <c r="E558">
        <v>125</v>
      </c>
      <c r="F558">
        <v>72.5</v>
      </c>
      <c r="G558">
        <v>152.5</v>
      </c>
      <c r="H558">
        <v>350</v>
      </c>
      <c r="I558">
        <v>2015</v>
      </c>
      <c r="J558" t="s">
        <v>852</v>
      </c>
      <c r="K558" t="s">
        <v>30</v>
      </c>
    </row>
    <row r="559" spans="1:11">
      <c r="A559" t="s">
        <v>1037</v>
      </c>
      <c r="B559">
        <v>1981</v>
      </c>
      <c r="C559" t="s">
        <v>56</v>
      </c>
      <c r="D559">
        <v>83.5</v>
      </c>
      <c r="E559">
        <v>115</v>
      </c>
      <c r="F559">
        <v>72.5</v>
      </c>
      <c r="G559">
        <v>162.5</v>
      </c>
      <c r="H559">
        <v>350</v>
      </c>
      <c r="I559">
        <v>2013</v>
      </c>
      <c r="J559" t="s">
        <v>852</v>
      </c>
      <c r="K559" t="s">
        <v>30</v>
      </c>
    </row>
    <row r="560" spans="1:11">
      <c r="A560" t="s">
        <v>303</v>
      </c>
      <c r="B560">
        <v>1976</v>
      </c>
      <c r="C560" t="s">
        <v>113</v>
      </c>
      <c r="D560">
        <v>50.92</v>
      </c>
      <c r="E560">
        <v>120</v>
      </c>
      <c r="F560">
        <v>85</v>
      </c>
      <c r="G560">
        <v>145</v>
      </c>
      <c r="H560">
        <v>350</v>
      </c>
      <c r="I560">
        <v>2015</v>
      </c>
      <c r="J560" t="s">
        <v>852</v>
      </c>
      <c r="K560" t="s">
        <v>30</v>
      </c>
    </row>
    <row r="561" spans="1:11">
      <c r="A561" t="s">
        <v>223</v>
      </c>
      <c r="B561">
        <v>1970</v>
      </c>
      <c r="C561" t="s">
        <v>28</v>
      </c>
      <c r="D561">
        <v>46.65</v>
      </c>
      <c r="E561">
        <v>120</v>
      </c>
      <c r="F561">
        <v>85</v>
      </c>
      <c r="G561">
        <v>145</v>
      </c>
      <c r="H561">
        <v>350</v>
      </c>
      <c r="I561">
        <v>2013</v>
      </c>
      <c r="J561" t="s">
        <v>852</v>
      </c>
      <c r="K561" t="s">
        <v>30</v>
      </c>
    </row>
    <row r="562" spans="1:11">
      <c r="A562" t="s">
        <v>294</v>
      </c>
      <c r="B562">
        <v>1986</v>
      </c>
      <c r="C562" t="s">
        <v>113</v>
      </c>
      <c r="D562">
        <v>46.57</v>
      </c>
      <c r="E562">
        <v>135</v>
      </c>
      <c r="F562">
        <v>65</v>
      </c>
      <c r="G562">
        <v>147.5</v>
      </c>
      <c r="H562">
        <v>347.5</v>
      </c>
      <c r="I562">
        <v>2015</v>
      </c>
      <c r="J562" t="s">
        <v>852</v>
      </c>
      <c r="K562" t="s">
        <v>30</v>
      </c>
    </row>
    <row r="563" spans="1:11">
      <c r="A563" t="s">
        <v>966</v>
      </c>
      <c r="B563">
        <v>1987</v>
      </c>
      <c r="C563" t="s">
        <v>194</v>
      </c>
      <c r="D563">
        <v>68.849999999999994</v>
      </c>
      <c r="E563">
        <v>122.5</v>
      </c>
      <c r="F563">
        <v>65</v>
      </c>
      <c r="G563">
        <v>160</v>
      </c>
      <c r="H563">
        <v>347.5</v>
      </c>
      <c r="I563">
        <v>2014</v>
      </c>
      <c r="J563" t="s">
        <v>852</v>
      </c>
      <c r="K563" t="s">
        <v>30</v>
      </c>
    </row>
    <row r="564" spans="1:11">
      <c r="A564" t="s">
        <v>870</v>
      </c>
      <c r="B564">
        <v>1984</v>
      </c>
      <c r="C564" t="s">
        <v>194</v>
      </c>
      <c r="D564">
        <v>62.75</v>
      </c>
      <c r="E564">
        <v>110</v>
      </c>
      <c r="F564">
        <v>75</v>
      </c>
      <c r="G564">
        <v>162.5</v>
      </c>
      <c r="H564">
        <v>347.5</v>
      </c>
      <c r="I564">
        <v>2014</v>
      </c>
      <c r="J564" t="s">
        <v>852</v>
      </c>
      <c r="K564" t="s">
        <v>30</v>
      </c>
    </row>
    <row r="565" spans="1:11">
      <c r="A565" t="s">
        <v>910</v>
      </c>
      <c r="B565">
        <v>1983</v>
      </c>
      <c r="C565" t="s">
        <v>51</v>
      </c>
      <c r="D565">
        <v>62.55</v>
      </c>
      <c r="E565">
        <v>120</v>
      </c>
      <c r="F565">
        <v>87.5</v>
      </c>
      <c r="G565">
        <v>140</v>
      </c>
      <c r="H565">
        <v>347.5</v>
      </c>
      <c r="I565">
        <v>2012</v>
      </c>
      <c r="J565" t="s">
        <v>852</v>
      </c>
      <c r="K565" t="s">
        <v>30</v>
      </c>
    </row>
    <row r="566" spans="1:11">
      <c r="A566" t="s">
        <v>320</v>
      </c>
      <c r="B566">
        <v>1978</v>
      </c>
      <c r="C566" t="s">
        <v>125</v>
      </c>
      <c r="D566">
        <v>62.75</v>
      </c>
      <c r="E566">
        <v>105</v>
      </c>
      <c r="F566">
        <v>80</v>
      </c>
      <c r="G566">
        <v>162.5</v>
      </c>
      <c r="H566">
        <v>347.5</v>
      </c>
      <c r="I566">
        <v>2014</v>
      </c>
      <c r="J566" t="s">
        <v>852</v>
      </c>
      <c r="K566" t="s">
        <v>30</v>
      </c>
    </row>
    <row r="567" spans="1:11">
      <c r="A567" t="s">
        <v>223</v>
      </c>
      <c r="B567">
        <v>1970</v>
      </c>
      <c r="C567" t="s">
        <v>28</v>
      </c>
      <c r="D567">
        <v>46.9</v>
      </c>
      <c r="E567">
        <v>115</v>
      </c>
      <c r="F567">
        <v>91</v>
      </c>
      <c r="G567">
        <v>140</v>
      </c>
      <c r="H567">
        <v>346</v>
      </c>
      <c r="I567">
        <v>2014</v>
      </c>
      <c r="J567" t="s">
        <v>852</v>
      </c>
      <c r="K567" t="s">
        <v>30</v>
      </c>
    </row>
    <row r="568" spans="1:11">
      <c r="A568" t="s">
        <v>955</v>
      </c>
      <c r="B568">
        <v>1986</v>
      </c>
      <c r="C568" t="s">
        <v>35</v>
      </c>
      <c r="D568">
        <v>50.45</v>
      </c>
      <c r="E568">
        <v>122.5</v>
      </c>
      <c r="F568">
        <v>65</v>
      </c>
      <c r="G568">
        <v>157.5</v>
      </c>
      <c r="H568">
        <v>345</v>
      </c>
      <c r="I568">
        <v>2012</v>
      </c>
      <c r="J568" t="s">
        <v>852</v>
      </c>
      <c r="K568" t="s">
        <v>30</v>
      </c>
    </row>
    <row r="569" spans="1:11">
      <c r="A569" t="s">
        <v>230</v>
      </c>
      <c r="B569">
        <v>1986</v>
      </c>
      <c r="C569" t="s">
        <v>56</v>
      </c>
      <c r="D569">
        <v>56.41</v>
      </c>
      <c r="E569">
        <v>120</v>
      </c>
      <c r="F569">
        <v>65</v>
      </c>
      <c r="G569">
        <v>160</v>
      </c>
      <c r="H569">
        <v>345</v>
      </c>
      <c r="I569">
        <v>2015</v>
      </c>
      <c r="J569" t="s">
        <v>852</v>
      </c>
      <c r="K569" t="s">
        <v>30</v>
      </c>
    </row>
    <row r="570" spans="1:11">
      <c r="A570" t="s">
        <v>225</v>
      </c>
      <c r="B570">
        <v>1978</v>
      </c>
      <c r="C570" t="s">
        <v>51</v>
      </c>
      <c r="D570">
        <v>60.65</v>
      </c>
      <c r="E570">
        <v>122.5</v>
      </c>
      <c r="F570">
        <v>72.5</v>
      </c>
      <c r="G570">
        <v>150</v>
      </c>
      <c r="H570">
        <v>345</v>
      </c>
      <c r="I570">
        <v>2014</v>
      </c>
      <c r="J570" t="s">
        <v>852</v>
      </c>
      <c r="K570" t="s">
        <v>30</v>
      </c>
    </row>
    <row r="571" spans="1:11">
      <c r="A571" t="s">
        <v>912</v>
      </c>
      <c r="B571">
        <v>1971</v>
      </c>
      <c r="C571" t="s">
        <v>77</v>
      </c>
      <c r="D571">
        <v>51.2</v>
      </c>
      <c r="E571">
        <v>117.5</v>
      </c>
      <c r="F571">
        <v>92.5</v>
      </c>
      <c r="G571">
        <v>135</v>
      </c>
      <c r="H571">
        <v>345</v>
      </c>
      <c r="I571">
        <v>2013</v>
      </c>
      <c r="J571" t="s">
        <v>852</v>
      </c>
      <c r="K571" t="s">
        <v>30</v>
      </c>
    </row>
    <row r="572" spans="1:11">
      <c r="A572" t="s">
        <v>939</v>
      </c>
      <c r="B572">
        <v>1982</v>
      </c>
      <c r="C572" t="s">
        <v>85</v>
      </c>
      <c r="D572">
        <v>82.5</v>
      </c>
      <c r="E572">
        <v>127.5</v>
      </c>
      <c r="F572">
        <v>67.5</v>
      </c>
      <c r="G572">
        <v>147.5</v>
      </c>
      <c r="H572">
        <v>342.5</v>
      </c>
      <c r="I572">
        <v>2013</v>
      </c>
      <c r="J572" t="s">
        <v>852</v>
      </c>
      <c r="K572" t="s">
        <v>30</v>
      </c>
    </row>
    <row r="573" spans="1:11">
      <c r="A573" t="s">
        <v>899</v>
      </c>
      <c r="B573">
        <v>1975</v>
      </c>
      <c r="C573" t="s">
        <v>56</v>
      </c>
      <c r="D573">
        <v>51.4</v>
      </c>
      <c r="E573">
        <v>132.5</v>
      </c>
      <c r="F573">
        <v>75</v>
      </c>
      <c r="G573">
        <v>135</v>
      </c>
      <c r="H573">
        <v>342.5</v>
      </c>
      <c r="I573">
        <v>2014</v>
      </c>
      <c r="J573" t="s">
        <v>852</v>
      </c>
      <c r="K573" t="s">
        <v>30</v>
      </c>
    </row>
    <row r="574" spans="1:11">
      <c r="A574" t="s">
        <v>297</v>
      </c>
      <c r="B574">
        <v>1982</v>
      </c>
      <c r="C574" t="s">
        <v>80</v>
      </c>
      <c r="D574">
        <v>46.9</v>
      </c>
      <c r="E574">
        <v>110</v>
      </c>
      <c r="F574">
        <v>91.5</v>
      </c>
      <c r="G574">
        <v>140</v>
      </c>
      <c r="H574">
        <v>341.5</v>
      </c>
      <c r="I574">
        <v>2015</v>
      </c>
      <c r="J574" t="s">
        <v>852</v>
      </c>
      <c r="K574" t="s">
        <v>30</v>
      </c>
    </row>
    <row r="575" spans="1:11">
      <c r="A575" t="s">
        <v>312</v>
      </c>
      <c r="B575">
        <v>1989</v>
      </c>
      <c r="C575" t="s">
        <v>85</v>
      </c>
      <c r="D575">
        <v>62.44</v>
      </c>
      <c r="E575">
        <v>120</v>
      </c>
      <c r="F575">
        <v>67.5</v>
      </c>
      <c r="G575">
        <v>150</v>
      </c>
      <c r="H575">
        <v>337.5</v>
      </c>
      <c r="I575">
        <v>2015</v>
      </c>
      <c r="J575" t="s">
        <v>852</v>
      </c>
      <c r="K575" t="s">
        <v>30</v>
      </c>
    </row>
    <row r="576" spans="1:11">
      <c r="A576" t="s">
        <v>304</v>
      </c>
      <c r="B576">
        <v>1986</v>
      </c>
      <c r="C576" t="s">
        <v>113</v>
      </c>
      <c r="D576">
        <v>52</v>
      </c>
      <c r="E576">
        <v>127.5</v>
      </c>
      <c r="F576">
        <v>75</v>
      </c>
      <c r="G576">
        <v>135</v>
      </c>
      <c r="H576">
        <v>337.5</v>
      </c>
      <c r="I576">
        <v>2015</v>
      </c>
      <c r="J576" t="s">
        <v>852</v>
      </c>
      <c r="K576" t="s">
        <v>30</v>
      </c>
    </row>
    <row r="577" spans="1:11">
      <c r="A577" t="s">
        <v>933</v>
      </c>
      <c r="B577">
        <v>1987</v>
      </c>
      <c r="C577" t="s">
        <v>56</v>
      </c>
      <c r="D577">
        <v>62.7</v>
      </c>
      <c r="E577">
        <v>110</v>
      </c>
      <c r="F577">
        <v>67.5</v>
      </c>
      <c r="G577">
        <v>160</v>
      </c>
      <c r="H577">
        <v>337.5</v>
      </c>
      <c r="I577">
        <v>2013</v>
      </c>
      <c r="J577" t="s">
        <v>852</v>
      </c>
      <c r="K577" t="s">
        <v>30</v>
      </c>
    </row>
    <row r="578" spans="1:11">
      <c r="A578" t="s">
        <v>912</v>
      </c>
      <c r="B578">
        <v>1971</v>
      </c>
      <c r="C578" t="s">
        <v>77</v>
      </c>
      <c r="D578">
        <v>51.15</v>
      </c>
      <c r="E578">
        <v>112.5</v>
      </c>
      <c r="F578">
        <v>90</v>
      </c>
      <c r="G578">
        <v>135</v>
      </c>
      <c r="H578">
        <v>337.5</v>
      </c>
      <c r="I578">
        <v>2012</v>
      </c>
      <c r="J578" t="s">
        <v>852</v>
      </c>
      <c r="K578" t="s">
        <v>30</v>
      </c>
    </row>
    <row r="579" spans="1:11">
      <c r="A579" t="s">
        <v>983</v>
      </c>
      <c r="B579">
        <v>1987</v>
      </c>
      <c r="C579" t="s">
        <v>62</v>
      </c>
      <c r="D579">
        <v>52.9</v>
      </c>
      <c r="E579">
        <v>120</v>
      </c>
      <c r="F579">
        <v>65</v>
      </c>
      <c r="G579">
        <v>150</v>
      </c>
      <c r="H579">
        <v>335</v>
      </c>
      <c r="I579">
        <v>2012</v>
      </c>
      <c r="J579" t="s">
        <v>852</v>
      </c>
      <c r="K579" t="s">
        <v>30</v>
      </c>
    </row>
    <row r="580" spans="1:11">
      <c r="A580" t="s">
        <v>332</v>
      </c>
      <c r="B580">
        <v>1976</v>
      </c>
      <c r="C580" t="s">
        <v>80</v>
      </c>
      <c r="D580">
        <v>56.76</v>
      </c>
      <c r="E580">
        <v>125</v>
      </c>
      <c r="F580">
        <v>70</v>
      </c>
      <c r="G580">
        <v>140</v>
      </c>
      <c r="H580">
        <v>335</v>
      </c>
      <c r="I580">
        <v>2015</v>
      </c>
      <c r="J580" t="s">
        <v>852</v>
      </c>
      <c r="K580" t="s">
        <v>30</v>
      </c>
    </row>
    <row r="581" spans="1:11">
      <c r="A581" t="s">
        <v>182</v>
      </c>
      <c r="B581">
        <v>1984</v>
      </c>
      <c r="C581" t="s">
        <v>72</v>
      </c>
      <c r="D581">
        <v>103.29</v>
      </c>
      <c r="E581">
        <v>127.5</v>
      </c>
      <c r="F581">
        <v>72.5</v>
      </c>
      <c r="G581">
        <v>135</v>
      </c>
      <c r="H581">
        <v>335</v>
      </c>
      <c r="I581">
        <v>2015</v>
      </c>
      <c r="J581" t="s">
        <v>852</v>
      </c>
      <c r="K581" t="s">
        <v>30</v>
      </c>
    </row>
    <row r="582" spans="1:11">
      <c r="A582" t="s">
        <v>233</v>
      </c>
      <c r="B582">
        <v>1988</v>
      </c>
      <c r="C582" t="s">
        <v>62</v>
      </c>
      <c r="D582">
        <v>56.2</v>
      </c>
      <c r="E582">
        <v>115</v>
      </c>
      <c r="F582">
        <v>70</v>
      </c>
      <c r="G582">
        <v>150</v>
      </c>
      <c r="H582">
        <v>335</v>
      </c>
      <c r="I582">
        <v>2014</v>
      </c>
      <c r="J582" t="s">
        <v>852</v>
      </c>
      <c r="K582" t="s">
        <v>30</v>
      </c>
    </row>
    <row r="583" spans="1:11">
      <c r="A583" t="s">
        <v>225</v>
      </c>
      <c r="B583">
        <v>1978</v>
      </c>
      <c r="C583" t="s">
        <v>51</v>
      </c>
      <c r="D583">
        <v>60.6</v>
      </c>
      <c r="E583">
        <v>110</v>
      </c>
      <c r="F583">
        <v>67.5</v>
      </c>
      <c r="G583">
        <v>157.5</v>
      </c>
      <c r="H583">
        <v>335</v>
      </c>
      <c r="I583">
        <v>2013</v>
      </c>
      <c r="J583" t="s">
        <v>852</v>
      </c>
      <c r="K583" t="s">
        <v>30</v>
      </c>
    </row>
    <row r="584" spans="1:11">
      <c r="A584" t="s">
        <v>975</v>
      </c>
      <c r="B584">
        <v>1986</v>
      </c>
      <c r="C584" t="s">
        <v>56</v>
      </c>
      <c r="D584">
        <v>55.7</v>
      </c>
      <c r="E584">
        <v>125</v>
      </c>
      <c r="F584">
        <v>77.5</v>
      </c>
      <c r="G584">
        <v>132.5</v>
      </c>
      <c r="H584">
        <v>335</v>
      </c>
      <c r="I584">
        <v>2014</v>
      </c>
      <c r="J584" t="s">
        <v>852</v>
      </c>
      <c r="K584" t="s">
        <v>30</v>
      </c>
    </row>
    <row r="585" spans="1:11">
      <c r="A585" t="s">
        <v>245</v>
      </c>
      <c r="B585">
        <v>1979</v>
      </c>
      <c r="C585" t="s">
        <v>77</v>
      </c>
      <c r="D585">
        <v>46.36</v>
      </c>
      <c r="E585">
        <v>110</v>
      </c>
      <c r="F585">
        <v>72.5</v>
      </c>
      <c r="G585">
        <v>152.5</v>
      </c>
      <c r="H585">
        <v>335</v>
      </c>
      <c r="I585">
        <v>2015</v>
      </c>
      <c r="J585" t="s">
        <v>852</v>
      </c>
      <c r="K585" t="s">
        <v>30</v>
      </c>
    </row>
    <row r="586" spans="1:11">
      <c r="A586" t="s">
        <v>236</v>
      </c>
      <c r="B586">
        <v>1980</v>
      </c>
      <c r="C586" t="s">
        <v>56</v>
      </c>
      <c r="D586">
        <v>56.45</v>
      </c>
      <c r="E586">
        <v>110</v>
      </c>
      <c r="F586">
        <v>80</v>
      </c>
      <c r="G586">
        <v>145</v>
      </c>
      <c r="H586">
        <v>335</v>
      </c>
      <c r="I586">
        <v>2012</v>
      </c>
      <c r="J586" t="s">
        <v>852</v>
      </c>
      <c r="K586" t="s">
        <v>30</v>
      </c>
    </row>
    <row r="587" spans="1:11">
      <c r="A587" t="s">
        <v>1022</v>
      </c>
      <c r="B587">
        <v>1970</v>
      </c>
      <c r="C587" t="s">
        <v>163</v>
      </c>
      <c r="D587">
        <v>56.9</v>
      </c>
      <c r="E587">
        <v>130</v>
      </c>
      <c r="F587">
        <v>65</v>
      </c>
      <c r="G587">
        <v>137.5</v>
      </c>
      <c r="H587">
        <v>332.5</v>
      </c>
      <c r="I587">
        <v>2014</v>
      </c>
      <c r="J587" t="s">
        <v>852</v>
      </c>
      <c r="K587" t="s">
        <v>30</v>
      </c>
    </row>
    <row r="588" spans="1:11">
      <c r="A588" t="s">
        <v>1055</v>
      </c>
      <c r="B588">
        <v>1981</v>
      </c>
      <c r="C588" t="s">
        <v>119</v>
      </c>
      <c r="D588">
        <v>62.35</v>
      </c>
      <c r="E588">
        <v>120</v>
      </c>
      <c r="F588">
        <v>80</v>
      </c>
      <c r="G588">
        <v>130</v>
      </c>
      <c r="H588">
        <v>330</v>
      </c>
      <c r="I588">
        <v>2013</v>
      </c>
      <c r="J588" t="s">
        <v>852</v>
      </c>
      <c r="K588" t="s">
        <v>30</v>
      </c>
    </row>
    <row r="589" spans="1:11">
      <c r="A589" t="s">
        <v>1001</v>
      </c>
      <c r="B589">
        <v>1987</v>
      </c>
      <c r="C589" t="s">
        <v>77</v>
      </c>
      <c r="D589">
        <v>55.95</v>
      </c>
      <c r="E589">
        <v>115</v>
      </c>
      <c r="F589">
        <v>90</v>
      </c>
      <c r="G589">
        <v>125</v>
      </c>
      <c r="H589">
        <v>330</v>
      </c>
      <c r="I589">
        <v>2014</v>
      </c>
      <c r="J589" t="s">
        <v>852</v>
      </c>
      <c r="K589" t="s">
        <v>30</v>
      </c>
    </row>
    <row r="590" spans="1:11">
      <c r="A590" t="s">
        <v>189</v>
      </c>
      <c r="B590">
        <v>1978</v>
      </c>
      <c r="C590" t="s">
        <v>56</v>
      </c>
      <c r="D590">
        <v>56.35</v>
      </c>
      <c r="E590">
        <v>110</v>
      </c>
      <c r="F590">
        <v>65</v>
      </c>
      <c r="G590">
        <v>152.5</v>
      </c>
      <c r="H590">
        <v>327.5</v>
      </c>
      <c r="I590">
        <v>2015</v>
      </c>
      <c r="J590" t="s">
        <v>852</v>
      </c>
      <c r="K590" t="s">
        <v>30</v>
      </c>
    </row>
    <row r="591" spans="1:11">
      <c r="A591" t="s">
        <v>216</v>
      </c>
      <c r="B591">
        <v>1981</v>
      </c>
      <c r="C591" t="s">
        <v>217</v>
      </c>
      <c r="D591">
        <v>46.78</v>
      </c>
      <c r="E591">
        <v>110</v>
      </c>
      <c r="F591">
        <v>65</v>
      </c>
      <c r="G591">
        <v>152.5</v>
      </c>
      <c r="H591">
        <v>327.5</v>
      </c>
      <c r="I591">
        <v>2015</v>
      </c>
      <c r="J591" t="s">
        <v>852</v>
      </c>
      <c r="K591" t="s">
        <v>30</v>
      </c>
    </row>
    <row r="592" spans="1:11">
      <c r="A592" t="s">
        <v>935</v>
      </c>
      <c r="B592">
        <v>1958</v>
      </c>
      <c r="C592" t="s">
        <v>51</v>
      </c>
      <c r="D592">
        <v>53.7</v>
      </c>
      <c r="E592">
        <v>105</v>
      </c>
      <c r="F592">
        <v>67.5</v>
      </c>
      <c r="G592">
        <v>155</v>
      </c>
      <c r="H592">
        <v>327.5</v>
      </c>
      <c r="I592">
        <v>2012</v>
      </c>
      <c r="J592" t="s">
        <v>852</v>
      </c>
      <c r="K592" t="s">
        <v>30</v>
      </c>
    </row>
    <row r="593" spans="1:11">
      <c r="A593" t="s">
        <v>992</v>
      </c>
      <c r="B593">
        <v>1983</v>
      </c>
      <c r="C593" t="s">
        <v>119</v>
      </c>
      <c r="D593">
        <v>57</v>
      </c>
      <c r="E593">
        <v>110</v>
      </c>
      <c r="F593">
        <v>77.5</v>
      </c>
      <c r="G593">
        <v>140</v>
      </c>
      <c r="H593">
        <v>327.5</v>
      </c>
      <c r="I593">
        <v>2013</v>
      </c>
      <c r="J593" t="s">
        <v>852</v>
      </c>
      <c r="K593" t="s">
        <v>30</v>
      </c>
    </row>
    <row r="594" spans="1:11">
      <c r="A594" t="s">
        <v>236</v>
      </c>
      <c r="B594">
        <v>1980</v>
      </c>
      <c r="C594" t="s">
        <v>56</v>
      </c>
      <c r="D594">
        <v>56.75</v>
      </c>
      <c r="E594">
        <v>100</v>
      </c>
      <c r="F594">
        <v>77.5</v>
      </c>
      <c r="G594">
        <v>150</v>
      </c>
      <c r="H594">
        <v>327.5</v>
      </c>
      <c r="I594">
        <v>2013</v>
      </c>
      <c r="J594" t="s">
        <v>852</v>
      </c>
      <c r="K594" t="s">
        <v>30</v>
      </c>
    </row>
    <row r="595" spans="1:11">
      <c r="A595" t="s">
        <v>234</v>
      </c>
      <c r="B595">
        <v>1951</v>
      </c>
      <c r="C595" t="s">
        <v>77</v>
      </c>
      <c r="D595">
        <v>61.69</v>
      </c>
      <c r="E595">
        <v>120</v>
      </c>
      <c r="F595">
        <v>70</v>
      </c>
      <c r="G595">
        <v>135</v>
      </c>
      <c r="H595">
        <v>325</v>
      </c>
      <c r="I595">
        <v>2015</v>
      </c>
      <c r="J595" t="s">
        <v>852</v>
      </c>
      <c r="K595" t="s">
        <v>30</v>
      </c>
    </row>
    <row r="596" spans="1:11">
      <c r="A596" t="s">
        <v>1000</v>
      </c>
      <c r="B596">
        <v>1984</v>
      </c>
      <c r="C596" t="s">
        <v>51</v>
      </c>
      <c r="D596">
        <v>71.849999999999994</v>
      </c>
      <c r="E596">
        <v>100</v>
      </c>
      <c r="F596">
        <v>65</v>
      </c>
      <c r="G596">
        <v>160</v>
      </c>
      <c r="H596">
        <v>325</v>
      </c>
      <c r="I596">
        <v>2012</v>
      </c>
      <c r="J596" t="s">
        <v>852</v>
      </c>
      <c r="K596" t="s">
        <v>30</v>
      </c>
    </row>
    <row r="597" spans="1:11">
      <c r="A597" t="s">
        <v>245</v>
      </c>
      <c r="B597">
        <v>1979</v>
      </c>
      <c r="C597" t="s">
        <v>77</v>
      </c>
      <c r="D597">
        <v>46.5</v>
      </c>
      <c r="E597">
        <v>107.5</v>
      </c>
      <c r="F597">
        <v>72.5</v>
      </c>
      <c r="G597">
        <v>145</v>
      </c>
      <c r="H597">
        <v>325</v>
      </c>
      <c r="I597">
        <v>2014</v>
      </c>
      <c r="J597" t="s">
        <v>852</v>
      </c>
      <c r="K597" t="s">
        <v>30</v>
      </c>
    </row>
    <row r="598" spans="1:11">
      <c r="A598" t="s">
        <v>992</v>
      </c>
      <c r="B598">
        <v>1983</v>
      </c>
      <c r="C598" t="s">
        <v>119</v>
      </c>
      <c r="D598">
        <v>56.95</v>
      </c>
      <c r="E598">
        <v>110</v>
      </c>
      <c r="F598">
        <v>82.5</v>
      </c>
      <c r="G598">
        <v>132.5</v>
      </c>
      <c r="H598">
        <v>325</v>
      </c>
      <c r="I598">
        <v>2014</v>
      </c>
      <c r="J598" t="s">
        <v>852</v>
      </c>
      <c r="K598" t="s">
        <v>30</v>
      </c>
    </row>
    <row r="599" spans="1:11">
      <c r="A599" t="s">
        <v>185</v>
      </c>
      <c r="B599">
        <v>1983</v>
      </c>
      <c r="C599" t="s">
        <v>142</v>
      </c>
      <c r="D599">
        <v>56.59</v>
      </c>
      <c r="E599">
        <v>115</v>
      </c>
      <c r="F599">
        <v>62.5</v>
      </c>
      <c r="G599">
        <v>145</v>
      </c>
      <c r="H599">
        <v>322.5</v>
      </c>
      <c r="I599">
        <v>2015</v>
      </c>
      <c r="J599" t="s">
        <v>852</v>
      </c>
      <c r="K599" t="s">
        <v>30</v>
      </c>
    </row>
    <row r="600" spans="1:11">
      <c r="A600" t="s">
        <v>895</v>
      </c>
      <c r="B600">
        <v>1963</v>
      </c>
      <c r="C600" t="s">
        <v>113</v>
      </c>
      <c r="D600">
        <v>114.35</v>
      </c>
      <c r="E600">
        <v>107.5</v>
      </c>
      <c r="F600">
        <v>72.5</v>
      </c>
      <c r="G600">
        <v>142.5</v>
      </c>
      <c r="H600">
        <v>322.5</v>
      </c>
      <c r="I600">
        <v>2013</v>
      </c>
      <c r="J600" t="s">
        <v>852</v>
      </c>
      <c r="K600" t="s">
        <v>30</v>
      </c>
    </row>
    <row r="601" spans="1:11">
      <c r="A601" t="s">
        <v>294</v>
      </c>
      <c r="B601">
        <v>1986</v>
      </c>
      <c r="C601" t="s">
        <v>113</v>
      </c>
      <c r="D601">
        <v>46.05</v>
      </c>
      <c r="E601">
        <v>115</v>
      </c>
      <c r="F601">
        <v>52.5</v>
      </c>
      <c r="G601">
        <v>152.5</v>
      </c>
      <c r="H601">
        <v>320</v>
      </c>
      <c r="I601">
        <v>2014</v>
      </c>
      <c r="J601" t="s">
        <v>852</v>
      </c>
      <c r="K601" t="s">
        <v>30</v>
      </c>
    </row>
    <row r="602" spans="1:11">
      <c r="A602" t="s">
        <v>1030</v>
      </c>
      <c r="B602">
        <v>1977</v>
      </c>
      <c r="C602" t="s">
        <v>77</v>
      </c>
      <c r="D602">
        <v>66.2</v>
      </c>
      <c r="E602">
        <v>125</v>
      </c>
      <c r="F602">
        <v>60</v>
      </c>
      <c r="G602">
        <v>135</v>
      </c>
      <c r="H602">
        <v>320</v>
      </c>
      <c r="I602">
        <v>2014</v>
      </c>
      <c r="J602" t="s">
        <v>852</v>
      </c>
      <c r="K602" t="s">
        <v>30</v>
      </c>
    </row>
    <row r="603" spans="1:11">
      <c r="A603" t="s">
        <v>952</v>
      </c>
      <c r="B603">
        <v>1981</v>
      </c>
      <c r="C603" t="s">
        <v>137</v>
      </c>
      <c r="D603">
        <v>46.1</v>
      </c>
      <c r="E603">
        <v>115</v>
      </c>
      <c r="F603">
        <v>70</v>
      </c>
      <c r="G603">
        <v>135</v>
      </c>
      <c r="H603">
        <v>320</v>
      </c>
      <c r="I603">
        <v>2014</v>
      </c>
      <c r="J603" t="s">
        <v>852</v>
      </c>
      <c r="K603" t="s">
        <v>30</v>
      </c>
    </row>
    <row r="604" spans="1:11">
      <c r="A604" t="s">
        <v>1005</v>
      </c>
      <c r="B604">
        <v>1956</v>
      </c>
      <c r="C604" t="s">
        <v>113</v>
      </c>
      <c r="D604">
        <v>51.3</v>
      </c>
      <c r="E604">
        <v>100</v>
      </c>
      <c r="F604">
        <v>62.5</v>
      </c>
      <c r="G604">
        <v>155</v>
      </c>
      <c r="H604">
        <v>317.5</v>
      </c>
      <c r="I604">
        <v>2012</v>
      </c>
      <c r="J604" t="s">
        <v>852</v>
      </c>
      <c r="K604" t="s">
        <v>30</v>
      </c>
    </row>
    <row r="605" spans="1:11">
      <c r="A605" t="s">
        <v>1006</v>
      </c>
      <c r="B605">
        <v>1974</v>
      </c>
      <c r="C605" t="s">
        <v>80</v>
      </c>
      <c r="D605">
        <v>51.55</v>
      </c>
      <c r="E605">
        <v>102.5</v>
      </c>
      <c r="F605">
        <v>80</v>
      </c>
      <c r="G605">
        <v>135</v>
      </c>
      <c r="H605">
        <v>317.5</v>
      </c>
      <c r="I605">
        <v>2012</v>
      </c>
      <c r="J605" t="s">
        <v>852</v>
      </c>
      <c r="K605" t="s">
        <v>30</v>
      </c>
    </row>
    <row r="606" spans="1:11">
      <c r="A606" t="s">
        <v>916</v>
      </c>
      <c r="B606">
        <v>1960</v>
      </c>
      <c r="C606" t="s">
        <v>51</v>
      </c>
      <c r="D606">
        <v>107.8</v>
      </c>
      <c r="E606">
        <v>100</v>
      </c>
      <c r="F606">
        <v>55</v>
      </c>
      <c r="G606">
        <v>160</v>
      </c>
      <c r="H606">
        <v>315</v>
      </c>
      <c r="I606">
        <v>2012</v>
      </c>
      <c r="J606" t="s">
        <v>852</v>
      </c>
      <c r="K606" t="s">
        <v>30</v>
      </c>
    </row>
    <row r="607" spans="1:11">
      <c r="A607" t="s">
        <v>1050</v>
      </c>
      <c r="B607">
        <v>1991</v>
      </c>
      <c r="C607" t="s">
        <v>125</v>
      </c>
      <c r="D607">
        <v>51.4</v>
      </c>
      <c r="E607">
        <v>115</v>
      </c>
      <c r="F607">
        <v>65</v>
      </c>
      <c r="G607">
        <v>135</v>
      </c>
      <c r="H607">
        <v>315</v>
      </c>
      <c r="I607">
        <v>2012</v>
      </c>
      <c r="J607" t="s">
        <v>852</v>
      </c>
      <c r="K607" t="s">
        <v>30</v>
      </c>
    </row>
    <row r="608" spans="1:11">
      <c r="A608" t="s">
        <v>1000</v>
      </c>
      <c r="B608">
        <v>1984</v>
      </c>
      <c r="C608" t="s">
        <v>51</v>
      </c>
      <c r="D608">
        <v>71.900000000000006</v>
      </c>
      <c r="E608">
        <v>100</v>
      </c>
      <c r="F608">
        <v>65</v>
      </c>
      <c r="G608">
        <v>150</v>
      </c>
      <c r="H608">
        <v>315</v>
      </c>
      <c r="I608">
        <v>2013</v>
      </c>
      <c r="J608" t="s">
        <v>852</v>
      </c>
      <c r="K608" t="s">
        <v>30</v>
      </c>
    </row>
    <row r="609" spans="1:11">
      <c r="A609" t="s">
        <v>992</v>
      </c>
      <c r="B609">
        <v>1983</v>
      </c>
      <c r="C609" t="s">
        <v>119</v>
      </c>
      <c r="D609">
        <v>56.25</v>
      </c>
      <c r="E609">
        <v>107.5</v>
      </c>
      <c r="F609">
        <v>75</v>
      </c>
      <c r="G609">
        <v>132.5</v>
      </c>
      <c r="H609">
        <v>315</v>
      </c>
      <c r="I609">
        <v>2012</v>
      </c>
      <c r="J609" t="s">
        <v>852</v>
      </c>
      <c r="K609" t="s">
        <v>30</v>
      </c>
    </row>
    <row r="610" spans="1:11">
      <c r="A610" t="s">
        <v>923</v>
      </c>
      <c r="B610">
        <v>1988</v>
      </c>
      <c r="C610" t="s">
        <v>480</v>
      </c>
      <c r="D610">
        <v>51.5</v>
      </c>
      <c r="E610">
        <v>105</v>
      </c>
      <c r="F610">
        <v>75</v>
      </c>
      <c r="G610">
        <v>135</v>
      </c>
      <c r="H610">
        <v>315</v>
      </c>
      <c r="I610">
        <v>2013</v>
      </c>
      <c r="J610" t="s">
        <v>852</v>
      </c>
      <c r="K610" t="s">
        <v>30</v>
      </c>
    </row>
    <row r="611" spans="1:11">
      <c r="A611" t="s">
        <v>1043</v>
      </c>
      <c r="B611">
        <v>1984</v>
      </c>
      <c r="C611" t="s">
        <v>77</v>
      </c>
      <c r="D611">
        <v>50.9</v>
      </c>
      <c r="E611">
        <v>90</v>
      </c>
      <c r="F611">
        <v>70</v>
      </c>
      <c r="G611">
        <v>155</v>
      </c>
      <c r="H611">
        <v>315</v>
      </c>
      <c r="I611">
        <v>2012</v>
      </c>
      <c r="J611" t="s">
        <v>852</v>
      </c>
      <c r="K611" t="s">
        <v>30</v>
      </c>
    </row>
    <row r="612" spans="1:11">
      <c r="A612" t="s">
        <v>258</v>
      </c>
      <c r="B612">
        <v>1978</v>
      </c>
      <c r="C612" t="s">
        <v>137</v>
      </c>
      <c r="D612">
        <v>46.75</v>
      </c>
      <c r="E612">
        <v>110</v>
      </c>
      <c r="F612">
        <v>70</v>
      </c>
      <c r="G612">
        <v>132.5</v>
      </c>
      <c r="H612">
        <v>312.5</v>
      </c>
      <c r="I612">
        <v>2015</v>
      </c>
      <c r="J612" t="s">
        <v>852</v>
      </c>
      <c r="K612" t="s">
        <v>30</v>
      </c>
    </row>
    <row r="613" spans="1:11">
      <c r="A613" t="s">
        <v>236</v>
      </c>
      <c r="B613">
        <v>1980</v>
      </c>
      <c r="C613" t="s">
        <v>56</v>
      </c>
      <c r="D613">
        <v>51.7</v>
      </c>
      <c r="E613">
        <v>102.5</v>
      </c>
      <c r="F613">
        <v>75</v>
      </c>
      <c r="G613">
        <v>135</v>
      </c>
      <c r="H613">
        <v>312.5</v>
      </c>
      <c r="I613">
        <v>2015</v>
      </c>
      <c r="J613" t="s">
        <v>852</v>
      </c>
      <c r="K613" t="s">
        <v>30</v>
      </c>
    </row>
    <row r="614" spans="1:11">
      <c r="A614" t="s">
        <v>894</v>
      </c>
      <c r="B614">
        <v>1985</v>
      </c>
      <c r="C614" t="s">
        <v>194</v>
      </c>
      <c r="D614">
        <v>67</v>
      </c>
      <c r="E614">
        <v>110</v>
      </c>
      <c r="F614">
        <v>55</v>
      </c>
      <c r="G614">
        <v>145</v>
      </c>
      <c r="H614">
        <v>310</v>
      </c>
      <c r="I614">
        <v>2014</v>
      </c>
      <c r="J614" t="s">
        <v>852</v>
      </c>
      <c r="K614" t="s">
        <v>30</v>
      </c>
    </row>
    <row r="615" spans="1:11">
      <c r="A615" t="s">
        <v>237</v>
      </c>
      <c r="B615">
        <v>1981</v>
      </c>
      <c r="C615" t="s">
        <v>56</v>
      </c>
      <c r="D615">
        <v>51.21</v>
      </c>
      <c r="E615">
        <v>115</v>
      </c>
      <c r="F615">
        <v>62.5</v>
      </c>
      <c r="G615">
        <v>132.5</v>
      </c>
      <c r="H615">
        <v>310</v>
      </c>
      <c r="I615">
        <v>2015</v>
      </c>
      <c r="J615" t="s">
        <v>852</v>
      </c>
      <c r="K615" t="s">
        <v>30</v>
      </c>
    </row>
    <row r="616" spans="1:11">
      <c r="A616" t="s">
        <v>961</v>
      </c>
      <c r="B616">
        <v>1961</v>
      </c>
      <c r="C616" t="s">
        <v>56</v>
      </c>
      <c r="D616">
        <v>46.6</v>
      </c>
      <c r="E616">
        <v>112.5</v>
      </c>
      <c r="F616">
        <v>55</v>
      </c>
      <c r="G616">
        <v>140</v>
      </c>
      <c r="H616">
        <v>307.5</v>
      </c>
      <c r="I616">
        <v>2012</v>
      </c>
      <c r="J616" t="s">
        <v>852</v>
      </c>
      <c r="K616" t="s">
        <v>30</v>
      </c>
    </row>
    <row r="617" spans="1:11">
      <c r="A617" t="s">
        <v>244</v>
      </c>
      <c r="B617">
        <v>1986</v>
      </c>
      <c r="C617" t="s">
        <v>77</v>
      </c>
      <c r="D617">
        <v>67.5</v>
      </c>
      <c r="E617">
        <v>120</v>
      </c>
      <c r="F617">
        <v>67.5</v>
      </c>
      <c r="G617">
        <v>120</v>
      </c>
      <c r="H617">
        <v>307.5</v>
      </c>
      <c r="I617">
        <v>2015</v>
      </c>
      <c r="J617" t="s">
        <v>852</v>
      </c>
      <c r="K617" t="s">
        <v>30</v>
      </c>
    </row>
    <row r="618" spans="1:11">
      <c r="A618" t="s">
        <v>1012</v>
      </c>
      <c r="B618">
        <v>1972</v>
      </c>
      <c r="C618" t="s">
        <v>80</v>
      </c>
      <c r="D618">
        <v>51.75</v>
      </c>
      <c r="E618">
        <v>92.5</v>
      </c>
      <c r="F618">
        <v>72.5</v>
      </c>
      <c r="G618">
        <v>142.5</v>
      </c>
      <c r="H618">
        <v>307.5</v>
      </c>
      <c r="I618">
        <v>2013</v>
      </c>
      <c r="J618" t="s">
        <v>852</v>
      </c>
      <c r="K618" t="s">
        <v>30</v>
      </c>
    </row>
    <row r="619" spans="1:11">
      <c r="A619" t="s">
        <v>1021</v>
      </c>
      <c r="B619">
        <v>1968</v>
      </c>
      <c r="C619" t="s">
        <v>62</v>
      </c>
      <c r="D619">
        <v>56.4</v>
      </c>
      <c r="E619">
        <v>107.5</v>
      </c>
      <c r="F619">
        <v>67.5</v>
      </c>
      <c r="G619">
        <v>130</v>
      </c>
      <c r="H619">
        <v>305</v>
      </c>
      <c r="I619">
        <v>2013</v>
      </c>
      <c r="J619" t="s">
        <v>852</v>
      </c>
      <c r="K619" t="s">
        <v>30</v>
      </c>
    </row>
    <row r="620" spans="1:11">
      <c r="A620" t="s">
        <v>245</v>
      </c>
      <c r="B620">
        <v>1979</v>
      </c>
      <c r="C620" t="s">
        <v>77</v>
      </c>
      <c r="D620">
        <v>46.6</v>
      </c>
      <c r="E620">
        <v>102.5</v>
      </c>
      <c r="F620">
        <v>67.5</v>
      </c>
      <c r="G620">
        <v>135</v>
      </c>
      <c r="H620">
        <v>305</v>
      </c>
      <c r="I620">
        <v>2013</v>
      </c>
      <c r="J620" t="s">
        <v>852</v>
      </c>
      <c r="K620" t="s">
        <v>30</v>
      </c>
    </row>
    <row r="621" spans="1:11">
      <c r="A621" t="s">
        <v>988</v>
      </c>
      <c r="B621">
        <v>1982</v>
      </c>
      <c r="C621" t="s">
        <v>194</v>
      </c>
      <c r="D621">
        <v>56.15</v>
      </c>
      <c r="E621">
        <v>95</v>
      </c>
      <c r="F621">
        <v>65</v>
      </c>
      <c r="G621">
        <v>142.5</v>
      </c>
      <c r="H621">
        <v>302.5</v>
      </c>
      <c r="I621">
        <v>2014</v>
      </c>
      <c r="J621" t="s">
        <v>852</v>
      </c>
      <c r="K621" t="s">
        <v>30</v>
      </c>
    </row>
    <row r="622" spans="1:11">
      <c r="A622" t="s">
        <v>253</v>
      </c>
      <c r="B622">
        <v>1971</v>
      </c>
      <c r="C622" t="s">
        <v>194</v>
      </c>
      <c r="D622">
        <v>51.75</v>
      </c>
      <c r="E622">
        <v>100</v>
      </c>
      <c r="F622">
        <v>72.5</v>
      </c>
      <c r="G622">
        <v>130</v>
      </c>
      <c r="H622">
        <v>302.5</v>
      </c>
      <c r="I622">
        <v>2013</v>
      </c>
      <c r="J622" t="s">
        <v>852</v>
      </c>
      <c r="K622" t="s">
        <v>30</v>
      </c>
    </row>
    <row r="623" spans="1:11">
      <c r="A623" t="s">
        <v>948</v>
      </c>
      <c r="B623">
        <v>1974</v>
      </c>
      <c r="C623" t="s">
        <v>119</v>
      </c>
      <c r="D623">
        <v>46.85</v>
      </c>
      <c r="E623">
        <v>95</v>
      </c>
      <c r="F623">
        <v>75</v>
      </c>
      <c r="G623">
        <v>132.5</v>
      </c>
      <c r="H623">
        <v>302.5</v>
      </c>
      <c r="I623">
        <v>2013</v>
      </c>
      <c r="J623" t="s">
        <v>852</v>
      </c>
      <c r="K623" t="s">
        <v>30</v>
      </c>
    </row>
    <row r="624" spans="1:11">
      <c r="A624" t="s">
        <v>930</v>
      </c>
      <c r="B624">
        <v>1958</v>
      </c>
      <c r="C624" t="s">
        <v>51</v>
      </c>
      <c r="D624">
        <v>51.95</v>
      </c>
      <c r="E624">
        <v>90</v>
      </c>
      <c r="F624">
        <v>72.5</v>
      </c>
      <c r="G624">
        <v>140</v>
      </c>
      <c r="H624">
        <v>302.5</v>
      </c>
      <c r="I624">
        <v>2012</v>
      </c>
      <c r="J624" t="s">
        <v>852</v>
      </c>
      <c r="K624" t="s">
        <v>30</v>
      </c>
    </row>
    <row r="625" spans="1:11">
      <c r="A625" t="s">
        <v>266</v>
      </c>
      <c r="B625">
        <v>1982</v>
      </c>
      <c r="C625" t="s">
        <v>137</v>
      </c>
      <c r="D625">
        <v>46.6</v>
      </c>
      <c r="E625">
        <v>105</v>
      </c>
      <c r="F625">
        <v>70</v>
      </c>
      <c r="G625">
        <v>125</v>
      </c>
      <c r="H625">
        <v>300</v>
      </c>
      <c r="I625">
        <v>2013</v>
      </c>
      <c r="J625" t="s">
        <v>852</v>
      </c>
      <c r="K625" t="s">
        <v>30</v>
      </c>
    </row>
    <row r="626" spans="1:11">
      <c r="A626" t="s">
        <v>961</v>
      </c>
      <c r="B626">
        <v>1961</v>
      </c>
      <c r="C626" t="s">
        <v>56</v>
      </c>
      <c r="D626">
        <v>46.7</v>
      </c>
      <c r="E626">
        <v>110</v>
      </c>
      <c r="F626">
        <v>55</v>
      </c>
      <c r="G626">
        <v>132.5</v>
      </c>
      <c r="H626">
        <v>297.5</v>
      </c>
      <c r="I626">
        <v>2013</v>
      </c>
      <c r="J626" t="s">
        <v>852</v>
      </c>
      <c r="K626" t="s">
        <v>30</v>
      </c>
    </row>
    <row r="627" spans="1:11">
      <c r="A627" t="s">
        <v>266</v>
      </c>
      <c r="B627">
        <v>1982</v>
      </c>
      <c r="C627" t="s">
        <v>137</v>
      </c>
      <c r="D627">
        <v>46.6</v>
      </c>
      <c r="E627">
        <v>105</v>
      </c>
      <c r="F627">
        <v>70</v>
      </c>
      <c r="G627">
        <v>122.5</v>
      </c>
      <c r="H627">
        <v>297.5</v>
      </c>
      <c r="I627">
        <v>2014</v>
      </c>
      <c r="J627" t="s">
        <v>852</v>
      </c>
      <c r="K627" t="s">
        <v>30</v>
      </c>
    </row>
    <row r="628" spans="1:11">
      <c r="A628" t="s">
        <v>1052</v>
      </c>
      <c r="B628">
        <v>1977</v>
      </c>
      <c r="C628" t="s">
        <v>194</v>
      </c>
      <c r="D628">
        <v>56.1</v>
      </c>
      <c r="E628">
        <v>105</v>
      </c>
      <c r="F628">
        <v>42.5</v>
      </c>
      <c r="G628">
        <v>147.5</v>
      </c>
      <c r="H628">
        <v>295</v>
      </c>
      <c r="I628">
        <v>2014</v>
      </c>
      <c r="J628" t="s">
        <v>852</v>
      </c>
      <c r="K628" t="s">
        <v>30</v>
      </c>
    </row>
    <row r="629" spans="1:11">
      <c r="A629" t="s">
        <v>949</v>
      </c>
      <c r="B629">
        <v>1974</v>
      </c>
      <c r="C629" t="s">
        <v>80</v>
      </c>
      <c r="D629">
        <v>56.5</v>
      </c>
      <c r="E629">
        <v>102.5</v>
      </c>
      <c r="F629">
        <v>62.5</v>
      </c>
      <c r="G629">
        <v>130</v>
      </c>
      <c r="H629">
        <v>295</v>
      </c>
      <c r="I629">
        <v>2012</v>
      </c>
      <c r="J629" t="s">
        <v>852</v>
      </c>
      <c r="K629" t="s">
        <v>30</v>
      </c>
    </row>
    <row r="630" spans="1:11">
      <c r="A630" t="s">
        <v>899</v>
      </c>
      <c r="B630">
        <v>1975</v>
      </c>
      <c r="C630" t="s">
        <v>56</v>
      </c>
      <c r="D630">
        <v>51</v>
      </c>
      <c r="E630">
        <v>102.5</v>
      </c>
      <c r="F630">
        <v>65</v>
      </c>
      <c r="G630">
        <v>127.5</v>
      </c>
      <c r="H630">
        <v>295</v>
      </c>
      <c r="I630">
        <v>2013</v>
      </c>
      <c r="J630" t="s">
        <v>852</v>
      </c>
      <c r="K630" t="s">
        <v>30</v>
      </c>
    </row>
    <row r="631" spans="1:11">
      <c r="A631" t="s">
        <v>276</v>
      </c>
      <c r="B631">
        <v>1987</v>
      </c>
      <c r="C631" t="s">
        <v>194</v>
      </c>
      <c r="D631">
        <v>51.35</v>
      </c>
      <c r="E631">
        <v>112.5</v>
      </c>
      <c r="F631">
        <v>55</v>
      </c>
      <c r="G631">
        <v>120</v>
      </c>
      <c r="H631">
        <v>287.5</v>
      </c>
      <c r="I631">
        <v>2015</v>
      </c>
      <c r="J631" t="s">
        <v>852</v>
      </c>
      <c r="K631" t="s">
        <v>30</v>
      </c>
    </row>
    <row r="632" spans="1:11">
      <c r="A632" t="s">
        <v>293</v>
      </c>
      <c r="B632">
        <v>1984</v>
      </c>
      <c r="C632" t="s">
        <v>163</v>
      </c>
      <c r="D632">
        <v>53.74</v>
      </c>
      <c r="E632">
        <v>95</v>
      </c>
      <c r="F632">
        <v>60</v>
      </c>
      <c r="G632">
        <v>132.5</v>
      </c>
      <c r="H632">
        <v>287.5</v>
      </c>
      <c r="I632">
        <v>2015</v>
      </c>
      <c r="J632" t="s">
        <v>852</v>
      </c>
      <c r="K632" t="s">
        <v>30</v>
      </c>
    </row>
    <row r="633" spans="1:11">
      <c r="A633" t="s">
        <v>1058</v>
      </c>
      <c r="B633">
        <v>1987</v>
      </c>
      <c r="C633" t="s">
        <v>62</v>
      </c>
      <c r="D633">
        <v>46.15</v>
      </c>
      <c r="E633">
        <v>97.5</v>
      </c>
      <c r="F633">
        <v>57.5</v>
      </c>
      <c r="G633">
        <v>130</v>
      </c>
      <c r="H633">
        <v>285</v>
      </c>
      <c r="I633">
        <v>2013</v>
      </c>
      <c r="J633" t="s">
        <v>852</v>
      </c>
      <c r="K633" t="s">
        <v>30</v>
      </c>
    </row>
    <row r="634" spans="1:11">
      <c r="A634" t="s">
        <v>990</v>
      </c>
      <c r="B634">
        <v>1992</v>
      </c>
      <c r="C634" t="s">
        <v>62</v>
      </c>
      <c r="D634">
        <v>51.2</v>
      </c>
      <c r="E634">
        <v>100</v>
      </c>
      <c r="F634">
        <v>65</v>
      </c>
      <c r="G634">
        <v>120</v>
      </c>
      <c r="H634">
        <v>285</v>
      </c>
      <c r="I634">
        <v>2012</v>
      </c>
      <c r="J634" t="s">
        <v>852</v>
      </c>
      <c r="K634" t="s">
        <v>30</v>
      </c>
    </row>
    <row r="635" spans="1:11">
      <c r="A635" t="s">
        <v>1034</v>
      </c>
      <c r="B635">
        <v>1962</v>
      </c>
      <c r="C635" t="s">
        <v>77</v>
      </c>
      <c r="D635">
        <v>53.5</v>
      </c>
      <c r="E635">
        <v>90</v>
      </c>
      <c r="F635">
        <v>65</v>
      </c>
      <c r="G635">
        <v>127.5</v>
      </c>
      <c r="H635">
        <v>282.5</v>
      </c>
      <c r="I635">
        <v>2012</v>
      </c>
      <c r="J635" t="s">
        <v>852</v>
      </c>
      <c r="K635" t="s">
        <v>30</v>
      </c>
    </row>
    <row r="636" spans="1:11">
      <c r="A636" t="s">
        <v>298</v>
      </c>
      <c r="B636">
        <v>1977</v>
      </c>
      <c r="C636" t="s">
        <v>51</v>
      </c>
      <c r="D636">
        <v>45.55</v>
      </c>
      <c r="E636">
        <v>97.5</v>
      </c>
      <c r="F636">
        <v>60</v>
      </c>
      <c r="G636">
        <v>122.5</v>
      </c>
      <c r="H636">
        <v>280</v>
      </c>
      <c r="I636">
        <v>2015</v>
      </c>
      <c r="J636" t="s">
        <v>852</v>
      </c>
      <c r="K636" t="s">
        <v>30</v>
      </c>
    </row>
    <row r="637" spans="1:11">
      <c r="A637" t="s">
        <v>919</v>
      </c>
      <c r="B637">
        <v>1980</v>
      </c>
      <c r="C637" t="s">
        <v>56</v>
      </c>
      <c r="D637">
        <v>51.25</v>
      </c>
      <c r="E637">
        <v>85</v>
      </c>
      <c r="F637">
        <v>52.5</v>
      </c>
      <c r="G637">
        <v>140</v>
      </c>
      <c r="H637">
        <v>277.5</v>
      </c>
      <c r="I637">
        <v>2013</v>
      </c>
      <c r="J637" t="s">
        <v>852</v>
      </c>
      <c r="K637" t="s">
        <v>30</v>
      </c>
    </row>
    <row r="638" spans="1:11">
      <c r="A638" t="s">
        <v>971</v>
      </c>
      <c r="B638">
        <v>1978</v>
      </c>
      <c r="C638" t="s">
        <v>480</v>
      </c>
      <c r="D638">
        <v>45.95</v>
      </c>
      <c r="E638">
        <v>92.5</v>
      </c>
      <c r="F638">
        <v>70</v>
      </c>
      <c r="G638">
        <v>112.5</v>
      </c>
      <c r="H638">
        <v>275</v>
      </c>
      <c r="I638">
        <v>2013</v>
      </c>
      <c r="J638" t="s">
        <v>852</v>
      </c>
      <c r="K638" t="s">
        <v>30</v>
      </c>
    </row>
    <row r="639" spans="1:11">
      <c r="A639" t="s">
        <v>979</v>
      </c>
      <c r="B639">
        <v>1991</v>
      </c>
      <c r="C639" t="s">
        <v>77</v>
      </c>
      <c r="D639">
        <v>57.65</v>
      </c>
      <c r="E639">
        <v>85</v>
      </c>
      <c r="F639">
        <v>65</v>
      </c>
      <c r="G639">
        <v>125</v>
      </c>
      <c r="H639">
        <v>275</v>
      </c>
      <c r="I639">
        <v>2012</v>
      </c>
      <c r="J639" t="s">
        <v>852</v>
      </c>
      <c r="K639" t="s">
        <v>30</v>
      </c>
    </row>
    <row r="640" spans="1:11">
      <c r="A640" t="s">
        <v>1029</v>
      </c>
      <c r="B640">
        <v>1990</v>
      </c>
      <c r="C640" t="s">
        <v>77</v>
      </c>
      <c r="D640">
        <v>52.05</v>
      </c>
      <c r="E640">
        <v>92.5</v>
      </c>
      <c r="F640">
        <v>60</v>
      </c>
      <c r="G640">
        <v>120</v>
      </c>
      <c r="H640">
        <v>272.5</v>
      </c>
      <c r="I640">
        <v>2012</v>
      </c>
      <c r="J640" t="s">
        <v>852</v>
      </c>
      <c r="K640" t="s">
        <v>30</v>
      </c>
    </row>
    <row r="641" spans="1:11">
      <c r="A641" t="s">
        <v>1041</v>
      </c>
      <c r="B641">
        <v>1988</v>
      </c>
      <c r="C641" t="s">
        <v>194</v>
      </c>
      <c r="D641">
        <v>47.7</v>
      </c>
      <c r="E641">
        <v>105</v>
      </c>
      <c r="F641">
        <v>40</v>
      </c>
      <c r="G641">
        <v>125</v>
      </c>
      <c r="H641">
        <v>270</v>
      </c>
      <c r="I641">
        <v>2014</v>
      </c>
      <c r="J641" t="s">
        <v>852</v>
      </c>
      <c r="K641" t="s">
        <v>30</v>
      </c>
    </row>
    <row r="642" spans="1:11">
      <c r="A642" t="s">
        <v>1014</v>
      </c>
      <c r="B642">
        <v>1979</v>
      </c>
      <c r="C642" t="s">
        <v>56</v>
      </c>
      <c r="D642">
        <v>46.15</v>
      </c>
      <c r="E642">
        <v>90</v>
      </c>
      <c r="F642">
        <v>55</v>
      </c>
      <c r="G642">
        <v>125</v>
      </c>
      <c r="H642">
        <v>270</v>
      </c>
      <c r="I642">
        <v>2014</v>
      </c>
      <c r="J642" t="s">
        <v>852</v>
      </c>
      <c r="K642" t="s">
        <v>30</v>
      </c>
    </row>
    <row r="643" spans="1:11">
      <c r="A643" t="s">
        <v>914</v>
      </c>
      <c r="B643">
        <v>1967</v>
      </c>
      <c r="C643" t="s">
        <v>125</v>
      </c>
      <c r="D643">
        <v>42.95</v>
      </c>
      <c r="E643">
        <v>90</v>
      </c>
      <c r="F643">
        <v>45</v>
      </c>
      <c r="G643">
        <v>132.5</v>
      </c>
      <c r="H643">
        <v>267.5</v>
      </c>
      <c r="I643">
        <v>2013</v>
      </c>
      <c r="J643" t="s">
        <v>852</v>
      </c>
      <c r="K643" t="s">
        <v>30</v>
      </c>
    </row>
    <row r="644" spans="1:11">
      <c r="A644" t="s">
        <v>242</v>
      </c>
      <c r="B644">
        <v>1961</v>
      </c>
      <c r="C644" t="s">
        <v>243</v>
      </c>
      <c r="D644">
        <v>61.35</v>
      </c>
      <c r="E644">
        <v>95</v>
      </c>
      <c r="F644">
        <v>60</v>
      </c>
      <c r="G644">
        <v>112.5</v>
      </c>
      <c r="H644">
        <v>267.5</v>
      </c>
      <c r="I644">
        <v>2012</v>
      </c>
      <c r="J644" t="s">
        <v>852</v>
      </c>
      <c r="K644" t="s">
        <v>30</v>
      </c>
    </row>
    <row r="645" spans="1:11">
      <c r="A645" t="s">
        <v>914</v>
      </c>
      <c r="B645">
        <v>1967</v>
      </c>
      <c r="C645" t="s">
        <v>125</v>
      </c>
      <c r="D645">
        <v>42.15</v>
      </c>
      <c r="E645">
        <v>90</v>
      </c>
      <c r="F645">
        <v>40</v>
      </c>
      <c r="G645">
        <v>135</v>
      </c>
      <c r="H645">
        <v>265</v>
      </c>
      <c r="I645">
        <v>2012</v>
      </c>
      <c r="J645" t="s">
        <v>852</v>
      </c>
      <c r="K645" t="s">
        <v>30</v>
      </c>
    </row>
    <row r="646" spans="1:11">
      <c r="A646" t="s">
        <v>255</v>
      </c>
      <c r="B646">
        <v>1990</v>
      </c>
      <c r="C646" t="s">
        <v>100</v>
      </c>
      <c r="D646">
        <v>56.84</v>
      </c>
      <c r="E646">
        <v>100</v>
      </c>
      <c r="F646">
        <v>55</v>
      </c>
      <c r="G646">
        <v>110</v>
      </c>
      <c r="H646">
        <v>265</v>
      </c>
      <c r="I646">
        <v>2015</v>
      </c>
      <c r="J646" t="s">
        <v>852</v>
      </c>
      <c r="K646" t="s">
        <v>30</v>
      </c>
    </row>
    <row r="647" spans="1:11">
      <c r="A647" t="s">
        <v>193</v>
      </c>
      <c r="B647">
        <v>1978</v>
      </c>
      <c r="C647" t="s">
        <v>194</v>
      </c>
      <c r="D647">
        <v>45.68</v>
      </c>
      <c r="E647">
        <v>92.5</v>
      </c>
      <c r="F647">
        <v>50</v>
      </c>
      <c r="G647">
        <v>120</v>
      </c>
      <c r="H647">
        <v>262.5</v>
      </c>
      <c r="I647">
        <v>2015</v>
      </c>
      <c r="J647" t="s">
        <v>852</v>
      </c>
      <c r="K647" t="s">
        <v>30</v>
      </c>
    </row>
    <row r="648" spans="1:11">
      <c r="A648" t="s">
        <v>346</v>
      </c>
      <c r="B648">
        <v>1976</v>
      </c>
      <c r="C648" t="s">
        <v>80</v>
      </c>
      <c r="D648">
        <v>56.75</v>
      </c>
      <c r="E648">
        <v>110</v>
      </c>
      <c r="F648">
        <v>60</v>
      </c>
      <c r="G648">
        <v>90</v>
      </c>
      <c r="H648">
        <v>260</v>
      </c>
      <c r="I648">
        <v>2015</v>
      </c>
      <c r="J648" t="s">
        <v>852</v>
      </c>
      <c r="K648" t="s">
        <v>30</v>
      </c>
    </row>
    <row r="649" spans="1:11">
      <c r="A649" t="s">
        <v>863</v>
      </c>
      <c r="B649">
        <v>1993</v>
      </c>
      <c r="C649" t="s">
        <v>113</v>
      </c>
      <c r="D649">
        <v>61.1</v>
      </c>
      <c r="E649">
        <v>92.5</v>
      </c>
      <c r="F649">
        <v>52.5</v>
      </c>
      <c r="G649">
        <v>115</v>
      </c>
      <c r="H649">
        <v>260</v>
      </c>
      <c r="I649">
        <v>2012</v>
      </c>
      <c r="J649" t="s">
        <v>852</v>
      </c>
      <c r="K649" t="s">
        <v>30</v>
      </c>
    </row>
    <row r="650" spans="1:11">
      <c r="A650" t="s">
        <v>926</v>
      </c>
      <c r="B650">
        <v>1986</v>
      </c>
      <c r="C650" t="s">
        <v>51</v>
      </c>
      <c r="D650">
        <v>46.25</v>
      </c>
      <c r="E650">
        <v>82.5</v>
      </c>
      <c r="F650">
        <v>52.5</v>
      </c>
      <c r="G650">
        <v>120</v>
      </c>
      <c r="H650">
        <v>255</v>
      </c>
      <c r="I650">
        <v>2014</v>
      </c>
      <c r="J650" t="s">
        <v>852</v>
      </c>
      <c r="K650" t="s">
        <v>30</v>
      </c>
    </row>
    <row r="651" spans="1:11">
      <c r="A651" t="s">
        <v>897</v>
      </c>
      <c r="B651">
        <v>1954</v>
      </c>
      <c r="C651" t="s">
        <v>51</v>
      </c>
      <c r="D651">
        <v>45.4</v>
      </c>
      <c r="E651">
        <v>72.5</v>
      </c>
      <c r="F651">
        <v>50</v>
      </c>
      <c r="G651">
        <v>117.5</v>
      </c>
      <c r="H651">
        <v>240</v>
      </c>
      <c r="I651">
        <v>2013</v>
      </c>
      <c r="J651" t="s">
        <v>852</v>
      </c>
      <c r="K651" t="s">
        <v>30</v>
      </c>
    </row>
    <row r="652" spans="1:11">
      <c r="A652" t="s">
        <v>896</v>
      </c>
      <c r="B652">
        <v>1954</v>
      </c>
      <c r="C652" t="s">
        <v>51</v>
      </c>
      <c r="D652">
        <v>44.55</v>
      </c>
      <c r="E652">
        <v>70</v>
      </c>
      <c r="F652">
        <v>50</v>
      </c>
      <c r="G652">
        <v>117.5</v>
      </c>
      <c r="H652">
        <v>237.5</v>
      </c>
      <c r="I652">
        <v>2012</v>
      </c>
      <c r="J652" t="s">
        <v>852</v>
      </c>
      <c r="K652" t="s">
        <v>30</v>
      </c>
    </row>
    <row r="653" spans="1:11">
      <c r="A653" t="s">
        <v>973</v>
      </c>
      <c r="B653">
        <v>1971</v>
      </c>
      <c r="C653" t="s">
        <v>77</v>
      </c>
      <c r="D653">
        <v>46.7</v>
      </c>
      <c r="E653">
        <v>70</v>
      </c>
      <c r="F653">
        <v>52.5</v>
      </c>
      <c r="G653">
        <v>110</v>
      </c>
      <c r="H653">
        <v>232.5</v>
      </c>
      <c r="I653">
        <v>2013</v>
      </c>
      <c r="J653" t="s">
        <v>852</v>
      </c>
      <c r="K653" t="s">
        <v>30</v>
      </c>
    </row>
    <row r="654" spans="1:11">
      <c r="A654" t="s">
        <v>973</v>
      </c>
      <c r="B654">
        <v>1971</v>
      </c>
      <c r="C654" t="s">
        <v>77</v>
      </c>
      <c r="D654">
        <v>46.35</v>
      </c>
      <c r="E654">
        <v>72.5</v>
      </c>
      <c r="F654">
        <v>57.5</v>
      </c>
      <c r="G654">
        <v>95</v>
      </c>
      <c r="H654">
        <v>225</v>
      </c>
      <c r="I654">
        <v>2012</v>
      </c>
      <c r="J654" t="s">
        <v>852</v>
      </c>
      <c r="K654" t="s">
        <v>30</v>
      </c>
    </row>
    <row r="655" spans="1:11">
      <c r="A655" t="s">
        <v>960</v>
      </c>
      <c r="B655">
        <v>1991</v>
      </c>
      <c r="C655" t="s">
        <v>56</v>
      </c>
      <c r="D655">
        <v>50.65</v>
      </c>
      <c r="E655">
        <v>72.5</v>
      </c>
      <c r="F655">
        <v>45</v>
      </c>
      <c r="G655">
        <v>95</v>
      </c>
      <c r="H655">
        <v>212.5</v>
      </c>
      <c r="I655">
        <v>2012</v>
      </c>
      <c r="J655" t="s">
        <v>852</v>
      </c>
      <c r="K655" t="s">
        <v>30</v>
      </c>
    </row>
    <row r="657" spans="1:11">
      <c r="A657" t="s">
        <v>428</v>
      </c>
      <c r="B657">
        <v>1990</v>
      </c>
      <c r="C657" t="s">
        <v>45</v>
      </c>
      <c r="D657">
        <v>168.02</v>
      </c>
      <c r="E657">
        <v>490</v>
      </c>
      <c r="F657">
        <v>350</v>
      </c>
      <c r="G657">
        <v>390</v>
      </c>
      <c r="H657">
        <v>1230</v>
      </c>
      <c r="I657">
        <v>2014</v>
      </c>
      <c r="J657" t="s">
        <v>29</v>
      </c>
      <c r="K657" t="s">
        <v>171</v>
      </c>
    </row>
    <row r="658" spans="1:11">
      <c r="A658" t="s">
        <v>586</v>
      </c>
      <c r="B658">
        <v>1986</v>
      </c>
      <c r="C658" t="s">
        <v>28</v>
      </c>
      <c r="D658">
        <v>162</v>
      </c>
      <c r="E658">
        <v>467.5</v>
      </c>
      <c r="F658">
        <v>355</v>
      </c>
      <c r="G658">
        <v>365</v>
      </c>
      <c r="H658">
        <v>1187.5</v>
      </c>
      <c r="I658">
        <v>2013</v>
      </c>
      <c r="J658" t="s">
        <v>29</v>
      </c>
      <c r="K658" t="s">
        <v>171</v>
      </c>
    </row>
    <row r="659" spans="1:11">
      <c r="A659" t="s">
        <v>586</v>
      </c>
      <c r="B659">
        <v>1986</v>
      </c>
      <c r="C659" t="s">
        <v>28</v>
      </c>
      <c r="D659">
        <v>160.94999999999999</v>
      </c>
      <c r="E659">
        <v>470</v>
      </c>
      <c r="F659">
        <v>357.5</v>
      </c>
      <c r="G659">
        <v>350</v>
      </c>
      <c r="H659">
        <v>1177.5</v>
      </c>
      <c r="I659">
        <v>2015</v>
      </c>
      <c r="J659" t="s">
        <v>29</v>
      </c>
      <c r="K659" t="s">
        <v>171</v>
      </c>
    </row>
    <row r="660" spans="1:11">
      <c r="A660" t="s">
        <v>428</v>
      </c>
      <c r="B660">
        <v>1990</v>
      </c>
      <c r="C660" t="s">
        <v>45</v>
      </c>
      <c r="D660">
        <v>164</v>
      </c>
      <c r="E660">
        <v>475</v>
      </c>
      <c r="F660">
        <v>330</v>
      </c>
      <c r="G660">
        <v>370</v>
      </c>
      <c r="H660">
        <v>1175</v>
      </c>
      <c r="I660">
        <v>2013</v>
      </c>
      <c r="J660" t="s">
        <v>29</v>
      </c>
      <c r="K660" t="s">
        <v>171</v>
      </c>
    </row>
    <row r="661" spans="1:11">
      <c r="A661" t="s">
        <v>794</v>
      </c>
      <c r="B661">
        <v>1989</v>
      </c>
      <c r="C661" t="s">
        <v>119</v>
      </c>
      <c r="D661">
        <v>143.19999999999999</v>
      </c>
      <c r="E661">
        <v>445</v>
      </c>
      <c r="F661">
        <v>370</v>
      </c>
      <c r="G661">
        <v>355</v>
      </c>
      <c r="H661">
        <v>1170</v>
      </c>
      <c r="I661">
        <v>2013</v>
      </c>
      <c r="J661" t="s">
        <v>29</v>
      </c>
      <c r="K661" t="s">
        <v>171</v>
      </c>
    </row>
    <row r="662" spans="1:11">
      <c r="A662" t="s">
        <v>154</v>
      </c>
      <c r="B662">
        <v>1987</v>
      </c>
      <c r="C662" t="s">
        <v>62</v>
      </c>
      <c r="D662">
        <v>167.27</v>
      </c>
      <c r="E662">
        <v>455</v>
      </c>
      <c r="F662">
        <v>365</v>
      </c>
      <c r="G662">
        <v>345</v>
      </c>
      <c r="H662">
        <v>1165</v>
      </c>
      <c r="I662">
        <v>2015</v>
      </c>
      <c r="J662" t="s">
        <v>29</v>
      </c>
      <c r="K662" t="s">
        <v>171</v>
      </c>
    </row>
    <row r="663" spans="1:11">
      <c r="A663" t="s">
        <v>420</v>
      </c>
      <c r="B663">
        <v>1988</v>
      </c>
      <c r="C663" t="s">
        <v>62</v>
      </c>
      <c r="D663">
        <v>170.52</v>
      </c>
      <c r="E663">
        <v>447.5</v>
      </c>
      <c r="F663">
        <v>337.5</v>
      </c>
      <c r="G663">
        <v>362.5</v>
      </c>
      <c r="H663">
        <v>1147.5</v>
      </c>
      <c r="I663">
        <v>2015</v>
      </c>
      <c r="J663" t="s">
        <v>29</v>
      </c>
      <c r="K663" t="s">
        <v>171</v>
      </c>
    </row>
    <row r="664" spans="1:11">
      <c r="A664" t="s">
        <v>794</v>
      </c>
      <c r="B664">
        <v>1989</v>
      </c>
      <c r="C664" t="s">
        <v>119</v>
      </c>
      <c r="D664">
        <v>137.94</v>
      </c>
      <c r="E664">
        <v>435</v>
      </c>
      <c r="F664">
        <v>357.5</v>
      </c>
      <c r="G664">
        <v>355</v>
      </c>
      <c r="H664">
        <v>1147.5</v>
      </c>
      <c r="I664">
        <v>2012</v>
      </c>
      <c r="J664" t="s">
        <v>29</v>
      </c>
      <c r="K664" t="s">
        <v>171</v>
      </c>
    </row>
    <row r="665" spans="1:11">
      <c r="A665" t="s">
        <v>586</v>
      </c>
      <c r="B665">
        <v>1986</v>
      </c>
      <c r="C665" t="s">
        <v>28</v>
      </c>
      <c r="D665">
        <v>162.44999999999999</v>
      </c>
      <c r="E665">
        <v>460</v>
      </c>
      <c r="F665">
        <v>340</v>
      </c>
      <c r="G665">
        <v>345</v>
      </c>
      <c r="H665">
        <v>1145</v>
      </c>
      <c r="I665">
        <v>2012</v>
      </c>
      <c r="J665" t="s">
        <v>29</v>
      </c>
      <c r="K665" t="s">
        <v>171</v>
      </c>
    </row>
    <row r="666" spans="1:11">
      <c r="A666" t="s">
        <v>428</v>
      </c>
      <c r="B666">
        <v>1990</v>
      </c>
      <c r="C666" t="s">
        <v>45</v>
      </c>
      <c r="D666">
        <v>163.47</v>
      </c>
      <c r="E666">
        <v>445</v>
      </c>
      <c r="F666">
        <v>330</v>
      </c>
      <c r="G666">
        <v>357.5</v>
      </c>
      <c r="H666">
        <v>1132.5</v>
      </c>
      <c r="I666">
        <v>2012</v>
      </c>
      <c r="J666" t="s">
        <v>29</v>
      </c>
      <c r="K666" t="s">
        <v>171</v>
      </c>
    </row>
    <row r="667" spans="1:11">
      <c r="A667" t="s">
        <v>369</v>
      </c>
      <c r="B667">
        <v>1983</v>
      </c>
      <c r="C667" t="s">
        <v>45</v>
      </c>
      <c r="D667">
        <v>168.7</v>
      </c>
      <c r="E667">
        <v>410</v>
      </c>
      <c r="F667">
        <v>337.5</v>
      </c>
      <c r="G667">
        <v>362.5</v>
      </c>
      <c r="H667">
        <v>1110</v>
      </c>
      <c r="I667">
        <v>2015</v>
      </c>
      <c r="J667" t="s">
        <v>29</v>
      </c>
      <c r="K667" t="s">
        <v>171</v>
      </c>
    </row>
    <row r="668" spans="1:11">
      <c r="A668" t="s">
        <v>415</v>
      </c>
      <c r="B668">
        <v>1985</v>
      </c>
      <c r="C668" t="s">
        <v>119</v>
      </c>
      <c r="D668">
        <v>116.58</v>
      </c>
      <c r="E668">
        <v>415</v>
      </c>
      <c r="F668">
        <v>317.5</v>
      </c>
      <c r="G668">
        <v>362.5</v>
      </c>
      <c r="H668">
        <v>1095</v>
      </c>
      <c r="I668">
        <v>2015</v>
      </c>
      <c r="J668" t="s">
        <v>29</v>
      </c>
      <c r="K668" t="s">
        <v>171</v>
      </c>
    </row>
    <row r="669" spans="1:11">
      <c r="A669" t="s">
        <v>788</v>
      </c>
      <c r="B669">
        <v>1987</v>
      </c>
      <c r="C669" t="s">
        <v>119</v>
      </c>
      <c r="D669">
        <v>160.06</v>
      </c>
      <c r="E669">
        <v>442.5</v>
      </c>
      <c r="F669">
        <v>320</v>
      </c>
      <c r="G669">
        <v>330</v>
      </c>
      <c r="H669">
        <v>1092.5</v>
      </c>
      <c r="I669">
        <v>2012</v>
      </c>
      <c r="J669" t="s">
        <v>29</v>
      </c>
      <c r="K669" t="s">
        <v>171</v>
      </c>
    </row>
    <row r="670" spans="1:11">
      <c r="A670" t="s">
        <v>420</v>
      </c>
      <c r="B670">
        <v>1988</v>
      </c>
      <c r="C670" t="s">
        <v>62</v>
      </c>
      <c r="D670">
        <v>163.5</v>
      </c>
      <c r="E670">
        <v>407.5</v>
      </c>
      <c r="F670">
        <v>332.5</v>
      </c>
      <c r="G670">
        <v>352.5</v>
      </c>
      <c r="H670">
        <v>1092.5</v>
      </c>
      <c r="I670">
        <v>2013</v>
      </c>
      <c r="J670" t="s">
        <v>29</v>
      </c>
      <c r="K670" t="s">
        <v>171</v>
      </c>
    </row>
    <row r="671" spans="1:11">
      <c r="A671" t="s">
        <v>368</v>
      </c>
      <c r="B671">
        <v>1983</v>
      </c>
      <c r="C671" t="s">
        <v>45</v>
      </c>
      <c r="D671">
        <v>159.5</v>
      </c>
      <c r="E671">
        <v>405</v>
      </c>
      <c r="F671">
        <v>325</v>
      </c>
      <c r="G671">
        <v>352.5</v>
      </c>
      <c r="H671">
        <v>1082.5</v>
      </c>
      <c r="I671">
        <v>2013</v>
      </c>
      <c r="J671" t="s">
        <v>29</v>
      </c>
      <c r="K671" t="s">
        <v>171</v>
      </c>
    </row>
    <row r="672" spans="1:11">
      <c r="A672" t="s">
        <v>389</v>
      </c>
      <c r="B672">
        <v>1978</v>
      </c>
      <c r="C672" t="s">
        <v>390</v>
      </c>
      <c r="D672">
        <v>119.83</v>
      </c>
      <c r="E672">
        <v>420</v>
      </c>
      <c r="F672">
        <v>330</v>
      </c>
      <c r="G672">
        <v>327.5</v>
      </c>
      <c r="H672">
        <v>1077.5</v>
      </c>
      <c r="I672">
        <v>2015</v>
      </c>
      <c r="J672" t="s">
        <v>29</v>
      </c>
      <c r="K672" t="s">
        <v>171</v>
      </c>
    </row>
    <row r="673" spans="1:11">
      <c r="A673" t="s">
        <v>728</v>
      </c>
      <c r="B673">
        <v>1981</v>
      </c>
      <c r="C673" t="s">
        <v>119</v>
      </c>
      <c r="D673">
        <v>119.5</v>
      </c>
      <c r="E673">
        <v>412.5</v>
      </c>
      <c r="F673">
        <v>295</v>
      </c>
      <c r="G673">
        <v>367.5</v>
      </c>
      <c r="H673">
        <v>1075</v>
      </c>
      <c r="I673">
        <v>2013</v>
      </c>
      <c r="J673" t="s">
        <v>29</v>
      </c>
      <c r="K673" t="s">
        <v>171</v>
      </c>
    </row>
    <row r="674" spans="1:11">
      <c r="A674" t="s">
        <v>742</v>
      </c>
      <c r="B674">
        <v>1975</v>
      </c>
      <c r="C674" t="s">
        <v>80</v>
      </c>
      <c r="D674">
        <v>141.6</v>
      </c>
      <c r="E674">
        <v>412.5</v>
      </c>
      <c r="F674">
        <v>342.5</v>
      </c>
      <c r="G674">
        <v>320</v>
      </c>
      <c r="H674">
        <v>1075</v>
      </c>
      <c r="I674">
        <v>2013</v>
      </c>
      <c r="J674" t="s">
        <v>29</v>
      </c>
      <c r="K674" t="s">
        <v>171</v>
      </c>
    </row>
    <row r="675" spans="1:11">
      <c r="A675" t="s">
        <v>742</v>
      </c>
      <c r="B675">
        <v>1975</v>
      </c>
      <c r="C675" t="s">
        <v>80</v>
      </c>
      <c r="D675">
        <v>141.80000000000001</v>
      </c>
      <c r="E675">
        <v>415</v>
      </c>
      <c r="F675">
        <v>345</v>
      </c>
      <c r="G675">
        <v>312.5</v>
      </c>
      <c r="H675">
        <v>1072.5</v>
      </c>
      <c r="I675">
        <v>2014</v>
      </c>
      <c r="J675" t="s">
        <v>29</v>
      </c>
      <c r="K675" t="s">
        <v>171</v>
      </c>
    </row>
    <row r="676" spans="1:11">
      <c r="A676" t="s">
        <v>779</v>
      </c>
      <c r="B676">
        <v>1980</v>
      </c>
      <c r="C676" t="s">
        <v>72</v>
      </c>
      <c r="D676">
        <v>146.47</v>
      </c>
      <c r="E676">
        <v>440</v>
      </c>
      <c r="F676">
        <v>310</v>
      </c>
      <c r="G676">
        <v>320</v>
      </c>
      <c r="H676">
        <v>1070</v>
      </c>
      <c r="I676">
        <v>2012</v>
      </c>
      <c r="J676" t="s">
        <v>29</v>
      </c>
      <c r="K676" t="s">
        <v>171</v>
      </c>
    </row>
    <row r="677" spans="1:11">
      <c r="A677" t="s">
        <v>728</v>
      </c>
      <c r="B677">
        <v>1981</v>
      </c>
      <c r="C677" t="s">
        <v>119</v>
      </c>
      <c r="D677">
        <v>119.91</v>
      </c>
      <c r="E677">
        <v>412.5</v>
      </c>
      <c r="F677">
        <v>312.5</v>
      </c>
      <c r="G677">
        <v>345</v>
      </c>
      <c r="H677">
        <v>1070</v>
      </c>
      <c r="I677">
        <v>2015</v>
      </c>
      <c r="J677" t="s">
        <v>29</v>
      </c>
      <c r="K677" t="s">
        <v>171</v>
      </c>
    </row>
    <row r="678" spans="1:11">
      <c r="A678" t="s">
        <v>845</v>
      </c>
      <c r="B678">
        <v>1990</v>
      </c>
      <c r="C678" t="s">
        <v>39</v>
      </c>
      <c r="D678">
        <v>113.58</v>
      </c>
      <c r="E678">
        <v>400</v>
      </c>
      <c r="F678">
        <v>310</v>
      </c>
      <c r="G678">
        <v>360</v>
      </c>
      <c r="H678">
        <v>1070</v>
      </c>
      <c r="I678">
        <v>2015</v>
      </c>
      <c r="J678" t="s">
        <v>29</v>
      </c>
      <c r="K678" t="s">
        <v>171</v>
      </c>
    </row>
    <row r="679" spans="1:11">
      <c r="A679" t="s">
        <v>154</v>
      </c>
      <c r="B679">
        <v>1987</v>
      </c>
      <c r="C679" t="s">
        <v>62</v>
      </c>
      <c r="D679">
        <v>158.27000000000001</v>
      </c>
      <c r="E679">
        <v>440</v>
      </c>
      <c r="F679">
        <v>295</v>
      </c>
      <c r="G679">
        <v>332.5</v>
      </c>
      <c r="H679">
        <v>1067.5</v>
      </c>
      <c r="I679">
        <v>2012</v>
      </c>
      <c r="J679" t="s">
        <v>29</v>
      </c>
      <c r="K679" t="s">
        <v>171</v>
      </c>
    </row>
    <row r="680" spans="1:11">
      <c r="A680" t="s">
        <v>726</v>
      </c>
      <c r="B680">
        <v>1984</v>
      </c>
      <c r="C680" t="s">
        <v>45</v>
      </c>
      <c r="D680">
        <v>164.33</v>
      </c>
      <c r="E680">
        <v>405</v>
      </c>
      <c r="F680">
        <v>352.5</v>
      </c>
      <c r="G680">
        <v>310</v>
      </c>
      <c r="H680">
        <v>1067.5</v>
      </c>
      <c r="I680">
        <v>2015</v>
      </c>
      <c r="J680" t="s">
        <v>29</v>
      </c>
      <c r="K680" t="s">
        <v>171</v>
      </c>
    </row>
    <row r="681" spans="1:11">
      <c r="A681" t="s">
        <v>742</v>
      </c>
      <c r="B681">
        <v>1975</v>
      </c>
      <c r="C681" t="s">
        <v>80</v>
      </c>
      <c r="D681">
        <v>140.22</v>
      </c>
      <c r="E681">
        <v>412.5</v>
      </c>
      <c r="F681">
        <v>342.5</v>
      </c>
      <c r="G681">
        <v>310</v>
      </c>
      <c r="H681">
        <v>1065</v>
      </c>
      <c r="I681">
        <v>2012</v>
      </c>
      <c r="J681" t="s">
        <v>29</v>
      </c>
      <c r="K681" t="s">
        <v>171</v>
      </c>
    </row>
    <row r="682" spans="1:11">
      <c r="A682" t="s">
        <v>531</v>
      </c>
      <c r="B682">
        <v>1979</v>
      </c>
      <c r="C682" t="s">
        <v>352</v>
      </c>
      <c r="D682">
        <v>119.26</v>
      </c>
      <c r="E682">
        <v>410</v>
      </c>
      <c r="F682">
        <v>305</v>
      </c>
      <c r="G682">
        <v>347.5</v>
      </c>
      <c r="H682">
        <v>1062.5</v>
      </c>
      <c r="I682">
        <v>2014</v>
      </c>
      <c r="J682" t="s">
        <v>29</v>
      </c>
      <c r="K682" t="s">
        <v>171</v>
      </c>
    </row>
    <row r="683" spans="1:11">
      <c r="A683" t="s">
        <v>742</v>
      </c>
      <c r="B683">
        <v>1975</v>
      </c>
      <c r="C683" t="s">
        <v>80</v>
      </c>
      <c r="D683">
        <v>143.56</v>
      </c>
      <c r="E683">
        <v>402.5</v>
      </c>
      <c r="F683">
        <v>357.5</v>
      </c>
      <c r="G683">
        <v>302.5</v>
      </c>
      <c r="H683">
        <v>1062.5</v>
      </c>
      <c r="I683">
        <v>2015</v>
      </c>
      <c r="J683" t="s">
        <v>29</v>
      </c>
      <c r="K683" t="s">
        <v>171</v>
      </c>
    </row>
    <row r="684" spans="1:11">
      <c r="A684" t="s">
        <v>728</v>
      </c>
      <c r="B684">
        <v>1981</v>
      </c>
      <c r="C684" t="s">
        <v>119</v>
      </c>
      <c r="D684">
        <v>118.98</v>
      </c>
      <c r="E684">
        <v>400</v>
      </c>
      <c r="F684">
        <v>300</v>
      </c>
      <c r="G684">
        <v>355</v>
      </c>
      <c r="H684">
        <v>1055</v>
      </c>
      <c r="I684">
        <v>2014</v>
      </c>
      <c r="J684" t="s">
        <v>29</v>
      </c>
      <c r="K684" t="s">
        <v>171</v>
      </c>
    </row>
    <row r="685" spans="1:11">
      <c r="A685" t="s">
        <v>377</v>
      </c>
      <c r="B685">
        <v>1981</v>
      </c>
      <c r="C685" t="s">
        <v>28</v>
      </c>
      <c r="D685">
        <v>119.91</v>
      </c>
      <c r="E685">
        <v>410</v>
      </c>
      <c r="F685">
        <v>282.5</v>
      </c>
      <c r="G685">
        <v>360</v>
      </c>
      <c r="H685">
        <v>1052.5</v>
      </c>
      <c r="I685">
        <v>2012</v>
      </c>
      <c r="J685" t="s">
        <v>29</v>
      </c>
      <c r="K685" t="s">
        <v>171</v>
      </c>
    </row>
    <row r="686" spans="1:11">
      <c r="A686" t="s">
        <v>450</v>
      </c>
      <c r="B686">
        <v>1987</v>
      </c>
      <c r="C686" t="s">
        <v>119</v>
      </c>
      <c r="D686">
        <v>104.92</v>
      </c>
      <c r="E686">
        <v>402.5</v>
      </c>
      <c r="F686">
        <v>323</v>
      </c>
      <c r="G686">
        <v>325</v>
      </c>
      <c r="H686">
        <v>1050.5</v>
      </c>
      <c r="I686">
        <v>2013</v>
      </c>
      <c r="J686" t="s">
        <v>29</v>
      </c>
      <c r="K686" t="s">
        <v>171</v>
      </c>
    </row>
    <row r="687" spans="1:11">
      <c r="A687" t="s">
        <v>557</v>
      </c>
      <c r="B687">
        <v>1972</v>
      </c>
      <c r="C687" t="s">
        <v>228</v>
      </c>
      <c r="D687">
        <v>138.83000000000001</v>
      </c>
      <c r="E687">
        <v>412.5</v>
      </c>
      <c r="F687">
        <v>275</v>
      </c>
      <c r="G687">
        <v>362.5</v>
      </c>
      <c r="H687">
        <v>1050</v>
      </c>
      <c r="I687">
        <v>2012</v>
      </c>
      <c r="J687" t="s">
        <v>29</v>
      </c>
      <c r="K687" t="s">
        <v>171</v>
      </c>
    </row>
    <row r="688" spans="1:11">
      <c r="A688" t="s">
        <v>531</v>
      </c>
      <c r="B688">
        <v>1979</v>
      </c>
      <c r="C688" t="s">
        <v>352</v>
      </c>
      <c r="D688">
        <v>118.31</v>
      </c>
      <c r="E688">
        <v>405</v>
      </c>
      <c r="F688">
        <v>305</v>
      </c>
      <c r="G688">
        <v>340</v>
      </c>
      <c r="H688">
        <v>1050</v>
      </c>
      <c r="I688">
        <v>2012</v>
      </c>
      <c r="J688" t="s">
        <v>29</v>
      </c>
      <c r="K688" t="s">
        <v>171</v>
      </c>
    </row>
    <row r="689" spans="1:11">
      <c r="A689" t="s">
        <v>415</v>
      </c>
      <c r="B689">
        <v>1985</v>
      </c>
      <c r="C689" t="s">
        <v>119</v>
      </c>
      <c r="D689">
        <v>111.8</v>
      </c>
      <c r="E689">
        <v>385</v>
      </c>
      <c r="F689">
        <v>300</v>
      </c>
      <c r="G689">
        <v>365</v>
      </c>
      <c r="H689">
        <v>1050</v>
      </c>
      <c r="I689">
        <v>2014</v>
      </c>
      <c r="J689" t="s">
        <v>29</v>
      </c>
      <c r="K689" t="s">
        <v>171</v>
      </c>
    </row>
    <row r="690" spans="1:11">
      <c r="A690" t="s">
        <v>450</v>
      </c>
      <c r="B690">
        <v>1987</v>
      </c>
      <c r="C690" t="s">
        <v>119</v>
      </c>
      <c r="D690">
        <v>104.16</v>
      </c>
      <c r="E690">
        <v>410</v>
      </c>
      <c r="F690">
        <v>320</v>
      </c>
      <c r="G690">
        <v>320</v>
      </c>
      <c r="H690">
        <v>1050</v>
      </c>
      <c r="I690">
        <v>2014</v>
      </c>
      <c r="J690" t="s">
        <v>29</v>
      </c>
      <c r="K690" t="s">
        <v>171</v>
      </c>
    </row>
    <row r="691" spans="1:11">
      <c r="A691" t="s">
        <v>787</v>
      </c>
      <c r="B691">
        <v>1979</v>
      </c>
      <c r="C691" t="s">
        <v>35</v>
      </c>
      <c r="D691">
        <v>147.30000000000001</v>
      </c>
      <c r="E691">
        <v>372.5</v>
      </c>
      <c r="F691">
        <v>355</v>
      </c>
      <c r="G691">
        <v>322.5</v>
      </c>
      <c r="H691">
        <v>1050</v>
      </c>
      <c r="I691">
        <v>2013</v>
      </c>
      <c r="J691" t="s">
        <v>29</v>
      </c>
      <c r="K691" t="s">
        <v>171</v>
      </c>
    </row>
    <row r="692" spans="1:11">
      <c r="A692" t="s">
        <v>46</v>
      </c>
      <c r="B692">
        <v>1972</v>
      </c>
      <c r="C692" t="s">
        <v>47</v>
      </c>
      <c r="D692">
        <v>104.39</v>
      </c>
      <c r="E692">
        <v>400</v>
      </c>
      <c r="F692">
        <v>260</v>
      </c>
      <c r="G692">
        <v>387.5</v>
      </c>
      <c r="H692">
        <v>1047.5</v>
      </c>
      <c r="I692">
        <v>2012</v>
      </c>
      <c r="J692" t="s">
        <v>29</v>
      </c>
      <c r="K692" t="s">
        <v>171</v>
      </c>
    </row>
    <row r="693" spans="1:11">
      <c r="A693" t="s">
        <v>605</v>
      </c>
      <c r="B693">
        <v>1981</v>
      </c>
      <c r="C693" t="s">
        <v>28</v>
      </c>
      <c r="D693">
        <v>104.74</v>
      </c>
      <c r="E693">
        <v>400</v>
      </c>
      <c r="F693">
        <v>295</v>
      </c>
      <c r="G693">
        <v>352.5</v>
      </c>
      <c r="H693">
        <v>1047.5</v>
      </c>
      <c r="I693">
        <v>2012</v>
      </c>
      <c r="J693" t="s">
        <v>29</v>
      </c>
      <c r="K693" t="s">
        <v>171</v>
      </c>
    </row>
    <row r="694" spans="1:11">
      <c r="A694" t="s">
        <v>401</v>
      </c>
      <c r="B694">
        <v>1974</v>
      </c>
      <c r="C694" t="s">
        <v>51</v>
      </c>
      <c r="D694">
        <v>119.52</v>
      </c>
      <c r="E694">
        <v>395</v>
      </c>
      <c r="F694">
        <v>297.5</v>
      </c>
      <c r="G694">
        <v>352.5</v>
      </c>
      <c r="H694">
        <v>1045</v>
      </c>
      <c r="I694">
        <v>2014</v>
      </c>
      <c r="J694" t="s">
        <v>29</v>
      </c>
      <c r="K694" t="s">
        <v>171</v>
      </c>
    </row>
    <row r="695" spans="1:11">
      <c r="A695" t="s">
        <v>385</v>
      </c>
      <c r="B695">
        <v>1990</v>
      </c>
      <c r="C695" t="s">
        <v>28</v>
      </c>
      <c r="D695">
        <v>102.78</v>
      </c>
      <c r="E695">
        <v>405</v>
      </c>
      <c r="F695">
        <v>280</v>
      </c>
      <c r="G695">
        <v>357.5</v>
      </c>
      <c r="H695">
        <v>1042.5</v>
      </c>
      <c r="I695">
        <v>2014</v>
      </c>
      <c r="J695" t="s">
        <v>29</v>
      </c>
      <c r="K695" t="s">
        <v>171</v>
      </c>
    </row>
    <row r="696" spans="1:11">
      <c r="A696" t="s">
        <v>499</v>
      </c>
      <c r="B696">
        <v>1986</v>
      </c>
      <c r="C696" t="s">
        <v>85</v>
      </c>
      <c r="D696">
        <v>118.94</v>
      </c>
      <c r="E696">
        <v>415</v>
      </c>
      <c r="F696">
        <v>275</v>
      </c>
      <c r="G696">
        <v>350</v>
      </c>
      <c r="H696">
        <v>1040</v>
      </c>
      <c r="I696">
        <v>2014</v>
      </c>
      <c r="J696" t="s">
        <v>29</v>
      </c>
      <c r="K696" t="s">
        <v>171</v>
      </c>
    </row>
    <row r="697" spans="1:11">
      <c r="A697" t="s">
        <v>605</v>
      </c>
      <c r="B697">
        <v>1981</v>
      </c>
      <c r="C697" t="s">
        <v>28</v>
      </c>
      <c r="D697">
        <v>103.62</v>
      </c>
      <c r="E697">
        <v>405</v>
      </c>
      <c r="F697">
        <v>285</v>
      </c>
      <c r="G697">
        <v>347.5</v>
      </c>
      <c r="H697">
        <v>1037.5</v>
      </c>
      <c r="I697">
        <v>2013</v>
      </c>
      <c r="J697" t="s">
        <v>29</v>
      </c>
      <c r="K697" t="s">
        <v>171</v>
      </c>
    </row>
    <row r="698" spans="1:11">
      <c r="A698" t="s">
        <v>756</v>
      </c>
      <c r="B698">
        <v>1988</v>
      </c>
      <c r="C698" t="s">
        <v>119</v>
      </c>
      <c r="D698">
        <v>104.69</v>
      </c>
      <c r="E698">
        <v>415.5</v>
      </c>
      <c r="F698">
        <v>275</v>
      </c>
      <c r="G698">
        <v>345</v>
      </c>
      <c r="H698">
        <v>1035.5</v>
      </c>
      <c r="I698">
        <v>2015</v>
      </c>
      <c r="J698" t="s">
        <v>29</v>
      </c>
      <c r="K698" t="s">
        <v>171</v>
      </c>
    </row>
    <row r="699" spans="1:11">
      <c r="A699" t="s">
        <v>450</v>
      </c>
      <c r="B699">
        <v>1987</v>
      </c>
      <c r="C699" t="s">
        <v>119</v>
      </c>
      <c r="D699">
        <v>104.42</v>
      </c>
      <c r="E699">
        <v>410</v>
      </c>
      <c r="F699">
        <v>315</v>
      </c>
      <c r="G699">
        <v>310</v>
      </c>
      <c r="H699">
        <v>1035</v>
      </c>
      <c r="I699">
        <v>2012</v>
      </c>
      <c r="J699" t="s">
        <v>29</v>
      </c>
      <c r="K699" t="s">
        <v>171</v>
      </c>
    </row>
    <row r="700" spans="1:11">
      <c r="A700" t="s">
        <v>787</v>
      </c>
      <c r="B700">
        <v>1979</v>
      </c>
      <c r="C700" t="s">
        <v>35</v>
      </c>
      <c r="D700">
        <v>150.9</v>
      </c>
      <c r="E700">
        <v>370</v>
      </c>
      <c r="F700">
        <v>360</v>
      </c>
      <c r="G700">
        <v>305</v>
      </c>
      <c r="H700">
        <v>1035</v>
      </c>
      <c r="I700">
        <v>2014</v>
      </c>
      <c r="J700" t="s">
        <v>29</v>
      </c>
      <c r="K700" t="s">
        <v>171</v>
      </c>
    </row>
    <row r="701" spans="1:11">
      <c r="A701" t="s">
        <v>570</v>
      </c>
      <c r="B701">
        <v>1984</v>
      </c>
      <c r="C701" t="s">
        <v>119</v>
      </c>
      <c r="D701">
        <v>118.92</v>
      </c>
      <c r="E701">
        <v>405</v>
      </c>
      <c r="F701">
        <v>295</v>
      </c>
      <c r="G701">
        <v>332.5</v>
      </c>
      <c r="H701">
        <v>1032.5</v>
      </c>
      <c r="I701">
        <v>2012</v>
      </c>
      <c r="J701" t="s">
        <v>29</v>
      </c>
      <c r="K701" t="s">
        <v>171</v>
      </c>
    </row>
    <row r="702" spans="1:11">
      <c r="A702" t="s">
        <v>605</v>
      </c>
      <c r="B702">
        <v>1981</v>
      </c>
      <c r="C702" t="s">
        <v>28</v>
      </c>
      <c r="D702">
        <v>104.14</v>
      </c>
      <c r="E702">
        <v>395</v>
      </c>
      <c r="F702">
        <v>290</v>
      </c>
      <c r="G702">
        <v>347.5</v>
      </c>
      <c r="H702">
        <v>1032.5</v>
      </c>
      <c r="I702">
        <v>2014</v>
      </c>
      <c r="J702" t="s">
        <v>29</v>
      </c>
      <c r="K702" t="s">
        <v>171</v>
      </c>
    </row>
    <row r="703" spans="1:11">
      <c r="A703" t="s">
        <v>431</v>
      </c>
      <c r="B703">
        <v>1984</v>
      </c>
      <c r="C703" t="s">
        <v>51</v>
      </c>
      <c r="D703">
        <v>118.93</v>
      </c>
      <c r="E703">
        <v>390</v>
      </c>
      <c r="F703">
        <v>292.5</v>
      </c>
      <c r="G703">
        <v>350</v>
      </c>
      <c r="H703">
        <v>1032.5</v>
      </c>
      <c r="I703">
        <v>2015</v>
      </c>
      <c r="J703" t="s">
        <v>29</v>
      </c>
      <c r="K703" t="s">
        <v>171</v>
      </c>
    </row>
    <row r="704" spans="1:11">
      <c r="A704" t="s">
        <v>46</v>
      </c>
      <c r="B704">
        <v>1972</v>
      </c>
      <c r="C704" t="s">
        <v>47</v>
      </c>
      <c r="D704">
        <v>102.95</v>
      </c>
      <c r="E704">
        <v>400</v>
      </c>
      <c r="F704">
        <v>265</v>
      </c>
      <c r="G704">
        <v>365</v>
      </c>
      <c r="H704">
        <v>1030</v>
      </c>
      <c r="I704">
        <v>2013</v>
      </c>
      <c r="J704" t="s">
        <v>29</v>
      </c>
      <c r="K704" t="s">
        <v>171</v>
      </c>
    </row>
    <row r="705" spans="1:11">
      <c r="A705" t="s">
        <v>619</v>
      </c>
      <c r="B705">
        <v>1991</v>
      </c>
      <c r="C705" t="s">
        <v>72</v>
      </c>
      <c r="D705">
        <v>138.19999999999999</v>
      </c>
      <c r="E705">
        <v>425</v>
      </c>
      <c r="F705">
        <v>282.5</v>
      </c>
      <c r="G705">
        <v>322.5</v>
      </c>
      <c r="H705">
        <v>1030</v>
      </c>
      <c r="I705">
        <v>2013</v>
      </c>
      <c r="J705" t="s">
        <v>29</v>
      </c>
      <c r="K705" t="s">
        <v>171</v>
      </c>
    </row>
    <row r="706" spans="1:11">
      <c r="A706" t="s">
        <v>845</v>
      </c>
      <c r="B706">
        <v>1990</v>
      </c>
      <c r="C706" t="s">
        <v>39</v>
      </c>
      <c r="D706">
        <v>112.68</v>
      </c>
      <c r="E706">
        <v>400</v>
      </c>
      <c r="F706">
        <v>280</v>
      </c>
      <c r="G706">
        <v>350</v>
      </c>
      <c r="H706">
        <v>1030</v>
      </c>
      <c r="I706">
        <v>2014</v>
      </c>
      <c r="J706" t="s">
        <v>29</v>
      </c>
      <c r="K706" t="s">
        <v>171</v>
      </c>
    </row>
    <row r="707" spans="1:11">
      <c r="A707" t="s">
        <v>161</v>
      </c>
      <c r="B707">
        <v>1988</v>
      </c>
      <c r="C707" t="s">
        <v>45</v>
      </c>
      <c r="D707">
        <v>104.54</v>
      </c>
      <c r="E707">
        <v>390</v>
      </c>
      <c r="F707">
        <v>290</v>
      </c>
      <c r="G707">
        <v>350</v>
      </c>
      <c r="H707">
        <v>1030</v>
      </c>
      <c r="I707">
        <v>2015</v>
      </c>
      <c r="J707" t="s">
        <v>29</v>
      </c>
      <c r="K707" t="s">
        <v>171</v>
      </c>
    </row>
    <row r="708" spans="1:11">
      <c r="A708" t="s">
        <v>401</v>
      </c>
      <c r="B708">
        <v>1974</v>
      </c>
      <c r="C708" t="s">
        <v>51</v>
      </c>
      <c r="D708">
        <v>119.96</v>
      </c>
      <c r="E708">
        <v>400</v>
      </c>
      <c r="F708">
        <v>277.5</v>
      </c>
      <c r="G708">
        <v>350</v>
      </c>
      <c r="H708">
        <v>1027.5</v>
      </c>
      <c r="I708">
        <v>2013</v>
      </c>
      <c r="J708" t="s">
        <v>29</v>
      </c>
      <c r="K708" t="s">
        <v>171</v>
      </c>
    </row>
    <row r="709" spans="1:11">
      <c r="A709" t="s">
        <v>835</v>
      </c>
      <c r="B709">
        <v>1979</v>
      </c>
      <c r="C709" t="s">
        <v>62</v>
      </c>
      <c r="D709">
        <v>118.54</v>
      </c>
      <c r="E709">
        <v>395</v>
      </c>
      <c r="F709">
        <v>265</v>
      </c>
      <c r="G709">
        <v>365</v>
      </c>
      <c r="H709">
        <v>1025</v>
      </c>
      <c r="I709">
        <v>2014</v>
      </c>
      <c r="J709" t="s">
        <v>29</v>
      </c>
      <c r="K709" t="s">
        <v>171</v>
      </c>
    </row>
    <row r="710" spans="1:11">
      <c r="A710" t="s">
        <v>389</v>
      </c>
      <c r="B710">
        <v>1978</v>
      </c>
      <c r="C710" t="s">
        <v>390</v>
      </c>
      <c r="D710">
        <v>119.05</v>
      </c>
      <c r="E710">
        <v>425</v>
      </c>
      <c r="F710">
        <v>300</v>
      </c>
      <c r="G710">
        <v>300</v>
      </c>
      <c r="H710">
        <v>1025</v>
      </c>
      <c r="I710">
        <v>2013</v>
      </c>
      <c r="J710" t="s">
        <v>29</v>
      </c>
      <c r="K710" t="s">
        <v>171</v>
      </c>
    </row>
    <row r="711" spans="1:11">
      <c r="A711" t="s">
        <v>392</v>
      </c>
      <c r="B711">
        <v>1990</v>
      </c>
      <c r="C711" t="s">
        <v>119</v>
      </c>
      <c r="D711">
        <v>92.15</v>
      </c>
      <c r="E711">
        <v>387.5</v>
      </c>
      <c r="F711">
        <v>285</v>
      </c>
      <c r="G711">
        <v>350</v>
      </c>
      <c r="H711">
        <v>1022.5</v>
      </c>
      <c r="I711">
        <v>2015</v>
      </c>
      <c r="J711" t="s">
        <v>29</v>
      </c>
      <c r="K711" t="s">
        <v>171</v>
      </c>
    </row>
    <row r="712" spans="1:11">
      <c r="A712" t="s">
        <v>686</v>
      </c>
      <c r="B712">
        <v>1977</v>
      </c>
      <c r="C712" t="s">
        <v>45</v>
      </c>
      <c r="D712">
        <v>117.89</v>
      </c>
      <c r="E712">
        <v>397.5</v>
      </c>
      <c r="F712">
        <v>295</v>
      </c>
      <c r="G712">
        <v>327.5</v>
      </c>
      <c r="H712">
        <v>1020</v>
      </c>
      <c r="I712">
        <v>2012</v>
      </c>
      <c r="J712" t="s">
        <v>29</v>
      </c>
      <c r="K712" t="s">
        <v>171</v>
      </c>
    </row>
    <row r="713" spans="1:11">
      <c r="A713" t="s">
        <v>540</v>
      </c>
      <c r="B713">
        <v>1987</v>
      </c>
      <c r="C713" t="s">
        <v>28</v>
      </c>
      <c r="D713">
        <v>92.06</v>
      </c>
      <c r="E713">
        <v>380</v>
      </c>
      <c r="F713">
        <v>287.5</v>
      </c>
      <c r="G713">
        <v>350</v>
      </c>
      <c r="H713">
        <v>1017.5</v>
      </c>
      <c r="I713">
        <v>2015</v>
      </c>
      <c r="J713" t="s">
        <v>29</v>
      </c>
      <c r="K713" t="s">
        <v>171</v>
      </c>
    </row>
    <row r="714" spans="1:11">
      <c r="A714" t="s">
        <v>777</v>
      </c>
      <c r="B714">
        <v>1972</v>
      </c>
      <c r="C714" t="s">
        <v>72</v>
      </c>
      <c r="D714">
        <v>166.25</v>
      </c>
      <c r="E714">
        <v>385</v>
      </c>
      <c r="F714">
        <v>345</v>
      </c>
      <c r="G714">
        <v>285</v>
      </c>
      <c r="H714">
        <v>1015</v>
      </c>
      <c r="I714">
        <v>2015</v>
      </c>
      <c r="J714" t="s">
        <v>29</v>
      </c>
      <c r="K714" t="s">
        <v>171</v>
      </c>
    </row>
    <row r="715" spans="1:11">
      <c r="A715" t="s">
        <v>516</v>
      </c>
      <c r="B715">
        <v>1986</v>
      </c>
      <c r="C715" t="s">
        <v>45</v>
      </c>
      <c r="D715">
        <v>119.52</v>
      </c>
      <c r="E715">
        <v>402.5</v>
      </c>
      <c r="F715">
        <v>267.5</v>
      </c>
      <c r="G715">
        <v>342.5</v>
      </c>
      <c r="H715">
        <v>1012.5</v>
      </c>
      <c r="I715">
        <v>2012</v>
      </c>
      <c r="J715" t="s">
        <v>29</v>
      </c>
      <c r="K715" t="s">
        <v>171</v>
      </c>
    </row>
    <row r="716" spans="1:11">
      <c r="A716" t="s">
        <v>384</v>
      </c>
      <c r="B716">
        <v>1984</v>
      </c>
      <c r="C716" t="s">
        <v>137</v>
      </c>
      <c r="D716">
        <v>104.7</v>
      </c>
      <c r="E716">
        <v>385</v>
      </c>
      <c r="F716">
        <v>267.5</v>
      </c>
      <c r="G716">
        <v>360</v>
      </c>
      <c r="H716">
        <v>1012.5</v>
      </c>
      <c r="I716">
        <v>2015</v>
      </c>
      <c r="J716" t="s">
        <v>29</v>
      </c>
      <c r="K716" t="s">
        <v>171</v>
      </c>
    </row>
    <row r="717" spans="1:11">
      <c r="A717" t="s">
        <v>581</v>
      </c>
      <c r="B717">
        <v>1979</v>
      </c>
      <c r="C717" t="s">
        <v>125</v>
      </c>
      <c r="D717">
        <v>160.80000000000001</v>
      </c>
      <c r="E717">
        <v>370</v>
      </c>
      <c r="F717">
        <v>352.5</v>
      </c>
      <c r="G717">
        <v>290</v>
      </c>
      <c r="H717">
        <v>1012.5</v>
      </c>
      <c r="I717">
        <v>2015</v>
      </c>
      <c r="J717" t="s">
        <v>29</v>
      </c>
      <c r="K717" t="s">
        <v>171</v>
      </c>
    </row>
    <row r="718" spans="1:11">
      <c r="A718" t="s">
        <v>519</v>
      </c>
      <c r="B718">
        <v>1985</v>
      </c>
      <c r="C718" t="s">
        <v>349</v>
      </c>
      <c r="D718">
        <v>179.9</v>
      </c>
      <c r="E718">
        <v>455</v>
      </c>
      <c r="F718">
        <v>250</v>
      </c>
      <c r="G718">
        <v>300</v>
      </c>
      <c r="H718">
        <v>1005</v>
      </c>
      <c r="I718">
        <v>2013</v>
      </c>
      <c r="J718" t="s">
        <v>29</v>
      </c>
      <c r="K718" t="s">
        <v>171</v>
      </c>
    </row>
    <row r="719" spans="1:11">
      <c r="A719" t="s">
        <v>69</v>
      </c>
      <c r="B719">
        <v>1983</v>
      </c>
      <c r="C719" t="s">
        <v>45</v>
      </c>
      <c r="D719">
        <v>110.95</v>
      </c>
      <c r="E719">
        <v>395</v>
      </c>
      <c r="F719">
        <v>235</v>
      </c>
      <c r="G719">
        <v>375</v>
      </c>
      <c r="H719">
        <v>1005</v>
      </c>
      <c r="I719">
        <v>2015</v>
      </c>
      <c r="J719" t="s">
        <v>29</v>
      </c>
      <c r="K719" t="s">
        <v>171</v>
      </c>
    </row>
    <row r="720" spans="1:11">
      <c r="A720" t="s">
        <v>540</v>
      </c>
      <c r="B720">
        <v>1987</v>
      </c>
      <c r="C720" t="s">
        <v>28</v>
      </c>
      <c r="D720">
        <v>91.7</v>
      </c>
      <c r="E720">
        <v>372.5</v>
      </c>
      <c r="F720">
        <v>287.5</v>
      </c>
      <c r="G720">
        <v>340</v>
      </c>
      <c r="H720">
        <v>1000</v>
      </c>
      <c r="I720">
        <v>2014</v>
      </c>
      <c r="J720" t="s">
        <v>29</v>
      </c>
      <c r="K720" t="s">
        <v>171</v>
      </c>
    </row>
    <row r="721" spans="1:11">
      <c r="A721" t="s">
        <v>475</v>
      </c>
      <c r="B721">
        <v>1983</v>
      </c>
      <c r="C721" t="s">
        <v>228</v>
      </c>
      <c r="D721">
        <v>169.7</v>
      </c>
      <c r="E721">
        <v>360</v>
      </c>
      <c r="F721">
        <v>330</v>
      </c>
      <c r="G721">
        <v>310</v>
      </c>
      <c r="H721">
        <v>1000</v>
      </c>
      <c r="I721">
        <v>2014</v>
      </c>
      <c r="J721" t="s">
        <v>29</v>
      </c>
      <c r="K721" t="s">
        <v>171</v>
      </c>
    </row>
    <row r="722" spans="1:11">
      <c r="A722" t="s">
        <v>161</v>
      </c>
      <c r="B722">
        <v>1988</v>
      </c>
      <c r="C722" t="s">
        <v>45</v>
      </c>
      <c r="D722">
        <v>104.38</v>
      </c>
      <c r="E722">
        <v>375</v>
      </c>
      <c r="F722">
        <v>272.5</v>
      </c>
      <c r="G722">
        <v>350</v>
      </c>
      <c r="H722">
        <v>997.5</v>
      </c>
      <c r="I722">
        <v>2014</v>
      </c>
      <c r="J722" t="s">
        <v>29</v>
      </c>
      <c r="K722" t="s">
        <v>171</v>
      </c>
    </row>
    <row r="723" spans="1:11">
      <c r="A723" t="s">
        <v>408</v>
      </c>
      <c r="B723">
        <v>1975</v>
      </c>
      <c r="C723" t="s">
        <v>119</v>
      </c>
      <c r="D723">
        <v>92.42</v>
      </c>
      <c r="E723">
        <v>380</v>
      </c>
      <c r="F723">
        <v>257.5</v>
      </c>
      <c r="G723">
        <v>355</v>
      </c>
      <c r="H723">
        <v>992.5</v>
      </c>
      <c r="I723">
        <v>2014</v>
      </c>
      <c r="J723" t="s">
        <v>29</v>
      </c>
      <c r="K723" t="s">
        <v>171</v>
      </c>
    </row>
    <row r="724" spans="1:11">
      <c r="A724" t="s">
        <v>392</v>
      </c>
      <c r="B724">
        <v>1990</v>
      </c>
      <c r="C724" t="s">
        <v>119</v>
      </c>
      <c r="D724">
        <v>92.6</v>
      </c>
      <c r="E724">
        <v>377.5</v>
      </c>
      <c r="F724">
        <v>275</v>
      </c>
      <c r="G724">
        <v>337.5</v>
      </c>
      <c r="H724">
        <v>990</v>
      </c>
      <c r="I724">
        <v>2014</v>
      </c>
      <c r="J724" t="s">
        <v>29</v>
      </c>
      <c r="K724" t="s">
        <v>171</v>
      </c>
    </row>
    <row r="725" spans="1:11">
      <c r="A725" t="s">
        <v>516</v>
      </c>
      <c r="B725">
        <v>1986</v>
      </c>
      <c r="C725" t="s">
        <v>45</v>
      </c>
      <c r="D725">
        <v>118.82</v>
      </c>
      <c r="E725">
        <v>395</v>
      </c>
      <c r="F725">
        <v>265</v>
      </c>
      <c r="G725">
        <v>327.5</v>
      </c>
      <c r="H725">
        <v>987.5</v>
      </c>
      <c r="I725">
        <v>2014</v>
      </c>
      <c r="J725" t="s">
        <v>29</v>
      </c>
      <c r="K725" t="s">
        <v>171</v>
      </c>
    </row>
    <row r="726" spans="1:11">
      <c r="A726" t="s">
        <v>384</v>
      </c>
      <c r="B726">
        <v>1984</v>
      </c>
      <c r="C726" t="s">
        <v>137</v>
      </c>
      <c r="D726">
        <v>104.48</v>
      </c>
      <c r="E726">
        <v>365</v>
      </c>
      <c r="F726">
        <v>262.5</v>
      </c>
      <c r="G726">
        <v>360</v>
      </c>
      <c r="H726">
        <v>987.5</v>
      </c>
      <c r="I726">
        <v>2014</v>
      </c>
      <c r="J726" t="s">
        <v>29</v>
      </c>
      <c r="K726" t="s">
        <v>171</v>
      </c>
    </row>
    <row r="727" spans="1:11">
      <c r="A727" t="s">
        <v>584</v>
      </c>
      <c r="B727">
        <v>1983</v>
      </c>
      <c r="C727" t="s">
        <v>125</v>
      </c>
      <c r="D727">
        <v>144.65</v>
      </c>
      <c r="E727">
        <v>375</v>
      </c>
      <c r="F727">
        <v>265</v>
      </c>
      <c r="G727">
        <v>345</v>
      </c>
      <c r="H727">
        <v>985</v>
      </c>
      <c r="I727">
        <v>2012</v>
      </c>
      <c r="J727" t="s">
        <v>29</v>
      </c>
      <c r="K727" t="s">
        <v>171</v>
      </c>
    </row>
    <row r="728" spans="1:11">
      <c r="A728" t="s">
        <v>627</v>
      </c>
      <c r="B728">
        <v>1975</v>
      </c>
      <c r="C728" t="s">
        <v>62</v>
      </c>
      <c r="D728">
        <v>119.74</v>
      </c>
      <c r="E728">
        <v>392.5</v>
      </c>
      <c r="F728">
        <v>287.5</v>
      </c>
      <c r="G728">
        <v>305</v>
      </c>
      <c r="H728">
        <v>985</v>
      </c>
      <c r="I728">
        <v>2012</v>
      </c>
      <c r="J728" t="s">
        <v>29</v>
      </c>
      <c r="K728" t="s">
        <v>171</v>
      </c>
    </row>
    <row r="729" spans="1:11">
      <c r="A729" t="s">
        <v>782</v>
      </c>
      <c r="B729">
        <v>1981</v>
      </c>
      <c r="C729" t="s">
        <v>113</v>
      </c>
      <c r="D729">
        <v>134.19999999999999</v>
      </c>
      <c r="E729">
        <v>372.5</v>
      </c>
      <c r="F729">
        <v>275</v>
      </c>
      <c r="G729">
        <v>337.5</v>
      </c>
      <c r="H729">
        <v>985</v>
      </c>
      <c r="I729">
        <v>2014</v>
      </c>
      <c r="J729" t="s">
        <v>29</v>
      </c>
      <c r="K729" t="s">
        <v>171</v>
      </c>
    </row>
    <row r="730" spans="1:11">
      <c r="A730" t="s">
        <v>627</v>
      </c>
      <c r="B730">
        <v>1975</v>
      </c>
      <c r="C730" t="s">
        <v>62</v>
      </c>
      <c r="D730">
        <v>119.55</v>
      </c>
      <c r="E730">
        <v>390</v>
      </c>
      <c r="F730">
        <v>295</v>
      </c>
      <c r="G730">
        <v>300</v>
      </c>
      <c r="H730">
        <v>985</v>
      </c>
      <c r="I730">
        <v>2013</v>
      </c>
      <c r="J730" t="s">
        <v>29</v>
      </c>
      <c r="K730" t="s">
        <v>171</v>
      </c>
    </row>
    <row r="731" spans="1:11">
      <c r="A731" t="s">
        <v>752</v>
      </c>
      <c r="B731">
        <v>1975</v>
      </c>
      <c r="C731" t="s">
        <v>753</v>
      </c>
      <c r="D731">
        <v>137.06</v>
      </c>
      <c r="E731">
        <v>422.5</v>
      </c>
      <c r="F731">
        <v>240</v>
      </c>
      <c r="G731">
        <v>320</v>
      </c>
      <c r="H731">
        <v>982.5</v>
      </c>
      <c r="I731">
        <v>2012</v>
      </c>
      <c r="J731" t="s">
        <v>29</v>
      </c>
      <c r="K731" t="s">
        <v>171</v>
      </c>
    </row>
    <row r="732" spans="1:11">
      <c r="A732" t="s">
        <v>516</v>
      </c>
      <c r="B732">
        <v>1986</v>
      </c>
      <c r="C732" t="s">
        <v>45</v>
      </c>
      <c r="D732">
        <v>114.26</v>
      </c>
      <c r="E732">
        <v>390</v>
      </c>
      <c r="F732">
        <v>255</v>
      </c>
      <c r="G732">
        <v>337.5</v>
      </c>
      <c r="H732">
        <v>982.5</v>
      </c>
      <c r="I732">
        <v>2013</v>
      </c>
      <c r="J732" t="s">
        <v>29</v>
      </c>
      <c r="K732" t="s">
        <v>171</v>
      </c>
    </row>
    <row r="733" spans="1:11">
      <c r="A733" t="s">
        <v>408</v>
      </c>
      <c r="B733">
        <v>1975</v>
      </c>
      <c r="C733" t="s">
        <v>119</v>
      </c>
      <c r="D733">
        <v>92.65</v>
      </c>
      <c r="E733">
        <v>372.5</v>
      </c>
      <c r="F733">
        <v>260</v>
      </c>
      <c r="G733">
        <v>350</v>
      </c>
      <c r="H733">
        <v>982.5</v>
      </c>
      <c r="I733">
        <v>2013</v>
      </c>
      <c r="J733" t="s">
        <v>29</v>
      </c>
      <c r="K733" t="s">
        <v>171</v>
      </c>
    </row>
    <row r="734" spans="1:11">
      <c r="A734" t="s">
        <v>104</v>
      </c>
      <c r="B734">
        <v>1986</v>
      </c>
      <c r="C734" t="s">
        <v>39</v>
      </c>
      <c r="D734">
        <v>103.65</v>
      </c>
      <c r="E734">
        <v>380</v>
      </c>
      <c r="F734">
        <v>277.5</v>
      </c>
      <c r="G734">
        <v>325</v>
      </c>
      <c r="H734">
        <v>982.5</v>
      </c>
      <c r="I734">
        <v>2015</v>
      </c>
      <c r="J734" t="s">
        <v>29</v>
      </c>
      <c r="K734" t="s">
        <v>171</v>
      </c>
    </row>
    <row r="735" spans="1:11">
      <c r="A735" t="s">
        <v>630</v>
      </c>
      <c r="B735">
        <v>1975</v>
      </c>
      <c r="C735" t="s">
        <v>80</v>
      </c>
      <c r="D735">
        <v>144.65</v>
      </c>
      <c r="E735">
        <v>375</v>
      </c>
      <c r="F735">
        <v>250</v>
      </c>
      <c r="G735">
        <v>355</v>
      </c>
      <c r="H735">
        <v>980</v>
      </c>
      <c r="I735">
        <v>2015</v>
      </c>
      <c r="J735" t="s">
        <v>29</v>
      </c>
      <c r="K735" t="s">
        <v>171</v>
      </c>
    </row>
    <row r="736" spans="1:11">
      <c r="A736" t="s">
        <v>392</v>
      </c>
      <c r="B736">
        <v>1990</v>
      </c>
      <c r="C736" t="s">
        <v>119</v>
      </c>
      <c r="D736">
        <v>92.4</v>
      </c>
      <c r="E736">
        <v>365</v>
      </c>
      <c r="F736">
        <v>277.5</v>
      </c>
      <c r="G736">
        <v>337.5</v>
      </c>
      <c r="H736">
        <v>980</v>
      </c>
      <c r="I736">
        <v>2013</v>
      </c>
      <c r="J736" t="s">
        <v>29</v>
      </c>
      <c r="K736" t="s">
        <v>171</v>
      </c>
    </row>
    <row r="737" spans="1:11">
      <c r="A737" t="s">
        <v>584</v>
      </c>
      <c r="B737">
        <v>1983</v>
      </c>
      <c r="C737" t="s">
        <v>125</v>
      </c>
      <c r="D737">
        <v>143.30000000000001</v>
      </c>
      <c r="E737">
        <v>362.5</v>
      </c>
      <c r="F737">
        <v>277.5</v>
      </c>
      <c r="G737">
        <v>340</v>
      </c>
      <c r="H737">
        <v>980</v>
      </c>
      <c r="I737">
        <v>2015</v>
      </c>
      <c r="J737" t="s">
        <v>29</v>
      </c>
      <c r="K737" t="s">
        <v>171</v>
      </c>
    </row>
    <row r="738" spans="1:11">
      <c r="A738" t="s">
        <v>775</v>
      </c>
      <c r="B738">
        <v>1986</v>
      </c>
      <c r="C738" t="s">
        <v>318</v>
      </c>
      <c r="D738">
        <v>119.1</v>
      </c>
      <c r="E738">
        <v>355</v>
      </c>
      <c r="F738">
        <v>310</v>
      </c>
      <c r="G738">
        <v>310</v>
      </c>
      <c r="H738">
        <v>975</v>
      </c>
      <c r="I738">
        <v>2015</v>
      </c>
      <c r="J738" t="s">
        <v>29</v>
      </c>
      <c r="K738" t="s">
        <v>171</v>
      </c>
    </row>
    <row r="739" spans="1:11">
      <c r="A739" t="s">
        <v>408</v>
      </c>
      <c r="B739">
        <v>1975</v>
      </c>
      <c r="C739" t="s">
        <v>119</v>
      </c>
      <c r="D739">
        <v>92.59</v>
      </c>
      <c r="E739">
        <v>370</v>
      </c>
      <c r="F739">
        <v>260</v>
      </c>
      <c r="G739">
        <v>342.5</v>
      </c>
      <c r="H739">
        <v>972.5</v>
      </c>
      <c r="I739">
        <v>2015</v>
      </c>
      <c r="J739" t="s">
        <v>29</v>
      </c>
      <c r="K739" t="s">
        <v>171</v>
      </c>
    </row>
    <row r="740" spans="1:11">
      <c r="A740" t="s">
        <v>673</v>
      </c>
      <c r="B740">
        <v>1977</v>
      </c>
      <c r="C740" t="s">
        <v>336</v>
      </c>
      <c r="D740">
        <v>130.4</v>
      </c>
      <c r="E740">
        <v>357.5</v>
      </c>
      <c r="F740">
        <v>277.5</v>
      </c>
      <c r="G740">
        <v>335</v>
      </c>
      <c r="H740">
        <v>970</v>
      </c>
      <c r="I740">
        <v>2014</v>
      </c>
      <c r="J740" t="s">
        <v>29</v>
      </c>
      <c r="K740" t="s">
        <v>171</v>
      </c>
    </row>
    <row r="741" spans="1:11">
      <c r="A741" t="s">
        <v>459</v>
      </c>
      <c r="B741">
        <v>1989</v>
      </c>
      <c r="C741" t="s">
        <v>45</v>
      </c>
      <c r="D741">
        <v>104.02</v>
      </c>
      <c r="E741">
        <v>350</v>
      </c>
      <c r="F741">
        <v>282.5</v>
      </c>
      <c r="G741">
        <v>337.5</v>
      </c>
      <c r="H741">
        <v>970</v>
      </c>
      <c r="I741">
        <v>2014</v>
      </c>
      <c r="J741" t="s">
        <v>29</v>
      </c>
      <c r="K741" t="s">
        <v>171</v>
      </c>
    </row>
    <row r="742" spans="1:11">
      <c r="A742" t="s">
        <v>622</v>
      </c>
      <c r="B742">
        <v>1983</v>
      </c>
      <c r="C742" t="s">
        <v>113</v>
      </c>
      <c r="D742">
        <v>118.68</v>
      </c>
      <c r="E742">
        <v>370</v>
      </c>
      <c r="F742">
        <v>280</v>
      </c>
      <c r="G742">
        <v>315</v>
      </c>
      <c r="H742">
        <v>965</v>
      </c>
      <c r="I742">
        <v>2014</v>
      </c>
      <c r="J742" t="s">
        <v>29</v>
      </c>
      <c r="K742" t="s">
        <v>171</v>
      </c>
    </row>
    <row r="743" spans="1:11">
      <c r="A743" t="s">
        <v>691</v>
      </c>
      <c r="B743">
        <v>1982</v>
      </c>
      <c r="C743" t="s">
        <v>239</v>
      </c>
      <c r="D743">
        <v>118.84</v>
      </c>
      <c r="E743">
        <v>390</v>
      </c>
      <c r="F743">
        <v>247.5</v>
      </c>
      <c r="G743">
        <v>325</v>
      </c>
      <c r="H743">
        <v>962.5</v>
      </c>
      <c r="I743">
        <v>2014</v>
      </c>
      <c r="J743" t="s">
        <v>29</v>
      </c>
      <c r="K743" t="s">
        <v>171</v>
      </c>
    </row>
    <row r="744" spans="1:11">
      <c r="A744" t="s">
        <v>161</v>
      </c>
      <c r="B744">
        <v>1988</v>
      </c>
      <c r="C744" t="s">
        <v>45</v>
      </c>
      <c r="D744">
        <v>104.38</v>
      </c>
      <c r="E744">
        <v>375</v>
      </c>
      <c r="F744">
        <v>262.5</v>
      </c>
      <c r="G744">
        <v>325</v>
      </c>
      <c r="H744">
        <v>962.5</v>
      </c>
      <c r="I744">
        <v>2013</v>
      </c>
      <c r="J744" t="s">
        <v>29</v>
      </c>
      <c r="K744" t="s">
        <v>171</v>
      </c>
    </row>
    <row r="745" spans="1:11">
      <c r="A745" t="s">
        <v>557</v>
      </c>
      <c r="B745">
        <v>1972</v>
      </c>
      <c r="C745" t="s">
        <v>228</v>
      </c>
      <c r="D745">
        <v>119.82</v>
      </c>
      <c r="E745">
        <v>365</v>
      </c>
      <c r="F745">
        <v>260</v>
      </c>
      <c r="G745">
        <v>337.5</v>
      </c>
      <c r="H745">
        <v>962.5</v>
      </c>
      <c r="I745">
        <v>2014</v>
      </c>
      <c r="J745" t="s">
        <v>29</v>
      </c>
      <c r="K745" t="s">
        <v>171</v>
      </c>
    </row>
    <row r="746" spans="1:11">
      <c r="A746" t="s">
        <v>408</v>
      </c>
      <c r="B746">
        <v>1975</v>
      </c>
      <c r="C746" t="s">
        <v>119</v>
      </c>
      <c r="D746">
        <v>92.92</v>
      </c>
      <c r="E746">
        <v>377.5</v>
      </c>
      <c r="F746">
        <v>245</v>
      </c>
      <c r="G746">
        <v>337.5</v>
      </c>
      <c r="H746">
        <v>960</v>
      </c>
      <c r="I746">
        <v>2012</v>
      </c>
      <c r="J746" t="s">
        <v>29</v>
      </c>
      <c r="K746" t="s">
        <v>171</v>
      </c>
    </row>
    <row r="747" spans="1:11">
      <c r="A747" t="s">
        <v>459</v>
      </c>
      <c r="B747">
        <v>1989</v>
      </c>
      <c r="C747" t="s">
        <v>45</v>
      </c>
      <c r="D747">
        <v>104.49</v>
      </c>
      <c r="E747">
        <v>352.5</v>
      </c>
      <c r="F747">
        <v>285</v>
      </c>
      <c r="G747">
        <v>322.5</v>
      </c>
      <c r="H747">
        <v>960</v>
      </c>
      <c r="I747">
        <v>2015</v>
      </c>
      <c r="J747" t="s">
        <v>29</v>
      </c>
      <c r="K747" t="s">
        <v>171</v>
      </c>
    </row>
    <row r="748" spans="1:11">
      <c r="A748" t="s">
        <v>434</v>
      </c>
      <c r="B748">
        <v>1989</v>
      </c>
      <c r="C748" t="s">
        <v>62</v>
      </c>
      <c r="D748">
        <v>102.45</v>
      </c>
      <c r="E748">
        <v>372.5</v>
      </c>
      <c r="F748">
        <v>305</v>
      </c>
      <c r="G748">
        <v>282.5</v>
      </c>
      <c r="H748">
        <v>960</v>
      </c>
      <c r="I748">
        <v>2015</v>
      </c>
      <c r="J748" t="s">
        <v>29</v>
      </c>
      <c r="K748" t="s">
        <v>171</v>
      </c>
    </row>
    <row r="749" spans="1:11">
      <c r="A749" t="s">
        <v>649</v>
      </c>
      <c r="B749">
        <v>1991</v>
      </c>
      <c r="C749" t="s">
        <v>62</v>
      </c>
      <c r="D749">
        <v>118.26</v>
      </c>
      <c r="E749">
        <v>370</v>
      </c>
      <c r="F749">
        <v>272.5</v>
      </c>
      <c r="G749">
        <v>315</v>
      </c>
      <c r="H749">
        <v>957.5</v>
      </c>
      <c r="I749">
        <v>2015</v>
      </c>
      <c r="J749" t="s">
        <v>29</v>
      </c>
      <c r="K749" t="s">
        <v>171</v>
      </c>
    </row>
    <row r="750" spans="1:11">
      <c r="A750" t="s">
        <v>422</v>
      </c>
      <c r="B750">
        <v>1986</v>
      </c>
      <c r="C750" t="s">
        <v>282</v>
      </c>
      <c r="D750">
        <v>82.54</v>
      </c>
      <c r="E750">
        <v>377.5</v>
      </c>
      <c r="F750">
        <v>247.5</v>
      </c>
      <c r="G750">
        <v>330</v>
      </c>
      <c r="H750">
        <v>955</v>
      </c>
      <c r="I750">
        <v>2014</v>
      </c>
      <c r="J750" t="s">
        <v>29</v>
      </c>
      <c r="K750" t="s">
        <v>171</v>
      </c>
    </row>
    <row r="751" spans="1:11">
      <c r="A751" t="s">
        <v>635</v>
      </c>
      <c r="B751">
        <v>1987</v>
      </c>
      <c r="C751" t="s">
        <v>28</v>
      </c>
      <c r="D751">
        <v>92.82</v>
      </c>
      <c r="E751">
        <v>372.5</v>
      </c>
      <c r="F751">
        <v>247.5</v>
      </c>
      <c r="G751">
        <v>335</v>
      </c>
      <c r="H751">
        <v>955</v>
      </c>
      <c r="I751">
        <v>2013</v>
      </c>
      <c r="J751" t="s">
        <v>29</v>
      </c>
      <c r="K751" t="s">
        <v>171</v>
      </c>
    </row>
    <row r="752" spans="1:11">
      <c r="A752" t="s">
        <v>723</v>
      </c>
      <c r="B752">
        <v>1982</v>
      </c>
      <c r="C752" t="s">
        <v>336</v>
      </c>
      <c r="D752">
        <v>118.62</v>
      </c>
      <c r="E752">
        <v>375</v>
      </c>
      <c r="F752">
        <v>272.5</v>
      </c>
      <c r="G752">
        <v>307.5</v>
      </c>
      <c r="H752">
        <v>955</v>
      </c>
      <c r="I752">
        <v>2014</v>
      </c>
      <c r="J752" t="s">
        <v>29</v>
      </c>
      <c r="K752" t="s">
        <v>171</v>
      </c>
    </row>
    <row r="753" spans="1:11">
      <c r="A753" t="s">
        <v>387</v>
      </c>
      <c r="B753">
        <v>1992</v>
      </c>
      <c r="C753" t="s">
        <v>62</v>
      </c>
      <c r="D753">
        <v>91.88</v>
      </c>
      <c r="E753">
        <v>372.5</v>
      </c>
      <c r="F753">
        <v>210</v>
      </c>
      <c r="G753">
        <v>370</v>
      </c>
      <c r="H753">
        <v>952.5</v>
      </c>
      <c r="I753">
        <v>2014</v>
      </c>
      <c r="J753" t="s">
        <v>29</v>
      </c>
      <c r="K753" t="s">
        <v>171</v>
      </c>
    </row>
    <row r="754" spans="1:11">
      <c r="A754" t="s">
        <v>48</v>
      </c>
      <c r="B754">
        <v>1983</v>
      </c>
      <c r="C754" t="s">
        <v>49</v>
      </c>
      <c r="D754">
        <v>91.94</v>
      </c>
      <c r="E754">
        <v>360</v>
      </c>
      <c r="F754">
        <v>242.5</v>
      </c>
      <c r="G754">
        <v>350</v>
      </c>
      <c r="H754">
        <v>952.5</v>
      </c>
      <c r="I754">
        <v>2014</v>
      </c>
      <c r="J754" t="s">
        <v>29</v>
      </c>
      <c r="K754" t="s">
        <v>171</v>
      </c>
    </row>
    <row r="755" spans="1:11">
      <c r="A755" t="s">
        <v>722</v>
      </c>
      <c r="B755">
        <v>1989</v>
      </c>
      <c r="C755" t="s">
        <v>390</v>
      </c>
      <c r="D755">
        <v>133.69999999999999</v>
      </c>
      <c r="E755">
        <v>370</v>
      </c>
      <c r="F755">
        <v>260</v>
      </c>
      <c r="G755">
        <v>320</v>
      </c>
      <c r="H755">
        <v>950</v>
      </c>
      <c r="I755">
        <v>2015</v>
      </c>
      <c r="J755" t="s">
        <v>29</v>
      </c>
      <c r="K755" t="s">
        <v>171</v>
      </c>
    </row>
    <row r="756" spans="1:11">
      <c r="A756" t="s">
        <v>635</v>
      </c>
      <c r="B756">
        <v>1987</v>
      </c>
      <c r="C756" t="s">
        <v>28</v>
      </c>
      <c r="D756">
        <v>92.72</v>
      </c>
      <c r="E756">
        <v>365</v>
      </c>
      <c r="F756">
        <v>260</v>
      </c>
      <c r="G756">
        <v>325</v>
      </c>
      <c r="H756">
        <v>950</v>
      </c>
      <c r="I756">
        <v>2014</v>
      </c>
      <c r="J756" t="s">
        <v>29</v>
      </c>
      <c r="K756" t="s">
        <v>171</v>
      </c>
    </row>
    <row r="757" spans="1:11">
      <c r="A757" t="s">
        <v>584</v>
      </c>
      <c r="B757">
        <v>1983</v>
      </c>
      <c r="C757" t="s">
        <v>125</v>
      </c>
      <c r="D757">
        <v>140.26</v>
      </c>
      <c r="E757">
        <v>350</v>
      </c>
      <c r="F757">
        <v>267.5</v>
      </c>
      <c r="G757">
        <v>332.5</v>
      </c>
      <c r="H757">
        <v>950</v>
      </c>
      <c r="I757">
        <v>2014</v>
      </c>
      <c r="J757" t="s">
        <v>29</v>
      </c>
      <c r="K757" t="s">
        <v>171</v>
      </c>
    </row>
    <row r="758" spans="1:11">
      <c r="A758" t="s">
        <v>808</v>
      </c>
      <c r="B758">
        <v>1972</v>
      </c>
      <c r="C758" t="s">
        <v>318</v>
      </c>
      <c r="D758">
        <v>103.38</v>
      </c>
      <c r="E758">
        <v>355</v>
      </c>
      <c r="F758">
        <v>287.5</v>
      </c>
      <c r="G758">
        <v>307.5</v>
      </c>
      <c r="H758">
        <v>950</v>
      </c>
      <c r="I758">
        <v>2015</v>
      </c>
      <c r="J758" t="s">
        <v>29</v>
      </c>
      <c r="K758" t="s">
        <v>171</v>
      </c>
    </row>
    <row r="759" spans="1:11">
      <c r="A759" t="s">
        <v>392</v>
      </c>
      <c r="B759">
        <v>1990</v>
      </c>
      <c r="C759" t="s">
        <v>119</v>
      </c>
      <c r="D759">
        <v>92.52</v>
      </c>
      <c r="E759">
        <v>362.5</v>
      </c>
      <c r="F759">
        <v>260</v>
      </c>
      <c r="G759">
        <v>322.5</v>
      </c>
      <c r="H759">
        <v>945</v>
      </c>
      <c r="I759">
        <v>2012</v>
      </c>
      <c r="J759" t="s">
        <v>29</v>
      </c>
      <c r="K759" t="s">
        <v>171</v>
      </c>
    </row>
    <row r="760" spans="1:11">
      <c r="A760" t="s">
        <v>744</v>
      </c>
      <c r="B760">
        <v>1984</v>
      </c>
      <c r="C760" t="s">
        <v>352</v>
      </c>
      <c r="D760">
        <v>92.66</v>
      </c>
      <c r="E760">
        <v>352.5</v>
      </c>
      <c r="F760">
        <v>255</v>
      </c>
      <c r="G760">
        <v>337.5</v>
      </c>
      <c r="H760">
        <v>945</v>
      </c>
      <c r="I760">
        <v>2012</v>
      </c>
      <c r="J760" t="s">
        <v>29</v>
      </c>
      <c r="K760" t="s">
        <v>171</v>
      </c>
    </row>
    <row r="761" spans="1:11">
      <c r="A761" t="s">
        <v>371</v>
      </c>
      <c r="B761">
        <v>1988</v>
      </c>
      <c r="C761" t="s">
        <v>45</v>
      </c>
      <c r="D761">
        <v>82.58</v>
      </c>
      <c r="E761">
        <v>352.5</v>
      </c>
      <c r="F761">
        <v>252.5</v>
      </c>
      <c r="G761">
        <v>337.5</v>
      </c>
      <c r="H761">
        <v>942.5</v>
      </c>
      <c r="I761">
        <v>2013</v>
      </c>
      <c r="J761" t="s">
        <v>29</v>
      </c>
      <c r="K761" t="s">
        <v>171</v>
      </c>
    </row>
    <row r="762" spans="1:11">
      <c r="A762" t="s">
        <v>830</v>
      </c>
      <c r="B762">
        <v>1965</v>
      </c>
      <c r="C762" t="s">
        <v>85</v>
      </c>
      <c r="D762">
        <v>91.48</v>
      </c>
      <c r="E762">
        <v>360</v>
      </c>
      <c r="F762">
        <v>290</v>
      </c>
      <c r="G762">
        <v>292.5</v>
      </c>
      <c r="H762">
        <v>942.5</v>
      </c>
      <c r="I762">
        <v>2014</v>
      </c>
      <c r="J762" t="s">
        <v>29</v>
      </c>
      <c r="K762" t="s">
        <v>171</v>
      </c>
    </row>
    <row r="763" spans="1:11">
      <c r="A763" t="s">
        <v>805</v>
      </c>
      <c r="B763">
        <v>1982</v>
      </c>
      <c r="C763" t="s">
        <v>282</v>
      </c>
      <c r="D763">
        <v>141</v>
      </c>
      <c r="E763">
        <v>405</v>
      </c>
      <c r="F763">
        <v>260</v>
      </c>
      <c r="G763">
        <v>275</v>
      </c>
      <c r="H763">
        <v>940</v>
      </c>
      <c r="I763">
        <v>2013</v>
      </c>
      <c r="J763" t="s">
        <v>29</v>
      </c>
      <c r="K763" t="s">
        <v>171</v>
      </c>
    </row>
    <row r="764" spans="1:11">
      <c r="A764" t="s">
        <v>778</v>
      </c>
      <c r="B764">
        <v>1972</v>
      </c>
      <c r="C764" t="s">
        <v>49</v>
      </c>
      <c r="D764">
        <v>151.52000000000001</v>
      </c>
      <c r="E764">
        <v>385</v>
      </c>
      <c r="F764">
        <v>260</v>
      </c>
      <c r="G764">
        <v>295</v>
      </c>
      <c r="H764">
        <v>940</v>
      </c>
      <c r="I764">
        <v>2014</v>
      </c>
      <c r="J764" t="s">
        <v>29</v>
      </c>
      <c r="K764" t="s">
        <v>171</v>
      </c>
    </row>
    <row r="765" spans="1:11">
      <c r="A765" t="s">
        <v>648</v>
      </c>
      <c r="B765">
        <v>1987</v>
      </c>
      <c r="C765" t="s">
        <v>464</v>
      </c>
      <c r="D765">
        <v>103.93</v>
      </c>
      <c r="E765">
        <v>355</v>
      </c>
      <c r="F765">
        <v>252.5</v>
      </c>
      <c r="G765">
        <v>332.5</v>
      </c>
      <c r="H765">
        <v>940</v>
      </c>
      <c r="I765">
        <v>2012</v>
      </c>
      <c r="J765" t="s">
        <v>29</v>
      </c>
      <c r="K765" t="s">
        <v>171</v>
      </c>
    </row>
    <row r="766" spans="1:11">
      <c r="A766" t="s">
        <v>48</v>
      </c>
      <c r="B766">
        <v>1983</v>
      </c>
      <c r="C766" t="s">
        <v>49</v>
      </c>
      <c r="D766">
        <v>92.15</v>
      </c>
      <c r="E766">
        <v>337.5</v>
      </c>
      <c r="F766">
        <v>250</v>
      </c>
      <c r="G766">
        <v>352.5</v>
      </c>
      <c r="H766">
        <v>940</v>
      </c>
      <c r="I766">
        <v>2015</v>
      </c>
      <c r="J766" t="s">
        <v>29</v>
      </c>
      <c r="K766" t="s">
        <v>171</v>
      </c>
    </row>
    <row r="767" spans="1:11">
      <c r="A767" t="s">
        <v>664</v>
      </c>
      <c r="B767">
        <v>1984</v>
      </c>
      <c r="C767" t="s">
        <v>119</v>
      </c>
      <c r="D767">
        <v>82.58</v>
      </c>
      <c r="E767">
        <v>357.5</v>
      </c>
      <c r="F767">
        <v>265</v>
      </c>
      <c r="G767">
        <v>317.5</v>
      </c>
      <c r="H767">
        <v>940</v>
      </c>
      <c r="I767">
        <v>2015</v>
      </c>
      <c r="J767" t="s">
        <v>29</v>
      </c>
      <c r="K767" t="s">
        <v>171</v>
      </c>
    </row>
    <row r="768" spans="1:11">
      <c r="A768" t="s">
        <v>69</v>
      </c>
      <c r="B768">
        <v>1983</v>
      </c>
      <c r="C768" t="s">
        <v>45</v>
      </c>
      <c r="D768">
        <v>107.42</v>
      </c>
      <c r="E768">
        <v>360</v>
      </c>
      <c r="F768">
        <v>217.5</v>
      </c>
      <c r="G768">
        <v>360</v>
      </c>
      <c r="H768">
        <v>937.5</v>
      </c>
      <c r="I768">
        <v>2014</v>
      </c>
      <c r="J768" t="s">
        <v>29</v>
      </c>
      <c r="K768" t="s">
        <v>171</v>
      </c>
    </row>
    <row r="769" spans="1:11">
      <c r="A769" t="s">
        <v>733</v>
      </c>
      <c r="B769">
        <v>1982</v>
      </c>
      <c r="C769" t="s">
        <v>119</v>
      </c>
      <c r="D769">
        <v>82.66</v>
      </c>
      <c r="E769">
        <v>347.5</v>
      </c>
      <c r="F769">
        <v>257.5</v>
      </c>
      <c r="G769">
        <v>332.5</v>
      </c>
      <c r="H769">
        <v>937.5</v>
      </c>
      <c r="I769">
        <v>2015</v>
      </c>
      <c r="J769" t="s">
        <v>29</v>
      </c>
      <c r="K769" t="s">
        <v>171</v>
      </c>
    </row>
    <row r="770" spans="1:11">
      <c r="A770" t="s">
        <v>459</v>
      </c>
      <c r="B770">
        <v>1989</v>
      </c>
      <c r="C770" t="s">
        <v>45</v>
      </c>
      <c r="D770">
        <v>103.69</v>
      </c>
      <c r="E770">
        <v>332.5</v>
      </c>
      <c r="F770">
        <v>275</v>
      </c>
      <c r="G770">
        <v>330</v>
      </c>
      <c r="H770">
        <v>937.5</v>
      </c>
      <c r="I770">
        <v>2013</v>
      </c>
      <c r="J770" t="s">
        <v>29</v>
      </c>
      <c r="K770" t="s">
        <v>171</v>
      </c>
    </row>
    <row r="771" spans="1:11">
      <c r="A771" t="s">
        <v>768</v>
      </c>
      <c r="B771">
        <v>1976</v>
      </c>
      <c r="C771" t="s">
        <v>142</v>
      </c>
      <c r="D771">
        <v>93</v>
      </c>
      <c r="E771">
        <v>350</v>
      </c>
      <c r="F771">
        <v>235</v>
      </c>
      <c r="G771">
        <v>350</v>
      </c>
      <c r="H771">
        <v>935</v>
      </c>
      <c r="I771">
        <v>2015</v>
      </c>
      <c r="J771" t="s">
        <v>29</v>
      </c>
      <c r="K771" t="s">
        <v>171</v>
      </c>
    </row>
    <row r="772" spans="1:11">
      <c r="A772" t="s">
        <v>518</v>
      </c>
      <c r="B772">
        <v>1982</v>
      </c>
      <c r="C772" t="s">
        <v>239</v>
      </c>
      <c r="D772">
        <v>104.03</v>
      </c>
      <c r="E772">
        <v>350</v>
      </c>
      <c r="F772">
        <v>240</v>
      </c>
      <c r="G772">
        <v>345</v>
      </c>
      <c r="H772">
        <v>935</v>
      </c>
      <c r="I772">
        <v>2015</v>
      </c>
      <c r="J772" t="s">
        <v>29</v>
      </c>
      <c r="K772" t="s">
        <v>171</v>
      </c>
    </row>
    <row r="773" spans="1:11">
      <c r="A773" t="s">
        <v>736</v>
      </c>
      <c r="B773">
        <v>1983</v>
      </c>
      <c r="C773" t="s">
        <v>51</v>
      </c>
      <c r="D773">
        <v>125.08</v>
      </c>
      <c r="E773">
        <v>380</v>
      </c>
      <c r="F773">
        <v>222.5</v>
      </c>
      <c r="G773">
        <v>327.5</v>
      </c>
      <c r="H773">
        <v>930</v>
      </c>
      <c r="I773">
        <v>2015</v>
      </c>
      <c r="J773" t="s">
        <v>29</v>
      </c>
      <c r="K773" t="s">
        <v>171</v>
      </c>
    </row>
    <row r="774" spans="1:11">
      <c r="A774" t="s">
        <v>771</v>
      </c>
      <c r="B774">
        <v>1983</v>
      </c>
      <c r="C774" t="s">
        <v>51</v>
      </c>
      <c r="D774">
        <v>123.8</v>
      </c>
      <c r="E774">
        <v>380</v>
      </c>
      <c r="F774">
        <v>217.5</v>
      </c>
      <c r="G774">
        <v>330</v>
      </c>
      <c r="H774">
        <v>927.5</v>
      </c>
      <c r="I774">
        <v>2013</v>
      </c>
      <c r="J774" t="s">
        <v>29</v>
      </c>
      <c r="K774" t="s">
        <v>171</v>
      </c>
    </row>
    <row r="775" spans="1:11">
      <c r="A775" t="s">
        <v>161</v>
      </c>
      <c r="B775">
        <v>1988</v>
      </c>
      <c r="C775" t="s">
        <v>45</v>
      </c>
      <c r="D775">
        <v>104.23</v>
      </c>
      <c r="E775">
        <v>365</v>
      </c>
      <c r="F775">
        <v>242.5</v>
      </c>
      <c r="G775">
        <v>320</v>
      </c>
      <c r="H775">
        <v>927.5</v>
      </c>
      <c r="I775">
        <v>2012</v>
      </c>
      <c r="J775" t="s">
        <v>29</v>
      </c>
      <c r="K775" t="s">
        <v>171</v>
      </c>
    </row>
    <row r="776" spans="1:11">
      <c r="A776" t="s">
        <v>518</v>
      </c>
      <c r="B776">
        <v>1982</v>
      </c>
      <c r="C776" t="s">
        <v>239</v>
      </c>
      <c r="D776">
        <v>104.27</v>
      </c>
      <c r="E776">
        <v>350</v>
      </c>
      <c r="F776">
        <v>247.5</v>
      </c>
      <c r="G776">
        <v>330</v>
      </c>
      <c r="H776">
        <v>927.5</v>
      </c>
      <c r="I776">
        <v>2013</v>
      </c>
      <c r="J776" t="s">
        <v>29</v>
      </c>
      <c r="K776" t="s">
        <v>171</v>
      </c>
    </row>
    <row r="777" spans="1:11">
      <c r="A777" t="s">
        <v>781</v>
      </c>
      <c r="B777">
        <v>1991</v>
      </c>
      <c r="C777" t="s">
        <v>125</v>
      </c>
      <c r="D777">
        <v>92</v>
      </c>
      <c r="E777">
        <v>337.5</v>
      </c>
      <c r="F777">
        <v>255</v>
      </c>
      <c r="G777">
        <v>335</v>
      </c>
      <c r="H777">
        <v>927.5</v>
      </c>
      <c r="I777">
        <v>2015</v>
      </c>
      <c r="J777" t="s">
        <v>29</v>
      </c>
      <c r="K777" t="s">
        <v>171</v>
      </c>
    </row>
    <row r="778" spans="1:11">
      <c r="A778" t="s">
        <v>819</v>
      </c>
      <c r="B778">
        <v>1985</v>
      </c>
      <c r="C778" t="s">
        <v>28</v>
      </c>
      <c r="D778">
        <v>82.68</v>
      </c>
      <c r="E778">
        <v>360</v>
      </c>
      <c r="F778">
        <v>245</v>
      </c>
      <c r="G778">
        <v>320</v>
      </c>
      <c r="H778">
        <v>925</v>
      </c>
      <c r="I778">
        <v>2012</v>
      </c>
      <c r="J778" t="s">
        <v>29</v>
      </c>
      <c r="K778" t="s">
        <v>171</v>
      </c>
    </row>
    <row r="779" spans="1:11">
      <c r="A779" t="s">
        <v>844</v>
      </c>
      <c r="B779">
        <v>1982</v>
      </c>
      <c r="C779" t="s">
        <v>39</v>
      </c>
      <c r="D779">
        <v>92.54</v>
      </c>
      <c r="E779">
        <v>342.5</v>
      </c>
      <c r="F779">
        <v>252.5</v>
      </c>
      <c r="G779">
        <v>330</v>
      </c>
      <c r="H779">
        <v>925</v>
      </c>
      <c r="I779">
        <v>2014</v>
      </c>
      <c r="J779" t="s">
        <v>29</v>
      </c>
      <c r="K779" t="s">
        <v>171</v>
      </c>
    </row>
    <row r="780" spans="1:11">
      <c r="A780" t="s">
        <v>830</v>
      </c>
      <c r="B780">
        <v>1965</v>
      </c>
      <c r="C780" t="s">
        <v>85</v>
      </c>
      <c r="D780">
        <v>92.92</v>
      </c>
      <c r="E780">
        <v>340</v>
      </c>
      <c r="F780">
        <v>295</v>
      </c>
      <c r="G780">
        <v>290</v>
      </c>
      <c r="H780">
        <v>925</v>
      </c>
      <c r="I780">
        <v>2015</v>
      </c>
      <c r="J780" t="s">
        <v>29</v>
      </c>
      <c r="K780" t="s">
        <v>171</v>
      </c>
    </row>
    <row r="781" spans="1:11">
      <c r="A781" t="s">
        <v>776</v>
      </c>
      <c r="B781">
        <v>1985</v>
      </c>
      <c r="C781" t="s">
        <v>28</v>
      </c>
      <c r="D781">
        <v>82.37</v>
      </c>
      <c r="E781">
        <v>375</v>
      </c>
      <c r="F781">
        <v>240</v>
      </c>
      <c r="G781">
        <v>307.5</v>
      </c>
      <c r="H781">
        <v>922.5</v>
      </c>
      <c r="I781">
        <v>2015</v>
      </c>
      <c r="J781" t="s">
        <v>29</v>
      </c>
      <c r="K781" t="s">
        <v>171</v>
      </c>
    </row>
    <row r="782" spans="1:11">
      <c r="A782" t="s">
        <v>733</v>
      </c>
      <c r="B782">
        <v>1982</v>
      </c>
      <c r="C782" t="s">
        <v>119</v>
      </c>
      <c r="D782">
        <v>82.7</v>
      </c>
      <c r="E782">
        <v>357.5</v>
      </c>
      <c r="F782">
        <v>245</v>
      </c>
      <c r="G782">
        <v>320</v>
      </c>
      <c r="H782">
        <v>922.5</v>
      </c>
      <c r="I782">
        <v>2013</v>
      </c>
      <c r="J782" t="s">
        <v>29</v>
      </c>
      <c r="K782" t="s">
        <v>171</v>
      </c>
    </row>
    <row r="783" spans="1:11">
      <c r="A783" t="s">
        <v>513</v>
      </c>
      <c r="B783">
        <v>1990</v>
      </c>
      <c r="C783" t="s">
        <v>51</v>
      </c>
      <c r="D783">
        <v>104.76</v>
      </c>
      <c r="E783">
        <v>350</v>
      </c>
      <c r="F783">
        <v>245</v>
      </c>
      <c r="G783">
        <v>327.5</v>
      </c>
      <c r="H783">
        <v>922.5</v>
      </c>
      <c r="I783">
        <v>2014</v>
      </c>
      <c r="J783" t="s">
        <v>29</v>
      </c>
      <c r="K783" t="s">
        <v>171</v>
      </c>
    </row>
    <row r="784" spans="1:11">
      <c r="A784" t="s">
        <v>708</v>
      </c>
      <c r="B784">
        <v>1983</v>
      </c>
      <c r="C784" t="s">
        <v>80</v>
      </c>
      <c r="D784">
        <v>119.9</v>
      </c>
      <c r="E784">
        <v>340</v>
      </c>
      <c r="F784">
        <v>285</v>
      </c>
      <c r="G784">
        <v>295</v>
      </c>
      <c r="H784">
        <v>920</v>
      </c>
      <c r="I784">
        <v>2012</v>
      </c>
      <c r="J784" t="s">
        <v>29</v>
      </c>
      <c r="K784" t="s">
        <v>171</v>
      </c>
    </row>
    <row r="785" spans="1:11">
      <c r="A785" t="s">
        <v>48</v>
      </c>
      <c r="B785">
        <v>1983</v>
      </c>
      <c r="C785" t="s">
        <v>49</v>
      </c>
      <c r="D785">
        <v>92.55</v>
      </c>
      <c r="E785">
        <v>355</v>
      </c>
      <c r="F785">
        <v>235</v>
      </c>
      <c r="G785">
        <v>327.5</v>
      </c>
      <c r="H785">
        <v>917.5</v>
      </c>
      <c r="I785">
        <v>2013</v>
      </c>
      <c r="J785" t="s">
        <v>29</v>
      </c>
      <c r="K785" t="s">
        <v>171</v>
      </c>
    </row>
    <row r="786" spans="1:11">
      <c r="A786" t="s">
        <v>695</v>
      </c>
      <c r="B786">
        <v>1982</v>
      </c>
      <c r="C786" t="s">
        <v>51</v>
      </c>
      <c r="D786">
        <v>91.83</v>
      </c>
      <c r="E786">
        <v>362.5</v>
      </c>
      <c r="F786">
        <v>262.5</v>
      </c>
      <c r="G786">
        <v>292.5</v>
      </c>
      <c r="H786">
        <v>917.5</v>
      </c>
      <c r="I786">
        <v>2015</v>
      </c>
      <c r="J786" t="s">
        <v>29</v>
      </c>
      <c r="K786" t="s">
        <v>171</v>
      </c>
    </row>
    <row r="787" spans="1:11">
      <c r="A787" t="s">
        <v>733</v>
      </c>
      <c r="B787">
        <v>1982</v>
      </c>
      <c r="C787" t="s">
        <v>119</v>
      </c>
      <c r="D787">
        <v>82.98</v>
      </c>
      <c r="E787">
        <v>345</v>
      </c>
      <c r="F787">
        <v>250</v>
      </c>
      <c r="G787">
        <v>322.5</v>
      </c>
      <c r="H787">
        <v>917.5</v>
      </c>
      <c r="I787">
        <v>2014</v>
      </c>
      <c r="J787" t="s">
        <v>29</v>
      </c>
      <c r="K787" t="s">
        <v>171</v>
      </c>
    </row>
    <row r="788" spans="1:11">
      <c r="A788" t="s">
        <v>801</v>
      </c>
      <c r="B788">
        <v>1974</v>
      </c>
      <c r="C788" t="s">
        <v>35</v>
      </c>
      <c r="D788">
        <v>92.44</v>
      </c>
      <c r="E788">
        <v>362.5</v>
      </c>
      <c r="F788">
        <v>232.5</v>
      </c>
      <c r="G788">
        <v>320</v>
      </c>
      <c r="H788">
        <v>915</v>
      </c>
      <c r="I788">
        <v>2012</v>
      </c>
      <c r="J788" t="s">
        <v>29</v>
      </c>
      <c r="K788" t="s">
        <v>171</v>
      </c>
    </row>
    <row r="789" spans="1:11">
      <c r="A789" t="s">
        <v>768</v>
      </c>
      <c r="B789">
        <v>1976</v>
      </c>
      <c r="C789" t="s">
        <v>142</v>
      </c>
      <c r="D789">
        <v>92.9</v>
      </c>
      <c r="E789">
        <v>355</v>
      </c>
      <c r="F789">
        <v>230</v>
      </c>
      <c r="G789">
        <v>330</v>
      </c>
      <c r="H789">
        <v>915</v>
      </c>
      <c r="I789">
        <v>2013</v>
      </c>
      <c r="J789" t="s">
        <v>29</v>
      </c>
      <c r="K789" t="s">
        <v>171</v>
      </c>
    </row>
    <row r="790" spans="1:11">
      <c r="A790" t="s">
        <v>560</v>
      </c>
      <c r="B790">
        <v>1991</v>
      </c>
      <c r="C790" t="s">
        <v>85</v>
      </c>
      <c r="D790">
        <v>104.2</v>
      </c>
      <c r="E790">
        <v>340</v>
      </c>
      <c r="F790">
        <v>230</v>
      </c>
      <c r="G790">
        <v>345</v>
      </c>
      <c r="H790">
        <v>915</v>
      </c>
      <c r="I790">
        <v>2015</v>
      </c>
      <c r="J790" t="s">
        <v>29</v>
      </c>
      <c r="K790" t="s">
        <v>171</v>
      </c>
    </row>
    <row r="791" spans="1:11">
      <c r="A791" t="s">
        <v>664</v>
      </c>
      <c r="B791">
        <v>1984</v>
      </c>
      <c r="C791" t="s">
        <v>119</v>
      </c>
      <c r="D791">
        <v>82.32</v>
      </c>
      <c r="E791">
        <v>360</v>
      </c>
      <c r="F791">
        <v>247.5</v>
      </c>
      <c r="G791">
        <v>307.5</v>
      </c>
      <c r="H791">
        <v>915</v>
      </c>
      <c r="I791">
        <v>2012</v>
      </c>
      <c r="J791" t="s">
        <v>29</v>
      </c>
      <c r="K791" t="s">
        <v>171</v>
      </c>
    </row>
    <row r="792" spans="1:11">
      <c r="A792" t="s">
        <v>603</v>
      </c>
      <c r="B792">
        <v>1987</v>
      </c>
      <c r="C792" t="s">
        <v>125</v>
      </c>
      <c r="D792">
        <v>104.23</v>
      </c>
      <c r="E792">
        <v>357.5</v>
      </c>
      <c r="F792">
        <v>252.5</v>
      </c>
      <c r="G792">
        <v>305</v>
      </c>
      <c r="H792">
        <v>915</v>
      </c>
      <c r="I792">
        <v>2015</v>
      </c>
      <c r="J792" t="s">
        <v>29</v>
      </c>
      <c r="K792" t="s">
        <v>171</v>
      </c>
    </row>
    <row r="793" spans="1:11">
      <c r="A793" t="s">
        <v>722</v>
      </c>
      <c r="B793">
        <v>1989</v>
      </c>
      <c r="C793" t="s">
        <v>390</v>
      </c>
      <c r="D793">
        <v>135.19999999999999</v>
      </c>
      <c r="E793">
        <v>357.5</v>
      </c>
      <c r="F793">
        <v>252.5</v>
      </c>
      <c r="G793">
        <v>305</v>
      </c>
      <c r="H793">
        <v>915</v>
      </c>
      <c r="I793">
        <v>2014</v>
      </c>
      <c r="J793" t="s">
        <v>29</v>
      </c>
      <c r="K793" t="s">
        <v>171</v>
      </c>
    </row>
    <row r="794" spans="1:11">
      <c r="A794" t="s">
        <v>594</v>
      </c>
      <c r="B794">
        <v>1985</v>
      </c>
      <c r="C794" t="s">
        <v>54</v>
      </c>
      <c r="D794">
        <v>119.64</v>
      </c>
      <c r="E794">
        <v>362.5</v>
      </c>
      <c r="F794">
        <v>257.5</v>
      </c>
      <c r="G794">
        <v>295</v>
      </c>
      <c r="H794">
        <v>915</v>
      </c>
      <c r="I794">
        <v>2014</v>
      </c>
      <c r="J794" t="s">
        <v>29</v>
      </c>
      <c r="K794" t="s">
        <v>171</v>
      </c>
    </row>
    <row r="795" spans="1:11">
      <c r="A795" t="s">
        <v>782</v>
      </c>
      <c r="B795">
        <v>1981</v>
      </c>
      <c r="C795" t="s">
        <v>113</v>
      </c>
      <c r="D795">
        <v>132.69999999999999</v>
      </c>
      <c r="E795">
        <v>357.5</v>
      </c>
      <c r="F795">
        <v>272.5</v>
      </c>
      <c r="G795">
        <v>285</v>
      </c>
      <c r="H795">
        <v>915</v>
      </c>
      <c r="I795">
        <v>2013</v>
      </c>
      <c r="J795" t="s">
        <v>29</v>
      </c>
      <c r="K795" t="s">
        <v>171</v>
      </c>
    </row>
    <row r="796" spans="1:11">
      <c r="A796" t="s">
        <v>830</v>
      </c>
      <c r="B796">
        <v>1965</v>
      </c>
      <c r="C796" t="s">
        <v>85</v>
      </c>
      <c r="D796">
        <v>89.96</v>
      </c>
      <c r="E796">
        <v>345</v>
      </c>
      <c r="F796">
        <v>290</v>
      </c>
      <c r="G796">
        <v>280</v>
      </c>
      <c r="H796">
        <v>915</v>
      </c>
      <c r="I796">
        <v>2013</v>
      </c>
      <c r="J796" t="s">
        <v>29</v>
      </c>
      <c r="K796" t="s">
        <v>171</v>
      </c>
    </row>
    <row r="797" spans="1:11">
      <c r="A797" t="s">
        <v>571</v>
      </c>
      <c r="B797">
        <v>1975</v>
      </c>
      <c r="C797" t="s">
        <v>109</v>
      </c>
      <c r="D797">
        <v>119.38</v>
      </c>
      <c r="E797">
        <v>330</v>
      </c>
      <c r="F797">
        <v>300</v>
      </c>
      <c r="G797">
        <v>285</v>
      </c>
      <c r="H797">
        <v>915</v>
      </c>
      <c r="I797">
        <v>2015</v>
      </c>
      <c r="J797" t="s">
        <v>29</v>
      </c>
      <c r="K797" t="s">
        <v>171</v>
      </c>
    </row>
    <row r="798" spans="1:11">
      <c r="A798" t="s">
        <v>691</v>
      </c>
      <c r="B798">
        <v>1982</v>
      </c>
      <c r="C798" t="s">
        <v>239</v>
      </c>
      <c r="D798">
        <v>104.36</v>
      </c>
      <c r="E798">
        <v>372.5</v>
      </c>
      <c r="F798">
        <v>227.5</v>
      </c>
      <c r="G798">
        <v>312.5</v>
      </c>
      <c r="H798">
        <v>912.5</v>
      </c>
      <c r="I798">
        <v>2013</v>
      </c>
      <c r="J798" t="s">
        <v>29</v>
      </c>
      <c r="K798" t="s">
        <v>171</v>
      </c>
    </row>
    <row r="799" spans="1:11">
      <c r="A799" t="s">
        <v>555</v>
      </c>
      <c r="B799">
        <v>1990</v>
      </c>
      <c r="C799" t="s">
        <v>62</v>
      </c>
      <c r="D799">
        <v>99.14</v>
      </c>
      <c r="E799">
        <v>357.5</v>
      </c>
      <c r="F799">
        <v>220</v>
      </c>
      <c r="G799">
        <v>335</v>
      </c>
      <c r="H799">
        <v>912.5</v>
      </c>
      <c r="I799">
        <v>2015</v>
      </c>
      <c r="J799" t="s">
        <v>29</v>
      </c>
      <c r="K799" t="s">
        <v>171</v>
      </c>
    </row>
    <row r="800" spans="1:11">
      <c r="A800" t="s">
        <v>745</v>
      </c>
      <c r="B800">
        <v>1975</v>
      </c>
      <c r="C800" t="s">
        <v>72</v>
      </c>
      <c r="D800">
        <v>104.93</v>
      </c>
      <c r="E800">
        <v>345</v>
      </c>
      <c r="F800">
        <v>232.5</v>
      </c>
      <c r="G800">
        <v>335</v>
      </c>
      <c r="H800">
        <v>912.5</v>
      </c>
      <c r="I800">
        <v>2012</v>
      </c>
      <c r="J800" t="s">
        <v>29</v>
      </c>
      <c r="K800" t="s">
        <v>171</v>
      </c>
    </row>
    <row r="801" spans="1:11">
      <c r="A801" t="s">
        <v>723</v>
      </c>
      <c r="B801">
        <v>1982</v>
      </c>
      <c r="C801" t="s">
        <v>336</v>
      </c>
      <c r="D801">
        <v>119.2</v>
      </c>
      <c r="E801">
        <v>355</v>
      </c>
      <c r="F801">
        <v>257.5</v>
      </c>
      <c r="G801">
        <v>300</v>
      </c>
      <c r="H801">
        <v>912.5</v>
      </c>
      <c r="I801">
        <v>2013</v>
      </c>
      <c r="J801" t="s">
        <v>29</v>
      </c>
      <c r="K801" t="s">
        <v>171</v>
      </c>
    </row>
    <row r="802" spans="1:11">
      <c r="A802" t="s">
        <v>355</v>
      </c>
      <c r="B802">
        <v>1982</v>
      </c>
      <c r="C802" t="s">
        <v>77</v>
      </c>
      <c r="D802">
        <v>102.69</v>
      </c>
      <c r="E802">
        <v>340</v>
      </c>
      <c r="F802">
        <v>270</v>
      </c>
      <c r="G802">
        <v>302.5</v>
      </c>
      <c r="H802">
        <v>912.5</v>
      </c>
      <c r="I802">
        <v>2015</v>
      </c>
      <c r="J802" t="s">
        <v>29</v>
      </c>
      <c r="K802" t="s">
        <v>171</v>
      </c>
    </row>
    <row r="803" spans="1:11">
      <c r="A803" t="s">
        <v>733</v>
      </c>
      <c r="B803">
        <v>1982</v>
      </c>
      <c r="C803" t="s">
        <v>119</v>
      </c>
      <c r="D803">
        <v>82.33</v>
      </c>
      <c r="E803">
        <v>357.5</v>
      </c>
      <c r="F803">
        <v>235</v>
      </c>
      <c r="G803">
        <v>317.5</v>
      </c>
      <c r="H803">
        <v>910</v>
      </c>
      <c r="I803">
        <v>2012</v>
      </c>
      <c r="J803" t="s">
        <v>29</v>
      </c>
      <c r="K803" t="s">
        <v>171</v>
      </c>
    </row>
    <row r="804" spans="1:11">
      <c r="A804" t="s">
        <v>518</v>
      </c>
      <c r="B804">
        <v>1982</v>
      </c>
      <c r="C804" t="s">
        <v>239</v>
      </c>
      <c r="D804">
        <v>104.42</v>
      </c>
      <c r="E804">
        <v>345</v>
      </c>
      <c r="F804">
        <v>230</v>
      </c>
      <c r="G804">
        <v>335</v>
      </c>
      <c r="H804">
        <v>910</v>
      </c>
      <c r="I804">
        <v>2012</v>
      </c>
      <c r="J804" t="s">
        <v>29</v>
      </c>
      <c r="K804" t="s">
        <v>171</v>
      </c>
    </row>
    <row r="805" spans="1:11">
      <c r="A805" t="s">
        <v>704</v>
      </c>
      <c r="B805">
        <v>1982</v>
      </c>
      <c r="C805" t="s">
        <v>485</v>
      </c>
      <c r="D805">
        <v>114.45</v>
      </c>
      <c r="E805">
        <v>360</v>
      </c>
      <c r="F805">
        <v>250</v>
      </c>
      <c r="G805">
        <v>300</v>
      </c>
      <c r="H805">
        <v>910</v>
      </c>
      <c r="I805">
        <v>2014</v>
      </c>
      <c r="J805" t="s">
        <v>29</v>
      </c>
      <c r="K805" t="s">
        <v>171</v>
      </c>
    </row>
    <row r="806" spans="1:11">
      <c r="A806" t="s">
        <v>830</v>
      </c>
      <c r="B806">
        <v>1965</v>
      </c>
      <c r="C806" t="s">
        <v>85</v>
      </c>
      <c r="D806">
        <v>92.36</v>
      </c>
      <c r="E806">
        <v>340</v>
      </c>
      <c r="F806">
        <v>300</v>
      </c>
      <c r="G806">
        <v>270</v>
      </c>
      <c r="H806">
        <v>910</v>
      </c>
      <c r="I806">
        <v>2012</v>
      </c>
      <c r="J806" t="s">
        <v>29</v>
      </c>
      <c r="K806" t="s">
        <v>171</v>
      </c>
    </row>
    <row r="807" spans="1:11">
      <c r="A807" t="s">
        <v>664</v>
      </c>
      <c r="B807">
        <v>1984</v>
      </c>
      <c r="C807" t="s">
        <v>119</v>
      </c>
      <c r="D807">
        <v>82.7</v>
      </c>
      <c r="E807">
        <v>345</v>
      </c>
      <c r="F807">
        <v>260.5</v>
      </c>
      <c r="G807">
        <v>302.5</v>
      </c>
      <c r="H807">
        <v>908</v>
      </c>
      <c r="I807">
        <v>2013</v>
      </c>
      <c r="J807" t="s">
        <v>29</v>
      </c>
      <c r="K807" t="s">
        <v>171</v>
      </c>
    </row>
    <row r="808" spans="1:11">
      <c r="A808" t="s">
        <v>723</v>
      </c>
      <c r="B808">
        <v>1982</v>
      </c>
      <c r="C808" t="s">
        <v>336</v>
      </c>
      <c r="D808">
        <v>118.56</v>
      </c>
      <c r="E808">
        <v>350</v>
      </c>
      <c r="F808">
        <v>245</v>
      </c>
      <c r="G808">
        <v>312.5</v>
      </c>
      <c r="H808">
        <v>907.5</v>
      </c>
      <c r="I808">
        <v>2012</v>
      </c>
      <c r="J808" t="s">
        <v>29</v>
      </c>
      <c r="K808" t="s">
        <v>171</v>
      </c>
    </row>
    <row r="809" spans="1:11">
      <c r="A809" t="s">
        <v>374</v>
      </c>
      <c r="B809">
        <v>1984</v>
      </c>
      <c r="C809" t="s">
        <v>51</v>
      </c>
      <c r="D809">
        <v>117.11</v>
      </c>
      <c r="E809">
        <v>320</v>
      </c>
      <c r="F809">
        <v>260</v>
      </c>
      <c r="G809">
        <v>327.5</v>
      </c>
      <c r="H809">
        <v>907.5</v>
      </c>
      <c r="I809">
        <v>2012</v>
      </c>
      <c r="J809" t="s">
        <v>29</v>
      </c>
      <c r="K809" t="s">
        <v>171</v>
      </c>
    </row>
    <row r="810" spans="1:11">
      <c r="A810" t="s">
        <v>592</v>
      </c>
      <c r="B810">
        <v>1974</v>
      </c>
      <c r="C810" t="s">
        <v>72</v>
      </c>
      <c r="D810">
        <v>119.33</v>
      </c>
      <c r="E810">
        <v>330</v>
      </c>
      <c r="F810">
        <v>297.5</v>
      </c>
      <c r="G810">
        <v>280</v>
      </c>
      <c r="H810">
        <v>907.5</v>
      </c>
      <c r="I810">
        <v>2013</v>
      </c>
      <c r="J810" t="s">
        <v>29</v>
      </c>
      <c r="K810" t="s">
        <v>171</v>
      </c>
    </row>
    <row r="811" spans="1:11">
      <c r="A811" t="s">
        <v>682</v>
      </c>
      <c r="B811">
        <v>1974</v>
      </c>
      <c r="C811" t="s">
        <v>85</v>
      </c>
      <c r="D811">
        <v>73.319999999999993</v>
      </c>
      <c r="E811">
        <v>367.5</v>
      </c>
      <c r="F811">
        <v>217.5</v>
      </c>
      <c r="G811">
        <v>320</v>
      </c>
      <c r="H811">
        <v>905</v>
      </c>
      <c r="I811">
        <v>2013</v>
      </c>
      <c r="J811" t="s">
        <v>29</v>
      </c>
      <c r="K811" t="s">
        <v>171</v>
      </c>
    </row>
    <row r="812" spans="1:11">
      <c r="A812" t="s">
        <v>353</v>
      </c>
      <c r="B812">
        <v>1989</v>
      </c>
      <c r="C812" t="s">
        <v>349</v>
      </c>
      <c r="D812">
        <v>118.95</v>
      </c>
      <c r="E812">
        <v>350</v>
      </c>
      <c r="F812">
        <v>220</v>
      </c>
      <c r="G812">
        <v>335</v>
      </c>
      <c r="H812">
        <v>905</v>
      </c>
      <c r="I812">
        <v>2013</v>
      </c>
      <c r="J812" t="s">
        <v>29</v>
      </c>
      <c r="K812" t="s">
        <v>171</v>
      </c>
    </row>
    <row r="813" spans="1:11">
      <c r="A813" t="s">
        <v>704</v>
      </c>
      <c r="B813">
        <v>1982</v>
      </c>
      <c r="C813" t="s">
        <v>485</v>
      </c>
      <c r="D813">
        <v>114.75</v>
      </c>
      <c r="E813">
        <v>360</v>
      </c>
      <c r="F813">
        <v>235</v>
      </c>
      <c r="G813">
        <v>310</v>
      </c>
      <c r="H813">
        <v>905</v>
      </c>
      <c r="I813">
        <v>2012</v>
      </c>
      <c r="J813" t="s">
        <v>29</v>
      </c>
      <c r="K813" t="s">
        <v>171</v>
      </c>
    </row>
    <row r="814" spans="1:11">
      <c r="A814" t="s">
        <v>736</v>
      </c>
      <c r="B814">
        <v>1983</v>
      </c>
      <c r="C814" t="s">
        <v>51</v>
      </c>
      <c r="D814">
        <v>119.68</v>
      </c>
      <c r="E814">
        <v>350</v>
      </c>
      <c r="F814">
        <v>230</v>
      </c>
      <c r="G814">
        <v>325</v>
      </c>
      <c r="H814">
        <v>905</v>
      </c>
      <c r="I814">
        <v>2014</v>
      </c>
      <c r="J814" t="s">
        <v>29</v>
      </c>
      <c r="K814" t="s">
        <v>171</v>
      </c>
    </row>
    <row r="815" spans="1:11">
      <c r="A815" t="s">
        <v>778</v>
      </c>
      <c r="B815">
        <v>1972</v>
      </c>
      <c r="C815" t="s">
        <v>49</v>
      </c>
      <c r="D815">
        <v>155.6</v>
      </c>
      <c r="E815">
        <v>365</v>
      </c>
      <c r="F815">
        <v>260</v>
      </c>
      <c r="G815">
        <v>280</v>
      </c>
      <c r="H815">
        <v>905</v>
      </c>
      <c r="I815">
        <v>2013</v>
      </c>
      <c r="J815" t="s">
        <v>29</v>
      </c>
      <c r="K815" t="s">
        <v>171</v>
      </c>
    </row>
    <row r="816" spans="1:11">
      <c r="A816" t="s">
        <v>593</v>
      </c>
      <c r="B816">
        <v>1985</v>
      </c>
      <c r="C816" t="s">
        <v>54</v>
      </c>
      <c r="D816">
        <v>119.66</v>
      </c>
      <c r="E816">
        <v>340</v>
      </c>
      <c r="F816">
        <v>250</v>
      </c>
      <c r="G816">
        <v>315</v>
      </c>
      <c r="H816">
        <v>905</v>
      </c>
      <c r="I816">
        <v>2013</v>
      </c>
      <c r="J816" t="s">
        <v>29</v>
      </c>
      <c r="K816" t="s">
        <v>171</v>
      </c>
    </row>
    <row r="817" spans="1:11">
      <c r="A817" t="s">
        <v>664</v>
      </c>
      <c r="B817">
        <v>1984</v>
      </c>
      <c r="C817" t="s">
        <v>119</v>
      </c>
      <c r="D817">
        <v>82.4</v>
      </c>
      <c r="E817">
        <v>335</v>
      </c>
      <c r="F817">
        <v>260</v>
      </c>
      <c r="G817">
        <v>310</v>
      </c>
      <c r="H817">
        <v>905</v>
      </c>
      <c r="I817">
        <v>2014</v>
      </c>
      <c r="J817" t="s">
        <v>29</v>
      </c>
      <c r="K817" t="s">
        <v>171</v>
      </c>
    </row>
    <row r="818" spans="1:11">
      <c r="A818" t="s">
        <v>422</v>
      </c>
      <c r="B818">
        <v>1986</v>
      </c>
      <c r="C818" t="s">
        <v>282</v>
      </c>
      <c r="D818">
        <v>83</v>
      </c>
      <c r="E818">
        <v>350</v>
      </c>
      <c r="F818">
        <v>230</v>
      </c>
      <c r="G818">
        <v>322.5</v>
      </c>
      <c r="H818">
        <v>902.5</v>
      </c>
      <c r="I818">
        <v>2012</v>
      </c>
      <c r="J818" t="s">
        <v>29</v>
      </c>
      <c r="K818" t="s">
        <v>171</v>
      </c>
    </row>
    <row r="819" spans="1:11">
      <c r="A819" t="s">
        <v>776</v>
      </c>
      <c r="B819">
        <v>1985</v>
      </c>
      <c r="C819" t="s">
        <v>28</v>
      </c>
      <c r="D819">
        <v>82.83</v>
      </c>
      <c r="E819">
        <v>365</v>
      </c>
      <c r="F819">
        <v>225</v>
      </c>
      <c r="G819">
        <v>310</v>
      </c>
      <c r="H819">
        <v>900</v>
      </c>
      <c r="I819">
        <v>2012</v>
      </c>
      <c r="J819" t="s">
        <v>29</v>
      </c>
      <c r="K819" t="s">
        <v>171</v>
      </c>
    </row>
    <row r="820" spans="1:11">
      <c r="A820" t="s">
        <v>371</v>
      </c>
      <c r="B820">
        <v>1988</v>
      </c>
      <c r="C820" t="s">
        <v>45</v>
      </c>
      <c r="D820">
        <v>82</v>
      </c>
      <c r="E820">
        <v>342.5</v>
      </c>
      <c r="F820">
        <v>245</v>
      </c>
      <c r="G820">
        <v>312.5</v>
      </c>
      <c r="H820">
        <v>900</v>
      </c>
      <c r="I820">
        <v>2012</v>
      </c>
      <c r="J820" t="s">
        <v>29</v>
      </c>
      <c r="K820" t="s">
        <v>171</v>
      </c>
    </row>
    <row r="821" spans="1:11">
      <c r="A821" t="s">
        <v>360</v>
      </c>
      <c r="B821">
        <v>1993</v>
      </c>
      <c r="C821" t="s">
        <v>39</v>
      </c>
      <c r="D821">
        <v>82.48</v>
      </c>
      <c r="E821">
        <v>330</v>
      </c>
      <c r="F821">
        <v>240</v>
      </c>
      <c r="G821">
        <v>330</v>
      </c>
      <c r="H821">
        <v>900</v>
      </c>
      <c r="I821">
        <v>2014</v>
      </c>
      <c r="J821" t="s">
        <v>29</v>
      </c>
      <c r="K821" t="s">
        <v>171</v>
      </c>
    </row>
    <row r="822" spans="1:11">
      <c r="A822" t="s">
        <v>810</v>
      </c>
      <c r="B822">
        <v>1990</v>
      </c>
      <c r="C822" t="s">
        <v>390</v>
      </c>
      <c r="D822">
        <v>104.45</v>
      </c>
      <c r="E822">
        <v>335</v>
      </c>
      <c r="F822">
        <v>252.5</v>
      </c>
      <c r="G822">
        <v>312.5</v>
      </c>
      <c r="H822">
        <v>900</v>
      </c>
      <c r="I822">
        <v>2015</v>
      </c>
      <c r="J822" t="s">
        <v>29</v>
      </c>
      <c r="K822" t="s">
        <v>171</v>
      </c>
    </row>
    <row r="823" spans="1:11">
      <c r="A823" t="s">
        <v>840</v>
      </c>
      <c r="B823">
        <v>1989</v>
      </c>
      <c r="C823" t="s">
        <v>45</v>
      </c>
      <c r="D823">
        <v>105.32</v>
      </c>
      <c r="E823">
        <v>330</v>
      </c>
      <c r="F823">
        <v>260</v>
      </c>
      <c r="G823">
        <v>310</v>
      </c>
      <c r="H823">
        <v>900</v>
      </c>
      <c r="I823">
        <v>2013</v>
      </c>
      <c r="J823" t="s">
        <v>29</v>
      </c>
      <c r="K823" t="s">
        <v>171</v>
      </c>
    </row>
    <row r="824" spans="1:11">
      <c r="A824" t="s">
        <v>808</v>
      </c>
      <c r="B824">
        <v>1972</v>
      </c>
      <c r="C824" t="s">
        <v>318</v>
      </c>
      <c r="D824">
        <v>92.67</v>
      </c>
      <c r="E824">
        <v>335</v>
      </c>
      <c r="F824">
        <v>265</v>
      </c>
      <c r="G824">
        <v>300</v>
      </c>
      <c r="H824">
        <v>900</v>
      </c>
      <c r="I824">
        <v>2013</v>
      </c>
      <c r="J824" t="s">
        <v>29</v>
      </c>
      <c r="K824" t="s">
        <v>171</v>
      </c>
    </row>
    <row r="825" spans="1:11">
      <c r="A825" t="s">
        <v>775</v>
      </c>
      <c r="B825">
        <v>1986</v>
      </c>
      <c r="C825" t="s">
        <v>318</v>
      </c>
      <c r="D825">
        <v>119.63</v>
      </c>
      <c r="E825">
        <v>335</v>
      </c>
      <c r="F825">
        <v>270</v>
      </c>
      <c r="G825">
        <v>295</v>
      </c>
      <c r="H825">
        <v>900</v>
      </c>
      <c r="I825">
        <v>2013</v>
      </c>
      <c r="J825" t="s">
        <v>29</v>
      </c>
      <c r="K825" t="s">
        <v>171</v>
      </c>
    </row>
    <row r="826" spans="1:11">
      <c r="A826" t="s">
        <v>592</v>
      </c>
      <c r="B826">
        <v>1974</v>
      </c>
      <c r="C826" t="s">
        <v>72</v>
      </c>
      <c r="D826">
        <v>118.86</v>
      </c>
      <c r="E826">
        <v>340</v>
      </c>
      <c r="F826">
        <v>275</v>
      </c>
      <c r="G826">
        <v>285</v>
      </c>
      <c r="H826">
        <v>900</v>
      </c>
      <c r="I826">
        <v>2012</v>
      </c>
      <c r="J826" t="s">
        <v>29</v>
      </c>
      <c r="K826" t="s">
        <v>171</v>
      </c>
    </row>
    <row r="827" spans="1:11">
      <c r="A827" t="s">
        <v>378</v>
      </c>
      <c r="B827">
        <v>1977</v>
      </c>
      <c r="C827" t="s">
        <v>125</v>
      </c>
      <c r="D827">
        <v>92.58</v>
      </c>
      <c r="E827">
        <v>327.5</v>
      </c>
      <c r="F827">
        <v>265</v>
      </c>
      <c r="G827">
        <v>307.5</v>
      </c>
      <c r="H827">
        <v>900</v>
      </c>
      <c r="I827">
        <v>2014</v>
      </c>
      <c r="J827" t="s">
        <v>29</v>
      </c>
      <c r="K827" t="s">
        <v>171</v>
      </c>
    </row>
    <row r="828" spans="1:11">
      <c r="A828" t="s">
        <v>449</v>
      </c>
      <c r="B828">
        <v>1989</v>
      </c>
      <c r="C828" t="s">
        <v>62</v>
      </c>
      <c r="D828">
        <v>82.56</v>
      </c>
      <c r="E828">
        <v>355</v>
      </c>
      <c r="F828">
        <v>220</v>
      </c>
      <c r="G828">
        <v>322.5</v>
      </c>
      <c r="H828">
        <v>897.5</v>
      </c>
      <c r="I828">
        <v>2015</v>
      </c>
      <c r="J828" t="s">
        <v>29</v>
      </c>
      <c r="K828" t="s">
        <v>171</v>
      </c>
    </row>
    <row r="829" spans="1:11">
      <c r="A829" t="s">
        <v>778</v>
      </c>
      <c r="B829">
        <v>1972</v>
      </c>
      <c r="C829" t="s">
        <v>49</v>
      </c>
      <c r="D829">
        <v>152.9</v>
      </c>
      <c r="E829">
        <v>372.5</v>
      </c>
      <c r="F829">
        <v>240</v>
      </c>
      <c r="G829">
        <v>285</v>
      </c>
      <c r="H829">
        <v>897.5</v>
      </c>
      <c r="I829">
        <v>2015</v>
      </c>
      <c r="J829" t="s">
        <v>29</v>
      </c>
      <c r="K829" t="s">
        <v>171</v>
      </c>
    </row>
    <row r="830" spans="1:11">
      <c r="A830" t="s">
        <v>691</v>
      </c>
      <c r="B830">
        <v>1982</v>
      </c>
      <c r="C830" t="s">
        <v>239</v>
      </c>
      <c r="D830">
        <v>104.45</v>
      </c>
      <c r="E830">
        <v>370</v>
      </c>
      <c r="F830">
        <v>220</v>
      </c>
      <c r="G830">
        <v>305</v>
      </c>
      <c r="H830">
        <v>895</v>
      </c>
      <c r="I830">
        <v>2012</v>
      </c>
      <c r="J830" t="s">
        <v>29</v>
      </c>
      <c r="K830" t="s">
        <v>171</v>
      </c>
    </row>
    <row r="831" spans="1:11">
      <c r="A831" t="s">
        <v>422</v>
      </c>
      <c r="B831">
        <v>1986</v>
      </c>
      <c r="C831" t="s">
        <v>282</v>
      </c>
      <c r="D831">
        <v>82.9</v>
      </c>
      <c r="E831">
        <v>360</v>
      </c>
      <c r="F831">
        <v>227.5</v>
      </c>
      <c r="G831">
        <v>307.5</v>
      </c>
      <c r="H831">
        <v>895</v>
      </c>
      <c r="I831">
        <v>2013</v>
      </c>
      <c r="J831" t="s">
        <v>29</v>
      </c>
      <c r="K831" t="s">
        <v>171</v>
      </c>
    </row>
    <row r="832" spans="1:11">
      <c r="A832" t="s">
        <v>603</v>
      </c>
      <c r="B832">
        <v>1987</v>
      </c>
      <c r="C832" t="s">
        <v>125</v>
      </c>
      <c r="D832">
        <v>104.34</v>
      </c>
      <c r="E832">
        <v>347.5</v>
      </c>
      <c r="F832">
        <v>230</v>
      </c>
      <c r="G832">
        <v>317.5</v>
      </c>
      <c r="H832">
        <v>895</v>
      </c>
      <c r="I832">
        <v>2014</v>
      </c>
      <c r="J832" t="s">
        <v>29</v>
      </c>
      <c r="K832" t="s">
        <v>171</v>
      </c>
    </row>
    <row r="833" spans="1:11">
      <c r="A833" t="s">
        <v>695</v>
      </c>
      <c r="B833">
        <v>1982</v>
      </c>
      <c r="C833" t="s">
        <v>51</v>
      </c>
      <c r="D833">
        <v>90.5</v>
      </c>
      <c r="E833">
        <v>340</v>
      </c>
      <c r="F833">
        <v>255</v>
      </c>
      <c r="G833">
        <v>300</v>
      </c>
      <c r="H833">
        <v>895</v>
      </c>
      <c r="I833">
        <v>2013</v>
      </c>
      <c r="J833" t="s">
        <v>29</v>
      </c>
      <c r="K833" t="s">
        <v>171</v>
      </c>
    </row>
    <row r="834" spans="1:11">
      <c r="A834" t="s">
        <v>370</v>
      </c>
      <c r="B834">
        <v>1974</v>
      </c>
      <c r="C834" t="s">
        <v>54</v>
      </c>
      <c r="D834">
        <v>104.3</v>
      </c>
      <c r="E834">
        <v>330</v>
      </c>
      <c r="F834">
        <v>250</v>
      </c>
      <c r="G834">
        <v>312.5</v>
      </c>
      <c r="H834">
        <v>892.5</v>
      </c>
      <c r="I834">
        <v>2012</v>
      </c>
      <c r="J834" t="s">
        <v>29</v>
      </c>
      <c r="K834" t="s">
        <v>171</v>
      </c>
    </row>
    <row r="835" spans="1:11">
      <c r="A835" t="s">
        <v>378</v>
      </c>
      <c r="B835">
        <v>1977</v>
      </c>
      <c r="C835" t="s">
        <v>125</v>
      </c>
      <c r="D835">
        <v>92.85</v>
      </c>
      <c r="E835">
        <v>327.5</v>
      </c>
      <c r="F835">
        <v>260</v>
      </c>
      <c r="G835">
        <v>305</v>
      </c>
      <c r="H835">
        <v>892.5</v>
      </c>
      <c r="I835">
        <v>2013</v>
      </c>
      <c r="J835" t="s">
        <v>29</v>
      </c>
      <c r="K835" t="s">
        <v>171</v>
      </c>
    </row>
    <row r="836" spans="1:11">
      <c r="A836" t="s">
        <v>699</v>
      </c>
      <c r="B836">
        <v>1988</v>
      </c>
      <c r="C836" t="s">
        <v>352</v>
      </c>
      <c r="D836">
        <v>73.540000000000006</v>
      </c>
      <c r="E836">
        <v>322.5</v>
      </c>
      <c r="F836">
        <v>241</v>
      </c>
      <c r="G836">
        <v>327.5</v>
      </c>
      <c r="H836">
        <v>891</v>
      </c>
      <c r="I836">
        <v>2012</v>
      </c>
      <c r="J836" t="s">
        <v>29</v>
      </c>
      <c r="K836" t="s">
        <v>171</v>
      </c>
    </row>
    <row r="837" spans="1:11">
      <c r="A837" t="s">
        <v>476</v>
      </c>
      <c r="B837">
        <v>1982</v>
      </c>
      <c r="C837" t="s">
        <v>113</v>
      </c>
      <c r="D837">
        <v>135.1</v>
      </c>
      <c r="E837">
        <v>340</v>
      </c>
      <c r="F837">
        <v>250</v>
      </c>
      <c r="G837">
        <v>300</v>
      </c>
      <c r="H837">
        <v>890</v>
      </c>
      <c r="I837">
        <v>2014</v>
      </c>
      <c r="J837" t="s">
        <v>29</v>
      </c>
      <c r="K837" t="s">
        <v>171</v>
      </c>
    </row>
    <row r="838" spans="1:11">
      <c r="A838" t="s">
        <v>370</v>
      </c>
      <c r="B838">
        <v>1974</v>
      </c>
      <c r="C838" t="s">
        <v>54</v>
      </c>
      <c r="D838">
        <v>104.27</v>
      </c>
      <c r="E838">
        <v>325</v>
      </c>
      <c r="F838">
        <v>252.5</v>
      </c>
      <c r="G838">
        <v>312.5</v>
      </c>
      <c r="H838">
        <v>890</v>
      </c>
      <c r="I838">
        <v>2013</v>
      </c>
      <c r="J838" t="s">
        <v>29</v>
      </c>
      <c r="K838" t="s">
        <v>171</v>
      </c>
    </row>
    <row r="839" spans="1:11">
      <c r="A839" t="s">
        <v>782</v>
      </c>
      <c r="B839">
        <v>1981</v>
      </c>
      <c r="C839" t="s">
        <v>113</v>
      </c>
      <c r="D839">
        <v>131.96</v>
      </c>
      <c r="E839">
        <v>327.5</v>
      </c>
      <c r="F839">
        <v>267.5</v>
      </c>
      <c r="G839">
        <v>295</v>
      </c>
      <c r="H839">
        <v>890</v>
      </c>
      <c r="I839">
        <v>2012</v>
      </c>
      <c r="J839" t="s">
        <v>29</v>
      </c>
      <c r="K839" t="s">
        <v>171</v>
      </c>
    </row>
    <row r="840" spans="1:11">
      <c r="A840" t="s">
        <v>434</v>
      </c>
      <c r="B840">
        <v>1989</v>
      </c>
      <c r="C840" t="s">
        <v>62</v>
      </c>
      <c r="D840">
        <v>92.5</v>
      </c>
      <c r="E840">
        <v>330</v>
      </c>
      <c r="F840">
        <v>280</v>
      </c>
      <c r="G840">
        <v>280</v>
      </c>
      <c r="H840">
        <v>890</v>
      </c>
      <c r="I840">
        <v>2013</v>
      </c>
      <c r="J840" t="s">
        <v>29</v>
      </c>
      <c r="K840" t="s">
        <v>171</v>
      </c>
    </row>
    <row r="841" spans="1:11">
      <c r="A841" t="s">
        <v>622</v>
      </c>
      <c r="B841">
        <v>1983</v>
      </c>
      <c r="C841" t="s">
        <v>113</v>
      </c>
      <c r="D841">
        <v>104.96</v>
      </c>
      <c r="E841">
        <v>340</v>
      </c>
      <c r="F841">
        <v>225</v>
      </c>
      <c r="G841">
        <v>322.5</v>
      </c>
      <c r="H841">
        <v>887.5</v>
      </c>
      <c r="I841">
        <v>2012</v>
      </c>
      <c r="J841" t="s">
        <v>29</v>
      </c>
      <c r="K841" t="s">
        <v>171</v>
      </c>
    </row>
    <row r="842" spans="1:11">
      <c r="A842" t="s">
        <v>536</v>
      </c>
      <c r="B842">
        <v>1990</v>
      </c>
      <c r="C842" t="s">
        <v>109</v>
      </c>
      <c r="D842">
        <v>89.7</v>
      </c>
      <c r="E842">
        <v>345</v>
      </c>
      <c r="F842">
        <v>240</v>
      </c>
      <c r="G842">
        <v>302.5</v>
      </c>
      <c r="H842">
        <v>887.5</v>
      </c>
      <c r="I842">
        <v>2014</v>
      </c>
      <c r="J842" t="s">
        <v>29</v>
      </c>
      <c r="K842" t="s">
        <v>171</v>
      </c>
    </row>
    <row r="843" spans="1:11">
      <c r="A843" t="s">
        <v>673</v>
      </c>
      <c r="B843">
        <v>1977</v>
      </c>
      <c r="C843" t="s">
        <v>336</v>
      </c>
      <c r="D843">
        <v>125.2</v>
      </c>
      <c r="E843">
        <v>337.5</v>
      </c>
      <c r="F843">
        <v>240</v>
      </c>
      <c r="G843">
        <v>310</v>
      </c>
      <c r="H843">
        <v>887.5</v>
      </c>
      <c r="I843">
        <v>2013</v>
      </c>
      <c r="J843" t="s">
        <v>29</v>
      </c>
      <c r="K843" t="s">
        <v>171</v>
      </c>
    </row>
    <row r="844" spans="1:11">
      <c r="A844" t="s">
        <v>378</v>
      </c>
      <c r="B844">
        <v>1977</v>
      </c>
      <c r="C844" t="s">
        <v>125</v>
      </c>
      <c r="D844">
        <v>92.26</v>
      </c>
      <c r="E844">
        <v>325</v>
      </c>
      <c r="F844">
        <v>265</v>
      </c>
      <c r="G844">
        <v>297.5</v>
      </c>
      <c r="H844">
        <v>887.5</v>
      </c>
      <c r="I844">
        <v>2012</v>
      </c>
      <c r="J844" t="s">
        <v>29</v>
      </c>
      <c r="K844" t="s">
        <v>171</v>
      </c>
    </row>
    <row r="845" spans="1:11">
      <c r="A845" t="s">
        <v>776</v>
      </c>
      <c r="B845">
        <v>1985</v>
      </c>
      <c r="C845" t="s">
        <v>28</v>
      </c>
      <c r="D845">
        <v>82.68</v>
      </c>
      <c r="E845">
        <v>362.5</v>
      </c>
      <c r="F845">
        <v>232.5</v>
      </c>
      <c r="G845">
        <v>290</v>
      </c>
      <c r="H845">
        <v>885</v>
      </c>
      <c r="I845">
        <v>2013</v>
      </c>
      <c r="J845" t="s">
        <v>29</v>
      </c>
      <c r="K845" t="s">
        <v>171</v>
      </c>
    </row>
    <row r="846" spans="1:11">
      <c r="A846" t="s">
        <v>682</v>
      </c>
      <c r="B846">
        <v>1974</v>
      </c>
      <c r="C846" t="s">
        <v>85</v>
      </c>
      <c r="D846">
        <v>73.319999999999993</v>
      </c>
      <c r="E846">
        <v>360</v>
      </c>
      <c r="F846">
        <v>212.5</v>
      </c>
      <c r="G846">
        <v>310</v>
      </c>
      <c r="H846">
        <v>882.5</v>
      </c>
      <c r="I846">
        <v>2014</v>
      </c>
      <c r="J846" t="s">
        <v>29</v>
      </c>
      <c r="K846" t="s">
        <v>171</v>
      </c>
    </row>
    <row r="847" spans="1:11">
      <c r="A847" t="s">
        <v>682</v>
      </c>
      <c r="B847">
        <v>1974</v>
      </c>
      <c r="C847" t="s">
        <v>85</v>
      </c>
      <c r="D847">
        <v>72.849999999999994</v>
      </c>
      <c r="E847">
        <v>360</v>
      </c>
      <c r="F847">
        <v>212.5</v>
      </c>
      <c r="G847">
        <v>310</v>
      </c>
      <c r="H847">
        <v>882.5</v>
      </c>
      <c r="I847">
        <v>2015</v>
      </c>
      <c r="J847" t="s">
        <v>29</v>
      </c>
      <c r="K847" t="s">
        <v>171</v>
      </c>
    </row>
    <row r="848" spans="1:11">
      <c r="A848" t="s">
        <v>778</v>
      </c>
      <c r="B848">
        <v>1972</v>
      </c>
      <c r="C848" t="s">
        <v>49</v>
      </c>
      <c r="D848">
        <v>141.09</v>
      </c>
      <c r="E848">
        <v>350</v>
      </c>
      <c r="F848">
        <v>240</v>
      </c>
      <c r="G848">
        <v>290</v>
      </c>
      <c r="H848">
        <v>880</v>
      </c>
      <c r="I848">
        <v>2012</v>
      </c>
      <c r="J848" t="s">
        <v>29</v>
      </c>
      <c r="K848" t="s">
        <v>171</v>
      </c>
    </row>
    <row r="849" spans="1:11">
      <c r="A849" t="s">
        <v>355</v>
      </c>
      <c r="B849">
        <v>1982</v>
      </c>
      <c r="C849" t="s">
        <v>77</v>
      </c>
      <c r="D849">
        <v>102.14</v>
      </c>
      <c r="E849">
        <v>330</v>
      </c>
      <c r="F849">
        <v>260</v>
      </c>
      <c r="G849">
        <v>290</v>
      </c>
      <c r="H849">
        <v>880</v>
      </c>
      <c r="I849">
        <v>2013</v>
      </c>
      <c r="J849" t="s">
        <v>29</v>
      </c>
      <c r="K849" t="s">
        <v>171</v>
      </c>
    </row>
    <row r="850" spans="1:11">
      <c r="A850" t="s">
        <v>682</v>
      </c>
      <c r="B850">
        <v>1974</v>
      </c>
      <c r="C850" t="s">
        <v>85</v>
      </c>
      <c r="D850">
        <v>72.989999999999995</v>
      </c>
      <c r="E850">
        <v>355</v>
      </c>
      <c r="F850">
        <v>210</v>
      </c>
      <c r="G850">
        <v>310</v>
      </c>
      <c r="H850">
        <v>875</v>
      </c>
      <c r="I850">
        <v>2012</v>
      </c>
      <c r="J850" t="s">
        <v>29</v>
      </c>
      <c r="K850" t="s">
        <v>171</v>
      </c>
    </row>
    <row r="851" spans="1:11">
      <c r="A851" t="s">
        <v>721</v>
      </c>
      <c r="B851">
        <v>1959</v>
      </c>
      <c r="C851" t="s">
        <v>62</v>
      </c>
      <c r="D851">
        <v>91.63</v>
      </c>
      <c r="E851">
        <v>345</v>
      </c>
      <c r="F851">
        <v>225</v>
      </c>
      <c r="G851">
        <v>305</v>
      </c>
      <c r="H851">
        <v>875</v>
      </c>
      <c r="I851">
        <v>2012</v>
      </c>
      <c r="J851" t="s">
        <v>29</v>
      </c>
      <c r="K851" t="s">
        <v>171</v>
      </c>
    </row>
    <row r="852" spans="1:11">
      <c r="A852" t="s">
        <v>621</v>
      </c>
      <c r="B852">
        <v>1982</v>
      </c>
      <c r="C852" t="s">
        <v>80</v>
      </c>
      <c r="D852">
        <v>104.55</v>
      </c>
      <c r="E852">
        <v>350</v>
      </c>
      <c r="F852">
        <v>235</v>
      </c>
      <c r="G852">
        <v>290</v>
      </c>
      <c r="H852">
        <v>875</v>
      </c>
      <c r="I852">
        <v>2015</v>
      </c>
      <c r="J852" t="s">
        <v>29</v>
      </c>
      <c r="K852" t="s">
        <v>171</v>
      </c>
    </row>
    <row r="853" spans="1:11">
      <c r="A853" t="s">
        <v>751</v>
      </c>
      <c r="B853">
        <v>1981</v>
      </c>
      <c r="C853" t="s">
        <v>125</v>
      </c>
      <c r="D853">
        <v>100.55</v>
      </c>
      <c r="E853">
        <v>345</v>
      </c>
      <c r="F853">
        <v>237.5</v>
      </c>
      <c r="G853">
        <v>292.5</v>
      </c>
      <c r="H853">
        <v>875</v>
      </c>
      <c r="I853">
        <v>2015</v>
      </c>
      <c r="J853" t="s">
        <v>29</v>
      </c>
      <c r="K853" t="s">
        <v>171</v>
      </c>
    </row>
    <row r="854" spans="1:11">
      <c r="A854" t="s">
        <v>547</v>
      </c>
      <c r="B854">
        <v>1989</v>
      </c>
      <c r="C854" t="s">
        <v>62</v>
      </c>
      <c r="D854">
        <v>104.66</v>
      </c>
      <c r="E854">
        <v>330</v>
      </c>
      <c r="F854">
        <v>265</v>
      </c>
      <c r="G854">
        <v>280</v>
      </c>
      <c r="H854">
        <v>875</v>
      </c>
      <c r="I854">
        <v>2012</v>
      </c>
      <c r="J854" t="s">
        <v>29</v>
      </c>
      <c r="K854" t="s">
        <v>171</v>
      </c>
    </row>
    <row r="855" spans="1:11">
      <c r="A855" t="s">
        <v>673</v>
      </c>
      <c r="B855">
        <v>1977</v>
      </c>
      <c r="C855" t="s">
        <v>336</v>
      </c>
      <c r="D855">
        <v>126.98</v>
      </c>
      <c r="E855">
        <v>317.5</v>
      </c>
      <c r="F855">
        <v>235</v>
      </c>
      <c r="G855">
        <v>317.5</v>
      </c>
      <c r="H855">
        <v>870</v>
      </c>
      <c r="I855">
        <v>2012</v>
      </c>
      <c r="J855" t="s">
        <v>29</v>
      </c>
      <c r="K855" t="s">
        <v>171</v>
      </c>
    </row>
    <row r="856" spans="1:11">
      <c r="A856" t="s">
        <v>355</v>
      </c>
      <c r="B856">
        <v>1982</v>
      </c>
      <c r="C856" t="s">
        <v>77</v>
      </c>
      <c r="D856">
        <v>101.37</v>
      </c>
      <c r="E856">
        <v>325</v>
      </c>
      <c r="F856">
        <v>245</v>
      </c>
      <c r="G856">
        <v>300</v>
      </c>
      <c r="H856">
        <v>870</v>
      </c>
      <c r="I856">
        <v>2012</v>
      </c>
      <c r="J856" t="s">
        <v>29</v>
      </c>
      <c r="K856" t="s">
        <v>171</v>
      </c>
    </row>
    <row r="857" spans="1:11">
      <c r="A857" t="s">
        <v>379</v>
      </c>
      <c r="B857">
        <v>1981</v>
      </c>
      <c r="C857" t="s">
        <v>380</v>
      </c>
      <c r="D857">
        <v>119.47</v>
      </c>
      <c r="E857">
        <v>300</v>
      </c>
      <c r="F857">
        <v>317.5</v>
      </c>
      <c r="G857">
        <v>250</v>
      </c>
      <c r="H857">
        <v>867.5</v>
      </c>
      <c r="I857">
        <v>2015</v>
      </c>
      <c r="J857" t="s">
        <v>29</v>
      </c>
      <c r="K857" t="s">
        <v>171</v>
      </c>
    </row>
    <row r="858" spans="1:11">
      <c r="A858" t="s">
        <v>481</v>
      </c>
      <c r="B858">
        <v>1986</v>
      </c>
      <c r="C858" t="s">
        <v>28</v>
      </c>
      <c r="D858">
        <v>72.900000000000006</v>
      </c>
      <c r="E858">
        <v>340</v>
      </c>
      <c r="F858">
        <v>202.5</v>
      </c>
      <c r="G858">
        <v>322.5</v>
      </c>
      <c r="H858">
        <v>865</v>
      </c>
      <c r="I858">
        <v>2015</v>
      </c>
      <c r="J858" t="s">
        <v>29</v>
      </c>
      <c r="K858" t="s">
        <v>171</v>
      </c>
    </row>
    <row r="859" spans="1:11">
      <c r="A859" t="s">
        <v>108</v>
      </c>
      <c r="B859">
        <v>1969</v>
      </c>
      <c r="C859" t="s">
        <v>109</v>
      </c>
      <c r="D859">
        <v>113.45</v>
      </c>
      <c r="E859">
        <v>345</v>
      </c>
      <c r="F859">
        <v>210</v>
      </c>
      <c r="G859">
        <v>310</v>
      </c>
      <c r="H859">
        <v>865</v>
      </c>
      <c r="I859">
        <v>2012</v>
      </c>
      <c r="J859" t="s">
        <v>29</v>
      </c>
      <c r="K859" t="s">
        <v>171</v>
      </c>
    </row>
    <row r="860" spans="1:11">
      <c r="A860" t="s">
        <v>433</v>
      </c>
      <c r="B860">
        <v>1959</v>
      </c>
      <c r="C860" t="s">
        <v>390</v>
      </c>
      <c r="D860">
        <v>118.95</v>
      </c>
      <c r="E860">
        <v>350</v>
      </c>
      <c r="F860">
        <v>220</v>
      </c>
      <c r="G860">
        <v>295</v>
      </c>
      <c r="H860">
        <v>865</v>
      </c>
      <c r="I860">
        <v>2012</v>
      </c>
      <c r="J860" t="s">
        <v>29</v>
      </c>
      <c r="K860" t="s">
        <v>171</v>
      </c>
    </row>
    <row r="861" spans="1:11">
      <c r="A861" t="s">
        <v>417</v>
      </c>
      <c r="B861">
        <v>1979</v>
      </c>
      <c r="C861" t="s">
        <v>418</v>
      </c>
      <c r="D861">
        <v>125.94</v>
      </c>
      <c r="E861">
        <v>335</v>
      </c>
      <c r="F861">
        <v>220</v>
      </c>
      <c r="G861">
        <v>310</v>
      </c>
      <c r="H861">
        <v>865</v>
      </c>
      <c r="I861">
        <v>2012</v>
      </c>
      <c r="J861" t="s">
        <v>29</v>
      </c>
      <c r="K861" t="s">
        <v>171</v>
      </c>
    </row>
    <row r="862" spans="1:11">
      <c r="A862" t="s">
        <v>722</v>
      </c>
      <c r="B862">
        <v>1989</v>
      </c>
      <c r="C862" t="s">
        <v>390</v>
      </c>
      <c r="D862">
        <v>135.4</v>
      </c>
      <c r="E862">
        <v>345</v>
      </c>
      <c r="F862">
        <v>250</v>
      </c>
      <c r="G862">
        <v>270</v>
      </c>
      <c r="H862">
        <v>865</v>
      </c>
      <c r="I862">
        <v>2013</v>
      </c>
      <c r="J862" t="s">
        <v>29</v>
      </c>
      <c r="K862" t="s">
        <v>171</v>
      </c>
    </row>
    <row r="863" spans="1:11">
      <c r="A863" t="s">
        <v>579</v>
      </c>
      <c r="B863">
        <v>1979</v>
      </c>
      <c r="C863" t="s">
        <v>45</v>
      </c>
      <c r="D863">
        <v>92.65</v>
      </c>
      <c r="E863">
        <v>330</v>
      </c>
      <c r="F863">
        <v>255</v>
      </c>
      <c r="G863">
        <v>280</v>
      </c>
      <c r="H863">
        <v>865</v>
      </c>
      <c r="I863">
        <v>2015</v>
      </c>
      <c r="J863" t="s">
        <v>29</v>
      </c>
      <c r="K863" t="s">
        <v>171</v>
      </c>
    </row>
    <row r="864" spans="1:11">
      <c r="A864" t="s">
        <v>523</v>
      </c>
      <c r="B864">
        <v>1984</v>
      </c>
      <c r="C864" t="s">
        <v>125</v>
      </c>
      <c r="D864">
        <v>92.52</v>
      </c>
      <c r="E864">
        <v>322.5</v>
      </c>
      <c r="F864">
        <v>250</v>
      </c>
      <c r="G864">
        <v>292.5</v>
      </c>
      <c r="H864">
        <v>865</v>
      </c>
      <c r="I864">
        <v>2013</v>
      </c>
      <c r="J864" t="s">
        <v>29</v>
      </c>
      <c r="K864" t="s">
        <v>171</v>
      </c>
    </row>
    <row r="865" spans="1:11">
      <c r="A865" t="s">
        <v>48</v>
      </c>
      <c r="B865">
        <v>1983</v>
      </c>
      <c r="C865" t="s">
        <v>49</v>
      </c>
      <c r="D865">
        <v>91.59</v>
      </c>
      <c r="E865">
        <v>335</v>
      </c>
      <c r="F865">
        <v>207.5</v>
      </c>
      <c r="G865">
        <v>320</v>
      </c>
      <c r="H865">
        <v>862.5</v>
      </c>
      <c r="I865">
        <v>2012</v>
      </c>
      <c r="J865" t="s">
        <v>29</v>
      </c>
      <c r="K865" t="s">
        <v>171</v>
      </c>
    </row>
    <row r="866" spans="1:11">
      <c r="A866" t="s">
        <v>773</v>
      </c>
      <c r="B866">
        <v>1991</v>
      </c>
      <c r="C866" t="s">
        <v>194</v>
      </c>
      <c r="D866">
        <v>104.7</v>
      </c>
      <c r="E866">
        <v>337.5</v>
      </c>
      <c r="F866">
        <v>225</v>
      </c>
      <c r="G866">
        <v>300</v>
      </c>
      <c r="H866">
        <v>862.5</v>
      </c>
      <c r="I866">
        <v>2012</v>
      </c>
      <c r="J866" t="s">
        <v>29</v>
      </c>
      <c r="K866" t="s">
        <v>171</v>
      </c>
    </row>
    <row r="867" spans="1:11">
      <c r="A867" t="s">
        <v>751</v>
      </c>
      <c r="B867">
        <v>1981</v>
      </c>
      <c r="C867" t="s">
        <v>125</v>
      </c>
      <c r="D867">
        <v>97.32</v>
      </c>
      <c r="E867">
        <v>335</v>
      </c>
      <c r="F867">
        <v>232.5</v>
      </c>
      <c r="G867">
        <v>295</v>
      </c>
      <c r="H867">
        <v>862.5</v>
      </c>
      <c r="I867">
        <v>2014</v>
      </c>
      <c r="J867" t="s">
        <v>29</v>
      </c>
      <c r="K867" t="s">
        <v>171</v>
      </c>
    </row>
    <row r="868" spans="1:11">
      <c r="A868" t="s">
        <v>551</v>
      </c>
      <c r="B868">
        <v>1985</v>
      </c>
      <c r="C868" t="s">
        <v>109</v>
      </c>
      <c r="D868">
        <v>92.58</v>
      </c>
      <c r="E868">
        <v>322.5</v>
      </c>
      <c r="F868">
        <v>237.5</v>
      </c>
      <c r="G868">
        <v>302.5</v>
      </c>
      <c r="H868">
        <v>862.5</v>
      </c>
      <c r="I868">
        <v>2014</v>
      </c>
      <c r="J868" t="s">
        <v>29</v>
      </c>
      <c r="K868" t="s">
        <v>171</v>
      </c>
    </row>
    <row r="869" spans="1:11">
      <c r="A869" t="s">
        <v>101</v>
      </c>
      <c r="B869">
        <v>1987</v>
      </c>
      <c r="C869" t="s">
        <v>77</v>
      </c>
      <c r="D869">
        <v>93</v>
      </c>
      <c r="E869">
        <v>340</v>
      </c>
      <c r="F869">
        <v>270</v>
      </c>
      <c r="G869">
        <v>252.5</v>
      </c>
      <c r="H869">
        <v>862.5</v>
      </c>
      <c r="I869">
        <v>2015</v>
      </c>
      <c r="J869" t="s">
        <v>29</v>
      </c>
      <c r="K869" t="s">
        <v>171</v>
      </c>
    </row>
    <row r="870" spans="1:11">
      <c r="A870" t="s">
        <v>447</v>
      </c>
      <c r="B870">
        <v>1988</v>
      </c>
      <c r="C870" t="s">
        <v>62</v>
      </c>
      <c r="D870">
        <v>82.32</v>
      </c>
      <c r="E870">
        <v>320</v>
      </c>
      <c r="F870">
        <v>255</v>
      </c>
      <c r="G870">
        <v>285</v>
      </c>
      <c r="H870">
        <v>860</v>
      </c>
      <c r="I870">
        <v>2014</v>
      </c>
      <c r="J870" t="s">
        <v>29</v>
      </c>
      <c r="K870" t="s">
        <v>171</v>
      </c>
    </row>
    <row r="871" spans="1:11">
      <c r="A871" t="s">
        <v>695</v>
      </c>
      <c r="B871">
        <v>1982</v>
      </c>
      <c r="C871" t="s">
        <v>51</v>
      </c>
      <c r="D871">
        <v>82.87</v>
      </c>
      <c r="E871">
        <v>332.5</v>
      </c>
      <c r="F871">
        <v>230</v>
      </c>
      <c r="G871">
        <v>295</v>
      </c>
      <c r="H871">
        <v>857.5</v>
      </c>
      <c r="I871">
        <v>2012</v>
      </c>
      <c r="J871" t="s">
        <v>29</v>
      </c>
      <c r="K871" t="s">
        <v>171</v>
      </c>
    </row>
    <row r="872" spans="1:11">
      <c r="A872" t="s">
        <v>454</v>
      </c>
      <c r="B872">
        <v>1975</v>
      </c>
      <c r="C872" t="s">
        <v>49</v>
      </c>
      <c r="D872">
        <v>101.56</v>
      </c>
      <c r="E872">
        <v>350</v>
      </c>
      <c r="F872">
        <v>220</v>
      </c>
      <c r="G872">
        <v>285</v>
      </c>
      <c r="H872">
        <v>855</v>
      </c>
      <c r="I872">
        <v>2014</v>
      </c>
      <c r="J872" t="s">
        <v>29</v>
      </c>
      <c r="K872" t="s">
        <v>171</v>
      </c>
    </row>
    <row r="873" spans="1:11">
      <c r="A873" t="s">
        <v>511</v>
      </c>
      <c r="B873">
        <v>1978</v>
      </c>
      <c r="C873" t="s">
        <v>56</v>
      </c>
      <c r="D873">
        <v>139.46</v>
      </c>
      <c r="E873">
        <v>340</v>
      </c>
      <c r="F873">
        <v>215</v>
      </c>
      <c r="G873">
        <v>300</v>
      </c>
      <c r="H873">
        <v>855</v>
      </c>
      <c r="I873">
        <v>2015</v>
      </c>
      <c r="J873" t="s">
        <v>29</v>
      </c>
      <c r="K873" t="s">
        <v>171</v>
      </c>
    </row>
    <row r="874" spans="1:11">
      <c r="A874" t="s">
        <v>355</v>
      </c>
      <c r="B874">
        <v>1982</v>
      </c>
      <c r="C874" t="s">
        <v>77</v>
      </c>
      <c r="D874">
        <v>102.02</v>
      </c>
      <c r="E874">
        <v>315</v>
      </c>
      <c r="F874">
        <v>255</v>
      </c>
      <c r="G874">
        <v>285</v>
      </c>
      <c r="H874">
        <v>855</v>
      </c>
      <c r="I874">
        <v>2014</v>
      </c>
      <c r="J874" t="s">
        <v>29</v>
      </c>
      <c r="K874" t="s">
        <v>171</v>
      </c>
    </row>
    <row r="875" spans="1:11">
      <c r="A875" t="s">
        <v>492</v>
      </c>
      <c r="B875">
        <v>1990</v>
      </c>
      <c r="C875" t="s">
        <v>109</v>
      </c>
      <c r="D875">
        <v>104.39</v>
      </c>
      <c r="E875">
        <v>342.5</v>
      </c>
      <c r="F875">
        <v>232.5</v>
      </c>
      <c r="G875">
        <v>277.5</v>
      </c>
      <c r="H875">
        <v>852.5</v>
      </c>
      <c r="I875">
        <v>2015</v>
      </c>
      <c r="J875" t="s">
        <v>29</v>
      </c>
      <c r="K875" t="s">
        <v>171</v>
      </c>
    </row>
    <row r="876" spans="1:11">
      <c r="A876" t="s">
        <v>565</v>
      </c>
      <c r="B876">
        <v>1988</v>
      </c>
      <c r="C876" t="s">
        <v>125</v>
      </c>
      <c r="D876">
        <v>119.05</v>
      </c>
      <c r="E876">
        <v>290</v>
      </c>
      <c r="F876">
        <v>247.5</v>
      </c>
      <c r="G876">
        <v>315</v>
      </c>
      <c r="H876">
        <v>852.5</v>
      </c>
      <c r="I876">
        <v>2013</v>
      </c>
      <c r="J876" t="s">
        <v>29</v>
      </c>
      <c r="K876" t="s">
        <v>171</v>
      </c>
    </row>
    <row r="877" spans="1:11">
      <c r="A877" t="s">
        <v>448</v>
      </c>
      <c r="B877">
        <v>1989</v>
      </c>
      <c r="C877" t="s">
        <v>62</v>
      </c>
      <c r="D877">
        <v>82.91</v>
      </c>
      <c r="E877">
        <v>340</v>
      </c>
      <c r="F877">
        <v>190</v>
      </c>
      <c r="G877">
        <v>320</v>
      </c>
      <c r="H877">
        <v>850</v>
      </c>
      <c r="I877">
        <v>2012</v>
      </c>
      <c r="J877" t="s">
        <v>29</v>
      </c>
      <c r="K877" t="s">
        <v>171</v>
      </c>
    </row>
    <row r="878" spans="1:11">
      <c r="A878" t="s">
        <v>816</v>
      </c>
      <c r="B878">
        <v>1978</v>
      </c>
      <c r="C878" t="s">
        <v>352</v>
      </c>
      <c r="D878">
        <v>82.53</v>
      </c>
      <c r="E878">
        <v>325</v>
      </c>
      <c r="F878">
        <v>200</v>
      </c>
      <c r="G878">
        <v>325</v>
      </c>
      <c r="H878">
        <v>850</v>
      </c>
      <c r="I878">
        <v>2012</v>
      </c>
      <c r="J878" t="s">
        <v>29</v>
      </c>
      <c r="K878" t="s">
        <v>171</v>
      </c>
    </row>
    <row r="879" spans="1:11">
      <c r="A879" t="s">
        <v>652</v>
      </c>
      <c r="B879">
        <v>1978</v>
      </c>
      <c r="C879" t="s">
        <v>653</v>
      </c>
      <c r="D879">
        <v>82.07</v>
      </c>
      <c r="E879">
        <v>300</v>
      </c>
      <c r="F879">
        <v>220</v>
      </c>
      <c r="G879">
        <v>330</v>
      </c>
      <c r="H879">
        <v>850</v>
      </c>
      <c r="I879">
        <v>2012</v>
      </c>
      <c r="J879" t="s">
        <v>29</v>
      </c>
      <c r="K879" t="s">
        <v>171</v>
      </c>
    </row>
    <row r="880" spans="1:11">
      <c r="A880" t="s">
        <v>354</v>
      </c>
      <c r="B880">
        <v>1985</v>
      </c>
      <c r="C880" t="s">
        <v>349</v>
      </c>
      <c r="D880">
        <v>117.14</v>
      </c>
      <c r="E880">
        <v>300</v>
      </c>
      <c r="F880">
        <v>240</v>
      </c>
      <c r="G880">
        <v>310</v>
      </c>
      <c r="H880">
        <v>850</v>
      </c>
      <c r="I880">
        <v>2013</v>
      </c>
      <c r="J880" t="s">
        <v>29</v>
      </c>
      <c r="K880" t="s">
        <v>171</v>
      </c>
    </row>
    <row r="881" spans="1:11">
      <c r="A881" t="s">
        <v>528</v>
      </c>
      <c r="B881">
        <v>1993</v>
      </c>
      <c r="C881" t="s">
        <v>77</v>
      </c>
      <c r="D881">
        <v>92.39</v>
      </c>
      <c r="E881">
        <v>300</v>
      </c>
      <c r="F881">
        <v>280</v>
      </c>
      <c r="G881">
        <v>270</v>
      </c>
      <c r="H881">
        <v>850</v>
      </c>
      <c r="I881">
        <v>2015</v>
      </c>
      <c r="J881" t="s">
        <v>29</v>
      </c>
      <c r="K881" t="s">
        <v>171</v>
      </c>
    </row>
    <row r="882" spans="1:11">
      <c r="A882" t="s">
        <v>374</v>
      </c>
      <c r="B882">
        <v>1984</v>
      </c>
      <c r="C882" t="s">
        <v>51</v>
      </c>
      <c r="D882">
        <v>112.25</v>
      </c>
      <c r="E882">
        <v>290</v>
      </c>
      <c r="F882">
        <v>252.5</v>
      </c>
      <c r="G882">
        <v>305</v>
      </c>
      <c r="H882">
        <v>847.5</v>
      </c>
      <c r="I882">
        <v>2013</v>
      </c>
      <c r="J882" t="s">
        <v>29</v>
      </c>
      <c r="K882" t="s">
        <v>171</v>
      </c>
    </row>
    <row r="883" spans="1:11">
      <c r="A883" t="s">
        <v>667</v>
      </c>
      <c r="B883">
        <v>1970</v>
      </c>
      <c r="C883" t="s">
        <v>49</v>
      </c>
      <c r="D883">
        <v>119.14</v>
      </c>
      <c r="E883">
        <v>355</v>
      </c>
      <c r="F883">
        <v>190</v>
      </c>
      <c r="G883">
        <v>300</v>
      </c>
      <c r="H883">
        <v>845</v>
      </c>
      <c r="I883">
        <v>2014</v>
      </c>
      <c r="J883" t="s">
        <v>29</v>
      </c>
      <c r="K883" t="s">
        <v>171</v>
      </c>
    </row>
    <row r="884" spans="1:11">
      <c r="A884" t="s">
        <v>738</v>
      </c>
      <c r="B884">
        <v>1989</v>
      </c>
      <c r="C884" t="s">
        <v>282</v>
      </c>
      <c r="D884">
        <v>114.62</v>
      </c>
      <c r="E884">
        <v>345</v>
      </c>
      <c r="F884">
        <v>222.5</v>
      </c>
      <c r="G884">
        <v>275</v>
      </c>
      <c r="H884">
        <v>842.5</v>
      </c>
      <c r="I884">
        <v>2014</v>
      </c>
      <c r="J884" t="s">
        <v>29</v>
      </c>
      <c r="K884" t="s">
        <v>171</v>
      </c>
    </row>
    <row r="885" spans="1:11">
      <c r="A885" t="s">
        <v>481</v>
      </c>
      <c r="B885">
        <v>1986</v>
      </c>
      <c r="C885" t="s">
        <v>28</v>
      </c>
      <c r="D885">
        <v>73.16</v>
      </c>
      <c r="E885">
        <v>310</v>
      </c>
      <c r="F885">
        <v>207.5</v>
      </c>
      <c r="G885">
        <v>325</v>
      </c>
      <c r="H885">
        <v>842.5</v>
      </c>
      <c r="I885">
        <v>2014</v>
      </c>
      <c r="J885" t="s">
        <v>29</v>
      </c>
      <c r="K885" t="s">
        <v>171</v>
      </c>
    </row>
    <row r="886" spans="1:11">
      <c r="A886" t="s">
        <v>362</v>
      </c>
      <c r="B886">
        <v>1978</v>
      </c>
      <c r="C886" t="s">
        <v>77</v>
      </c>
      <c r="D886">
        <v>90.4</v>
      </c>
      <c r="E886">
        <v>305</v>
      </c>
      <c r="F886">
        <v>240</v>
      </c>
      <c r="G886">
        <v>295</v>
      </c>
      <c r="H886">
        <v>840</v>
      </c>
      <c r="I886">
        <v>2014</v>
      </c>
      <c r="J886" t="s">
        <v>29</v>
      </c>
      <c r="K886" t="s">
        <v>171</v>
      </c>
    </row>
    <row r="887" spans="1:11">
      <c r="A887" t="s">
        <v>414</v>
      </c>
      <c r="B887">
        <v>1987</v>
      </c>
      <c r="C887" t="s">
        <v>336</v>
      </c>
      <c r="D887">
        <v>92.8</v>
      </c>
      <c r="E887">
        <v>320</v>
      </c>
      <c r="F887">
        <v>180</v>
      </c>
      <c r="G887">
        <v>337.5</v>
      </c>
      <c r="H887">
        <v>837.5</v>
      </c>
      <c r="I887">
        <v>2012</v>
      </c>
      <c r="J887" t="s">
        <v>29</v>
      </c>
      <c r="K887" t="s">
        <v>171</v>
      </c>
    </row>
    <row r="888" spans="1:11">
      <c r="A888" t="s">
        <v>813</v>
      </c>
      <c r="B888">
        <v>1978</v>
      </c>
      <c r="C888" t="s">
        <v>239</v>
      </c>
      <c r="D888">
        <v>92.83</v>
      </c>
      <c r="E888">
        <v>325</v>
      </c>
      <c r="F888">
        <v>200</v>
      </c>
      <c r="G888">
        <v>312.5</v>
      </c>
      <c r="H888">
        <v>837.5</v>
      </c>
      <c r="I888">
        <v>2012</v>
      </c>
      <c r="J888" t="s">
        <v>29</v>
      </c>
      <c r="K888" t="s">
        <v>171</v>
      </c>
    </row>
    <row r="889" spans="1:11">
      <c r="A889" t="s">
        <v>484</v>
      </c>
      <c r="B889">
        <v>1975</v>
      </c>
      <c r="C889" t="s">
        <v>485</v>
      </c>
      <c r="D889">
        <v>91.28</v>
      </c>
      <c r="E889">
        <v>320</v>
      </c>
      <c r="F889">
        <v>237.5</v>
      </c>
      <c r="G889">
        <v>280</v>
      </c>
      <c r="H889">
        <v>837.5</v>
      </c>
      <c r="I889">
        <v>2014</v>
      </c>
      <c r="J889" t="s">
        <v>29</v>
      </c>
      <c r="K889" t="s">
        <v>171</v>
      </c>
    </row>
    <row r="890" spans="1:11">
      <c r="A890" t="s">
        <v>769</v>
      </c>
      <c r="B890">
        <v>1984</v>
      </c>
      <c r="C890" t="s">
        <v>49</v>
      </c>
      <c r="D890">
        <v>82.7</v>
      </c>
      <c r="E890">
        <v>310</v>
      </c>
      <c r="F890">
        <v>252.5</v>
      </c>
      <c r="G890">
        <v>275</v>
      </c>
      <c r="H890">
        <v>837.5</v>
      </c>
      <c r="I890">
        <v>2014</v>
      </c>
      <c r="J890" t="s">
        <v>29</v>
      </c>
      <c r="K890" t="s">
        <v>171</v>
      </c>
    </row>
    <row r="891" spans="1:11">
      <c r="A891" t="s">
        <v>501</v>
      </c>
      <c r="B891">
        <v>1990</v>
      </c>
      <c r="C891" t="s">
        <v>137</v>
      </c>
      <c r="D891">
        <v>92.99</v>
      </c>
      <c r="E891">
        <v>315</v>
      </c>
      <c r="F891">
        <v>240</v>
      </c>
      <c r="G891">
        <v>280</v>
      </c>
      <c r="H891">
        <v>835</v>
      </c>
      <c r="I891">
        <v>2015</v>
      </c>
      <c r="J891" t="s">
        <v>29</v>
      </c>
      <c r="K891" t="s">
        <v>171</v>
      </c>
    </row>
    <row r="892" spans="1:11">
      <c r="A892" t="s">
        <v>375</v>
      </c>
      <c r="B892">
        <v>1989</v>
      </c>
      <c r="C892" t="s">
        <v>119</v>
      </c>
      <c r="D892">
        <v>73.73</v>
      </c>
      <c r="E892">
        <v>325</v>
      </c>
      <c r="F892">
        <v>230</v>
      </c>
      <c r="G892">
        <v>277.5</v>
      </c>
      <c r="H892">
        <v>832.5</v>
      </c>
      <c r="I892">
        <v>2015</v>
      </c>
      <c r="J892" t="s">
        <v>29</v>
      </c>
      <c r="K892" t="s">
        <v>171</v>
      </c>
    </row>
    <row r="893" spans="1:11">
      <c r="A893" t="s">
        <v>731</v>
      </c>
      <c r="B893">
        <v>1988</v>
      </c>
      <c r="C893" t="s">
        <v>318</v>
      </c>
      <c r="D893">
        <v>138.29</v>
      </c>
      <c r="E893">
        <v>325</v>
      </c>
      <c r="F893">
        <v>215</v>
      </c>
      <c r="G893">
        <v>290</v>
      </c>
      <c r="H893">
        <v>830</v>
      </c>
      <c r="I893">
        <v>2012</v>
      </c>
      <c r="J893" t="s">
        <v>29</v>
      </c>
      <c r="K893" t="s">
        <v>171</v>
      </c>
    </row>
    <row r="894" spans="1:11">
      <c r="A894" t="s">
        <v>547</v>
      </c>
      <c r="B894">
        <v>1989</v>
      </c>
      <c r="C894" t="s">
        <v>62</v>
      </c>
      <c r="D894">
        <v>92.49</v>
      </c>
      <c r="E894">
        <v>305</v>
      </c>
      <c r="F894">
        <v>245</v>
      </c>
      <c r="G894">
        <v>280</v>
      </c>
      <c r="H894">
        <v>830</v>
      </c>
      <c r="I894">
        <v>2013</v>
      </c>
      <c r="J894" t="s">
        <v>29</v>
      </c>
      <c r="K894" t="s">
        <v>171</v>
      </c>
    </row>
    <row r="895" spans="1:11">
      <c r="A895" t="s">
        <v>447</v>
      </c>
      <c r="B895">
        <v>1988</v>
      </c>
      <c r="C895" t="s">
        <v>62</v>
      </c>
      <c r="D895">
        <v>73.72</v>
      </c>
      <c r="E895">
        <v>310</v>
      </c>
      <c r="F895">
        <v>222.5</v>
      </c>
      <c r="G895">
        <v>295</v>
      </c>
      <c r="H895">
        <v>827.5</v>
      </c>
      <c r="I895">
        <v>2012</v>
      </c>
      <c r="J895" t="s">
        <v>29</v>
      </c>
      <c r="K895" t="s">
        <v>171</v>
      </c>
    </row>
    <row r="896" spans="1:11">
      <c r="A896" t="s">
        <v>362</v>
      </c>
      <c r="B896">
        <v>1978</v>
      </c>
      <c r="C896" t="s">
        <v>77</v>
      </c>
      <c r="D896">
        <v>89.6</v>
      </c>
      <c r="E896">
        <v>307.5</v>
      </c>
      <c r="F896">
        <v>230</v>
      </c>
      <c r="G896">
        <v>290</v>
      </c>
      <c r="H896">
        <v>827.5</v>
      </c>
      <c r="I896">
        <v>2013</v>
      </c>
      <c r="J896" t="s">
        <v>29</v>
      </c>
      <c r="K896" t="s">
        <v>171</v>
      </c>
    </row>
    <row r="897" spans="1:11">
      <c r="A897" t="s">
        <v>672</v>
      </c>
      <c r="B897">
        <v>1984</v>
      </c>
      <c r="C897" t="s">
        <v>54</v>
      </c>
      <c r="D897">
        <v>92.2</v>
      </c>
      <c r="E897">
        <v>330</v>
      </c>
      <c r="F897">
        <v>212.5</v>
      </c>
      <c r="G897">
        <v>282.5</v>
      </c>
      <c r="H897">
        <v>825</v>
      </c>
      <c r="I897">
        <v>2012</v>
      </c>
      <c r="J897" t="s">
        <v>29</v>
      </c>
      <c r="K897" t="s">
        <v>171</v>
      </c>
    </row>
    <row r="898" spans="1:11">
      <c r="A898" t="s">
        <v>362</v>
      </c>
      <c r="B898">
        <v>1978</v>
      </c>
      <c r="C898" t="s">
        <v>77</v>
      </c>
      <c r="D898">
        <v>87.76</v>
      </c>
      <c r="E898">
        <v>310</v>
      </c>
      <c r="F898">
        <v>225</v>
      </c>
      <c r="G898">
        <v>290</v>
      </c>
      <c r="H898">
        <v>825</v>
      </c>
      <c r="I898">
        <v>2012</v>
      </c>
      <c r="J898" t="s">
        <v>29</v>
      </c>
      <c r="K898" t="s">
        <v>171</v>
      </c>
    </row>
    <row r="899" spans="1:11">
      <c r="A899" t="s">
        <v>573</v>
      </c>
      <c r="B899">
        <v>1985</v>
      </c>
      <c r="C899" t="s">
        <v>380</v>
      </c>
      <c r="D899">
        <v>101.36</v>
      </c>
      <c r="E899">
        <v>320</v>
      </c>
      <c r="F899">
        <v>250</v>
      </c>
      <c r="G899">
        <v>255</v>
      </c>
      <c r="H899">
        <v>825</v>
      </c>
      <c r="I899">
        <v>2013</v>
      </c>
      <c r="J899" t="s">
        <v>29</v>
      </c>
      <c r="K899" t="s">
        <v>171</v>
      </c>
    </row>
    <row r="900" spans="1:11">
      <c r="A900" t="s">
        <v>697</v>
      </c>
      <c r="B900">
        <v>1973</v>
      </c>
      <c r="C900" t="s">
        <v>485</v>
      </c>
      <c r="D900">
        <v>101.77</v>
      </c>
      <c r="E900">
        <v>307.5</v>
      </c>
      <c r="F900">
        <v>247.5</v>
      </c>
      <c r="G900">
        <v>270</v>
      </c>
      <c r="H900">
        <v>825</v>
      </c>
      <c r="I900">
        <v>2012</v>
      </c>
      <c r="J900" t="s">
        <v>29</v>
      </c>
      <c r="K900" t="s">
        <v>171</v>
      </c>
    </row>
    <row r="901" spans="1:11">
      <c r="A901" t="s">
        <v>496</v>
      </c>
      <c r="B901">
        <v>1979</v>
      </c>
      <c r="C901" t="s">
        <v>119</v>
      </c>
      <c r="D901">
        <v>73.540000000000006</v>
      </c>
      <c r="E901">
        <v>300</v>
      </c>
      <c r="F901">
        <v>197.5</v>
      </c>
      <c r="G901">
        <v>323</v>
      </c>
      <c r="H901">
        <v>820.5</v>
      </c>
      <c r="I901">
        <v>2014</v>
      </c>
      <c r="J901" t="s">
        <v>29</v>
      </c>
      <c r="K901" t="s">
        <v>171</v>
      </c>
    </row>
    <row r="902" spans="1:11">
      <c r="A902" t="s">
        <v>580</v>
      </c>
      <c r="B902">
        <v>1975</v>
      </c>
      <c r="C902" t="s">
        <v>77</v>
      </c>
      <c r="D902">
        <v>82.2</v>
      </c>
      <c r="E902">
        <v>322.5</v>
      </c>
      <c r="F902">
        <v>207.5</v>
      </c>
      <c r="G902">
        <v>290</v>
      </c>
      <c r="H902">
        <v>820</v>
      </c>
      <c r="I902">
        <v>2015</v>
      </c>
      <c r="J902" t="s">
        <v>29</v>
      </c>
      <c r="K902" t="s">
        <v>171</v>
      </c>
    </row>
    <row r="903" spans="1:11">
      <c r="A903" t="s">
        <v>738</v>
      </c>
      <c r="B903">
        <v>1989</v>
      </c>
      <c r="C903" t="s">
        <v>282</v>
      </c>
      <c r="D903">
        <v>118.1</v>
      </c>
      <c r="E903">
        <v>330</v>
      </c>
      <c r="F903">
        <v>217.5</v>
      </c>
      <c r="G903">
        <v>270</v>
      </c>
      <c r="H903">
        <v>817.5</v>
      </c>
      <c r="I903">
        <v>2013</v>
      </c>
      <c r="J903" t="s">
        <v>29</v>
      </c>
      <c r="K903" t="s">
        <v>171</v>
      </c>
    </row>
    <row r="904" spans="1:11">
      <c r="A904" t="s">
        <v>456</v>
      </c>
      <c r="B904">
        <v>1988</v>
      </c>
      <c r="C904" t="s">
        <v>349</v>
      </c>
      <c r="D904">
        <v>159</v>
      </c>
      <c r="E904">
        <v>250</v>
      </c>
      <c r="F904">
        <v>215</v>
      </c>
      <c r="G904">
        <v>352.5</v>
      </c>
      <c r="H904">
        <v>817.5</v>
      </c>
      <c r="I904">
        <v>2013</v>
      </c>
      <c r="J904" t="s">
        <v>29</v>
      </c>
      <c r="K904" t="s">
        <v>171</v>
      </c>
    </row>
    <row r="905" spans="1:11">
      <c r="A905" t="s">
        <v>497</v>
      </c>
      <c r="B905">
        <v>1979</v>
      </c>
      <c r="C905" t="s">
        <v>119</v>
      </c>
      <c r="D905">
        <v>73.77</v>
      </c>
      <c r="E905">
        <v>305</v>
      </c>
      <c r="F905">
        <v>197.5</v>
      </c>
      <c r="G905">
        <v>312.5</v>
      </c>
      <c r="H905">
        <v>815</v>
      </c>
      <c r="I905">
        <v>2013</v>
      </c>
      <c r="J905" t="s">
        <v>29</v>
      </c>
      <c r="K905" t="s">
        <v>171</v>
      </c>
    </row>
    <row r="906" spans="1:11">
      <c r="A906" t="s">
        <v>824</v>
      </c>
      <c r="B906">
        <v>1981</v>
      </c>
      <c r="C906" t="s">
        <v>125</v>
      </c>
      <c r="D906">
        <v>82.8</v>
      </c>
      <c r="E906">
        <v>300</v>
      </c>
      <c r="F906">
        <v>212.5</v>
      </c>
      <c r="G906">
        <v>302.5</v>
      </c>
      <c r="H906">
        <v>815</v>
      </c>
      <c r="I906">
        <v>2013</v>
      </c>
      <c r="J906" t="s">
        <v>29</v>
      </c>
      <c r="K906" t="s">
        <v>171</v>
      </c>
    </row>
    <row r="907" spans="1:11">
      <c r="A907" t="s">
        <v>535</v>
      </c>
      <c r="B907">
        <v>1981</v>
      </c>
      <c r="C907" t="s">
        <v>74</v>
      </c>
      <c r="D907">
        <v>73.63</v>
      </c>
      <c r="E907">
        <v>285</v>
      </c>
      <c r="F907">
        <v>215</v>
      </c>
      <c r="G907">
        <v>312.5</v>
      </c>
      <c r="H907">
        <v>812.5</v>
      </c>
      <c r="I907">
        <v>2013</v>
      </c>
      <c r="J907" t="s">
        <v>29</v>
      </c>
      <c r="K907" t="s">
        <v>171</v>
      </c>
    </row>
    <row r="908" spans="1:11">
      <c r="A908" t="s">
        <v>654</v>
      </c>
      <c r="B908">
        <v>1972</v>
      </c>
      <c r="C908" t="s">
        <v>77</v>
      </c>
      <c r="D908">
        <v>82.53</v>
      </c>
      <c r="E908">
        <v>305</v>
      </c>
      <c r="F908">
        <v>237.5</v>
      </c>
      <c r="G908">
        <v>270</v>
      </c>
      <c r="H908">
        <v>812.5</v>
      </c>
      <c r="I908">
        <v>2012</v>
      </c>
      <c r="J908" t="s">
        <v>29</v>
      </c>
      <c r="K908" t="s">
        <v>171</v>
      </c>
    </row>
    <row r="909" spans="1:11">
      <c r="A909" t="s">
        <v>548</v>
      </c>
      <c r="B909">
        <v>1981</v>
      </c>
      <c r="C909" t="s">
        <v>56</v>
      </c>
      <c r="D909">
        <v>104.1</v>
      </c>
      <c r="E909">
        <v>320</v>
      </c>
      <c r="F909">
        <v>175</v>
      </c>
      <c r="G909">
        <v>315</v>
      </c>
      <c r="H909">
        <v>810</v>
      </c>
      <c r="I909">
        <v>2012</v>
      </c>
      <c r="J909" t="s">
        <v>29</v>
      </c>
      <c r="K909" t="s">
        <v>171</v>
      </c>
    </row>
    <row r="910" spans="1:11">
      <c r="A910" t="s">
        <v>438</v>
      </c>
      <c r="B910">
        <v>1991</v>
      </c>
      <c r="C910" t="s">
        <v>125</v>
      </c>
      <c r="D910">
        <v>81.47</v>
      </c>
      <c r="E910">
        <v>337.5</v>
      </c>
      <c r="F910">
        <v>210</v>
      </c>
      <c r="G910">
        <v>262.5</v>
      </c>
      <c r="H910">
        <v>810</v>
      </c>
      <c r="I910">
        <v>2015</v>
      </c>
      <c r="J910" t="s">
        <v>29</v>
      </c>
      <c r="K910" t="s">
        <v>171</v>
      </c>
    </row>
    <row r="911" spans="1:11">
      <c r="A911" t="s">
        <v>490</v>
      </c>
      <c r="B911">
        <v>1989</v>
      </c>
      <c r="C911" t="s">
        <v>28</v>
      </c>
      <c r="D911">
        <v>65.94</v>
      </c>
      <c r="E911">
        <v>315</v>
      </c>
      <c r="F911">
        <v>205</v>
      </c>
      <c r="G911">
        <v>290</v>
      </c>
      <c r="H911">
        <v>810</v>
      </c>
      <c r="I911">
        <v>2012</v>
      </c>
      <c r="J911" t="s">
        <v>29</v>
      </c>
      <c r="K911" t="s">
        <v>171</v>
      </c>
    </row>
    <row r="912" spans="1:11">
      <c r="A912" t="s">
        <v>136</v>
      </c>
      <c r="B912">
        <v>1987</v>
      </c>
      <c r="C912" t="s">
        <v>137</v>
      </c>
      <c r="D912">
        <v>82.2</v>
      </c>
      <c r="E912">
        <v>317.5</v>
      </c>
      <c r="F912">
        <v>207.5</v>
      </c>
      <c r="G912">
        <v>285</v>
      </c>
      <c r="H912">
        <v>810</v>
      </c>
      <c r="I912">
        <v>2012</v>
      </c>
      <c r="J912" t="s">
        <v>29</v>
      </c>
      <c r="K912" t="s">
        <v>171</v>
      </c>
    </row>
    <row r="913" spans="1:11">
      <c r="A913" t="s">
        <v>740</v>
      </c>
      <c r="B913">
        <v>1982</v>
      </c>
      <c r="C913" t="s">
        <v>274</v>
      </c>
      <c r="D913">
        <v>83</v>
      </c>
      <c r="E913">
        <v>302.5</v>
      </c>
      <c r="F913">
        <v>200</v>
      </c>
      <c r="G913">
        <v>307.5</v>
      </c>
      <c r="H913">
        <v>810</v>
      </c>
      <c r="I913">
        <v>2015</v>
      </c>
      <c r="J913" t="s">
        <v>29</v>
      </c>
      <c r="K913" t="s">
        <v>171</v>
      </c>
    </row>
    <row r="914" spans="1:11">
      <c r="A914" t="s">
        <v>811</v>
      </c>
      <c r="B914">
        <v>1981</v>
      </c>
      <c r="C914" t="s">
        <v>318</v>
      </c>
      <c r="D914">
        <v>104.02</v>
      </c>
      <c r="E914">
        <v>310</v>
      </c>
      <c r="F914">
        <v>227.5</v>
      </c>
      <c r="G914">
        <v>272.5</v>
      </c>
      <c r="H914">
        <v>810</v>
      </c>
      <c r="I914">
        <v>2013</v>
      </c>
      <c r="J914" t="s">
        <v>29</v>
      </c>
      <c r="K914" t="s">
        <v>171</v>
      </c>
    </row>
    <row r="915" spans="1:11">
      <c r="A915" t="s">
        <v>417</v>
      </c>
      <c r="B915">
        <v>1979</v>
      </c>
      <c r="C915" t="s">
        <v>418</v>
      </c>
      <c r="D915">
        <v>103.64</v>
      </c>
      <c r="E915">
        <v>300</v>
      </c>
      <c r="F915">
        <v>190</v>
      </c>
      <c r="G915">
        <v>317.5</v>
      </c>
      <c r="H915">
        <v>807.5</v>
      </c>
      <c r="I915">
        <v>2014</v>
      </c>
      <c r="J915" t="s">
        <v>29</v>
      </c>
      <c r="K915" t="s">
        <v>171</v>
      </c>
    </row>
    <row r="916" spans="1:11">
      <c r="A916" t="s">
        <v>725</v>
      </c>
      <c r="B916">
        <v>1986</v>
      </c>
      <c r="C916" t="s">
        <v>45</v>
      </c>
      <c r="D916">
        <v>73.91</v>
      </c>
      <c r="E916">
        <v>310</v>
      </c>
      <c r="F916">
        <v>230</v>
      </c>
      <c r="G916">
        <v>267.5</v>
      </c>
      <c r="H916">
        <v>807.5</v>
      </c>
      <c r="I916">
        <v>2015</v>
      </c>
      <c r="J916" t="s">
        <v>29</v>
      </c>
      <c r="K916" t="s">
        <v>171</v>
      </c>
    </row>
    <row r="917" spans="1:11">
      <c r="A917" t="s">
        <v>707</v>
      </c>
      <c r="B917">
        <v>1988</v>
      </c>
      <c r="C917" t="s">
        <v>39</v>
      </c>
      <c r="D917">
        <v>73.23</v>
      </c>
      <c r="E917">
        <v>297.5</v>
      </c>
      <c r="F917">
        <v>225</v>
      </c>
      <c r="G917">
        <v>285</v>
      </c>
      <c r="H917">
        <v>807.5</v>
      </c>
      <c r="I917">
        <v>2015</v>
      </c>
      <c r="J917" t="s">
        <v>29</v>
      </c>
      <c r="K917" t="s">
        <v>171</v>
      </c>
    </row>
    <row r="918" spans="1:11">
      <c r="A918" t="s">
        <v>584</v>
      </c>
      <c r="B918">
        <v>1983</v>
      </c>
      <c r="C918" t="s">
        <v>125</v>
      </c>
      <c r="D918">
        <v>142.9</v>
      </c>
      <c r="E918">
        <v>345</v>
      </c>
      <c r="F918">
        <v>125</v>
      </c>
      <c r="G918">
        <v>335</v>
      </c>
      <c r="H918">
        <v>805</v>
      </c>
      <c r="I918">
        <v>2013</v>
      </c>
      <c r="J918" t="s">
        <v>29</v>
      </c>
      <c r="K918" t="s">
        <v>171</v>
      </c>
    </row>
    <row r="919" spans="1:11">
      <c r="A919" t="s">
        <v>617</v>
      </c>
      <c r="B919">
        <v>1977</v>
      </c>
      <c r="C919" t="s">
        <v>51</v>
      </c>
      <c r="D919">
        <v>91.66</v>
      </c>
      <c r="E919">
        <v>322.5</v>
      </c>
      <c r="F919">
        <v>192.5</v>
      </c>
      <c r="G919">
        <v>290</v>
      </c>
      <c r="H919">
        <v>805</v>
      </c>
      <c r="I919">
        <v>2015</v>
      </c>
      <c r="J919" t="s">
        <v>29</v>
      </c>
      <c r="K919" t="s">
        <v>171</v>
      </c>
    </row>
    <row r="920" spans="1:11">
      <c r="A920" t="s">
        <v>101</v>
      </c>
      <c r="B920">
        <v>1987</v>
      </c>
      <c r="C920" t="s">
        <v>77</v>
      </c>
      <c r="D920">
        <v>92.72</v>
      </c>
      <c r="E920">
        <v>355</v>
      </c>
      <c r="F920">
        <v>215</v>
      </c>
      <c r="G920">
        <v>235</v>
      </c>
      <c r="H920">
        <v>805</v>
      </c>
      <c r="I920">
        <v>2012</v>
      </c>
      <c r="J920" t="s">
        <v>29</v>
      </c>
      <c r="K920" t="s">
        <v>171</v>
      </c>
    </row>
    <row r="921" spans="1:11">
      <c r="A921" t="s">
        <v>382</v>
      </c>
      <c r="B921">
        <v>1981</v>
      </c>
      <c r="C921" t="s">
        <v>380</v>
      </c>
      <c r="D921">
        <v>114.2</v>
      </c>
      <c r="E921">
        <v>330</v>
      </c>
      <c r="F921">
        <v>215</v>
      </c>
      <c r="G921">
        <v>260</v>
      </c>
      <c r="H921">
        <v>805</v>
      </c>
      <c r="I921">
        <v>2014</v>
      </c>
      <c r="J921" t="s">
        <v>29</v>
      </c>
      <c r="K921" t="s">
        <v>171</v>
      </c>
    </row>
    <row r="922" spans="1:11">
      <c r="A922" t="s">
        <v>780</v>
      </c>
      <c r="B922">
        <v>1974</v>
      </c>
      <c r="C922" t="s">
        <v>72</v>
      </c>
      <c r="D922">
        <v>96</v>
      </c>
      <c r="E922">
        <v>300</v>
      </c>
      <c r="F922">
        <v>215</v>
      </c>
      <c r="G922">
        <v>290</v>
      </c>
      <c r="H922">
        <v>805</v>
      </c>
      <c r="I922">
        <v>2012</v>
      </c>
      <c r="J922" t="s">
        <v>29</v>
      </c>
      <c r="K922" t="s">
        <v>171</v>
      </c>
    </row>
    <row r="923" spans="1:11">
      <c r="A923" t="s">
        <v>769</v>
      </c>
      <c r="B923">
        <v>1984</v>
      </c>
      <c r="C923" t="s">
        <v>49</v>
      </c>
      <c r="D923">
        <v>83</v>
      </c>
      <c r="E923">
        <v>305</v>
      </c>
      <c r="F923">
        <v>240</v>
      </c>
      <c r="G923">
        <v>260</v>
      </c>
      <c r="H923">
        <v>805</v>
      </c>
      <c r="I923">
        <v>2012</v>
      </c>
      <c r="J923" t="s">
        <v>29</v>
      </c>
      <c r="K923" t="s">
        <v>171</v>
      </c>
    </row>
    <row r="924" spans="1:11">
      <c r="A924" t="s">
        <v>793</v>
      </c>
      <c r="B924">
        <v>1979</v>
      </c>
      <c r="C924" t="s">
        <v>125</v>
      </c>
      <c r="D924">
        <v>82.13</v>
      </c>
      <c r="E924">
        <v>280</v>
      </c>
      <c r="F924">
        <v>225</v>
      </c>
      <c r="G924">
        <v>300</v>
      </c>
      <c r="H924">
        <v>805</v>
      </c>
      <c r="I924">
        <v>2012</v>
      </c>
      <c r="J924" t="s">
        <v>29</v>
      </c>
      <c r="K924" t="s">
        <v>171</v>
      </c>
    </row>
    <row r="925" spans="1:11">
      <c r="A925" t="s">
        <v>791</v>
      </c>
      <c r="B925">
        <v>1968</v>
      </c>
      <c r="C925" t="s">
        <v>336</v>
      </c>
      <c r="D925">
        <v>82.22</v>
      </c>
      <c r="E925">
        <v>340</v>
      </c>
      <c r="F925">
        <v>197.5</v>
      </c>
      <c r="G925">
        <v>265</v>
      </c>
      <c r="H925">
        <v>802.5</v>
      </c>
      <c r="I925">
        <v>2012</v>
      </c>
      <c r="J925" t="s">
        <v>29</v>
      </c>
      <c r="K925" t="s">
        <v>171</v>
      </c>
    </row>
    <row r="926" spans="1:11">
      <c r="A926" t="s">
        <v>769</v>
      </c>
      <c r="B926">
        <v>1984</v>
      </c>
      <c r="C926" t="s">
        <v>49</v>
      </c>
      <c r="D926">
        <v>82.65</v>
      </c>
      <c r="E926">
        <v>285</v>
      </c>
      <c r="F926">
        <v>242.5</v>
      </c>
      <c r="G926">
        <v>275</v>
      </c>
      <c r="H926">
        <v>802.5</v>
      </c>
      <c r="I926">
        <v>2015</v>
      </c>
      <c r="J926" t="s">
        <v>29</v>
      </c>
      <c r="K926" t="s">
        <v>171</v>
      </c>
    </row>
    <row r="927" spans="1:11">
      <c r="A927" t="s">
        <v>617</v>
      </c>
      <c r="B927">
        <v>1977</v>
      </c>
      <c r="C927" t="s">
        <v>51</v>
      </c>
      <c r="D927">
        <v>92.7</v>
      </c>
      <c r="E927">
        <v>325</v>
      </c>
      <c r="F927">
        <v>187.5</v>
      </c>
      <c r="G927">
        <v>287.5</v>
      </c>
      <c r="H927">
        <v>800</v>
      </c>
      <c r="I927">
        <v>2012</v>
      </c>
      <c r="J927" t="s">
        <v>29</v>
      </c>
      <c r="K927" t="s">
        <v>171</v>
      </c>
    </row>
    <row r="928" spans="1:11">
      <c r="A928" t="s">
        <v>417</v>
      </c>
      <c r="B928">
        <v>1979</v>
      </c>
      <c r="C928" t="s">
        <v>418</v>
      </c>
      <c r="D928">
        <v>104.27</v>
      </c>
      <c r="E928">
        <v>310</v>
      </c>
      <c r="F928">
        <v>180</v>
      </c>
      <c r="G928">
        <v>310</v>
      </c>
      <c r="H928">
        <v>800</v>
      </c>
      <c r="I928">
        <v>2015</v>
      </c>
      <c r="J928" t="s">
        <v>29</v>
      </c>
      <c r="K928" t="s">
        <v>171</v>
      </c>
    </row>
    <row r="929" spans="1:11">
      <c r="A929" t="s">
        <v>535</v>
      </c>
      <c r="B929">
        <v>1981</v>
      </c>
      <c r="C929" t="s">
        <v>74</v>
      </c>
      <c r="D929">
        <v>73.91</v>
      </c>
      <c r="E929">
        <v>285</v>
      </c>
      <c r="F929">
        <v>210</v>
      </c>
      <c r="G929">
        <v>305</v>
      </c>
      <c r="H929">
        <v>800</v>
      </c>
      <c r="I929">
        <v>2012</v>
      </c>
      <c r="J929" t="s">
        <v>29</v>
      </c>
      <c r="K929" t="s">
        <v>171</v>
      </c>
    </row>
    <row r="930" spans="1:11">
      <c r="A930" t="s">
        <v>440</v>
      </c>
      <c r="B930">
        <v>1986</v>
      </c>
      <c r="C930" t="s">
        <v>28</v>
      </c>
      <c r="D930">
        <v>65.239999999999995</v>
      </c>
      <c r="E930">
        <v>326</v>
      </c>
      <c r="F930">
        <v>185</v>
      </c>
      <c r="G930">
        <v>287.5</v>
      </c>
      <c r="H930">
        <v>798.5</v>
      </c>
      <c r="I930">
        <v>2013</v>
      </c>
      <c r="J930" t="s">
        <v>29</v>
      </c>
      <c r="K930" t="s">
        <v>171</v>
      </c>
    </row>
    <row r="931" spans="1:11">
      <c r="A931" t="s">
        <v>490</v>
      </c>
      <c r="B931">
        <v>1989</v>
      </c>
      <c r="C931" t="s">
        <v>28</v>
      </c>
      <c r="D931">
        <v>65.45</v>
      </c>
      <c r="E931">
        <v>310</v>
      </c>
      <c r="F931">
        <v>205</v>
      </c>
      <c r="G931">
        <v>282.5</v>
      </c>
      <c r="H931">
        <v>797.5</v>
      </c>
      <c r="I931">
        <v>2013</v>
      </c>
      <c r="J931" t="s">
        <v>29</v>
      </c>
      <c r="K931" t="s">
        <v>171</v>
      </c>
    </row>
    <row r="932" spans="1:11">
      <c r="A932" t="s">
        <v>440</v>
      </c>
      <c r="B932">
        <v>1986</v>
      </c>
      <c r="C932" t="s">
        <v>28</v>
      </c>
      <c r="D932">
        <v>65.239999999999995</v>
      </c>
      <c r="E932">
        <v>325</v>
      </c>
      <c r="F932">
        <v>200</v>
      </c>
      <c r="G932">
        <v>270</v>
      </c>
      <c r="H932">
        <v>795</v>
      </c>
      <c r="I932">
        <v>2015</v>
      </c>
      <c r="J932" t="s">
        <v>29</v>
      </c>
      <c r="K932" t="s">
        <v>171</v>
      </c>
    </row>
    <row r="933" spans="1:11">
      <c r="A933" t="s">
        <v>848</v>
      </c>
      <c r="B933">
        <v>1981</v>
      </c>
      <c r="C933" t="s">
        <v>113</v>
      </c>
      <c r="D933">
        <v>92.6</v>
      </c>
      <c r="E933">
        <v>312.5</v>
      </c>
      <c r="F933">
        <v>212.5</v>
      </c>
      <c r="G933">
        <v>265</v>
      </c>
      <c r="H933">
        <v>790</v>
      </c>
      <c r="I933">
        <v>2014</v>
      </c>
      <c r="J933" t="s">
        <v>29</v>
      </c>
      <c r="K933" t="s">
        <v>171</v>
      </c>
    </row>
    <row r="934" spans="1:11">
      <c r="A934" t="s">
        <v>484</v>
      </c>
      <c r="B934">
        <v>1975</v>
      </c>
      <c r="C934" t="s">
        <v>485</v>
      </c>
      <c r="D934">
        <v>90.82</v>
      </c>
      <c r="E934">
        <v>295</v>
      </c>
      <c r="F934">
        <v>215</v>
      </c>
      <c r="G934">
        <v>280</v>
      </c>
      <c r="H934">
        <v>790</v>
      </c>
      <c r="I934">
        <v>2012</v>
      </c>
      <c r="J934" t="s">
        <v>29</v>
      </c>
      <c r="K934" t="s">
        <v>171</v>
      </c>
    </row>
    <row r="935" spans="1:11">
      <c r="A935" t="s">
        <v>809</v>
      </c>
      <c r="B935">
        <v>1963</v>
      </c>
      <c r="C935" t="s">
        <v>318</v>
      </c>
      <c r="D935">
        <v>91.78</v>
      </c>
      <c r="E935">
        <v>315</v>
      </c>
      <c r="F935">
        <v>170</v>
      </c>
      <c r="G935">
        <v>300</v>
      </c>
      <c r="H935">
        <v>785</v>
      </c>
      <c r="I935">
        <v>2013</v>
      </c>
      <c r="J935" t="s">
        <v>29</v>
      </c>
      <c r="K935" t="s">
        <v>171</v>
      </c>
    </row>
    <row r="936" spans="1:11">
      <c r="A936" t="s">
        <v>462</v>
      </c>
      <c r="B936">
        <v>1975</v>
      </c>
      <c r="C936" t="s">
        <v>137</v>
      </c>
      <c r="D936">
        <v>72.19</v>
      </c>
      <c r="E936">
        <v>300</v>
      </c>
      <c r="F936">
        <v>180</v>
      </c>
      <c r="G936">
        <v>305</v>
      </c>
      <c r="H936">
        <v>785</v>
      </c>
      <c r="I936">
        <v>2013</v>
      </c>
      <c r="J936" t="s">
        <v>29</v>
      </c>
      <c r="K936" t="s">
        <v>171</v>
      </c>
    </row>
    <row r="937" spans="1:11">
      <c r="A937" t="s">
        <v>825</v>
      </c>
      <c r="B937">
        <v>1976</v>
      </c>
      <c r="C937" t="s">
        <v>62</v>
      </c>
      <c r="D937">
        <v>73.8</v>
      </c>
      <c r="E937">
        <v>275</v>
      </c>
      <c r="F937">
        <v>202.5</v>
      </c>
      <c r="G937">
        <v>307.5</v>
      </c>
      <c r="H937">
        <v>785</v>
      </c>
      <c r="I937">
        <v>2014</v>
      </c>
      <c r="J937" t="s">
        <v>29</v>
      </c>
      <c r="K937" t="s">
        <v>171</v>
      </c>
    </row>
    <row r="938" spans="1:11">
      <c r="A938" t="s">
        <v>440</v>
      </c>
      <c r="B938">
        <v>1986</v>
      </c>
      <c r="C938" t="s">
        <v>28</v>
      </c>
      <c r="D938">
        <v>65.58</v>
      </c>
      <c r="E938">
        <v>312.5</v>
      </c>
      <c r="F938">
        <v>190</v>
      </c>
      <c r="G938">
        <v>280</v>
      </c>
      <c r="H938">
        <v>782.5</v>
      </c>
      <c r="I938">
        <v>2014</v>
      </c>
      <c r="J938" t="s">
        <v>29</v>
      </c>
      <c r="K938" t="s">
        <v>171</v>
      </c>
    </row>
    <row r="939" spans="1:11">
      <c r="A939" t="s">
        <v>490</v>
      </c>
      <c r="B939">
        <v>1989</v>
      </c>
      <c r="C939" t="s">
        <v>28</v>
      </c>
      <c r="D939">
        <v>65.62</v>
      </c>
      <c r="E939">
        <v>300</v>
      </c>
      <c r="F939">
        <v>207.5</v>
      </c>
      <c r="G939">
        <v>275</v>
      </c>
      <c r="H939">
        <v>782.5</v>
      </c>
      <c r="I939">
        <v>2015</v>
      </c>
      <c r="J939" t="s">
        <v>29</v>
      </c>
      <c r="K939" t="s">
        <v>171</v>
      </c>
    </row>
    <row r="940" spans="1:11">
      <c r="A940" t="s">
        <v>645</v>
      </c>
      <c r="B940">
        <v>1989</v>
      </c>
      <c r="C940" t="s">
        <v>280</v>
      </c>
      <c r="D940">
        <v>72.2</v>
      </c>
      <c r="E940">
        <v>300</v>
      </c>
      <c r="F940">
        <v>160</v>
      </c>
      <c r="G940">
        <v>320</v>
      </c>
      <c r="H940">
        <v>780</v>
      </c>
      <c r="I940">
        <v>2013</v>
      </c>
      <c r="J940" t="s">
        <v>29</v>
      </c>
      <c r="K940" t="s">
        <v>171</v>
      </c>
    </row>
    <row r="941" spans="1:11">
      <c r="A941" t="s">
        <v>554</v>
      </c>
      <c r="B941">
        <v>1994</v>
      </c>
      <c r="C941" t="s">
        <v>74</v>
      </c>
      <c r="D941">
        <v>82.35</v>
      </c>
      <c r="E941">
        <v>285</v>
      </c>
      <c r="F941">
        <v>170</v>
      </c>
      <c r="G941">
        <v>325</v>
      </c>
      <c r="H941">
        <v>780</v>
      </c>
      <c r="I941">
        <v>2013</v>
      </c>
      <c r="J941" t="s">
        <v>29</v>
      </c>
      <c r="K941" t="s">
        <v>171</v>
      </c>
    </row>
    <row r="942" spans="1:11">
      <c r="A942" t="s">
        <v>681</v>
      </c>
      <c r="B942">
        <v>1979</v>
      </c>
      <c r="C942" t="s">
        <v>49</v>
      </c>
      <c r="D942">
        <v>72.95</v>
      </c>
      <c r="E942">
        <v>312.5</v>
      </c>
      <c r="F942">
        <v>207.5</v>
      </c>
      <c r="G942">
        <v>260</v>
      </c>
      <c r="H942">
        <v>780</v>
      </c>
      <c r="I942">
        <v>2012</v>
      </c>
      <c r="J942" t="s">
        <v>29</v>
      </c>
      <c r="K942" t="s">
        <v>171</v>
      </c>
    </row>
    <row r="943" spans="1:11">
      <c r="A943" t="s">
        <v>494</v>
      </c>
      <c r="B943">
        <v>1971</v>
      </c>
      <c r="C943" t="s">
        <v>336</v>
      </c>
      <c r="D943">
        <v>98.91</v>
      </c>
      <c r="E943">
        <v>307.5</v>
      </c>
      <c r="F943">
        <v>200</v>
      </c>
      <c r="G943">
        <v>270</v>
      </c>
      <c r="H943">
        <v>777.5</v>
      </c>
      <c r="I943">
        <v>2012</v>
      </c>
      <c r="J943" t="s">
        <v>29</v>
      </c>
      <c r="K943" t="s">
        <v>171</v>
      </c>
    </row>
    <row r="944" spans="1:11">
      <c r="A944" t="s">
        <v>791</v>
      </c>
      <c r="B944">
        <v>1968</v>
      </c>
      <c r="C944" t="s">
        <v>336</v>
      </c>
      <c r="D944">
        <v>82.56</v>
      </c>
      <c r="E944">
        <v>317.5</v>
      </c>
      <c r="F944">
        <v>190</v>
      </c>
      <c r="G944">
        <v>267.5</v>
      </c>
      <c r="H944">
        <v>775</v>
      </c>
      <c r="I944">
        <v>2014</v>
      </c>
      <c r="J944" t="s">
        <v>29</v>
      </c>
      <c r="K944" t="s">
        <v>171</v>
      </c>
    </row>
    <row r="945" spans="1:11">
      <c r="A945" t="s">
        <v>671</v>
      </c>
      <c r="B945">
        <v>1975</v>
      </c>
      <c r="C945" t="s">
        <v>62</v>
      </c>
      <c r="D945">
        <v>73.849999999999994</v>
      </c>
      <c r="E945">
        <v>285</v>
      </c>
      <c r="F945">
        <v>182.5</v>
      </c>
      <c r="G945">
        <v>307.5</v>
      </c>
      <c r="H945">
        <v>775</v>
      </c>
      <c r="I945">
        <v>2012</v>
      </c>
      <c r="J945" t="s">
        <v>29</v>
      </c>
      <c r="K945" t="s">
        <v>171</v>
      </c>
    </row>
    <row r="946" spans="1:11">
      <c r="A946" t="s">
        <v>725</v>
      </c>
      <c r="B946">
        <v>1986</v>
      </c>
      <c r="C946" t="s">
        <v>45</v>
      </c>
      <c r="D946">
        <v>74</v>
      </c>
      <c r="E946">
        <v>280</v>
      </c>
      <c r="F946">
        <v>230</v>
      </c>
      <c r="G946">
        <v>265</v>
      </c>
      <c r="H946">
        <v>775</v>
      </c>
      <c r="I946">
        <v>2012</v>
      </c>
      <c r="J946" t="s">
        <v>29</v>
      </c>
      <c r="K946" t="s">
        <v>171</v>
      </c>
    </row>
    <row r="947" spans="1:11">
      <c r="A947" t="s">
        <v>793</v>
      </c>
      <c r="B947">
        <v>1977</v>
      </c>
      <c r="C947" t="s">
        <v>125</v>
      </c>
      <c r="D947">
        <v>82.32</v>
      </c>
      <c r="E947">
        <v>260</v>
      </c>
      <c r="F947">
        <v>220</v>
      </c>
      <c r="G947">
        <v>295</v>
      </c>
      <c r="H947">
        <v>775</v>
      </c>
      <c r="I947">
        <v>2014</v>
      </c>
      <c r="J947" t="s">
        <v>29</v>
      </c>
      <c r="K947" t="s">
        <v>171</v>
      </c>
    </row>
    <row r="948" spans="1:11">
      <c r="A948" t="s">
        <v>554</v>
      </c>
      <c r="B948">
        <v>1994</v>
      </c>
      <c r="C948" t="s">
        <v>74</v>
      </c>
      <c r="D948">
        <v>82.78</v>
      </c>
      <c r="E948">
        <v>270</v>
      </c>
      <c r="F948">
        <v>170</v>
      </c>
      <c r="G948">
        <v>332.5</v>
      </c>
      <c r="H948">
        <v>772.5</v>
      </c>
      <c r="I948">
        <v>2014</v>
      </c>
      <c r="J948" t="s">
        <v>29</v>
      </c>
      <c r="K948" t="s">
        <v>171</v>
      </c>
    </row>
    <row r="949" spans="1:11">
      <c r="A949" t="s">
        <v>462</v>
      </c>
      <c r="B949">
        <v>1975</v>
      </c>
      <c r="C949" t="s">
        <v>137</v>
      </c>
      <c r="D949">
        <v>71.7</v>
      </c>
      <c r="E949">
        <v>285</v>
      </c>
      <c r="F949">
        <v>180</v>
      </c>
      <c r="G949">
        <v>307.5</v>
      </c>
      <c r="H949">
        <v>772.5</v>
      </c>
      <c r="I949">
        <v>2014</v>
      </c>
      <c r="J949" t="s">
        <v>29</v>
      </c>
      <c r="K949" t="s">
        <v>171</v>
      </c>
    </row>
    <row r="950" spans="1:11">
      <c r="A950" t="s">
        <v>825</v>
      </c>
      <c r="B950">
        <v>1976</v>
      </c>
      <c r="C950" t="s">
        <v>62</v>
      </c>
      <c r="D950">
        <v>73.7</v>
      </c>
      <c r="E950">
        <v>275</v>
      </c>
      <c r="F950">
        <v>190</v>
      </c>
      <c r="G950">
        <v>307.5</v>
      </c>
      <c r="H950">
        <v>772.5</v>
      </c>
      <c r="I950">
        <v>2013</v>
      </c>
      <c r="J950" t="s">
        <v>29</v>
      </c>
      <c r="K950" t="s">
        <v>171</v>
      </c>
    </row>
    <row r="951" spans="1:11">
      <c r="A951" t="s">
        <v>460</v>
      </c>
      <c r="B951">
        <v>1975</v>
      </c>
      <c r="C951" t="s">
        <v>137</v>
      </c>
      <c r="D951">
        <v>71.349999999999994</v>
      </c>
      <c r="E951">
        <v>285</v>
      </c>
      <c r="F951">
        <v>185</v>
      </c>
      <c r="G951">
        <v>300</v>
      </c>
      <c r="H951">
        <v>770</v>
      </c>
      <c r="I951">
        <v>2015</v>
      </c>
      <c r="J951" t="s">
        <v>29</v>
      </c>
      <c r="K951" t="s">
        <v>171</v>
      </c>
    </row>
    <row r="952" spans="1:11">
      <c r="A952" t="s">
        <v>637</v>
      </c>
      <c r="B952">
        <v>1982</v>
      </c>
      <c r="C952" t="s">
        <v>137</v>
      </c>
      <c r="D952">
        <v>73.09</v>
      </c>
      <c r="E952">
        <v>295</v>
      </c>
      <c r="F952">
        <v>220</v>
      </c>
      <c r="G952">
        <v>255</v>
      </c>
      <c r="H952">
        <v>770</v>
      </c>
      <c r="I952">
        <v>2015</v>
      </c>
      <c r="J952" t="s">
        <v>29</v>
      </c>
      <c r="K952" t="s">
        <v>171</v>
      </c>
    </row>
    <row r="953" spans="1:11">
      <c r="A953" t="s">
        <v>407</v>
      </c>
      <c r="B953">
        <v>1976</v>
      </c>
      <c r="C953" t="s">
        <v>274</v>
      </c>
      <c r="D953">
        <v>82.69</v>
      </c>
      <c r="E953">
        <v>300</v>
      </c>
      <c r="F953">
        <v>182.5</v>
      </c>
      <c r="G953">
        <v>285</v>
      </c>
      <c r="H953">
        <v>767.5</v>
      </c>
      <c r="I953">
        <v>2015</v>
      </c>
      <c r="J953" t="s">
        <v>29</v>
      </c>
      <c r="K953" t="s">
        <v>171</v>
      </c>
    </row>
    <row r="954" spans="1:11">
      <c r="A954" t="s">
        <v>725</v>
      </c>
      <c r="B954">
        <v>1986</v>
      </c>
      <c r="C954" t="s">
        <v>45</v>
      </c>
      <c r="D954">
        <v>73.23</v>
      </c>
      <c r="E954">
        <v>282.5</v>
      </c>
      <c r="F954">
        <v>222.5</v>
      </c>
      <c r="G954">
        <v>262.5</v>
      </c>
      <c r="H954">
        <v>767.5</v>
      </c>
      <c r="I954">
        <v>2013</v>
      </c>
      <c r="J954" t="s">
        <v>29</v>
      </c>
      <c r="K954" t="s">
        <v>171</v>
      </c>
    </row>
    <row r="955" spans="1:11">
      <c r="A955" t="s">
        <v>73</v>
      </c>
      <c r="B955">
        <v>1982</v>
      </c>
      <c r="C955" t="s">
        <v>74</v>
      </c>
      <c r="D955">
        <v>62.5</v>
      </c>
      <c r="E955">
        <v>275</v>
      </c>
      <c r="F955">
        <v>205</v>
      </c>
      <c r="G955">
        <v>285</v>
      </c>
      <c r="H955">
        <v>765</v>
      </c>
      <c r="I955">
        <v>2013</v>
      </c>
      <c r="J955" t="s">
        <v>29</v>
      </c>
      <c r="K955" t="s">
        <v>171</v>
      </c>
    </row>
    <row r="956" spans="1:11">
      <c r="A956" t="s">
        <v>512</v>
      </c>
      <c r="B956">
        <v>1969</v>
      </c>
      <c r="C956" t="s">
        <v>77</v>
      </c>
      <c r="D956">
        <v>73.099999999999994</v>
      </c>
      <c r="E956">
        <v>280</v>
      </c>
      <c r="F956">
        <v>220</v>
      </c>
      <c r="G956">
        <v>265</v>
      </c>
      <c r="H956">
        <v>765</v>
      </c>
      <c r="I956">
        <v>2015</v>
      </c>
      <c r="J956" t="s">
        <v>29</v>
      </c>
      <c r="K956" t="s">
        <v>171</v>
      </c>
    </row>
    <row r="957" spans="1:11">
      <c r="A957" t="s">
        <v>690</v>
      </c>
      <c r="B957">
        <v>1980</v>
      </c>
      <c r="C957" t="s">
        <v>77</v>
      </c>
      <c r="D957">
        <v>73.19</v>
      </c>
      <c r="E957">
        <v>290</v>
      </c>
      <c r="F957">
        <v>222.5</v>
      </c>
      <c r="G957">
        <v>250</v>
      </c>
      <c r="H957">
        <v>762.5</v>
      </c>
      <c r="I957">
        <v>2015</v>
      </c>
      <c r="J957" t="s">
        <v>29</v>
      </c>
      <c r="K957" t="s">
        <v>171</v>
      </c>
    </row>
    <row r="958" spans="1:11">
      <c r="A958" t="s">
        <v>57</v>
      </c>
      <c r="B958">
        <v>1982</v>
      </c>
      <c r="C958" t="s">
        <v>28</v>
      </c>
      <c r="D958">
        <v>58.06</v>
      </c>
      <c r="E958">
        <v>300</v>
      </c>
      <c r="F958">
        <v>201</v>
      </c>
      <c r="G958">
        <v>260</v>
      </c>
      <c r="H958">
        <v>761</v>
      </c>
      <c r="I958">
        <v>2014</v>
      </c>
      <c r="J958" t="s">
        <v>29</v>
      </c>
      <c r="K958" t="s">
        <v>171</v>
      </c>
    </row>
    <row r="959" spans="1:11">
      <c r="A959" t="s">
        <v>366</v>
      </c>
      <c r="B959">
        <v>1968</v>
      </c>
      <c r="C959" t="s">
        <v>137</v>
      </c>
      <c r="D959">
        <v>73.62</v>
      </c>
      <c r="E959">
        <v>287.5</v>
      </c>
      <c r="F959">
        <v>197.5</v>
      </c>
      <c r="G959">
        <v>275</v>
      </c>
      <c r="H959">
        <v>760</v>
      </c>
      <c r="I959">
        <v>2014</v>
      </c>
      <c r="J959" t="s">
        <v>29</v>
      </c>
      <c r="K959" t="s">
        <v>171</v>
      </c>
    </row>
    <row r="960" spans="1:11">
      <c r="A960" t="s">
        <v>462</v>
      </c>
      <c r="B960">
        <v>1975</v>
      </c>
      <c r="C960" t="s">
        <v>137</v>
      </c>
      <c r="D960">
        <v>65.88</v>
      </c>
      <c r="E960">
        <v>290</v>
      </c>
      <c r="F960">
        <v>155</v>
      </c>
      <c r="G960">
        <v>313</v>
      </c>
      <c r="H960">
        <v>758</v>
      </c>
      <c r="I960">
        <v>2012</v>
      </c>
      <c r="J960" t="s">
        <v>29</v>
      </c>
      <c r="K960" t="s">
        <v>171</v>
      </c>
    </row>
    <row r="961" spans="1:11">
      <c r="A961" t="s">
        <v>660</v>
      </c>
      <c r="B961">
        <v>1988</v>
      </c>
      <c r="C961" t="s">
        <v>380</v>
      </c>
      <c r="D961">
        <v>82.88</v>
      </c>
      <c r="E961">
        <v>300</v>
      </c>
      <c r="F961">
        <v>190</v>
      </c>
      <c r="G961">
        <v>267.5</v>
      </c>
      <c r="H961">
        <v>757.5</v>
      </c>
      <c r="I961">
        <v>2014</v>
      </c>
      <c r="J961" t="s">
        <v>29</v>
      </c>
      <c r="K961" t="s">
        <v>171</v>
      </c>
    </row>
    <row r="962" spans="1:11">
      <c r="A962" t="s">
        <v>791</v>
      </c>
      <c r="B962">
        <v>1968</v>
      </c>
      <c r="C962" t="s">
        <v>336</v>
      </c>
      <c r="D962">
        <v>81.55</v>
      </c>
      <c r="E962">
        <v>325</v>
      </c>
      <c r="F962">
        <v>170</v>
      </c>
      <c r="G962">
        <v>260</v>
      </c>
      <c r="H962">
        <v>755</v>
      </c>
      <c r="I962">
        <v>2013</v>
      </c>
      <c r="J962" t="s">
        <v>29</v>
      </c>
      <c r="K962" t="s">
        <v>171</v>
      </c>
    </row>
    <row r="963" spans="1:11">
      <c r="A963" t="s">
        <v>440</v>
      </c>
      <c r="B963">
        <v>1986</v>
      </c>
      <c r="C963" t="s">
        <v>28</v>
      </c>
      <c r="D963">
        <v>64.55</v>
      </c>
      <c r="E963">
        <v>300</v>
      </c>
      <c r="F963">
        <v>182.5</v>
      </c>
      <c r="G963">
        <v>272.5</v>
      </c>
      <c r="H963">
        <v>755</v>
      </c>
      <c r="I963">
        <v>2012</v>
      </c>
      <c r="J963" t="s">
        <v>29</v>
      </c>
      <c r="K963" t="s">
        <v>171</v>
      </c>
    </row>
    <row r="964" spans="1:11">
      <c r="A964" t="s">
        <v>675</v>
      </c>
      <c r="B964">
        <v>1990</v>
      </c>
      <c r="C964" t="s">
        <v>77</v>
      </c>
      <c r="D964">
        <v>65.86</v>
      </c>
      <c r="E964">
        <v>290</v>
      </c>
      <c r="F964">
        <v>195</v>
      </c>
      <c r="G964">
        <v>270</v>
      </c>
      <c r="H964">
        <v>755</v>
      </c>
      <c r="I964">
        <v>2014</v>
      </c>
      <c r="J964" t="s">
        <v>29</v>
      </c>
      <c r="K964" t="s">
        <v>171</v>
      </c>
    </row>
    <row r="965" spans="1:11">
      <c r="A965" t="s">
        <v>57</v>
      </c>
      <c r="B965">
        <v>1982</v>
      </c>
      <c r="C965" t="s">
        <v>28</v>
      </c>
      <c r="D965">
        <v>57.63</v>
      </c>
      <c r="E965">
        <v>292.5</v>
      </c>
      <c r="F965">
        <v>197.5</v>
      </c>
      <c r="G965">
        <v>265</v>
      </c>
      <c r="H965">
        <v>755</v>
      </c>
      <c r="I965">
        <v>2013</v>
      </c>
      <c r="J965" t="s">
        <v>29</v>
      </c>
      <c r="K965" t="s">
        <v>171</v>
      </c>
    </row>
    <row r="966" spans="1:11">
      <c r="A966" t="s">
        <v>73</v>
      </c>
      <c r="B966">
        <v>1982</v>
      </c>
      <c r="C966" t="s">
        <v>74</v>
      </c>
      <c r="D966">
        <v>64.64</v>
      </c>
      <c r="E966">
        <v>270</v>
      </c>
      <c r="F966">
        <v>207.5</v>
      </c>
      <c r="G966">
        <v>275</v>
      </c>
      <c r="H966">
        <v>752.5</v>
      </c>
      <c r="I966">
        <v>2015</v>
      </c>
      <c r="J966" t="s">
        <v>29</v>
      </c>
      <c r="K966" t="s">
        <v>171</v>
      </c>
    </row>
    <row r="967" spans="1:11">
      <c r="A967" t="s">
        <v>843</v>
      </c>
      <c r="B967">
        <v>1994</v>
      </c>
      <c r="C967" t="s">
        <v>74</v>
      </c>
      <c r="D967">
        <v>103.78</v>
      </c>
      <c r="E967">
        <v>400</v>
      </c>
      <c r="F967">
        <v>75</v>
      </c>
      <c r="G967">
        <v>275</v>
      </c>
      <c r="H967">
        <v>750</v>
      </c>
      <c r="I967">
        <v>2015</v>
      </c>
      <c r="J967" t="s">
        <v>29</v>
      </c>
      <c r="K967" t="s">
        <v>171</v>
      </c>
    </row>
    <row r="968" spans="1:11">
      <c r="A968" t="s">
        <v>596</v>
      </c>
      <c r="B968">
        <v>1982</v>
      </c>
      <c r="C968" t="s">
        <v>74</v>
      </c>
      <c r="D968">
        <v>79.599999999999994</v>
      </c>
      <c r="E968">
        <v>260</v>
      </c>
      <c r="F968">
        <v>180</v>
      </c>
      <c r="G968">
        <v>310</v>
      </c>
      <c r="H968">
        <v>750</v>
      </c>
      <c r="I968">
        <v>2014</v>
      </c>
      <c r="J968" t="s">
        <v>29</v>
      </c>
      <c r="K968" t="s">
        <v>171</v>
      </c>
    </row>
    <row r="969" spans="1:11">
      <c r="A969" t="s">
        <v>514</v>
      </c>
      <c r="B969">
        <v>1991</v>
      </c>
      <c r="C969" t="s">
        <v>77</v>
      </c>
      <c r="D969">
        <v>91.91</v>
      </c>
      <c r="E969">
        <v>280</v>
      </c>
      <c r="F969">
        <v>197.5</v>
      </c>
      <c r="G969">
        <v>270</v>
      </c>
      <c r="H969">
        <v>747.5</v>
      </c>
      <c r="I969">
        <v>2013</v>
      </c>
      <c r="J969" t="s">
        <v>29</v>
      </c>
      <c r="K969" t="s">
        <v>171</v>
      </c>
    </row>
    <row r="970" spans="1:11">
      <c r="A970" t="s">
        <v>690</v>
      </c>
      <c r="B970">
        <v>1980</v>
      </c>
      <c r="C970" t="s">
        <v>77</v>
      </c>
      <c r="D970">
        <v>73.44</v>
      </c>
      <c r="E970">
        <v>290</v>
      </c>
      <c r="F970">
        <v>207.5</v>
      </c>
      <c r="G970">
        <v>250</v>
      </c>
      <c r="H970">
        <v>747.5</v>
      </c>
      <c r="I970">
        <v>2014</v>
      </c>
      <c r="J970" t="s">
        <v>29</v>
      </c>
      <c r="K970" t="s">
        <v>171</v>
      </c>
    </row>
    <row r="971" spans="1:11">
      <c r="A971" t="s">
        <v>748</v>
      </c>
      <c r="B971">
        <v>1978</v>
      </c>
      <c r="C971" t="s">
        <v>80</v>
      </c>
      <c r="D971">
        <v>65.55</v>
      </c>
      <c r="E971">
        <v>262.5</v>
      </c>
      <c r="F971">
        <v>195</v>
      </c>
      <c r="G971">
        <v>290</v>
      </c>
      <c r="H971">
        <v>747.5</v>
      </c>
      <c r="I971">
        <v>2015</v>
      </c>
      <c r="J971" t="s">
        <v>29</v>
      </c>
      <c r="K971" t="s">
        <v>171</v>
      </c>
    </row>
    <row r="972" spans="1:11">
      <c r="A972" t="s">
        <v>523</v>
      </c>
      <c r="B972">
        <v>1984</v>
      </c>
      <c r="C972" t="s">
        <v>125</v>
      </c>
      <c r="D972">
        <v>92.6</v>
      </c>
      <c r="E972">
        <v>320</v>
      </c>
      <c r="F972">
        <v>125</v>
      </c>
      <c r="G972">
        <v>300</v>
      </c>
      <c r="H972">
        <v>745</v>
      </c>
      <c r="I972">
        <v>2014</v>
      </c>
      <c r="J972" t="s">
        <v>29</v>
      </c>
      <c r="K972" t="s">
        <v>171</v>
      </c>
    </row>
    <row r="973" spans="1:11">
      <c r="A973" t="s">
        <v>366</v>
      </c>
      <c r="B973">
        <v>1968</v>
      </c>
      <c r="C973" t="s">
        <v>137</v>
      </c>
      <c r="D973">
        <v>73.64</v>
      </c>
      <c r="E973">
        <v>282.5</v>
      </c>
      <c r="F973">
        <v>190</v>
      </c>
      <c r="G973">
        <v>272.5</v>
      </c>
      <c r="H973">
        <v>745</v>
      </c>
      <c r="I973">
        <v>2012</v>
      </c>
      <c r="J973" t="s">
        <v>29</v>
      </c>
      <c r="K973" t="s">
        <v>171</v>
      </c>
    </row>
    <row r="974" spans="1:11">
      <c r="A974" t="s">
        <v>57</v>
      </c>
      <c r="B974">
        <v>1982</v>
      </c>
      <c r="C974" t="s">
        <v>28</v>
      </c>
      <c r="D974">
        <v>57.6</v>
      </c>
      <c r="E974">
        <v>285</v>
      </c>
      <c r="F974">
        <v>200</v>
      </c>
      <c r="G974">
        <v>260</v>
      </c>
      <c r="H974">
        <v>745</v>
      </c>
      <c r="I974">
        <v>2015</v>
      </c>
      <c r="J974" t="s">
        <v>29</v>
      </c>
      <c r="K974" t="s">
        <v>171</v>
      </c>
    </row>
    <row r="975" spans="1:11">
      <c r="A975" t="s">
        <v>383</v>
      </c>
      <c r="B975">
        <v>1989</v>
      </c>
      <c r="C975" t="s">
        <v>54</v>
      </c>
      <c r="D975">
        <v>73.44</v>
      </c>
      <c r="E975">
        <v>290</v>
      </c>
      <c r="F975">
        <v>160</v>
      </c>
      <c r="G975">
        <v>292.5</v>
      </c>
      <c r="H975">
        <v>742.5</v>
      </c>
      <c r="I975">
        <v>2014</v>
      </c>
      <c r="J975" t="s">
        <v>29</v>
      </c>
      <c r="K975" t="s">
        <v>171</v>
      </c>
    </row>
    <row r="976" spans="1:11">
      <c r="A976" t="s">
        <v>437</v>
      </c>
      <c r="B976">
        <v>1987</v>
      </c>
      <c r="C976" t="s">
        <v>282</v>
      </c>
      <c r="D976">
        <v>73.760000000000005</v>
      </c>
      <c r="E976">
        <v>290</v>
      </c>
      <c r="F976">
        <v>185</v>
      </c>
      <c r="G976">
        <v>265</v>
      </c>
      <c r="H976">
        <v>740</v>
      </c>
      <c r="I976">
        <v>2014</v>
      </c>
      <c r="J976" t="s">
        <v>29</v>
      </c>
      <c r="K976" t="s">
        <v>171</v>
      </c>
    </row>
    <row r="977" spans="1:11">
      <c r="A977" t="s">
        <v>690</v>
      </c>
      <c r="B977">
        <v>1980</v>
      </c>
      <c r="C977" t="s">
        <v>77</v>
      </c>
      <c r="D977">
        <v>73.94</v>
      </c>
      <c r="E977">
        <v>295</v>
      </c>
      <c r="F977">
        <v>205</v>
      </c>
      <c r="G977">
        <v>240</v>
      </c>
      <c r="H977">
        <v>740</v>
      </c>
      <c r="I977">
        <v>2013</v>
      </c>
      <c r="J977" t="s">
        <v>29</v>
      </c>
      <c r="K977" t="s">
        <v>171</v>
      </c>
    </row>
    <row r="978" spans="1:11">
      <c r="A978" t="s">
        <v>383</v>
      </c>
      <c r="B978">
        <v>1989</v>
      </c>
      <c r="C978" t="s">
        <v>54</v>
      </c>
      <c r="D978">
        <v>73.39</v>
      </c>
      <c r="E978">
        <v>290</v>
      </c>
      <c r="F978">
        <v>170</v>
      </c>
      <c r="G978">
        <v>277.5</v>
      </c>
      <c r="H978">
        <v>737.5</v>
      </c>
      <c r="I978">
        <v>2015</v>
      </c>
      <c r="J978" t="s">
        <v>29</v>
      </c>
      <c r="K978" t="s">
        <v>171</v>
      </c>
    </row>
    <row r="979" spans="1:11">
      <c r="A979" t="s">
        <v>57</v>
      </c>
      <c r="B979">
        <v>1982</v>
      </c>
      <c r="C979" t="s">
        <v>28</v>
      </c>
      <c r="D979">
        <v>57.03</v>
      </c>
      <c r="E979">
        <v>295</v>
      </c>
      <c r="F979">
        <v>185</v>
      </c>
      <c r="G979">
        <v>257.5</v>
      </c>
      <c r="H979">
        <v>737.5</v>
      </c>
      <c r="I979">
        <v>2012</v>
      </c>
      <c r="J979" t="s">
        <v>29</v>
      </c>
      <c r="K979" t="s">
        <v>171</v>
      </c>
    </row>
    <row r="980" spans="1:11">
      <c r="A980" t="s">
        <v>572</v>
      </c>
      <c r="B980">
        <v>1968</v>
      </c>
      <c r="C980" t="s">
        <v>359</v>
      </c>
      <c r="D980">
        <v>87.4</v>
      </c>
      <c r="E980">
        <v>265</v>
      </c>
      <c r="F980">
        <v>182.5</v>
      </c>
      <c r="G980">
        <v>290</v>
      </c>
      <c r="H980">
        <v>737.5</v>
      </c>
      <c r="I980">
        <v>2013</v>
      </c>
      <c r="J980" t="s">
        <v>29</v>
      </c>
      <c r="K980" t="s">
        <v>171</v>
      </c>
    </row>
    <row r="981" spans="1:11">
      <c r="A981" t="s">
        <v>596</v>
      </c>
      <c r="B981">
        <v>1982</v>
      </c>
      <c r="C981" t="s">
        <v>74</v>
      </c>
      <c r="D981">
        <v>72.39</v>
      </c>
      <c r="E981">
        <v>265</v>
      </c>
      <c r="F981">
        <v>165</v>
      </c>
      <c r="G981">
        <v>305</v>
      </c>
      <c r="H981">
        <v>735</v>
      </c>
      <c r="I981">
        <v>2012</v>
      </c>
      <c r="J981" t="s">
        <v>29</v>
      </c>
      <c r="K981" t="s">
        <v>171</v>
      </c>
    </row>
    <row r="982" spans="1:11">
      <c r="A982" t="s">
        <v>748</v>
      </c>
      <c r="B982">
        <v>1978</v>
      </c>
      <c r="C982" t="s">
        <v>80</v>
      </c>
      <c r="D982">
        <v>65.69</v>
      </c>
      <c r="E982">
        <v>252.5</v>
      </c>
      <c r="F982">
        <v>197.5</v>
      </c>
      <c r="G982">
        <v>285</v>
      </c>
      <c r="H982">
        <v>735</v>
      </c>
      <c r="I982">
        <v>2013</v>
      </c>
      <c r="J982" t="s">
        <v>29</v>
      </c>
      <c r="K982" t="s">
        <v>171</v>
      </c>
    </row>
    <row r="983" spans="1:11">
      <c r="A983" t="s">
        <v>482</v>
      </c>
      <c r="B983">
        <v>1982</v>
      </c>
      <c r="C983" t="s">
        <v>49</v>
      </c>
      <c r="D983">
        <v>73.040000000000006</v>
      </c>
      <c r="E983">
        <v>265</v>
      </c>
      <c r="F983">
        <v>220</v>
      </c>
      <c r="G983">
        <v>250</v>
      </c>
      <c r="H983">
        <v>735</v>
      </c>
      <c r="I983">
        <v>2014</v>
      </c>
      <c r="J983" t="s">
        <v>29</v>
      </c>
      <c r="K983" t="s">
        <v>171</v>
      </c>
    </row>
    <row r="984" spans="1:11">
      <c r="A984" t="s">
        <v>601</v>
      </c>
      <c r="B984">
        <v>1985</v>
      </c>
      <c r="C984" t="s">
        <v>464</v>
      </c>
      <c r="D984">
        <v>65.94</v>
      </c>
      <c r="E984">
        <v>272.5</v>
      </c>
      <c r="F984">
        <v>182.5</v>
      </c>
      <c r="G984">
        <v>277.5</v>
      </c>
      <c r="H984">
        <v>732.5</v>
      </c>
      <c r="I984">
        <v>2012</v>
      </c>
      <c r="J984" t="s">
        <v>29</v>
      </c>
      <c r="K984" t="s">
        <v>171</v>
      </c>
    </row>
    <row r="985" spans="1:11">
      <c r="A985" t="s">
        <v>73</v>
      </c>
      <c r="B985">
        <v>1982</v>
      </c>
      <c r="C985" t="s">
        <v>74</v>
      </c>
      <c r="D985">
        <v>63.1</v>
      </c>
      <c r="E985">
        <v>265</v>
      </c>
      <c r="F985">
        <v>200</v>
      </c>
      <c r="G985">
        <v>267.5</v>
      </c>
      <c r="H985">
        <v>732.5</v>
      </c>
      <c r="I985">
        <v>2014</v>
      </c>
      <c r="J985" t="s">
        <v>29</v>
      </c>
      <c r="K985" t="s">
        <v>171</v>
      </c>
    </row>
    <row r="986" spans="1:11">
      <c r="A986" t="s">
        <v>746</v>
      </c>
      <c r="B986">
        <v>1982</v>
      </c>
      <c r="C986" t="s">
        <v>77</v>
      </c>
      <c r="D986">
        <v>65.25</v>
      </c>
      <c r="E986">
        <v>270</v>
      </c>
      <c r="F986">
        <v>215</v>
      </c>
      <c r="G986">
        <v>247.5</v>
      </c>
      <c r="H986">
        <v>732.5</v>
      </c>
      <c r="I986">
        <v>2015</v>
      </c>
      <c r="J986" t="s">
        <v>29</v>
      </c>
      <c r="K986" t="s">
        <v>171</v>
      </c>
    </row>
    <row r="987" spans="1:11">
      <c r="A987" t="s">
        <v>741</v>
      </c>
      <c r="B987">
        <v>1974</v>
      </c>
      <c r="C987" t="s">
        <v>282</v>
      </c>
      <c r="D987">
        <v>82.54</v>
      </c>
      <c r="E987">
        <v>305</v>
      </c>
      <c r="F987">
        <v>200</v>
      </c>
      <c r="G987">
        <v>225</v>
      </c>
      <c r="H987">
        <v>730</v>
      </c>
      <c r="I987">
        <v>2012</v>
      </c>
      <c r="J987" t="s">
        <v>29</v>
      </c>
      <c r="K987" t="s">
        <v>171</v>
      </c>
    </row>
    <row r="988" spans="1:11">
      <c r="A988" t="s">
        <v>566</v>
      </c>
      <c r="B988">
        <v>1983</v>
      </c>
      <c r="C988" t="s">
        <v>318</v>
      </c>
      <c r="D988">
        <v>73.88</v>
      </c>
      <c r="E988">
        <v>272.5</v>
      </c>
      <c r="F988">
        <v>177.5</v>
      </c>
      <c r="G988">
        <v>277.5</v>
      </c>
      <c r="H988">
        <v>727.5</v>
      </c>
      <c r="I988">
        <v>2013</v>
      </c>
      <c r="J988" t="s">
        <v>29</v>
      </c>
      <c r="K988" t="s">
        <v>171</v>
      </c>
    </row>
    <row r="989" spans="1:11">
      <c r="A989" t="s">
        <v>437</v>
      </c>
      <c r="B989">
        <v>1987</v>
      </c>
      <c r="C989" t="s">
        <v>282</v>
      </c>
      <c r="D989">
        <v>73.75</v>
      </c>
      <c r="E989">
        <v>285</v>
      </c>
      <c r="F989">
        <v>170</v>
      </c>
      <c r="G989">
        <v>270</v>
      </c>
      <c r="H989">
        <v>725</v>
      </c>
      <c r="I989">
        <v>2013</v>
      </c>
      <c r="J989" t="s">
        <v>29</v>
      </c>
      <c r="K989" t="s">
        <v>171</v>
      </c>
    </row>
    <row r="990" spans="1:11">
      <c r="A990" t="s">
        <v>527</v>
      </c>
      <c r="B990">
        <v>1980</v>
      </c>
      <c r="C990" t="s">
        <v>62</v>
      </c>
      <c r="D990">
        <v>65.84</v>
      </c>
      <c r="E990">
        <v>262.5</v>
      </c>
      <c r="F990">
        <v>180</v>
      </c>
      <c r="G990">
        <v>282.5</v>
      </c>
      <c r="H990">
        <v>725</v>
      </c>
      <c r="I990">
        <v>2014</v>
      </c>
      <c r="J990" t="s">
        <v>29</v>
      </c>
      <c r="K990" t="s">
        <v>171</v>
      </c>
    </row>
    <row r="991" spans="1:11">
      <c r="A991" t="s">
        <v>762</v>
      </c>
      <c r="B991">
        <v>1980</v>
      </c>
      <c r="C991" t="s">
        <v>349</v>
      </c>
      <c r="D991">
        <v>72.680000000000007</v>
      </c>
      <c r="E991">
        <v>270</v>
      </c>
      <c r="F991">
        <v>215</v>
      </c>
      <c r="G991">
        <v>240</v>
      </c>
      <c r="H991">
        <v>725</v>
      </c>
      <c r="I991">
        <v>2013</v>
      </c>
      <c r="J991" t="s">
        <v>29</v>
      </c>
      <c r="K991" t="s">
        <v>171</v>
      </c>
    </row>
    <row r="992" spans="1:11">
      <c r="A992" t="s">
        <v>637</v>
      </c>
      <c r="B992">
        <v>1982</v>
      </c>
      <c r="C992" t="s">
        <v>137</v>
      </c>
      <c r="D992">
        <v>72.760000000000005</v>
      </c>
      <c r="E992">
        <v>290</v>
      </c>
      <c r="F992">
        <v>192.5</v>
      </c>
      <c r="G992">
        <v>240</v>
      </c>
      <c r="H992">
        <v>722.5</v>
      </c>
      <c r="I992">
        <v>2012</v>
      </c>
      <c r="J992" t="s">
        <v>29</v>
      </c>
      <c r="K992" t="s">
        <v>171</v>
      </c>
    </row>
    <row r="993" spans="1:11">
      <c r="A993" t="s">
        <v>746</v>
      </c>
      <c r="B993">
        <v>1982</v>
      </c>
      <c r="C993" t="s">
        <v>77</v>
      </c>
      <c r="D993">
        <v>65.42</v>
      </c>
      <c r="E993">
        <v>265</v>
      </c>
      <c r="F993">
        <v>210</v>
      </c>
      <c r="G993">
        <v>247.5</v>
      </c>
      <c r="H993">
        <v>722.5</v>
      </c>
      <c r="I993">
        <v>2014</v>
      </c>
      <c r="J993" t="s">
        <v>29</v>
      </c>
      <c r="K993" t="s">
        <v>171</v>
      </c>
    </row>
    <row r="994" spans="1:11">
      <c r="A994" t="s">
        <v>554</v>
      </c>
      <c r="B994">
        <v>1994</v>
      </c>
      <c r="C994" t="s">
        <v>74</v>
      </c>
      <c r="D994">
        <v>82.1</v>
      </c>
      <c r="E994">
        <v>215</v>
      </c>
      <c r="F994">
        <v>175</v>
      </c>
      <c r="G994">
        <v>332.5</v>
      </c>
      <c r="H994">
        <v>722.5</v>
      </c>
      <c r="I994">
        <v>2015</v>
      </c>
      <c r="J994" t="s">
        <v>29</v>
      </c>
      <c r="K994" t="s">
        <v>171</v>
      </c>
    </row>
    <row r="995" spans="1:11">
      <c r="A995" t="s">
        <v>566</v>
      </c>
      <c r="B995">
        <v>1983</v>
      </c>
      <c r="C995" t="s">
        <v>318</v>
      </c>
      <c r="D995">
        <v>73.88</v>
      </c>
      <c r="E995">
        <v>270</v>
      </c>
      <c r="F995">
        <v>172.5</v>
      </c>
      <c r="G995">
        <v>275</v>
      </c>
      <c r="H995">
        <v>717.5</v>
      </c>
      <c r="I995">
        <v>2015</v>
      </c>
      <c r="J995" t="s">
        <v>29</v>
      </c>
      <c r="K995" t="s">
        <v>171</v>
      </c>
    </row>
    <row r="996" spans="1:11">
      <c r="A996" t="s">
        <v>701</v>
      </c>
      <c r="B996">
        <v>1985</v>
      </c>
      <c r="C996" t="s">
        <v>62</v>
      </c>
      <c r="D996">
        <v>73</v>
      </c>
      <c r="E996">
        <v>280</v>
      </c>
      <c r="F996">
        <v>205</v>
      </c>
      <c r="G996">
        <v>232.5</v>
      </c>
      <c r="H996">
        <v>717.5</v>
      </c>
      <c r="I996">
        <v>2015</v>
      </c>
      <c r="J996" t="s">
        <v>29</v>
      </c>
      <c r="K996" t="s">
        <v>171</v>
      </c>
    </row>
    <row r="997" spans="1:11">
      <c r="A997" t="s">
        <v>383</v>
      </c>
      <c r="B997">
        <v>1989</v>
      </c>
      <c r="C997" t="s">
        <v>54</v>
      </c>
      <c r="D997">
        <v>73.5</v>
      </c>
      <c r="E997">
        <v>275</v>
      </c>
      <c r="F997">
        <v>162.5</v>
      </c>
      <c r="G997">
        <v>272.5</v>
      </c>
      <c r="H997">
        <v>710</v>
      </c>
      <c r="I997">
        <v>2013</v>
      </c>
      <c r="J997" t="s">
        <v>29</v>
      </c>
      <c r="K997" t="s">
        <v>171</v>
      </c>
    </row>
    <row r="998" spans="1:11">
      <c r="A998" t="s">
        <v>358</v>
      </c>
      <c r="B998">
        <v>1991</v>
      </c>
      <c r="C998" t="s">
        <v>359</v>
      </c>
      <c r="D998">
        <v>82.12</v>
      </c>
      <c r="E998">
        <v>265</v>
      </c>
      <c r="F998">
        <v>195</v>
      </c>
      <c r="G998">
        <v>250</v>
      </c>
      <c r="H998">
        <v>710</v>
      </c>
      <c r="I998">
        <v>2013</v>
      </c>
      <c r="J998" t="s">
        <v>29</v>
      </c>
      <c r="K998" t="s">
        <v>171</v>
      </c>
    </row>
    <row r="999" spans="1:11">
      <c r="A999" t="s">
        <v>425</v>
      </c>
      <c r="B999">
        <v>1992</v>
      </c>
      <c r="C999" t="s">
        <v>51</v>
      </c>
      <c r="D999">
        <v>72.349999999999994</v>
      </c>
      <c r="E999">
        <v>250</v>
      </c>
      <c r="F999">
        <v>205</v>
      </c>
      <c r="G999">
        <v>250</v>
      </c>
      <c r="H999">
        <v>705</v>
      </c>
      <c r="I999">
        <v>2015</v>
      </c>
      <c r="J999" t="s">
        <v>29</v>
      </c>
      <c r="K999" t="s">
        <v>171</v>
      </c>
    </row>
    <row r="1000" spans="1:11">
      <c r="A1000" t="s">
        <v>73</v>
      </c>
      <c r="B1000">
        <v>1982</v>
      </c>
      <c r="C1000" t="s">
        <v>74</v>
      </c>
      <c r="D1000">
        <v>64.88</v>
      </c>
      <c r="E1000">
        <v>240</v>
      </c>
      <c r="F1000">
        <v>210</v>
      </c>
      <c r="G1000">
        <v>255</v>
      </c>
      <c r="H1000">
        <v>705</v>
      </c>
      <c r="I1000">
        <v>2012</v>
      </c>
      <c r="J1000" t="s">
        <v>29</v>
      </c>
      <c r="K1000" t="s">
        <v>171</v>
      </c>
    </row>
    <row r="1001" spans="1:11">
      <c r="A1001" t="s">
        <v>634</v>
      </c>
      <c r="B1001">
        <v>1978</v>
      </c>
      <c r="C1001" t="s">
        <v>243</v>
      </c>
      <c r="D1001">
        <v>92.53</v>
      </c>
      <c r="E1001">
        <v>220</v>
      </c>
      <c r="F1001">
        <v>270</v>
      </c>
      <c r="G1001">
        <v>215</v>
      </c>
      <c r="H1001">
        <v>705</v>
      </c>
      <c r="I1001">
        <v>2015</v>
      </c>
      <c r="J1001" t="s">
        <v>29</v>
      </c>
      <c r="K1001" t="s">
        <v>171</v>
      </c>
    </row>
    <row r="1002" spans="1:11">
      <c r="A1002" t="s">
        <v>814</v>
      </c>
      <c r="B1002">
        <v>1979</v>
      </c>
      <c r="C1002" t="s">
        <v>815</v>
      </c>
      <c r="D1002">
        <v>116.95</v>
      </c>
      <c r="E1002">
        <v>305</v>
      </c>
      <c r="F1002">
        <v>160</v>
      </c>
      <c r="G1002">
        <v>230</v>
      </c>
      <c r="H1002">
        <v>695</v>
      </c>
      <c r="I1002">
        <v>2012</v>
      </c>
      <c r="J1002" t="s">
        <v>29</v>
      </c>
      <c r="K1002" t="s">
        <v>171</v>
      </c>
    </row>
    <row r="1003" spans="1:11">
      <c r="A1003" t="s">
        <v>759</v>
      </c>
      <c r="B1003">
        <v>1984</v>
      </c>
      <c r="C1003" t="s">
        <v>56</v>
      </c>
      <c r="D1003">
        <v>82.65</v>
      </c>
      <c r="E1003">
        <v>280</v>
      </c>
      <c r="F1003">
        <v>160</v>
      </c>
      <c r="G1003">
        <v>255</v>
      </c>
      <c r="H1003">
        <v>695</v>
      </c>
      <c r="I1003">
        <v>2012</v>
      </c>
      <c r="J1003" t="s">
        <v>29</v>
      </c>
      <c r="K1003" t="s">
        <v>171</v>
      </c>
    </row>
    <row r="1004" spans="1:11">
      <c r="A1004" t="s">
        <v>656</v>
      </c>
      <c r="B1004">
        <v>1985</v>
      </c>
      <c r="C1004" t="s">
        <v>485</v>
      </c>
      <c r="D1004">
        <v>101.5</v>
      </c>
      <c r="E1004">
        <v>270</v>
      </c>
      <c r="F1004">
        <v>170</v>
      </c>
      <c r="G1004">
        <v>255</v>
      </c>
      <c r="H1004">
        <v>695</v>
      </c>
      <c r="I1004">
        <v>2014</v>
      </c>
      <c r="J1004" t="s">
        <v>29</v>
      </c>
      <c r="K1004" t="s">
        <v>171</v>
      </c>
    </row>
    <row r="1005" spans="1:11">
      <c r="A1005" t="s">
        <v>503</v>
      </c>
      <c r="B1005">
        <v>1989</v>
      </c>
      <c r="C1005" t="s">
        <v>85</v>
      </c>
      <c r="D1005">
        <v>65.55</v>
      </c>
      <c r="E1005">
        <v>250</v>
      </c>
      <c r="F1005">
        <v>192.5</v>
      </c>
      <c r="G1005">
        <v>252.5</v>
      </c>
      <c r="H1005">
        <v>695</v>
      </c>
      <c r="I1005">
        <v>2015</v>
      </c>
      <c r="J1005" t="s">
        <v>29</v>
      </c>
      <c r="K1005" t="s">
        <v>171</v>
      </c>
    </row>
    <row r="1006" spans="1:11">
      <c r="A1006" t="s">
        <v>763</v>
      </c>
      <c r="B1006">
        <v>1982</v>
      </c>
      <c r="C1006" t="s">
        <v>380</v>
      </c>
      <c r="D1006">
        <v>73.28</v>
      </c>
      <c r="E1006">
        <v>272.5</v>
      </c>
      <c r="F1006">
        <v>170</v>
      </c>
      <c r="G1006">
        <v>250</v>
      </c>
      <c r="H1006">
        <v>692.5</v>
      </c>
      <c r="I1006">
        <v>2013</v>
      </c>
      <c r="J1006" t="s">
        <v>29</v>
      </c>
      <c r="K1006" t="s">
        <v>171</v>
      </c>
    </row>
    <row r="1007" spans="1:11">
      <c r="A1007" t="s">
        <v>746</v>
      </c>
      <c r="B1007">
        <v>1982</v>
      </c>
      <c r="C1007" t="s">
        <v>77</v>
      </c>
      <c r="D1007">
        <v>65.650000000000006</v>
      </c>
      <c r="E1007">
        <v>255</v>
      </c>
      <c r="F1007">
        <v>202.5</v>
      </c>
      <c r="G1007">
        <v>235</v>
      </c>
      <c r="H1007">
        <v>692.5</v>
      </c>
      <c r="I1007">
        <v>2012</v>
      </c>
      <c r="J1007" t="s">
        <v>29</v>
      </c>
      <c r="K1007" t="s">
        <v>171</v>
      </c>
    </row>
    <row r="1008" spans="1:11">
      <c r="A1008" t="s">
        <v>823</v>
      </c>
      <c r="B1008">
        <v>1983</v>
      </c>
      <c r="C1008" t="s">
        <v>485</v>
      </c>
      <c r="D1008">
        <v>81.06</v>
      </c>
      <c r="E1008">
        <v>260</v>
      </c>
      <c r="F1008">
        <v>150</v>
      </c>
      <c r="G1008">
        <v>280</v>
      </c>
      <c r="H1008">
        <v>690</v>
      </c>
      <c r="I1008">
        <v>2014</v>
      </c>
      <c r="J1008" t="s">
        <v>29</v>
      </c>
      <c r="K1008" t="s">
        <v>171</v>
      </c>
    </row>
    <row r="1009" spans="1:11">
      <c r="A1009" t="s">
        <v>680</v>
      </c>
      <c r="B1009">
        <v>1990</v>
      </c>
      <c r="C1009" t="s">
        <v>282</v>
      </c>
      <c r="D1009">
        <v>65.7</v>
      </c>
      <c r="E1009">
        <v>260</v>
      </c>
      <c r="F1009">
        <v>172.5</v>
      </c>
      <c r="G1009">
        <v>257.5</v>
      </c>
      <c r="H1009">
        <v>690</v>
      </c>
      <c r="I1009">
        <v>2014</v>
      </c>
      <c r="J1009" t="s">
        <v>29</v>
      </c>
      <c r="K1009" t="s">
        <v>171</v>
      </c>
    </row>
    <row r="1010" spans="1:11">
      <c r="A1010" t="s">
        <v>609</v>
      </c>
      <c r="B1010">
        <v>1985</v>
      </c>
      <c r="C1010" t="s">
        <v>49</v>
      </c>
      <c r="D1010">
        <v>64.930000000000007</v>
      </c>
      <c r="E1010">
        <v>267.5</v>
      </c>
      <c r="F1010">
        <v>160</v>
      </c>
      <c r="G1010">
        <v>260</v>
      </c>
      <c r="H1010">
        <v>687.5</v>
      </c>
      <c r="I1010">
        <v>2013</v>
      </c>
      <c r="J1010" t="s">
        <v>29</v>
      </c>
      <c r="K1010" t="s">
        <v>171</v>
      </c>
    </row>
    <row r="1011" spans="1:11">
      <c r="A1011" t="s">
        <v>812</v>
      </c>
      <c r="B1011">
        <v>1990</v>
      </c>
      <c r="C1011" t="s">
        <v>390</v>
      </c>
      <c r="D1011">
        <v>73.36</v>
      </c>
      <c r="E1011">
        <v>237.5</v>
      </c>
      <c r="F1011">
        <v>195</v>
      </c>
      <c r="G1011">
        <v>255</v>
      </c>
      <c r="H1011">
        <v>687.5</v>
      </c>
      <c r="I1011">
        <v>2015</v>
      </c>
      <c r="J1011" t="s">
        <v>29</v>
      </c>
      <c r="K1011" t="s">
        <v>171</v>
      </c>
    </row>
    <row r="1012" spans="1:11">
      <c r="A1012" t="s">
        <v>607</v>
      </c>
      <c r="B1012">
        <v>1983</v>
      </c>
      <c r="C1012" t="s">
        <v>282</v>
      </c>
      <c r="D1012">
        <v>58.6</v>
      </c>
      <c r="E1012">
        <v>272.5</v>
      </c>
      <c r="F1012">
        <v>175</v>
      </c>
      <c r="G1012">
        <v>235</v>
      </c>
      <c r="H1012">
        <v>682.5</v>
      </c>
      <c r="I1012">
        <v>2015</v>
      </c>
      <c r="J1012" t="s">
        <v>29</v>
      </c>
      <c r="K1012" t="s">
        <v>171</v>
      </c>
    </row>
    <row r="1013" spans="1:11">
      <c r="A1013" t="s">
        <v>472</v>
      </c>
      <c r="B1013">
        <v>1981</v>
      </c>
      <c r="C1013" t="s">
        <v>49</v>
      </c>
      <c r="D1013">
        <v>100.85</v>
      </c>
      <c r="E1013">
        <v>275</v>
      </c>
      <c r="F1013">
        <v>177.5</v>
      </c>
      <c r="G1013">
        <v>230</v>
      </c>
      <c r="H1013">
        <v>682.5</v>
      </c>
      <c r="I1013">
        <v>2015</v>
      </c>
      <c r="J1013" t="s">
        <v>29</v>
      </c>
      <c r="K1013" t="s">
        <v>171</v>
      </c>
    </row>
    <row r="1014" spans="1:11">
      <c r="A1014" t="s">
        <v>607</v>
      </c>
      <c r="B1014">
        <v>1983</v>
      </c>
      <c r="C1014" t="s">
        <v>282</v>
      </c>
      <c r="D1014">
        <v>58.32</v>
      </c>
      <c r="E1014">
        <v>270</v>
      </c>
      <c r="F1014">
        <v>172.5</v>
      </c>
      <c r="G1014">
        <v>237.5</v>
      </c>
      <c r="H1014">
        <v>680</v>
      </c>
      <c r="I1014">
        <v>2014</v>
      </c>
      <c r="J1014" t="s">
        <v>29</v>
      </c>
      <c r="K1014" t="s">
        <v>171</v>
      </c>
    </row>
    <row r="1015" spans="1:11">
      <c r="A1015" t="s">
        <v>527</v>
      </c>
      <c r="B1015">
        <v>1977</v>
      </c>
      <c r="C1015" t="s">
        <v>62</v>
      </c>
      <c r="D1015">
        <v>65.5</v>
      </c>
      <c r="E1015">
        <v>252.5</v>
      </c>
      <c r="F1015">
        <v>172.5</v>
      </c>
      <c r="G1015">
        <v>255</v>
      </c>
      <c r="H1015">
        <v>680</v>
      </c>
      <c r="I1015">
        <v>2013</v>
      </c>
      <c r="J1015" t="s">
        <v>29</v>
      </c>
      <c r="K1015" t="s">
        <v>171</v>
      </c>
    </row>
    <row r="1016" spans="1:11">
      <c r="A1016" t="s">
        <v>674</v>
      </c>
      <c r="B1016">
        <v>1990</v>
      </c>
      <c r="C1016" t="s">
        <v>252</v>
      </c>
      <c r="D1016">
        <v>127.88</v>
      </c>
      <c r="E1016">
        <v>290</v>
      </c>
      <c r="F1016">
        <v>140</v>
      </c>
      <c r="G1016">
        <v>245</v>
      </c>
      <c r="H1016">
        <v>675</v>
      </c>
      <c r="I1016">
        <v>2015</v>
      </c>
      <c r="J1016" t="s">
        <v>29</v>
      </c>
      <c r="K1016" t="s">
        <v>171</v>
      </c>
    </row>
    <row r="1017" spans="1:11">
      <c r="A1017" t="s">
        <v>675</v>
      </c>
      <c r="B1017">
        <v>1990</v>
      </c>
      <c r="C1017" t="s">
        <v>77</v>
      </c>
      <c r="D1017">
        <v>65.930000000000007</v>
      </c>
      <c r="E1017">
        <v>260</v>
      </c>
      <c r="F1017">
        <v>170</v>
      </c>
      <c r="G1017">
        <v>245</v>
      </c>
      <c r="H1017">
        <v>675</v>
      </c>
      <c r="I1017">
        <v>2013</v>
      </c>
      <c r="J1017" t="s">
        <v>29</v>
      </c>
      <c r="K1017" t="s">
        <v>171</v>
      </c>
    </row>
    <row r="1018" spans="1:11">
      <c r="A1018" t="s">
        <v>783</v>
      </c>
      <c r="B1018">
        <v>1993</v>
      </c>
      <c r="C1018" t="s">
        <v>74</v>
      </c>
      <c r="D1018">
        <v>93.98</v>
      </c>
      <c r="E1018">
        <v>255</v>
      </c>
      <c r="F1018">
        <v>145</v>
      </c>
      <c r="G1018">
        <v>272.5</v>
      </c>
      <c r="H1018">
        <v>672.5</v>
      </c>
      <c r="I1018">
        <v>2014</v>
      </c>
      <c r="J1018" t="s">
        <v>29</v>
      </c>
      <c r="K1018" t="s">
        <v>171</v>
      </c>
    </row>
    <row r="1019" spans="1:11">
      <c r="A1019" t="s">
        <v>823</v>
      </c>
      <c r="B1019">
        <v>1983</v>
      </c>
      <c r="C1019" t="s">
        <v>485</v>
      </c>
      <c r="D1019">
        <v>80.16</v>
      </c>
      <c r="E1019">
        <v>242.5</v>
      </c>
      <c r="F1019">
        <v>152.5</v>
      </c>
      <c r="G1019">
        <v>275</v>
      </c>
      <c r="H1019">
        <v>670</v>
      </c>
      <c r="I1019">
        <v>2012</v>
      </c>
      <c r="J1019" t="s">
        <v>29</v>
      </c>
      <c r="K1019" t="s">
        <v>171</v>
      </c>
    </row>
    <row r="1020" spans="1:11">
      <c r="A1020" t="s">
        <v>505</v>
      </c>
      <c r="B1020">
        <v>1992</v>
      </c>
      <c r="C1020" t="s">
        <v>480</v>
      </c>
      <c r="D1020">
        <v>82.03</v>
      </c>
      <c r="E1020">
        <v>260</v>
      </c>
      <c r="F1020">
        <v>170</v>
      </c>
      <c r="G1020">
        <v>240</v>
      </c>
      <c r="H1020">
        <v>670</v>
      </c>
      <c r="I1020">
        <v>2012</v>
      </c>
      <c r="J1020" t="s">
        <v>29</v>
      </c>
      <c r="K1020" t="s">
        <v>171</v>
      </c>
    </row>
    <row r="1021" spans="1:11">
      <c r="A1021" t="s">
        <v>609</v>
      </c>
      <c r="B1021">
        <v>1985</v>
      </c>
      <c r="C1021" t="s">
        <v>49</v>
      </c>
      <c r="D1021">
        <v>58.6</v>
      </c>
      <c r="E1021">
        <v>250</v>
      </c>
      <c r="F1021">
        <v>162.5</v>
      </c>
      <c r="G1021">
        <v>255</v>
      </c>
      <c r="H1021">
        <v>667.5</v>
      </c>
      <c r="I1021">
        <v>2014</v>
      </c>
      <c r="J1021" t="s">
        <v>29</v>
      </c>
      <c r="K1021" t="s">
        <v>171</v>
      </c>
    </row>
    <row r="1022" spans="1:11">
      <c r="A1022" t="s">
        <v>606</v>
      </c>
      <c r="B1022">
        <v>1989</v>
      </c>
      <c r="C1022" t="s">
        <v>47</v>
      </c>
      <c r="D1022">
        <v>89.17</v>
      </c>
      <c r="E1022">
        <v>232.5</v>
      </c>
      <c r="F1022">
        <v>155</v>
      </c>
      <c r="G1022">
        <v>280</v>
      </c>
      <c r="H1022">
        <v>667.5</v>
      </c>
      <c r="I1022">
        <v>2015</v>
      </c>
      <c r="J1022" t="s">
        <v>29</v>
      </c>
      <c r="K1022" t="s">
        <v>171</v>
      </c>
    </row>
    <row r="1023" spans="1:11">
      <c r="A1023" t="s">
        <v>483</v>
      </c>
      <c r="B1023">
        <v>1980</v>
      </c>
      <c r="C1023" t="s">
        <v>464</v>
      </c>
      <c r="D1023">
        <v>58.41</v>
      </c>
      <c r="E1023">
        <v>250</v>
      </c>
      <c r="F1023">
        <v>172.5</v>
      </c>
      <c r="G1023">
        <v>245</v>
      </c>
      <c r="H1023">
        <v>667.5</v>
      </c>
      <c r="I1023">
        <v>2012</v>
      </c>
      <c r="J1023" t="s">
        <v>29</v>
      </c>
      <c r="K1023" t="s">
        <v>171</v>
      </c>
    </row>
    <row r="1024" spans="1:11">
      <c r="A1024" t="s">
        <v>478</v>
      </c>
      <c r="B1024">
        <v>1984</v>
      </c>
      <c r="C1024" t="s">
        <v>113</v>
      </c>
      <c r="D1024">
        <v>81.900000000000006</v>
      </c>
      <c r="E1024">
        <v>250</v>
      </c>
      <c r="F1024">
        <v>165</v>
      </c>
      <c r="G1024">
        <v>250</v>
      </c>
      <c r="H1024">
        <v>665</v>
      </c>
      <c r="I1024">
        <v>2014</v>
      </c>
      <c r="J1024" t="s">
        <v>29</v>
      </c>
      <c r="K1024" t="s">
        <v>171</v>
      </c>
    </row>
    <row r="1025" spans="1:11">
      <c r="A1025" t="s">
        <v>702</v>
      </c>
      <c r="B1025">
        <v>1993</v>
      </c>
      <c r="C1025" t="s">
        <v>47</v>
      </c>
      <c r="D1025">
        <v>82</v>
      </c>
      <c r="E1025">
        <v>255</v>
      </c>
      <c r="F1025">
        <v>170</v>
      </c>
      <c r="G1025">
        <v>240</v>
      </c>
      <c r="H1025">
        <v>665</v>
      </c>
      <c r="I1025">
        <v>2015</v>
      </c>
      <c r="J1025" t="s">
        <v>29</v>
      </c>
      <c r="K1025" t="s">
        <v>171</v>
      </c>
    </row>
    <row r="1026" spans="1:11">
      <c r="A1026" t="s">
        <v>720</v>
      </c>
      <c r="B1026">
        <v>1974</v>
      </c>
      <c r="C1026" t="s">
        <v>113</v>
      </c>
      <c r="D1026">
        <v>65.78</v>
      </c>
      <c r="E1026">
        <v>255</v>
      </c>
      <c r="F1026">
        <v>175</v>
      </c>
      <c r="G1026">
        <v>235</v>
      </c>
      <c r="H1026">
        <v>665</v>
      </c>
      <c r="I1026">
        <v>2012</v>
      </c>
      <c r="J1026" t="s">
        <v>29</v>
      </c>
      <c r="K1026" t="s">
        <v>171</v>
      </c>
    </row>
    <row r="1027" spans="1:11">
      <c r="A1027" t="s">
        <v>614</v>
      </c>
      <c r="B1027">
        <v>1990</v>
      </c>
      <c r="C1027" t="s">
        <v>380</v>
      </c>
      <c r="D1027">
        <v>72.8</v>
      </c>
      <c r="E1027">
        <v>230</v>
      </c>
      <c r="F1027">
        <v>205</v>
      </c>
      <c r="G1027">
        <v>230</v>
      </c>
      <c r="H1027">
        <v>665</v>
      </c>
      <c r="I1027">
        <v>2015</v>
      </c>
      <c r="J1027" t="s">
        <v>29</v>
      </c>
      <c r="K1027" t="s">
        <v>171</v>
      </c>
    </row>
    <row r="1028" spans="1:11">
      <c r="A1028" t="s">
        <v>679</v>
      </c>
      <c r="B1028">
        <v>1976</v>
      </c>
      <c r="C1028" t="s">
        <v>480</v>
      </c>
      <c r="D1028">
        <v>73.349999999999994</v>
      </c>
      <c r="E1028">
        <v>200</v>
      </c>
      <c r="F1028">
        <v>222.5</v>
      </c>
      <c r="G1028">
        <v>240</v>
      </c>
      <c r="H1028">
        <v>662.5</v>
      </c>
      <c r="I1028">
        <v>2012</v>
      </c>
      <c r="J1028" t="s">
        <v>29</v>
      </c>
      <c r="K1028" t="s">
        <v>171</v>
      </c>
    </row>
    <row r="1029" spans="1:11">
      <c r="A1029" t="s">
        <v>610</v>
      </c>
      <c r="B1029">
        <v>1983</v>
      </c>
      <c r="C1029" t="s">
        <v>74</v>
      </c>
      <c r="D1029">
        <v>64.88</v>
      </c>
      <c r="E1029">
        <v>245</v>
      </c>
      <c r="F1029">
        <v>195</v>
      </c>
      <c r="G1029">
        <v>220</v>
      </c>
      <c r="H1029">
        <v>660</v>
      </c>
      <c r="I1029">
        <v>2012</v>
      </c>
      <c r="J1029" t="s">
        <v>29</v>
      </c>
      <c r="K1029" t="s">
        <v>171</v>
      </c>
    </row>
    <row r="1030" spans="1:11">
      <c r="A1030" t="s">
        <v>680</v>
      </c>
      <c r="B1030">
        <v>1990</v>
      </c>
      <c r="C1030" t="s">
        <v>282</v>
      </c>
      <c r="D1030">
        <v>65.44</v>
      </c>
      <c r="E1030">
        <v>265</v>
      </c>
      <c r="F1030">
        <v>157.5</v>
      </c>
      <c r="G1030">
        <v>235</v>
      </c>
      <c r="H1030">
        <v>657.5</v>
      </c>
      <c r="I1030">
        <v>2013</v>
      </c>
      <c r="J1030" t="s">
        <v>29</v>
      </c>
      <c r="K1030" t="s">
        <v>171</v>
      </c>
    </row>
    <row r="1031" spans="1:11">
      <c r="A1031" t="s">
        <v>381</v>
      </c>
      <c r="B1031">
        <v>1991</v>
      </c>
      <c r="C1031" t="s">
        <v>380</v>
      </c>
      <c r="D1031">
        <v>65.59</v>
      </c>
      <c r="E1031">
        <v>240</v>
      </c>
      <c r="F1031">
        <v>202.5</v>
      </c>
      <c r="G1031">
        <v>215</v>
      </c>
      <c r="H1031">
        <v>657.5</v>
      </c>
      <c r="I1031">
        <v>2015</v>
      </c>
      <c r="J1031" t="s">
        <v>29</v>
      </c>
      <c r="K1031" t="s">
        <v>171</v>
      </c>
    </row>
    <row r="1032" spans="1:11">
      <c r="A1032" t="s">
        <v>826</v>
      </c>
      <c r="B1032">
        <v>1990</v>
      </c>
      <c r="C1032" t="s">
        <v>74</v>
      </c>
      <c r="D1032">
        <v>58.32</v>
      </c>
      <c r="E1032">
        <v>245</v>
      </c>
      <c r="F1032">
        <v>157.5</v>
      </c>
      <c r="G1032">
        <v>252.5</v>
      </c>
      <c r="H1032">
        <v>655</v>
      </c>
      <c r="I1032">
        <v>2015</v>
      </c>
      <c r="J1032" t="s">
        <v>29</v>
      </c>
      <c r="K1032" t="s">
        <v>171</v>
      </c>
    </row>
    <row r="1033" spans="1:11">
      <c r="A1033" t="s">
        <v>607</v>
      </c>
      <c r="B1033">
        <v>1983</v>
      </c>
      <c r="C1033" t="s">
        <v>282</v>
      </c>
      <c r="D1033">
        <v>58.8</v>
      </c>
      <c r="E1033">
        <v>260</v>
      </c>
      <c r="F1033">
        <v>167.5</v>
      </c>
      <c r="G1033">
        <v>227.5</v>
      </c>
      <c r="H1033">
        <v>655</v>
      </c>
      <c r="I1033">
        <v>2012</v>
      </c>
      <c r="J1033" t="s">
        <v>29</v>
      </c>
      <c r="K1033" t="s">
        <v>171</v>
      </c>
    </row>
    <row r="1034" spans="1:11">
      <c r="A1034" t="s">
        <v>167</v>
      </c>
      <c r="B1034">
        <v>1978</v>
      </c>
      <c r="C1034" t="s">
        <v>85</v>
      </c>
      <c r="D1034">
        <v>58.77</v>
      </c>
      <c r="E1034">
        <v>257.5</v>
      </c>
      <c r="F1034">
        <v>170</v>
      </c>
      <c r="G1034">
        <v>227.5</v>
      </c>
      <c r="H1034">
        <v>655</v>
      </c>
      <c r="I1034">
        <v>2012</v>
      </c>
      <c r="J1034" t="s">
        <v>29</v>
      </c>
      <c r="K1034" t="s">
        <v>171</v>
      </c>
    </row>
    <row r="1035" spans="1:11">
      <c r="A1035" t="s">
        <v>647</v>
      </c>
      <c r="B1035">
        <v>1983</v>
      </c>
      <c r="C1035" t="s">
        <v>336</v>
      </c>
      <c r="D1035">
        <v>73.8</v>
      </c>
      <c r="E1035">
        <v>250</v>
      </c>
      <c r="F1035">
        <v>197.5</v>
      </c>
      <c r="G1035">
        <v>207.5</v>
      </c>
      <c r="H1035">
        <v>655</v>
      </c>
      <c r="I1035">
        <v>2013</v>
      </c>
      <c r="J1035" t="s">
        <v>29</v>
      </c>
      <c r="K1035" t="s">
        <v>171</v>
      </c>
    </row>
    <row r="1036" spans="1:11">
      <c r="A1036" t="s">
        <v>677</v>
      </c>
      <c r="B1036">
        <v>1970</v>
      </c>
      <c r="C1036" t="s">
        <v>113</v>
      </c>
      <c r="D1036">
        <v>65.959999999999994</v>
      </c>
      <c r="E1036">
        <v>230</v>
      </c>
      <c r="F1036">
        <v>147.5</v>
      </c>
      <c r="G1036">
        <v>275</v>
      </c>
      <c r="H1036">
        <v>652.5</v>
      </c>
      <c r="I1036">
        <v>2012</v>
      </c>
      <c r="J1036" t="s">
        <v>29</v>
      </c>
      <c r="K1036" t="s">
        <v>171</v>
      </c>
    </row>
    <row r="1037" spans="1:11">
      <c r="A1037" t="s">
        <v>376</v>
      </c>
      <c r="B1037">
        <v>1983</v>
      </c>
      <c r="C1037" t="s">
        <v>62</v>
      </c>
      <c r="D1037">
        <v>65.599999999999994</v>
      </c>
      <c r="E1037">
        <v>245</v>
      </c>
      <c r="F1037">
        <v>165</v>
      </c>
      <c r="G1037">
        <v>242.5</v>
      </c>
      <c r="H1037">
        <v>652.5</v>
      </c>
      <c r="I1037">
        <v>2012</v>
      </c>
      <c r="J1037" t="s">
        <v>29</v>
      </c>
      <c r="K1037" t="s">
        <v>171</v>
      </c>
    </row>
    <row r="1038" spans="1:11">
      <c r="A1038" t="s">
        <v>611</v>
      </c>
      <c r="B1038">
        <v>1994</v>
      </c>
      <c r="C1038" t="s">
        <v>74</v>
      </c>
      <c r="D1038">
        <v>58.5</v>
      </c>
      <c r="E1038">
        <v>245</v>
      </c>
      <c r="F1038">
        <v>150</v>
      </c>
      <c r="G1038">
        <v>255</v>
      </c>
      <c r="H1038">
        <v>650</v>
      </c>
      <c r="I1038">
        <v>2014</v>
      </c>
      <c r="J1038" t="s">
        <v>29</v>
      </c>
      <c r="K1038" t="s">
        <v>171</v>
      </c>
    </row>
    <row r="1039" spans="1:11">
      <c r="A1039" t="s">
        <v>611</v>
      </c>
      <c r="B1039">
        <v>1994</v>
      </c>
      <c r="C1039" t="s">
        <v>74</v>
      </c>
      <c r="D1039">
        <v>58.29</v>
      </c>
      <c r="E1039">
        <v>242.5</v>
      </c>
      <c r="F1039">
        <v>150</v>
      </c>
      <c r="G1039">
        <v>257.5</v>
      </c>
      <c r="H1039">
        <v>650</v>
      </c>
      <c r="I1039">
        <v>2015</v>
      </c>
      <c r="J1039" t="s">
        <v>29</v>
      </c>
      <c r="K1039" t="s">
        <v>171</v>
      </c>
    </row>
    <row r="1040" spans="1:11">
      <c r="A1040" t="s">
        <v>167</v>
      </c>
      <c r="B1040">
        <v>1978</v>
      </c>
      <c r="C1040" t="s">
        <v>85</v>
      </c>
      <c r="D1040">
        <v>58.62</v>
      </c>
      <c r="E1040">
        <v>255</v>
      </c>
      <c r="F1040">
        <v>177.5</v>
      </c>
      <c r="G1040">
        <v>217.5</v>
      </c>
      <c r="H1040">
        <v>650</v>
      </c>
      <c r="I1040">
        <v>2015</v>
      </c>
      <c r="J1040" t="s">
        <v>29</v>
      </c>
      <c r="K1040" t="s">
        <v>171</v>
      </c>
    </row>
    <row r="1041" spans="1:11">
      <c r="A1041" t="s">
        <v>472</v>
      </c>
      <c r="B1041">
        <v>1980</v>
      </c>
      <c r="C1041" t="s">
        <v>49</v>
      </c>
      <c r="D1041">
        <v>92</v>
      </c>
      <c r="E1041">
        <v>265</v>
      </c>
      <c r="F1041">
        <v>140</v>
      </c>
      <c r="G1041">
        <v>240</v>
      </c>
      <c r="H1041">
        <v>645</v>
      </c>
      <c r="I1041">
        <v>2014</v>
      </c>
      <c r="J1041" t="s">
        <v>29</v>
      </c>
      <c r="K1041" t="s">
        <v>171</v>
      </c>
    </row>
    <row r="1042" spans="1:11">
      <c r="A1042" t="s">
        <v>167</v>
      </c>
      <c r="B1042">
        <v>1978</v>
      </c>
      <c r="C1042" t="s">
        <v>85</v>
      </c>
      <c r="D1042">
        <v>58.46</v>
      </c>
      <c r="E1042">
        <v>250</v>
      </c>
      <c r="F1042">
        <v>177.5</v>
      </c>
      <c r="G1042">
        <v>217.5</v>
      </c>
      <c r="H1042">
        <v>645</v>
      </c>
      <c r="I1042">
        <v>2014</v>
      </c>
      <c r="J1042" t="s">
        <v>29</v>
      </c>
      <c r="K1042" t="s">
        <v>171</v>
      </c>
    </row>
    <row r="1043" spans="1:11">
      <c r="A1043" t="s">
        <v>638</v>
      </c>
      <c r="B1043">
        <v>1984</v>
      </c>
      <c r="C1043" t="s">
        <v>418</v>
      </c>
      <c r="D1043">
        <v>91.4</v>
      </c>
      <c r="E1043">
        <v>230</v>
      </c>
      <c r="F1043">
        <v>160</v>
      </c>
      <c r="G1043">
        <v>252.5</v>
      </c>
      <c r="H1043">
        <v>642.5</v>
      </c>
      <c r="I1043">
        <v>2014</v>
      </c>
      <c r="J1043" t="s">
        <v>29</v>
      </c>
      <c r="K1043" t="s">
        <v>171</v>
      </c>
    </row>
    <row r="1044" spans="1:11">
      <c r="A1044" t="s">
        <v>688</v>
      </c>
      <c r="B1044">
        <v>1977</v>
      </c>
      <c r="C1044" t="s">
        <v>85</v>
      </c>
      <c r="D1044">
        <v>58.73</v>
      </c>
      <c r="E1044">
        <v>255</v>
      </c>
      <c r="F1044">
        <v>155</v>
      </c>
      <c r="G1044">
        <v>225</v>
      </c>
      <c r="H1044">
        <v>635</v>
      </c>
      <c r="I1044">
        <v>2012</v>
      </c>
      <c r="J1044" t="s">
        <v>29</v>
      </c>
      <c r="K1044" t="s">
        <v>171</v>
      </c>
    </row>
    <row r="1045" spans="1:11">
      <c r="A1045" t="s">
        <v>510</v>
      </c>
      <c r="B1045">
        <v>1984</v>
      </c>
      <c r="C1045" t="s">
        <v>62</v>
      </c>
      <c r="D1045">
        <v>65.2</v>
      </c>
      <c r="E1045">
        <v>242.5</v>
      </c>
      <c r="F1045">
        <v>152.5</v>
      </c>
      <c r="G1045">
        <v>240</v>
      </c>
      <c r="H1045">
        <v>635</v>
      </c>
      <c r="I1045">
        <v>2013</v>
      </c>
      <c r="J1045" t="s">
        <v>29</v>
      </c>
      <c r="K1045" t="s">
        <v>171</v>
      </c>
    </row>
    <row r="1046" spans="1:11">
      <c r="A1046" t="s">
        <v>567</v>
      </c>
      <c r="B1046">
        <v>1984</v>
      </c>
      <c r="C1046" t="s">
        <v>62</v>
      </c>
      <c r="D1046">
        <v>64.89</v>
      </c>
      <c r="E1046">
        <v>242.5</v>
      </c>
      <c r="F1046">
        <v>140</v>
      </c>
      <c r="G1046">
        <v>250</v>
      </c>
      <c r="H1046">
        <v>632.5</v>
      </c>
      <c r="I1046">
        <v>2015</v>
      </c>
      <c r="J1046" t="s">
        <v>29</v>
      </c>
      <c r="K1046" t="s">
        <v>171</v>
      </c>
    </row>
    <row r="1047" spans="1:11">
      <c r="A1047" t="s">
        <v>612</v>
      </c>
      <c r="B1047">
        <v>1979</v>
      </c>
      <c r="C1047" t="s">
        <v>137</v>
      </c>
      <c r="D1047">
        <v>58.8</v>
      </c>
      <c r="E1047">
        <v>240</v>
      </c>
      <c r="F1047">
        <v>145</v>
      </c>
      <c r="G1047">
        <v>247.5</v>
      </c>
      <c r="H1047">
        <v>632.5</v>
      </c>
      <c r="I1047">
        <v>2012</v>
      </c>
      <c r="J1047" t="s">
        <v>29</v>
      </c>
      <c r="K1047" t="s">
        <v>171</v>
      </c>
    </row>
    <row r="1048" spans="1:11">
      <c r="A1048" t="s">
        <v>559</v>
      </c>
      <c r="B1048">
        <v>1986</v>
      </c>
      <c r="C1048" t="s">
        <v>252</v>
      </c>
      <c r="D1048">
        <v>58.46</v>
      </c>
      <c r="E1048">
        <v>250</v>
      </c>
      <c r="F1048">
        <v>140</v>
      </c>
      <c r="G1048">
        <v>240</v>
      </c>
      <c r="H1048">
        <v>630</v>
      </c>
      <c r="I1048">
        <v>2015</v>
      </c>
      <c r="J1048" t="s">
        <v>29</v>
      </c>
      <c r="K1048" t="s">
        <v>171</v>
      </c>
    </row>
    <row r="1049" spans="1:11">
      <c r="A1049" t="s">
        <v>646</v>
      </c>
      <c r="B1049">
        <v>1981</v>
      </c>
      <c r="C1049" t="s">
        <v>418</v>
      </c>
      <c r="D1049">
        <v>72.62</v>
      </c>
      <c r="E1049">
        <v>240</v>
      </c>
      <c r="F1049">
        <v>150</v>
      </c>
      <c r="G1049">
        <v>240</v>
      </c>
      <c r="H1049">
        <v>630</v>
      </c>
      <c r="I1049">
        <v>2014</v>
      </c>
      <c r="J1049" t="s">
        <v>29</v>
      </c>
      <c r="K1049" t="s">
        <v>171</v>
      </c>
    </row>
    <row r="1050" spans="1:11">
      <c r="A1050" t="s">
        <v>419</v>
      </c>
      <c r="B1050">
        <v>1982</v>
      </c>
      <c r="C1050" t="s">
        <v>336</v>
      </c>
      <c r="D1050">
        <v>58.68</v>
      </c>
      <c r="E1050">
        <v>240</v>
      </c>
      <c r="F1050">
        <v>162.5</v>
      </c>
      <c r="G1050">
        <v>225</v>
      </c>
      <c r="H1050">
        <v>627.5</v>
      </c>
      <c r="I1050">
        <v>2014</v>
      </c>
      <c r="J1050" t="s">
        <v>29</v>
      </c>
      <c r="K1050" t="s">
        <v>171</v>
      </c>
    </row>
    <row r="1051" spans="1:11">
      <c r="A1051" t="s">
        <v>486</v>
      </c>
      <c r="B1051">
        <v>1986</v>
      </c>
      <c r="C1051" t="s">
        <v>47</v>
      </c>
      <c r="D1051">
        <v>101.21</v>
      </c>
      <c r="E1051">
        <v>230</v>
      </c>
      <c r="F1051">
        <v>135</v>
      </c>
      <c r="G1051">
        <v>260</v>
      </c>
      <c r="H1051">
        <v>625</v>
      </c>
      <c r="I1051">
        <v>2015</v>
      </c>
      <c r="J1051" t="s">
        <v>29</v>
      </c>
      <c r="K1051" t="s">
        <v>171</v>
      </c>
    </row>
    <row r="1052" spans="1:11">
      <c r="A1052" t="s">
        <v>688</v>
      </c>
      <c r="B1052">
        <v>1977</v>
      </c>
      <c r="C1052" t="s">
        <v>85</v>
      </c>
      <c r="D1052">
        <v>58.68</v>
      </c>
      <c r="E1052">
        <v>255</v>
      </c>
      <c r="F1052">
        <v>152.5</v>
      </c>
      <c r="G1052">
        <v>217.5</v>
      </c>
      <c r="H1052">
        <v>625</v>
      </c>
      <c r="I1052">
        <v>2013</v>
      </c>
      <c r="J1052" t="s">
        <v>29</v>
      </c>
      <c r="K1052" t="s">
        <v>171</v>
      </c>
    </row>
    <row r="1053" spans="1:11">
      <c r="A1053" t="s">
        <v>737</v>
      </c>
      <c r="B1053">
        <v>1974</v>
      </c>
      <c r="C1053" t="s">
        <v>485</v>
      </c>
      <c r="D1053">
        <v>73.69</v>
      </c>
      <c r="E1053">
        <v>235</v>
      </c>
      <c r="F1053">
        <v>155</v>
      </c>
      <c r="G1053">
        <v>235</v>
      </c>
      <c r="H1053">
        <v>625</v>
      </c>
      <c r="I1053">
        <v>2012</v>
      </c>
      <c r="J1053" t="s">
        <v>29</v>
      </c>
      <c r="K1053" t="s">
        <v>171</v>
      </c>
    </row>
    <row r="1054" spans="1:11">
      <c r="A1054" t="s">
        <v>834</v>
      </c>
      <c r="B1054">
        <v>1986</v>
      </c>
      <c r="C1054" t="s">
        <v>109</v>
      </c>
      <c r="D1054">
        <v>69.489999999999995</v>
      </c>
      <c r="E1054">
        <v>245</v>
      </c>
      <c r="F1054">
        <v>165</v>
      </c>
      <c r="G1054">
        <v>215</v>
      </c>
      <c r="H1054">
        <v>625</v>
      </c>
      <c r="I1054">
        <v>2012</v>
      </c>
      <c r="J1054" t="s">
        <v>29</v>
      </c>
      <c r="K1054" t="s">
        <v>171</v>
      </c>
    </row>
    <row r="1055" spans="1:11">
      <c r="A1055" t="s">
        <v>688</v>
      </c>
      <c r="B1055">
        <v>1977</v>
      </c>
      <c r="C1055" t="s">
        <v>85</v>
      </c>
      <c r="D1055">
        <v>58.62</v>
      </c>
      <c r="E1055">
        <v>245</v>
      </c>
      <c r="F1055">
        <v>152.5</v>
      </c>
      <c r="G1055">
        <v>225</v>
      </c>
      <c r="H1055">
        <v>622.5</v>
      </c>
      <c r="I1055">
        <v>2014</v>
      </c>
      <c r="J1055" t="s">
        <v>29</v>
      </c>
      <c r="K1055" t="s">
        <v>171</v>
      </c>
    </row>
    <row r="1056" spans="1:11">
      <c r="A1056" t="s">
        <v>799</v>
      </c>
      <c r="B1056">
        <v>1988</v>
      </c>
      <c r="C1056" t="s">
        <v>62</v>
      </c>
      <c r="D1056">
        <v>58.82</v>
      </c>
      <c r="E1056">
        <v>237.5</v>
      </c>
      <c r="F1056">
        <v>135</v>
      </c>
      <c r="G1056">
        <v>242.5</v>
      </c>
      <c r="H1056">
        <v>615</v>
      </c>
      <c r="I1056">
        <v>2014</v>
      </c>
      <c r="J1056" t="s">
        <v>29</v>
      </c>
      <c r="K1056" t="s">
        <v>171</v>
      </c>
    </row>
    <row r="1057" spans="1:11">
      <c r="A1057" t="s">
        <v>826</v>
      </c>
      <c r="B1057">
        <v>1990</v>
      </c>
      <c r="C1057" t="s">
        <v>74</v>
      </c>
      <c r="D1057">
        <v>58.56</v>
      </c>
      <c r="E1057">
        <v>240</v>
      </c>
      <c r="F1057">
        <v>145</v>
      </c>
      <c r="G1057">
        <v>230</v>
      </c>
      <c r="H1057">
        <v>615</v>
      </c>
      <c r="I1057">
        <v>2014</v>
      </c>
      <c r="J1057" t="s">
        <v>29</v>
      </c>
      <c r="K1057" t="s">
        <v>171</v>
      </c>
    </row>
    <row r="1058" spans="1:11">
      <c r="A1058" t="s">
        <v>419</v>
      </c>
      <c r="B1058">
        <v>1982</v>
      </c>
      <c r="C1058" t="s">
        <v>336</v>
      </c>
      <c r="D1058">
        <v>58.89</v>
      </c>
      <c r="E1058">
        <v>237.5</v>
      </c>
      <c r="F1058">
        <v>160</v>
      </c>
      <c r="G1058">
        <v>217.5</v>
      </c>
      <c r="H1058">
        <v>615</v>
      </c>
      <c r="I1058">
        <v>2013</v>
      </c>
      <c r="J1058" t="s">
        <v>29</v>
      </c>
      <c r="K1058" t="s">
        <v>171</v>
      </c>
    </row>
    <row r="1059" spans="1:11">
      <c r="A1059" t="s">
        <v>493</v>
      </c>
      <c r="B1059">
        <v>1989</v>
      </c>
      <c r="C1059" t="s">
        <v>282</v>
      </c>
      <c r="D1059">
        <v>57.94</v>
      </c>
      <c r="E1059">
        <v>230</v>
      </c>
      <c r="F1059">
        <v>160</v>
      </c>
      <c r="G1059">
        <v>225</v>
      </c>
      <c r="H1059">
        <v>615</v>
      </c>
      <c r="I1059">
        <v>2014</v>
      </c>
      <c r="J1059" t="s">
        <v>29</v>
      </c>
      <c r="K1059" t="s">
        <v>171</v>
      </c>
    </row>
    <row r="1060" spans="1:11">
      <c r="A1060" t="s">
        <v>435</v>
      </c>
      <c r="B1060">
        <v>1969</v>
      </c>
      <c r="C1060" t="s">
        <v>51</v>
      </c>
      <c r="D1060">
        <v>58.51</v>
      </c>
      <c r="E1060">
        <v>240</v>
      </c>
      <c r="F1060">
        <v>140</v>
      </c>
      <c r="G1060">
        <v>232.5</v>
      </c>
      <c r="H1060">
        <v>612.5</v>
      </c>
      <c r="I1060">
        <v>2012</v>
      </c>
      <c r="J1060" t="s">
        <v>29</v>
      </c>
      <c r="K1060" t="s">
        <v>171</v>
      </c>
    </row>
    <row r="1061" spans="1:11">
      <c r="A1061" t="s">
        <v>419</v>
      </c>
      <c r="B1061">
        <v>1982</v>
      </c>
      <c r="C1061" t="s">
        <v>336</v>
      </c>
      <c r="D1061">
        <v>58.79</v>
      </c>
      <c r="E1061">
        <v>230</v>
      </c>
      <c r="F1061">
        <v>160</v>
      </c>
      <c r="G1061">
        <v>220</v>
      </c>
      <c r="H1061">
        <v>610</v>
      </c>
      <c r="I1061">
        <v>2015</v>
      </c>
      <c r="J1061" t="s">
        <v>29</v>
      </c>
      <c r="K1061" t="s">
        <v>171</v>
      </c>
    </row>
    <row r="1062" spans="1:11">
      <c r="A1062" t="s">
        <v>732</v>
      </c>
      <c r="B1062">
        <v>1965</v>
      </c>
      <c r="C1062" t="s">
        <v>72</v>
      </c>
      <c r="D1062">
        <v>65.69</v>
      </c>
      <c r="E1062">
        <v>265</v>
      </c>
      <c r="F1062">
        <v>102.5</v>
      </c>
      <c r="G1062">
        <v>240</v>
      </c>
      <c r="H1062">
        <v>607.5</v>
      </c>
      <c r="I1062">
        <v>2012</v>
      </c>
      <c r="J1062" t="s">
        <v>29</v>
      </c>
      <c r="K1062" t="s">
        <v>171</v>
      </c>
    </row>
    <row r="1063" spans="1:11">
      <c r="A1063" t="s">
        <v>657</v>
      </c>
      <c r="B1063">
        <v>1981</v>
      </c>
      <c r="C1063" t="s">
        <v>51</v>
      </c>
      <c r="D1063">
        <v>72.45</v>
      </c>
      <c r="E1063">
        <v>225</v>
      </c>
      <c r="F1063">
        <v>165</v>
      </c>
      <c r="G1063">
        <v>215</v>
      </c>
      <c r="H1063">
        <v>605</v>
      </c>
      <c r="I1063">
        <v>2015</v>
      </c>
      <c r="J1063" t="s">
        <v>29</v>
      </c>
      <c r="K1063" t="s">
        <v>171</v>
      </c>
    </row>
    <row r="1064" spans="1:11">
      <c r="A1064" t="s">
        <v>646</v>
      </c>
      <c r="B1064">
        <v>1981</v>
      </c>
      <c r="C1064" t="s">
        <v>418</v>
      </c>
      <c r="D1064">
        <v>71.739999999999995</v>
      </c>
      <c r="E1064">
        <v>222.5</v>
      </c>
      <c r="F1064">
        <v>150</v>
      </c>
      <c r="G1064">
        <v>230</v>
      </c>
      <c r="H1064">
        <v>602.5</v>
      </c>
      <c r="I1064">
        <v>2012</v>
      </c>
      <c r="J1064" t="s">
        <v>29</v>
      </c>
      <c r="K1064" t="s">
        <v>171</v>
      </c>
    </row>
    <row r="1065" spans="1:11">
      <c r="A1065" t="s">
        <v>419</v>
      </c>
      <c r="B1065">
        <v>1982</v>
      </c>
      <c r="C1065" t="s">
        <v>336</v>
      </c>
      <c r="D1065">
        <v>58.92</v>
      </c>
      <c r="E1065">
        <v>232.5</v>
      </c>
      <c r="F1065">
        <v>155</v>
      </c>
      <c r="G1065">
        <v>212.5</v>
      </c>
      <c r="H1065">
        <v>600</v>
      </c>
      <c r="I1065">
        <v>2012</v>
      </c>
      <c r="J1065" t="s">
        <v>29</v>
      </c>
      <c r="K1065" t="s">
        <v>171</v>
      </c>
    </row>
    <row r="1066" spans="1:11">
      <c r="A1066" t="s">
        <v>493</v>
      </c>
      <c r="B1066">
        <v>1989</v>
      </c>
      <c r="C1066" t="s">
        <v>282</v>
      </c>
      <c r="D1066">
        <v>58.2</v>
      </c>
      <c r="E1066">
        <v>222.5</v>
      </c>
      <c r="F1066">
        <v>155</v>
      </c>
      <c r="G1066">
        <v>222.5</v>
      </c>
      <c r="H1066">
        <v>600</v>
      </c>
      <c r="I1066">
        <v>2013</v>
      </c>
      <c r="J1066" t="s">
        <v>29</v>
      </c>
      <c r="K1066" t="s">
        <v>171</v>
      </c>
    </row>
    <row r="1067" spans="1:11">
      <c r="A1067" t="s">
        <v>567</v>
      </c>
      <c r="B1067">
        <v>1984</v>
      </c>
      <c r="C1067" t="s">
        <v>62</v>
      </c>
      <c r="D1067">
        <v>66.52</v>
      </c>
      <c r="E1067">
        <v>235</v>
      </c>
      <c r="F1067">
        <v>132.5</v>
      </c>
      <c r="G1067">
        <v>230</v>
      </c>
      <c r="H1067">
        <v>597.5</v>
      </c>
      <c r="I1067">
        <v>2013</v>
      </c>
      <c r="J1067" t="s">
        <v>29</v>
      </c>
      <c r="K1067" t="s">
        <v>171</v>
      </c>
    </row>
    <row r="1068" spans="1:11">
      <c r="A1068" t="s">
        <v>539</v>
      </c>
      <c r="B1068">
        <v>1990</v>
      </c>
      <c r="C1068" t="s">
        <v>77</v>
      </c>
      <c r="D1068">
        <v>58.92</v>
      </c>
      <c r="E1068">
        <v>230</v>
      </c>
      <c r="F1068">
        <v>130</v>
      </c>
      <c r="G1068">
        <v>230</v>
      </c>
      <c r="H1068">
        <v>590</v>
      </c>
      <c r="I1068">
        <v>2012</v>
      </c>
      <c r="J1068" t="s">
        <v>29</v>
      </c>
      <c r="K1068" t="s">
        <v>171</v>
      </c>
    </row>
    <row r="1069" spans="1:11">
      <c r="A1069" t="s">
        <v>543</v>
      </c>
      <c r="B1069">
        <v>1953</v>
      </c>
      <c r="C1069" t="s">
        <v>77</v>
      </c>
      <c r="D1069">
        <v>58.55</v>
      </c>
      <c r="E1069">
        <v>210</v>
      </c>
      <c r="F1069">
        <v>165</v>
      </c>
      <c r="G1069">
        <v>210</v>
      </c>
      <c r="H1069">
        <v>585</v>
      </c>
      <c r="I1069">
        <v>2013</v>
      </c>
      <c r="J1069" t="s">
        <v>29</v>
      </c>
      <c r="K1069" t="s">
        <v>171</v>
      </c>
    </row>
    <row r="1070" spans="1:11">
      <c r="A1070" t="s">
        <v>121</v>
      </c>
      <c r="B1070">
        <v>1967</v>
      </c>
      <c r="C1070" t="s">
        <v>77</v>
      </c>
      <c r="D1070">
        <v>58.89</v>
      </c>
      <c r="E1070">
        <v>205</v>
      </c>
      <c r="F1070">
        <v>170</v>
      </c>
      <c r="G1070">
        <v>210</v>
      </c>
      <c r="H1070">
        <v>585</v>
      </c>
      <c r="I1070">
        <v>2015</v>
      </c>
      <c r="J1070" t="s">
        <v>29</v>
      </c>
      <c r="K1070" t="s">
        <v>171</v>
      </c>
    </row>
    <row r="1071" spans="1:11">
      <c r="A1071" t="s">
        <v>732</v>
      </c>
      <c r="B1071">
        <v>1965</v>
      </c>
      <c r="C1071" t="s">
        <v>72</v>
      </c>
      <c r="D1071">
        <v>65.849999999999994</v>
      </c>
      <c r="E1071">
        <v>250</v>
      </c>
      <c r="F1071">
        <v>100</v>
      </c>
      <c r="G1071">
        <v>230</v>
      </c>
      <c r="H1071">
        <v>580</v>
      </c>
      <c r="I1071">
        <v>2015</v>
      </c>
      <c r="J1071" t="s">
        <v>29</v>
      </c>
      <c r="K1071" t="s">
        <v>171</v>
      </c>
    </row>
    <row r="1072" spans="1:11">
      <c r="A1072" t="s">
        <v>473</v>
      </c>
      <c r="B1072">
        <v>1995</v>
      </c>
      <c r="C1072" t="s">
        <v>418</v>
      </c>
      <c r="D1072">
        <v>72.239999999999995</v>
      </c>
      <c r="E1072">
        <v>220</v>
      </c>
      <c r="F1072">
        <v>120</v>
      </c>
      <c r="G1072">
        <v>220</v>
      </c>
      <c r="H1072">
        <v>560</v>
      </c>
      <c r="I1072">
        <v>2014</v>
      </c>
      <c r="J1072" t="s">
        <v>29</v>
      </c>
      <c r="K1072" t="s">
        <v>171</v>
      </c>
    </row>
    <row r="1073" spans="1:11">
      <c r="A1073" t="s">
        <v>602</v>
      </c>
      <c r="B1073">
        <v>1989</v>
      </c>
      <c r="C1073" t="s">
        <v>336</v>
      </c>
      <c r="D1073">
        <v>73.680000000000007</v>
      </c>
      <c r="E1073">
        <v>190</v>
      </c>
      <c r="F1073">
        <v>122.5</v>
      </c>
      <c r="G1073">
        <v>232.5</v>
      </c>
      <c r="H1073">
        <v>545</v>
      </c>
      <c r="I1073">
        <v>2012</v>
      </c>
      <c r="J1073" t="s">
        <v>29</v>
      </c>
      <c r="K1073" t="s">
        <v>171</v>
      </c>
    </row>
    <row r="1074" spans="1:11">
      <c r="A1074" t="s">
        <v>724</v>
      </c>
      <c r="B1074">
        <v>1959</v>
      </c>
      <c r="C1074" t="s">
        <v>336</v>
      </c>
      <c r="D1074">
        <v>65.010000000000005</v>
      </c>
      <c r="E1074">
        <v>200</v>
      </c>
      <c r="F1074">
        <v>142.5</v>
      </c>
      <c r="G1074">
        <v>200</v>
      </c>
      <c r="H1074">
        <v>542.5</v>
      </c>
      <c r="I1074">
        <v>2012</v>
      </c>
      <c r="J1074" t="s">
        <v>29</v>
      </c>
      <c r="K1074" t="s">
        <v>171</v>
      </c>
    </row>
    <row r="1075" spans="1:11">
      <c r="A1075" t="s">
        <v>850</v>
      </c>
      <c r="B1075">
        <v>1987</v>
      </c>
      <c r="C1075" t="s">
        <v>485</v>
      </c>
      <c r="D1075">
        <v>65.5</v>
      </c>
      <c r="E1075">
        <v>215</v>
      </c>
      <c r="F1075">
        <v>125</v>
      </c>
      <c r="G1075">
        <v>200</v>
      </c>
      <c r="H1075">
        <v>540</v>
      </c>
      <c r="I1075">
        <v>2014</v>
      </c>
      <c r="J1075" t="s">
        <v>29</v>
      </c>
      <c r="K1075" t="s">
        <v>171</v>
      </c>
    </row>
    <row r="1076" spans="1:11">
      <c r="A1076" t="s">
        <v>427</v>
      </c>
      <c r="B1076">
        <v>1980</v>
      </c>
      <c r="C1076" t="s">
        <v>252</v>
      </c>
      <c r="D1076">
        <v>86.53</v>
      </c>
      <c r="E1076">
        <v>120</v>
      </c>
      <c r="F1076">
        <v>115</v>
      </c>
      <c r="G1076">
        <v>160</v>
      </c>
      <c r="H1076">
        <v>395</v>
      </c>
      <c r="I1076">
        <v>2015</v>
      </c>
      <c r="J1076" t="s">
        <v>29</v>
      </c>
      <c r="K1076" t="s">
        <v>171</v>
      </c>
    </row>
    <row r="1077" spans="1:11">
      <c r="A1077" t="s">
        <v>821</v>
      </c>
      <c r="B1077">
        <v>1982</v>
      </c>
      <c r="C1077" t="s">
        <v>252</v>
      </c>
      <c r="D1077">
        <v>84.07</v>
      </c>
      <c r="E1077">
        <v>120</v>
      </c>
      <c r="F1077">
        <v>100</v>
      </c>
      <c r="G1077">
        <v>165</v>
      </c>
      <c r="H1077">
        <v>385</v>
      </c>
      <c r="I1077">
        <v>2015</v>
      </c>
      <c r="J1077" t="s">
        <v>29</v>
      </c>
      <c r="K1077" t="s">
        <v>171</v>
      </c>
    </row>
    <row r="1078" spans="1:11">
      <c r="A1078" t="s">
        <v>550</v>
      </c>
      <c r="B1078">
        <v>1990</v>
      </c>
      <c r="C1078" t="s">
        <v>252</v>
      </c>
      <c r="D1078">
        <v>64.5</v>
      </c>
      <c r="E1078">
        <v>100</v>
      </c>
      <c r="F1078">
        <v>105</v>
      </c>
      <c r="G1078">
        <v>130</v>
      </c>
      <c r="H1078">
        <v>335</v>
      </c>
      <c r="I1078">
        <v>2015</v>
      </c>
      <c r="J1078" t="s">
        <v>29</v>
      </c>
      <c r="K1078" t="s">
        <v>171</v>
      </c>
    </row>
    <row r="1079" spans="1:11">
      <c r="A1079" t="s">
        <v>222</v>
      </c>
      <c r="B1079">
        <v>1986</v>
      </c>
      <c r="C1079" t="s">
        <v>28</v>
      </c>
      <c r="D1079">
        <v>120.95</v>
      </c>
      <c r="E1079">
        <v>300</v>
      </c>
      <c r="F1079">
        <v>182.5</v>
      </c>
      <c r="G1079">
        <v>270.5</v>
      </c>
      <c r="H1079">
        <v>753</v>
      </c>
      <c r="I1079">
        <v>2013</v>
      </c>
      <c r="J1079" t="s">
        <v>852</v>
      </c>
      <c r="K1079" t="s">
        <v>171</v>
      </c>
    </row>
    <row r="1080" spans="1:11">
      <c r="A1080" t="s">
        <v>222</v>
      </c>
      <c r="B1080">
        <v>1986</v>
      </c>
      <c r="C1080" t="s">
        <v>903</v>
      </c>
      <c r="D1080">
        <v>115.94</v>
      </c>
      <c r="E1080">
        <v>285</v>
      </c>
      <c r="F1080">
        <v>180</v>
      </c>
      <c r="G1080">
        <v>250</v>
      </c>
      <c r="H1080">
        <v>715</v>
      </c>
      <c r="I1080">
        <v>2014</v>
      </c>
      <c r="J1080" t="s">
        <v>852</v>
      </c>
      <c r="K1080" t="s">
        <v>171</v>
      </c>
    </row>
    <row r="1081" spans="1:11">
      <c r="A1081" t="s">
        <v>222</v>
      </c>
      <c r="B1081">
        <v>1986</v>
      </c>
      <c r="C1081" t="s">
        <v>28</v>
      </c>
      <c r="D1081">
        <v>115.39</v>
      </c>
      <c r="E1081">
        <v>285</v>
      </c>
      <c r="F1081">
        <v>180</v>
      </c>
      <c r="G1081">
        <v>240</v>
      </c>
      <c r="H1081">
        <v>705</v>
      </c>
      <c r="I1081">
        <v>2015</v>
      </c>
      <c r="J1081" t="s">
        <v>852</v>
      </c>
      <c r="K1081" t="s">
        <v>171</v>
      </c>
    </row>
    <row r="1082" spans="1:11">
      <c r="A1082" t="s">
        <v>262</v>
      </c>
      <c r="B1082">
        <v>1988</v>
      </c>
      <c r="C1082" t="s">
        <v>876</v>
      </c>
      <c r="D1082">
        <v>129.94</v>
      </c>
      <c r="E1082">
        <v>282.5</v>
      </c>
      <c r="F1082">
        <v>190</v>
      </c>
      <c r="G1082">
        <v>222.5</v>
      </c>
      <c r="H1082">
        <v>695</v>
      </c>
      <c r="I1082">
        <v>2014</v>
      </c>
      <c r="J1082" t="s">
        <v>852</v>
      </c>
      <c r="K1082" t="s">
        <v>171</v>
      </c>
    </row>
    <row r="1083" spans="1:11">
      <c r="A1083" t="s">
        <v>929</v>
      </c>
      <c r="B1083">
        <v>1983</v>
      </c>
      <c r="C1083" t="s">
        <v>862</v>
      </c>
      <c r="D1083">
        <v>128.94</v>
      </c>
      <c r="E1083">
        <v>265</v>
      </c>
      <c r="F1083">
        <v>227</v>
      </c>
      <c r="G1083">
        <v>202.5</v>
      </c>
      <c r="H1083">
        <v>694.5</v>
      </c>
      <c r="I1083">
        <v>2014</v>
      </c>
      <c r="J1083" t="s">
        <v>852</v>
      </c>
      <c r="K1083" t="s">
        <v>171</v>
      </c>
    </row>
    <row r="1084" spans="1:11">
      <c r="A1084" t="s">
        <v>945</v>
      </c>
      <c r="B1084">
        <v>1990</v>
      </c>
      <c r="C1084" t="s">
        <v>901</v>
      </c>
      <c r="D1084">
        <v>78.62</v>
      </c>
      <c r="E1084">
        <v>268</v>
      </c>
      <c r="F1084">
        <v>160</v>
      </c>
      <c r="G1084">
        <v>242.5</v>
      </c>
      <c r="H1084">
        <v>670.5</v>
      </c>
      <c r="I1084">
        <v>2014</v>
      </c>
      <c r="J1084" t="s">
        <v>852</v>
      </c>
      <c r="K1084" t="s">
        <v>171</v>
      </c>
    </row>
    <row r="1085" spans="1:11">
      <c r="A1085" t="s">
        <v>929</v>
      </c>
      <c r="B1085">
        <v>1983</v>
      </c>
      <c r="C1085" t="s">
        <v>45</v>
      </c>
      <c r="D1085">
        <v>127.05</v>
      </c>
      <c r="E1085">
        <v>260</v>
      </c>
      <c r="F1085">
        <v>218</v>
      </c>
      <c r="G1085">
        <v>190</v>
      </c>
      <c r="H1085">
        <v>668</v>
      </c>
      <c r="I1085">
        <v>2013</v>
      </c>
      <c r="J1085" t="s">
        <v>852</v>
      </c>
      <c r="K1085" t="s">
        <v>171</v>
      </c>
    </row>
    <row r="1086" spans="1:11">
      <c r="A1086" t="s">
        <v>945</v>
      </c>
      <c r="B1086">
        <v>1990</v>
      </c>
      <c r="C1086" t="s">
        <v>119</v>
      </c>
      <c r="D1086">
        <v>78.89</v>
      </c>
      <c r="E1086">
        <v>260</v>
      </c>
      <c r="F1086">
        <v>150</v>
      </c>
      <c r="G1086">
        <v>250.5</v>
      </c>
      <c r="H1086">
        <v>660.5</v>
      </c>
      <c r="I1086">
        <v>2012</v>
      </c>
      <c r="J1086" t="s">
        <v>852</v>
      </c>
      <c r="K1086" t="s">
        <v>171</v>
      </c>
    </row>
    <row r="1087" spans="1:11">
      <c r="A1087" t="s">
        <v>196</v>
      </c>
      <c r="B1087">
        <v>1984</v>
      </c>
      <c r="C1087" t="s">
        <v>74</v>
      </c>
      <c r="D1087">
        <v>90.05</v>
      </c>
      <c r="E1087">
        <v>275</v>
      </c>
      <c r="F1087">
        <v>155</v>
      </c>
      <c r="G1087">
        <v>227.5</v>
      </c>
      <c r="H1087">
        <v>657.5</v>
      </c>
      <c r="I1087">
        <v>2013</v>
      </c>
      <c r="J1087" t="s">
        <v>852</v>
      </c>
      <c r="K1087" t="s">
        <v>171</v>
      </c>
    </row>
    <row r="1088" spans="1:11">
      <c r="A1088" t="s">
        <v>257</v>
      </c>
      <c r="B1088">
        <v>1992</v>
      </c>
      <c r="C1088" t="s">
        <v>28</v>
      </c>
      <c r="D1088">
        <v>104.03</v>
      </c>
      <c r="E1088">
        <v>260</v>
      </c>
      <c r="F1088">
        <v>170</v>
      </c>
      <c r="G1088">
        <v>225</v>
      </c>
      <c r="H1088">
        <v>655</v>
      </c>
      <c r="I1088">
        <v>2015</v>
      </c>
      <c r="J1088" t="s">
        <v>852</v>
      </c>
      <c r="K1088" t="s">
        <v>171</v>
      </c>
    </row>
    <row r="1089" spans="1:11">
      <c r="A1089" t="s">
        <v>283</v>
      </c>
      <c r="B1089">
        <v>1971</v>
      </c>
      <c r="C1089" t="s">
        <v>119</v>
      </c>
      <c r="D1089">
        <v>107.88</v>
      </c>
      <c r="E1089">
        <v>250</v>
      </c>
      <c r="F1089">
        <v>192.5</v>
      </c>
      <c r="G1089">
        <v>212.5</v>
      </c>
      <c r="H1089">
        <v>655</v>
      </c>
      <c r="I1089">
        <v>2015</v>
      </c>
      <c r="J1089" t="s">
        <v>852</v>
      </c>
      <c r="K1089" t="s">
        <v>171</v>
      </c>
    </row>
    <row r="1090" spans="1:11">
      <c r="A1090" t="s">
        <v>283</v>
      </c>
      <c r="B1090">
        <v>1971</v>
      </c>
      <c r="C1090" t="s">
        <v>119</v>
      </c>
      <c r="D1090">
        <v>105.77</v>
      </c>
      <c r="E1090">
        <v>252.5</v>
      </c>
      <c r="F1090">
        <v>182.5</v>
      </c>
      <c r="G1090">
        <v>212.5</v>
      </c>
      <c r="H1090">
        <v>647.5</v>
      </c>
      <c r="I1090">
        <v>2013</v>
      </c>
      <c r="J1090" t="s">
        <v>852</v>
      </c>
      <c r="K1090" t="s">
        <v>171</v>
      </c>
    </row>
    <row r="1091" spans="1:11">
      <c r="A1091" t="s">
        <v>965</v>
      </c>
      <c r="B1091">
        <v>1989</v>
      </c>
      <c r="C1091" t="s">
        <v>876</v>
      </c>
      <c r="D1091">
        <v>100.16</v>
      </c>
      <c r="E1091">
        <v>240</v>
      </c>
      <c r="F1091">
        <v>205</v>
      </c>
      <c r="G1091">
        <v>202.5</v>
      </c>
      <c r="H1091">
        <v>647.5</v>
      </c>
      <c r="I1091">
        <v>2014</v>
      </c>
      <c r="J1091" t="s">
        <v>852</v>
      </c>
      <c r="K1091" t="s">
        <v>171</v>
      </c>
    </row>
    <row r="1092" spans="1:11">
      <c r="A1092" t="s">
        <v>317</v>
      </c>
      <c r="B1092">
        <v>1973</v>
      </c>
      <c r="C1092" t="s">
        <v>318</v>
      </c>
      <c r="D1092">
        <v>83.07</v>
      </c>
      <c r="E1092">
        <v>255</v>
      </c>
      <c r="F1092">
        <v>180</v>
      </c>
      <c r="G1092">
        <v>210</v>
      </c>
      <c r="H1092">
        <v>645</v>
      </c>
      <c r="I1092">
        <v>2013</v>
      </c>
      <c r="J1092" t="s">
        <v>852</v>
      </c>
      <c r="K1092" t="s">
        <v>171</v>
      </c>
    </row>
    <row r="1093" spans="1:11">
      <c r="A1093" t="s">
        <v>184</v>
      </c>
      <c r="B1093">
        <v>1972</v>
      </c>
      <c r="C1093" t="s">
        <v>876</v>
      </c>
      <c r="D1093">
        <v>82.26</v>
      </c>
      <c r="E1093">
        <v>240</v>
      </c>
      <c r="F1093">
        <v>181</v>
      </c>
      <c r="G1093">
        <v>222.5</v>
      </c>
      <c r="H1093">
        <v>643.5</v>
      </c>
      <c r="I1093">
        <v>2014</v>
      </c>
      <c r="J1093" t="s">
        <v>852</v>
      </c>
      <c r="K1093" t="s">
        <v>171</v>
      </c>
    </row>
    <row r="1094" spans="1:11">
      <c r="A1094" t="s">
        <v>330</v>
      </c>
      <c r="B1094">
        <v>1988</v>
      </c>
      <c r="C1094" t="s">
        <v>28</v>
      </c>
      <c r="D1094">
        <v>81.14</v>
      </c>
      <c r="E1094">
        <v>260</v>
      </c>
      <c r="F1094">
        <v>170</v>
      </c>
      <c r="G1094">
        <v>212.5</v>
      </c>
      <c r="H1094">
        <v>642.5</v>
      </c>
      <c r="I1094">
        <v>2015</v>
      </c>
      <c r="J1094" t="s">
        <v>852</v>
      </c>
      <c r="K1094" t="s">
        <v>171</v>
      </c>
    </row>
    <row r="1095" spans="1:11">
      <c r="A1095" t="s">
        <v>195</v>
      </c>
      <c r="B1095">
        <v>1985</v>
      </c>
      <c r="C1095" t="s">
        <v>49</v>
      </c>
      <c r="D1095">
        <v>69.25</v>
      </c>
      <c r="E1095">
        <v>255</v>
      </c>
      <c r="F1095">
        <v>172.5</v>
      </c>
      <c r="G1095">
        <v>215</v>
      </c>
      <c r="H1095">
        <v>642.5</v>
      </c>
      <c r="I1095">
        <v>2013</v>
      </c>
      <c r="J1095" t="s">
        <v>852</v>
      </c>
      <c r="K1095" t="s">
        <v>171</v>
      </c>
    </row>
    <row r="1096" spans="1:11">
      <c r="A1096" t="s">
        <v>317</v>
      </c>
      <c r="B1096">
        <v>1973</v>
      </c>
      <c r="C1096" t="s">
        <v>1026</v>
      </c>
      <c r="D1096">
        <v>83.6</v>
      </c>
      <c r="E1096">
        <v>257.5</v>
      </c>
      <c r="F1096">
        <v>175</v>
      </c>
      <c r="G1096">
        <v>210</v>
      </c>
      <c r="H1096">
        <v>642.5</v>
      </c>
      <c r="I1096">
        <v>2014</v>
      </c>
      <c r="J1096" t="s">
        <v>852</v>
      </c>
      <c r="K1096" t="s">
        <v>171</v>
      </c>
    </row>
    <row r="1097" spans="1:11">
      <c r="A1097" t="s">
        <v>184</v>
      </c>
      <c r="B1097">
        <v>1972</v>
      </c>
      <c r="C1097" t="s">
        <v>62</v>
      </c>
      <c r="D1097">
        <v>82.59</v>
      </c>
      <c r="E1097">
        <v>240</v>
      </c>
      <c r="F1097">
        <v>188</v>
      </c>
      <c r="G1097">
        <v>212.5</v>
      </c>
      <c r="H1097">
        <v>640.5</v>
      </c>
      <c r="I1097">
        <v>2015</v>
      </c>
      <c r="J1097" t="s">
        <v>852</v>
      </c>
      <c r="K1097" t="s">
        <v>171</v>
      </c>
    </row>
    <row r="1098" spans="1:11">
      <c r="A1098" t="s">
        <v>313</v>
      </c>
      <c r="B1098">
        <v>1978</v>
      </c>
      <c r="C1098" t="s">
        <v>901</v>
      </c>
      <c r="D1098">
        <v>62.62</v>
      </c>
      <c r="E1098">
        <v>240.5</v>
      </c>
      <c r="F1098">
        <v>168</v>
      </c>
      <c r="G1098">
        <v>230</v>
      </c>
      <c r="H1098">
        <v>638.5</v>
      </c>
      <c r="I1098">
        <v>2014</v>
      </c>
      <c r="J1098" t="s">
        <v>852</v>
      </c>
      <c r="K1098" t="s">
        <v>171</v>
      </c>
    </row>
    <row r="1099" spans="1:11">
      <c r="A1099" t="s">
        <v>313</v>
      </c>
      <c r="B1099">
        <v>1978</v>
      </c>
      <c r="C1099" t="s">
        <v>119</v>
      </c>
      <c r="D1099">
        <v>62.84</v>
      </c>
      <c r="E1099">
        <v>235.5</v>
      </c>
      <c r="F1099">
        <v>162.5</v>
      </c>
      <c r="G1099">
        <v>240</v>
      </c>
      <c r="H1099">
        <v>638</v>
      </c>
      <c r="I1099">
        <v>2013</v>
      </c>
      <c r="J1099" t="s">
        <v>852</v>
      </c>
      <c r="K1099" t="s">
        <v>171</v>
      </c>
    </row>
    <row r="1100" spans="1:11">
      <c r="A1100" t="s">
        <v>196</v>
      </c>
      <c r="B1100">
        <v>1984</v>
      </c>
      <c r="C1100" t="s">
        <v>74</v>
      </c>
      <c r="D1100">
        <v>88.17</v>
      </c>
      <c r="E1100">
        <v>255</v>
      </c>
      <c r="F1100">
        <v>147.5</v>
      </c>
      <c r="G1100">
        <v>235</v>
      </c>
      <c r="H1100">
        <v>637.5</v>
      </c>
      <c r="I1100">
        <v>2012</v>
      </c>
      <c r="J1100" t="s">
        <v>852</v>
      </c>
      <c r="K1100" t="s">
        <v>171</v>
      </c>
    </row>
    <row r="1101" spans="1:11">
      <c r="A1101" t="s">
        <v>317</v>
      </c>
      <c r="B1101">
        <v>1973</v>
      </c>
      <c r="C1101" t="s">
        <v>318</v>
      </c>
      <c r="D1101">
        <v>83.55</v>
      </c>
      <c r="E1101">
        <v>250</v>
      </c>
      <c r="F1101">
        <v>172.5</v>
      </c>
      <c r="G1101">
        <v>215</v>
      </c>
      <c r="H1101">
        <v>637.5</v>
      </c>
      <c r="I1101">
        <v>2012</v>
      </c>
      <c r="J1101" t="s">
        <v>852</v>
      </c>
      <c r="K1101" t="s">
        <v>171</v>
      </c>
    </row>
    <row r="1102" spans="1:11">
      <c r="A1102" t="s">
        <v>283</v>
      </c>
      <c r="B1102">
        <v>1971</v>
      </c>
      <c r="C1102" t="s">
        <v>119</v>
      </c>
      <c r="D1102">
        <v>106.72</v>
      </c>
      <c r="E1102">
        <v>242.5</v>
      </c>
      <c r="F1102">
        <v>177.5</v>
      </c>
      <c r="G1102">
        <v>217.5</v>
      </c>
      <c r="H1102">
        <v>637.5</v>
      </c>
      <c r="I1102">
        <v>2012</v>
      </c>
      <c r="J1102" t="s">
        <v>852</v>
      </c>
      <c r="K1102" t="s">
        <v>171</v>
      </c>
    </row>
    <row r="1103" spans="1:11">
      <c r="A1103" t="s">
        <v>283</v>
      </c>
      <c r="B1103">
        <v>1971</v>
      </c>
      <c r="C1103" t="s">
        <v>901</v>
      </c>
      <c r="D1103">
        <v>108.66</v>
      </c>
      <c r="E1103">
        <v>240</v>
      </c>
      <c r="F1103">
        <v>190</v>
      </c>
      <c r="G1103">
        <v>205</v>
      </c>
      <c r="H1103">
        <v>635</v>
      </c>
      <c r="I1103">
        <v>2014</v>
      </c>
      <c r="J1103" t="s">
        <v>852</v>
      </c>
      <c r="K1103" t="s">
        <v>171</v>
      </c>
    </row>
    <row r="1104" spans="1:11">
      <c r="A1104" t="s">
        <v>313</v>
      </c>
      <c r="B1104">
        <v>1978</v>
      </c>
      <c r="C1104" t="s">
        <v>119</v>
      </c>
      <c r="D1104">
        <v>62.87</v>
      </c>
      <c r="E1104">
        <v>227.5</v>
      </c>
      <c r="F1104">
        <v>165.5</v>
      </c>
      <c r="G1104">
        <v>240</v>
      </c>
      <c r="H1104">
        <v>633</v>
      </c>
      <c r="I1104">
        <v>2012</v>
      </c>
      <c r="J1104" t="s">
        <v>852</v>
      </c>
      <c r="K1104" t="s">
        <v>171</v>
      </c>
    </row>
    <row r="1105" spans="1:11">
      <c r="A1105" t="s">
        <v>330</v>
      </c>
      <c r="B1105">
        <v>1988</v>
      </c>
      <c r="C1105" t="s">
        <v>903</v>
      </c>
      <c r="D1105">
        <v>80.400000000000006</v>
      </c>
      <c r="E1105">
        <v>262.5</v>
      </c>
      <c r="F1105">
        <v>157.5</v>
      </c>
      <c r="G1105">
        <v>210</v>
      </c>
      <c r="H1105">
        <v>630</v>
      </c>
      <c r="I1105">
        <v>2014</v>
      </c>
      <c r="J1105" t="s">
        <v>852</v>
      </c>
      <c r="K1105" t="s">
        <v>171</v>
      </c>
    </row>
    <row r="1106" spans="1:11">
      <c r="A1106" t="s">
        <v>196</v>
      </c>
      <c r="B1106">
        <v>1984</v>
      </c>
      <c r="C1106" t="s">
        <v>74</v>
      </c>
      <c r="D1106">
        <v>89.89</v>
      </c>
      <c r="E1106">
        <v>255</v>
      </c>
      <c r="F1106">
        <v>152.5</v>
      </c>
      <c r="G1106">
        <v>220</v>
      </c>
      <c r="H1106">
        <v>627.5</v>
      </c>
      <c r="I1106">
        <v>2015</v>
      </c>
      <c r="J1106" t="s">
        <v>852</v>
      </c>
      <c r="K1106" t="s">
        <v>171</v>
      </c>
    </row>
    <row r="1107" spans="1:11">
      <c r="A1107" t="s">
        <v>301</v>
      </c>
      <c r="B1107">
        <v>1972</v>
      </c>
      <c r="C1107" t="s">
        <v>876</v>
      </c>
      <c r="D1107">
        <v>71.7</v>
      </c>
      <c r="E1107">
        <v>230</v>
      </c>
      <c r="F1107">
        <v>150</v>
      </c>
      <c r="G1107">
        <v>247.5</v>
      </c>
      <c r="H1107">
        <v>627.5</v>
      </c>
      <c r="I1107">
        <v>2014</v>
      </c>
      <c r="J1107" t="s">
        <v>852</v>
      </c>
      <c r="K1107" t="s">
        <v>171</v>
      </c>
    </row>
    <row r="1108" spans="1:11">
      <c r="A1108" t="s">
        <v>195</v>
      </c>
      <c r="B1108">
        <v>1985</v>
      </c>
      <c r="C1108" t="s">
        <v>867</v>
      </c>
      <c r="D1108">
        <v>69.459999999999994</v>
      </c>
      <c r="E1108">
        <v>247.5</v>
      </c>
      <c r="F1108">
        <v>170</v>
      </c>
      <c r="G1108">
        <v>207.5</v>
      </c>
      <c r="H1108">
        <v>625</v>
      </c>
      <c r="I1108">
        <v>2014</v>
      </c>
      <c r="J1108" t="s">
        <v>852</v>
      </c>
      <c r="K1108" t="s">
        <v>171</v>
      </c>
    </row>
    <row r="1109" spans="1:11">
      <c r="A1109" t="s">
        <v>301</v>
      </c>
      <c r="B1109">
        <v>1972</v>
      </c>
      <c r="C1109" t="s">
        <v>62</v>
      </c>
      <c r="D1109">
        <v>71.55</v>
      </c>
      <c r="E1109">
        <v>220</v>
      </c>
      <c r="F1109">
        <v>155</v>
      </c>
      <c r="G1109">
        <v>247.5</v>
      </c>
      <c r="H1109">
        <v>622.5</v>
      </c>
      <c r="I1109">
        <v>2015</v>
      </c>
      <c r="J1109" t="s">
        <v>852</v>
      </c>
      <c r="K1109" t="s">
        <v>171</v>
      </c>
    </row>
    <row r="1110" spans="1:11">
      <c r="A1110" t="s">
        <v>184</v>
      </c>
      <c r="B1110">
        <v>1972</v>
      </c>
      <c r="C1110" t="s">
        <v>62</v>
      </c>
      <c r="D1110">
        <v>81.94</v>
      </c>
      <c r="E1110">
        <v>232.5</v>
      </c>
      <c r="F1110">
        <v>177.5</v>
      </c>
      <c r="G1110">
        <v>212.5</v>
      </c>
      <c r="H1110">
        <v>622.5</v>
      </c>
      <c r="I1110">
        <v>2013</v>
      </c>
      <c r="J1110" t="s">
        <v>852</v>
      </c>
      <c r="K1110" t="s">
        <v>171</v>
      </c>
    </row>
    <row r="1111" spans="1:11">
      <c r="A1111" t="s">
        <v>965</v>
      </c>
      <c r="B1111">
        <v>1989</v>
      </c>
      <c r="C1111" t="s">
        <v>62</v>
      </c>
      <c r="D1111">
        <v>93.83</v>
      </c>
      <c r="E1111">
        <v>232.5</v>
      </c>
      <c r="F1111">
        <v>190</v>
      </c>
      <c r="G1111">
        <v>200</v>
      </c>
      <c r="H1111">
        <v>622.5</v>
      </c>
      <c r="I1111">
        <v>2013</v>
      </c>
      <c r="J1111" t="s">
        <v>852</v>
      </c>
      <c r="K1111" t="s">
        <v>171</v>
      </c>
    </row>
    <row r="1112" spans="1:11">
      <c r="A1112" t="s">
        <v>195</v>
      </c>
      <c r="B1112">
        <v>1985</v>
      </c>
      <c r="C1112" t="s">
        <v>49</v>
      </c>
      <c r="D1112">
        <v>70.319999999999993</v>
      </c>
      <c r="E1112">
        <v>242.5</v>
      </c>
      <c r="F1112">
        <v>167.5</v>
      </c>
      <c r="G1112">
        <v>210</v>
      </c>
      <c r="H1112">
        <v>620</v>
      </c>
      <c r="I1112">
        <v>2015</v>
      </c>
      <c r="J1112" t="s">
        <v>852</v>
      </c>
      <c r="K1112" t="s">
        <v>171</v>
      </c>
    </row>
    <row r="1113" spans="1:11">
      <c r="A1113" t="s">
        <v>313</v>
      </c>
      <c r="B1113">
        <v>1978</v>
      </c>
      <c r="C1113" t="s">
        <v>119</v>
      </c>
      <c r="D1113">
        <v>63</v>
      </c>
      <c r="E1113">
        <v>235</v>
      </c>
      <c r="F1113">
        <v>162.5</v>
      </c>
      <c r="G1113">
        <v>220</v>
      </c>
      <c r="H1113">
        <v>617.5</v>
      </c>
      <c r="I1113">
        <v>2015</v>
      </c>
      <c r="J1113" t="s">
        <v>852</v>
      </c>
      <c r="K1113" t="s">
        <v>171</v>
      </c>
    </row>
    <row r="1114" spans="1:11">
      <c r="A1114" t="s">
        <v>269</v>
      </c>
      <c r="B1114">
        <v>1986</v>
      </c>
      <c r="C1114" t="s">
        <v>28</v>
      </c>
      <c r="D1114">
        <v>66.86</v>
      </c>
      <c r="E1114">
        <v>220</v>
      </c>
      <c r="F1114">
        <v>175</v>
      </c>
      <c r="G1114">
        <v>222.5</v>
      </c>
      <c r="H1114">
        <v>617.5</v>
      </c>
      <c r="I1114">
        <v>2012</v>
      </c>
      <c r="J1114" t="s">
        <v>852</v>
      </c>
      <c r="K1114" t="s">
        <v>171</v>
      </c>
    </row>
    <row r="1115" spans="1:11">
      <c r="A1115" t="s">
        <v>195</v>
      </c>
      <c r="B1115">
        <v>1985</v>
      </c>
      <c r="C1115" t="s">
        <v>49</v>
      </c>
      <c r="D1115">
        <v>70.989999999999995</v>
      </c>
      <c r="E1115">
        <v>248</v>
      </c>
      <c r="F1115">
        <v>157.5</v>
      </c>
      <c r="G1115">
        <v>210</v>
      </c>
      <c r="H1115">
        <v>615.5</v>
      </c>
      <c r="I1115">
        <v>2012</v>
      </c>
      <c r="J1115" t="s">
        <v>852</v>
      </c>
      <c r="K1115" t="s">
        <v>171</v>
      </c>
    </row>
    <row r="1116" spans="1:11">
      <c r="A1116" t="s">
        <v>184</v>
      </c>
      <c r="B1116">
        <v>1972</v>
      </c>
      <c r="C1116" t="s">
        <v>62</v>
      </c>
      <c r="D1116">
        <v>81.709999999999994</v>
      </c>
      <c r="E1116">
        <v>237.5</v>
      </c>
      <c r="F1116">
        <v>157.5</v>
      </c>
      <c r="G1116">
        <v>220</v>
      </c>
      <c r="H1116">
        <v>615</v>
      </c>
      <c r="I1116">
        <v>2012</v>
      </c>
      <c r="J1116" t="s">
        <v>852</v>
      </c>
      <c r="K1116" t="s">
        <v>171</v>
      </c>
    </row>
    <row r="1117" spans="1:11">
      <c r="A1117" t="s">
        <v>197</v>
      </c>
      <c r="B1117">
        <v>1990</v>
      </c>
      <c r="C1117" t="s">
        <v>74</v>
      </c>
      <c r="D1117">
        <v>123.95</v>
      </c>
      <c r="E1117">
        <v>265</v>
      </c>
      <c r="F1117">
        <v>157.5</v>
      </c>
      <c r="G1117">
        <v>190</v>
      </c>
      <c r="H1117">
        <v>612.5</v>
      </c>
      <c r="I1117">
        <v>2013</v>
      </c>
      <c r="J1117" t="s">
        <v>852</v>
      </c>
      <c r="K1117" t="s">
        <v>171</v>
      </c>
    </row>
    <row r="1118" spans="1:11">
      <c r="A1118" t="s">
        <v>333</v>
      </c>
      <c r="B1118">
        <v>1978</v>
      </c>
      <c r="C1118" t="s">
        <v>318</v>
      </c>
      <c r="D1118">
        <v>110.55</v>
      </c>
      <c r="E1118">
        <v>230</v>
      </c>
      <c r="F1118">
        <v>192.5</v>
      </c>
      <c r="G1118">
        <v>187.5</v>
      </c>
      <c r="H1118">
        <v>610</v>
      </c>
      <c r="I1118">
        <v>2015</v>
      </c>
      <c r="J1118" t="s">
        <v>852</v>
      </c>
      <c r="K1118" t="s">
        <v>171</v>
      </c>
    </row>
    <row r="1119" spans="1:11">
      <c r="A1119" t="s">
        <v>331</v>
      </c>
      <c r="B1119">
        <v>1989</v>
      </c>
      <c r="C1119" t="s">
        <v>119</v>
      </c>
      <c r="D1119">
        <v>80.11</v>
      </c>
      <c r="E1119">
        <v>252.5</v>
      </c>
      <c r="F1119">
        <v>135</v>
      </c>
      <c r="G1119">
        <v>220</v>
      </c>
      <c r="H1119">
        <v>607.5</v>
      </c>
      <c r="I1119">
        <v>2015</v>
      </c>
      <c r="J1119" t="s">
        <v>852</v>
      </c>
      <c r="K1119" t="s">
        <v>171</v>
      </c>
    </row>
    <row r="1120" spans="1:11">
      <c r="A1120" t="s">
        <v>231</v>
      </c>
      <c r="B1120">
        <v>1990</v>
      </c>
      <c r="C1120" t="s">
        <v>62</v>
      </c>
      <c r="D1120">
        <v>82.89</v>
      </c>
      <c r="E1120">
        <v>240</v>
      </c>
      <c r="F1120">
        <v>160</v>
      </c>
      <c r="G1120">
        <v>207.5</v>
      </c>
      <c r="H1120">
        <v>607.5</v>
      </c>
      <c r="I1120">
        <v>2015</v>
      </c>
      <c r="J1120" t="s">
        <v>852</v>
      </c>
      <c r="K1120" t="s">
        <v>171</v>
      </c>
    </row>
    <row r="1121" spans="1:11">
      <c r="A1121" t="s">
        <v>176</v>
      </c>
      <c r="B1121">
        <v>1970</v>
      </c>
      <c r="C1121" t="s">
        <v>45</v>
      </c>
      <c r="D1121">
        <v>81.78</v>
      </c>
      <c r="E1121">
        <v>240</v>
      </c>
      <c r="F1121">
        <v>145</v>
      </c>
      <c r="G1121">
        <v>220</v>
      </c>
      <c r="H1121">
        <v>605</v>
      </c>
      <c r="I1121">
        <v>2012</v>
      </c>
      <c r="J1121" t="s">
        <v>852</v>
      </c>
      <c r="K1121" t="s">
        <v>171</v>
      </c>
    </row>
    <row r="1122" spans="1:11">
      <c r="A1122" t="s">
        <v>176</v>
      </c>
      <c r="B1122">
        <v>1970</v>
      </c>
      <c r="C1122" t="s">
        <v>45</v>
      </c>
      <c r="D1122">
        <v>83.18</v>
      </c>
      <c r="E1122">
        <v>247.5</v>
      </c>
      <c r="F1122">
        <v>145</v>
      </c>
      <c r="G1122">
        <v>210</v>
      </c>
      <c r="H1122">
        <v>602.5</v>
      </c>
      <c r="I1122">
        <v>2015</v>
      </c>
      <c r="J1122" t="s">
        <v>852</v>
      </c>
      <c r="K1122" t="s">
        <v>171</v>
      </c>
    </row>
    <row r="1123" spans="1:11">
      <c r="A1123" t="s">
        <v>269</v>
      </c>
      <c r="B1123">
        <v>1986</v>
      </c>
      <c r="C1123" t="s">
        <v>28</v>
      </c>
      <c r="D1123">
        <v>66.12</v>
      </c>
      <c r="E1123">
        <v>230</v>
      </c>
      <c r="F1123">
        <v>170</v>
      </c>
      <c r="G1123">
        <v>200</v>
      </c>
      <c r="H1123">
        <v>600</v>
      </c>
      <c r="I1123">
        <v>2013</v>
      </c>
      <c r="J1123" t="s">
        <v>852</v>
      </c>
      <c r="K1123" t="s">
        <v>171</v>
      </c>
    </row>
    <row r="1124" spans="1:11">
      <c r="A1124" t="s">
        <v>301</v>
      </c>
      <c r="B1124">
        <v>1972</v>
      </c>
      <c r="C1124" t="s">
        <v>62</v>
      </c>
      <c r="D1124">
        <v>71.19</v>
      </c>
      <c r="E1124">
        <v>225</v>
      </c>
      <c r="F1124">
        <v>125</v>
      </c>
      <c r="G1124">
        <v>247.5</v>
      </c>
      <c r="H1124">
        <v>597.5</v>
      </c>
      <c r="I1124">
        <v>2012</v>
      </c>
      <c r="J1124" t="s">
        <v>852</v>
      </c>
      <c r="K1124" t="s">
        <v>171</v>
      </c>
    </row>
    <row r="1125" spans="1:11">
      <c r="A1125" t="s">
        <v>197</v>
      </c>
      <c r="B1125">
        <v>1990</v>
      </c>
      <c r="C1125" t="s">
        <v>74</v>
      </c>
      <c r="D1125">
        <v>125.41</v>
      </c>
      <c r="E1125">
        <v>262.5</v>
      </c>
      <c r="F1125">
        <v>152.5</v>
      </c>
      <c r="G1125">
        <v>182.5</v>
      </c>
      <c r="H1125">
        <v>597.5</v>
      </c>
      <c r="I1125">
        <v>2015</v>
      </c>
      <c r="J1125" t="s">
        <v>852</v>
      </c>
      <c r="K1125" t="s">
        <v>171</v>
      </c>
    </row>
    <row r="1126" spans="1:11">
      <c r="A1126" t="s">
        <v>883</v>
      </c>
      <c r="B1126">
        <v>1988</v>
      </c>
      <c r="C1126" t="s">
        <v>119</v>
      </c>
      <c r="D1126">
        <v>72</v>
      </c>
      <c r="E1126">
        <v>232.5</v>
      </c>
      <c r="F1126">
        <v>157.5</v>
      </c>
      <c r="G1126">
        <v>207.5</v>
      </c>
      <c r="H1126">
        <v>597.5</v>
      </c>
      <c r="I1126">
        <v>2012</v>
      </c>
      <c r="J1126" t="s">
        <v>852</v>
      </c>
      <c r="K1126" t="s">
        <v>171</v>
      </c>
    </row>
    <row r="1127" spans="1:11">
      <c r="A1127" t="s">
        <v>333</v>
      </c>
      <c r="B1127">
        <v>1978</v>
      </c>
      <c r="C1127" t="s">
        <v>318</v>
      </c>
      <c r="D1127">
        <v>112.31</v>
      </c>
      <c r="E1127">
        <v>227.5</v>
      </c>
      <c r="F1127">
        <v>180</v>
      </c>
      <c r="G1127">
        <v>190</v>
      </c>
      <c r="H1127">
        <v>597.5</v>
      </c>
      <c r="I1127">
        <v>2012</v>
      </c>
      <c r="J1127" t="s">
        <v>852</v>
      </c>
      <c r="K1127" t="s">
        <v>171</v>
      </c>
    </row>
    <row r="1128" spans="1:11">
      <c r="A1128" t="s">
        <v>214</v>
      </c>
      <c r="B1128">
        <v>1990</v>
      </c>
      <c r="C1128" t="s">
        <v>45</v>
      </c>
      <c r="D1128">
        <v>71.17</v>
      </c>
      <c r="E1128">
        <v>235</v>
      </c>
      <c r="F1128">
        <v>137.5</v>
      </c>
      <c r="G1128">
        <v>222.5</v>
      </c>
      <c r="H1128">
        <v>595</v>
      </c>
      <c r="I1128">
        <v>2015</v>
      </c>
      <c r="J1128" t="s">
        <v>852</v>
      </c>
      <c r="K1128" t="s">
        <v>171</v>
      </c>
    </row>
    <row r="1129" spans="1:11">
      <c r="A1129" t="s">
        <v>1036</v>
      </c>
      <c r="B1129">
        <v>1980</v>
      </c>
      <c r="C1129" t="s">
        <v>28</v>
      </c>
      <c r="D1129">
        <v>78.22</v>
      </c>
      <c r="E1129">
        <v>232.5</v>
      </c>
      <c r="F1129">
        <v>145</v>
      </c>
      <c r="G1129">
        <v>215</v>
      </c>
      <c r="H1129">
        <v>592.5</v>
      </c>
      <c r="I1129">
        <v>2012</v>
      </c>
      <c r="J1129" t="s">
        <v>852</v>
      </c>
      <c r="K1129" t="s">
        <v>171</v>
      </c>
    </row>
    <row r="1130" spans="1:11">
      <c r="A1130" t="s">
        <v>269</v>
      </c>
      <c r="B1130">
        <v>1986</v>
      </c>
      <c r="C1130" t="s">
        <v>28</v>
      </c>
      <c r="D1130">
        <v>66.680000000000007</v>
      </c>
      <c r="E1130">
        <v>215</v>
      </c>
      <c r="F1130">
        <v>177.5</v>
      </c>
      <c r="G1130">
        <v>200</v>
      </c>
      <c r="H1130">
        <v>592.5</v>
      </c>
      <c r="I1130">
        <v>2015</v>
      </c>
      <c r="J1130" t="s">
        <v>852</v>
      </c>
      <c r="K1130" t="s">
        <v>171</v>
      </c>
    </row>
    <row r="1131" spans="1:11">
      <c r="A1131" t="s">
        <v>943</v>
      </c>
      <c r="B1131">
        <v>1989</v>
      </c>
      <c r="C1131" t="s">
        <v>119</v>
      </c>
      <c r="D1131">
        <v>71.010000000000005</v>
      </c>
      <c r="E1131">
        <v>255</v>
      </c>
      <c r="F1131">
        <v>145</v>
      </c>
      <c r="G1131">
        <v>190</v>
      </c>
      <c r="H1131">
        <v>590</v>
      </c>
      <c r="I1131">
        <v>2013</v>
      </c>
      <c r="J1131" t="s">
        <v>852</v>
      </c>
      <c r="K1131" t="s">
        <v>171</v>
      </c>
    </row>
    <row r="1132" spans="1:11">
      <c r="A1132" t="s">
        <v>176</v>
      </c>
      <c r="B1132">
        <v>1970</v>
      </c>
      <c r="C1132" t="s">
        <v>45</v>
      </c>
      <c r="D1132">
        <v>82.14</v>
      </c>
      <c r="E1132">
        <v>235</v>
      </c>
      <c r="F1132">
        <v>142.5</v>
      </c>
      <c r="G1132">
        <v>210</v>
      </c>
      <c r="H1132">
        <v>587.5</v>
      </c>
      <c r="I1132">
        <v>2013</v>
      </c>
      <c r="J1132" t="s">
        <v>852</v>
      </c>
      <c r="K1132" t="s">
        <v>171</v>
      </c>
    </row>
    <row r="1133" spans="1:11">
      <c r="A1133" t="s">
        <v>1007</v>
      </c>
      <c r="B1133">
        <v>1984</v>
      </c>
      <c r="C1133" t="s">
        <v>280</v>
      </c>
      <c r="D1133">
        <v>60.4</v>
      </c>
      <c r="E1133">
        <v>220</v>
      </c>
      <c r="F1133">
        <v>142.5</v>
      </c>
      <c r="G1133">
        <v>225</v>
      </c>
      <c r="H1133">
        <v>587.5</v>
      </c>
      <c r="I1133">
        <v>2012</v>
      </c>
      <c r="J1133" t="s">
        <v>852</v>
      </c>
      <c r="K1133" t="s">
        <v>171</v>
      </c>
    </row>
    <row r="1134" spans="1:11">
      <c r="A1134" t="s">
        <v>316</v>
      </c>
      <c r="B1134">
        <v>1988</v>
      </c>
      <c r="C1134" t="s">
        <v>878</v>
      </c>
      <c r="D1134">
        <v>71.400000000000006</v>
      </c>
      <c r="E1134">
        <v>222.5</v>
      </c>
      <c r="F1134">
        <v>152.5</v>
      </c>
      <c r="G1134">
        <v>212.5</v>
      </c>
      <c r="H1134">
        <v>587.5</v>
      </c>
      <c r="I1134">
        <v>2014</v>
      </c>
      <c r="J1134" t="s">
        <v>852</v>
      </c>
      <c r="K1134" t="s">
        <v>171</v>
      </c>
    </row>
    <row r="1135" spans="1:11">
      <c r="A1135" t="s">
        <v>329</v>
      </c>
      <c r="B1135">
        <v>1986</v>
      </c>
      <c r="C1135" t="s">
        <v>318</v>
      </c>
      <c r="D1135">
        <v>71.61</v>
      </c>
      <c r="E1135">
        <v>215</v>
      </c>
      <c r="F1135">
        <v>160</v>
      </c>
      <c r="G1135">
        <v>212.5</v>
      </c>
      <c r="H1135">
        <v>587.5</v>
      </c>
      <c r="I1135">
        <v>2015</v>
      </c>
      <c r="J1135" t="s">
        <v>852</v>
      </c>
      <c r="K1135" t="s">
        <v>171</v>
      </c>
    </row>
    <row r="1136" spans="1:11">
      <c r="A1136" t="s">
        <v>306</v>
      </c>
      <c r="B1136">
        <v>1991</v>
      </c>
      <c r="C1136" t="s">
        <v>45</v>
      </c>
      <c r="D1136">
        <v>83.33</v>
      </c>
      <c r="E1136">
        <v>235</v>
      </c>
      <c r="F1136">
        <v>147.5</v>
      </c>
      <c r="G1136">
        <v>202.5</v>
      </c>
      <c r="H1136">
        <v>585</v>
      </c>
      <c r="I1136">
        <v>2015</v>
      </c>
      <c r="J1136" t="s">
        <v>852</v>
      </c>
      <c r="K1136" t="s">
        <v>171</v>
      </c>
    </row>
    <row r="1137" spans="1:11">
      <c r="A1137" t="s">
        <v>991</v>
      </c>
      <c r="B1137">
        <v>1980</v>
      </c>
      <c r="C1137" t="s">
        <v>28</v>
      </c>
      <c r="D1137">
        <v>69.16</v>
      </c>
      <c r="E1137">
        <v>230</v>
      </c>
      <c r="F1137">
        <v>165</v>
      </c>
      <c r="G1137">
        <v>190</v>
      </c>
      <c r="H1137">
        <v>585</v>
      </c>
      <c r="I1137">
        <v>2012</v>
      </c>
      <c r="J1137" t="s">
        <v>852</v>
      </c>
      <c r="K1137" t="s">
        <v>171</v>
      </c>
    </row>
    <row r="1138" spans="1:11">
      <c r="A1138" t="s">
        <v>211</v>
      </c>
      <c r="B1138">
        <v>1988</v>
      </c>
      <c r="C1138" t="s">
        <v>28</v>
      </c>
      <c r="D1138">
        <v>62.53</v>
      </c>
      <c r="E1138">
        <v>227.5</v>
      </c>
      <c r="F1138">
        <v>171.5</v>
      </c>
      <c r="G1138">
        <v>185</v>
      </c>
      <c r="H1138">
        <v>584</v>
      </c>
      <c r="I1138">
        <v>2015</v>
      </c>
      <c r="J1138" t="s">
        <v>852</v>
      </c>
      <c r="K1138" t="s">
        <v>171</v>
      </c>
    </row>
    <row r="1139" spans="1:11">
      <c r="A1139" t="s">
        <v>860</v>
      </c>
      <c r="B1139">
        <v>1985</v>
      </c>
      <c r="C1139" t="s">
        <v>119</v>
      </c>
      <c r="D1139">
        <v>62.8</v>
      </c>
      <c r="E1139">
        <v>227.5</v>
      </c>
      <c r="F1139">
        <v>150</v>
      </c>
      <c r="G1139">
        <v>202.5</v>
      </c>
      <c r="H1139">
        <v>580</v>
      </c>
      <c r="I1139">
        <v>2013</v>
      </c>
      <c r="J1139" t="s">
        <v>852</v>
      </c>
      <c r="K1139" t="s">
        <v>171</v>
      </c>
    </row>
    <row r="1140" spans="1:11">
      <c r="A1140" t="s">
        <v>1031</v>
      </c>
      <c r="B1140">
        <v>1988</v>
      </c>
      <c r="C1140" t="s">
        <v>289</v>
      </c>
      <c r="D1140">
        <v>108.23</v>
      </c>
      <c r="E1140">
        <v>230</v>
      </c>
      <c r="F1140">
        <v>175</v>
      </c>
      <c r="G1140">
        <v>175</v>
      </c>
      <c r="H1140">
        <v>580</v>
      </c>
      <c r="I1140">
        <v>2012</v>
      </c>
      <c r="J1140" t="s">
        <v>852</v>
      </c>
      <c r="K1140" t="s">
        <v>171</v>
      </c>
    </row>
    <row r="1141" spans="1:11">
      <c r="A1141" t="s">
        <v>176</v>
      </c>
      <c r="B1141">
        <v>1970</v>
      </c>
      <c r="C1141" t="s">
        <v>862</v>
      </c>
      <c r="D1141">
        <v>82.02</v>
      </c>
      <c r="E1141">
        <v>237.5</v>
      </c>
      <c r="F1141">
        <v>140</v>
      </c>
      <c r="G1141">
        <v>197.5</v>
      </c>
      <c r="H1141">
        <v>575</v>
      </c>
      <c r="I1141">
        <v>2014</v>
      </c>
      <c r="J1141" t="s">
        <v>852</v>
      </c>
      <c r="K1141" t="s">
        <v>171</v>
      </c>
    </row>
    <row r="1142" spans="1:11">
      <c r="A1142" t="s">
        <v>1007</v>
      </c>
      <c r="B1142">
        <v>1984</v>
      </c>
      <c r="C1142" t="s">
        <v>280</v>
      </c>
      <c r="D1142">
        <v>60.52</v>
      </c>
      <c r="E1142">
        <v>220</v>
      </c>
      <c r="F1142">
        <v>135</v>
      </c>
      <c r="G1142">
        <v>220</v>
      </c>
      <c r="H1142">
        <v>575</v>
      </c>
      <c r="I1142">
        <v>2013</v>
      </c>
      <c r="J1142" t="s">
        <v>852</v>
      </c>
      <c r="K1142" t="s">
        <v>171</v>
      </c>
    </row>
    <row r="1143" spans="1:11">
      <c r="A1143" t="s">
        <v>989</v>
      </c>
      <c r="B1143">
        <v>1982</v>
      </c>
      <c r="C1143" t="s">
        <v>28</v>
      </c>
      <c r="D1143">
        <v>62.49</v>
      </c>
      <c r="E1143">
        <v>215</v>
      </c>
      <c r="F1143">
        <v>157.5</v>
      </c>
      <c r="G1143">
        <v>200</v>
      </c>
      <c r="H1143">
        <v>572.5</v>
      </c>
      <c r="I1143">
        <v>2012</v>
      </c>
      <c r="J1143" t="s">
        <v>852</v>
      </c>
      <c r="K1143" t="s">
        <v>171</v>
      </c>
    </row>
    <row r="1144" spans="1:11">
      <c r="A1144" t="s">
        <v>279</v>
      </c>
      <c r="B1144">
        <v>1984</v>
      </c>
      <c r="C1144" t="s">
        <v>280</v>
      </c>
      <c r="D1144">
        <v>60.5</v>
      </c>
      <c r="E1144">
        <v>225</v>
      </c>
      <c r="F1144">
        <v>130</v>
      </c>
      <c r="G1144">
        <v>215</v>
      </c>
      <c r="H1144">
        <v>570</v>
      </c>
      <c r="I1144">
        <v>2015</v>
      </c>
      <c r="J1144" t="s">
        <v>852</v>
      </c>
      <c r="K1144" t="s">
        <v>171</v>
      </c>
    </row>
    <row r="1145" spans="1:11">
      <c r="A1145" t="s">
        <v>860</v>
      </c>
      <c r="B1145">
        <v>1985</v>
      </c>
      <c r="C1145" t="s">
        <v>119</v>
      </c>
      <c r="D1145">
        <v>62.8</v>
      </c>
      <c r="E1145">
        <v>220</v>
      </c>
      <c r="F1145">
        <v>152.5</v>
      </c>
      <c r="G1145">
        <v>197.5</v>
      </c>
      <c r="H1145">
        <v>570</v>
      </c>
      <c r="I1145">
        <v>2012</v>
      </c>
      <c r="J1145" t="s">
        <v>852</v>
      </c>
      <c r="K1145" t="s">
        <v>171</v>
      </c>
    </row>
    <row r="1146" spans="1:11">
      <c r="A1146" t="s">
        <v>989</v>
      </c>
      <c r="B1146">
        <v>1982</v>
      </c>
      <c r="C1146" t="s">
        <v>28</v>
      </c>
      <c r="D1146">
        <v>62.23</v>
      </c>
      <c r="E1146">
        <v>212.5</v>
      </c>
      <c r="F1146">
        <v>162.5</v>
      </c>
      <c r="G1146">
        <v>192.5</v>
      </c>
      <c r="H1146">
        <v>567.5</v>
      </c>
      <c r="I1146">
        <v>2013</v>
      </c>
      <c r="J1146" t="s">
        <v>852</v>
      </c>
      <c r="K1146" t="s">
        <v>171</v>
      </c>
    </row>
    <row r="1147" spans="1:11">
      <c r="A1147" t="s">
        <v>214</v>
      </c>
      <c r="B1147">
        <v>1990</v>
      </c>
      <c r="C1147" t="s">
        <v>45</v>
      </c>
      <c r="D1147">
        <v>71.06</v>
      </c>
      <c r="E1147">
        <v>232.5</v>
      </c>
      <c r="F1147">
        <v>122.5</v>
      </c>
      <c r="G1147">
        <v>210</v>
      </c>
      <c r="H1147">
        <v>565</v>
      </c>
      <c r="I1147">
        <v>2013</v>
      </c>
      <c r="J1147" t="s">
        <v>852</v>
      </c>
      <c r="K1147" t="s">
        <v>171</v>
      </c>
    </row>
    <row r="1148" spans="1:11">
      <c r="A1148" t="s">
        <v>1051</v>
      </c>
      <c r="B1148">
        <v>1986</v>
      </c>
      <c r="C1148" t="s">
        <v>62</v>
      </c>
      <c r="D1148">
        <v>98.3</v>
      </c>
      <c r="E1148">
        <v>240</v>
      </c>
      <c r="F1148">
        <v>122.5</v>
      </c>
      <c r="G1148">
        <v>200</v>
      </c>
      <c r="H1148">
        <v>562.5</v>
      </c>
      <c r="I1148">
        <v>2012</v>
      </c>
      <c r="J1148" t="s">
        <v>852</v>
      </c>
      <c r="K1148" t="s">
        <v>171</v>
      </c>
    </row>
    <row r="1149" spans="1:11">
      <c r="A1149" t="s">
        <v>324</v>
      </c>
      <c r="B1149">
        <v>1976</v>
      </c>
      <c r="C1149" t="s">
        <v>49</v>
      </c>
      <c r="D1149">
        <v>62.78</v>
      </c>
      <c r="E1149">
        <v>230</v>
      </c>
      <c r="F1149">
        <v>120</v>
      </c>
      <c r="G1149">
        <v>212.5</v>
      </c>
      <c r="H1149">
        <v>562.5</v>
      </c>
      <c r="I1149">
        <v>2015</v>
      </c>
      <c r="J1149" t="s">
        <v>852</v>
      </c>
      <c r="K1149" t="s">
        <v>171</v>
      </c>
    </row>
    <row r="1150" spans="1:11">
      <c r="A1150" t="s">
        <v>1046</v>
      </c>
      <c r="B1150">
        <v>1990</v>
      </c>
      <c r="C1150" t="s">
        <v>282</v>
      </c>
      <c r="D1150">
        <v>109.98</v>
      </c>
      <c r="E1150">
        <v>215</v>
      </c>
      <c r="F1150">
        <v>132.5</v>
      </c>
      <c r="G1150">
        <v>215</v>
      </c>
      <c r="H1150">
        <v>562.5</v>
      </c>
      <c r="I1150">
        <v>2013</v>
      </c>
      <c r="J1150" t="s">
        <v>852</v>
      </c>
      <c r="K1150" t="s">
        <v>171</v>
      </c>
    </row>
    <row r="1151" spans="1:11">
      <c r="A1151" t="s">
        <v>898</v>
      </c>
      <c r="B1151">
        <v>1980</v>
      </c>
      <c r="C1151" t="s">
        <v>336</v>
      </c>
      <c r="D1151">
        <v>99.6</v>
      </c>
      <c r="E1151">
        <v>210</v>
      </c>
      <c r="F1151">
        <v>140</v>
      </c>
      <c r="G1151">
        <v>212.5</v>
      </c>
      <c r="H1151">
        <v>562.5</v>
      </c>
      <c r="I1151">
        <v>2012</v>
      </c>
      <c r="J1151" t="s">
        <v>852</v>
      </c>
      <c r="K1151" t="s">
        <v>171</v>
      </c>
    </row>
    <row r="1152" spans="1:11">
      <c r="A1152" t="s">
        <v>268</v>
      </c>
      <c r="B1152">
        <v>1975</v>
      </c>
      <c r="C1152" t="s">
        <v>62</v>
      </c>
      <c r="D1152">
        <v>113.15</v>
      </c>
      <c r="E1152">
        <v>235</v>
      </c>
      <c r="F1152">
        <v>120</v>
      </c>
      <c r="G1152">
        <v>205</v>
      </c>
      <c r="H1152">
        <v>560</v>
      </c>
      <c r="I1152">
        <v>2015</v>
      </c>
      <c r="J1152" t="s">
        <v>852</v>
      </c>
      <c r="K1152" t="s">
        <v>171</v>
      </c>
    </row>
    <row r="1153" spans="1:11">
      <c r="A1153" t="s">
        <v>1023</v>
      </c>
      <c r="B1153">
        <v>1988</v>
      </c>
      <c r="C1153" t="s">
        <v>113</v>
      </c>
      <c r="D1153">
        <v>71.64</v>
      </c>
      <c r="E1153">
        <v>215</v>
      </c>
      <c r="F1153">
        <v>152.5</v>
      </c>
      <c r="G1153">
        <v>192.5</v>
      </c>
      <c r="H1153">
        <v>560</v>
      </c>
      <c r="I1153">
        <v>2013</v>
      </c>
      <c r="J1153" t="s">
        <v>852</v>
      </c>
      <c r="K1153" t="s">
        <v>171</v>
      </c>
    </row>
    <row r="1154" spans="1:11">
      <c r="A1154" t="s">
        <v>324</v>
      </c>
      <c r="B1154">
        <v>1976</v>
      </c>
      <c r="C1154" t="s">
        <v>867</v>
      </c>
      <c r="D1154">
        <v>61.68</v>
      </c>
      <c r="E1154">
        <v>232.5</v>
      </c>
      <c r="F1154">
        <v>115</v>
      </c>
      <c r="G1154">
        <v>210</v>
      </c>
      <c r="H1154">
        <v>557.5</v>
      </c>
      <c r="I1154">
        <v>2014</v>
      </c>
      <c r="J1154" t="s">
        <v>852</v>
      </c>
      <c r="K1154" t="s">
        <v>171</v>
      </c>
    </row>
    <row r="1155" spans="1:11">
      <c r="A1155" t="s">
        <v>169</v>
      </c>
      <c r="B1155">
        <v>1981</v>
      </c>
      <c r="C1155" t="s">
        <v>851</v>
      </c>
      <c r="D1155">
        <v>93.1</v>
      </c>
      <c r="E1155">
        <v>215</v>
      </c>
      <c r="F1155">
        <v>125</v>
      </c>
      <c r="G1155">
        <v>217.5</v>
      </c>
      <c r="H1155">
        <v>557.5</v>
      </c>
      <c r="I1155">
        <v>2014</v>
      </c>
      <c r="J1155" t="s">
        <v>852</v>
      </c>
      <c r="K1155" t="s">
        <v>171</v>
      </c>
    </row>
    <row r="1156" spans="1:11">
      <c r="A1156" t="s">
        <v>248</v>
      </c>
      <c r="B1156">
        <v>1967</v>
      </c>
      <c r="C1156" t="s">
        <v>77</v>
      </c>
      <c r="D1156">
        <v>62.72</v>
      </c>
      <c r="E1156">
        <v>207.5</v>
      </c>
      <c r="F1156">
        <v>157.5</v>
      </c>
      <c r="G1156">
        <v>192.5</v>
      </c>
      <c r="H1156">
        <v>557.5</v>
      </c>
      <c r="I1156">
        <v>2012</v>
      </c>
      <c r="J1156" t="s">
        <v>852</v>
      </c>
      <c r="K1156" t="s">
        <v>171</v>
      </c>
    </row>
    <row r="1157" spans="1:11">
      <c r="A1157" t="s">
        <v>875</v>
      </c>
      <c r="B1157">
        <v>1961</v>
      </c>
      <c r="C1157" t="s">
        <v>45</v>
      </c>
      <c r="D1157">
        <v>71.73</v>
      </c>
      <c r="E1157">
        <v>215</v>
      </c>
      <c r="F1157">
        <v>135</v>
      </c>
      <c r="G1157">
        <v>205</v>
      </c>
      <c r="H1157">
        <v>555</v>
      </c>
      <c r="I1157">
        <v>2012</v>
      </c>
      <c r="J1157" t="s">
        <v>852</v>
      </c>
      <c r="K1157" t="s">
        <v>171</v>
      </c>
    </row>
    <row r="1158" spans="1:11">
      <c r="A1158" t="s">
        <v>934</v>
      </c>
      <c r="B1158">
        <v>1985</v>
      </c>
      <c r="C1158" t="s">
        <v>464</v>
      </c>
      <c r="D1158">
        <v>73.11</v>
      </c>
      <c r="E1158">
        <v>210</v>
      </c>
      <c r="F1158">
        <v>140</v>
      </c>
      <c r="G1158">
        <v>205</v>
      </c>
      <c r="H1158">
        <v>555</v>
      </c>
      <c r="I1158">
        <v>2012</v>
      </c>
      <c r="J1158" t="s">
        <v>852</v>
      </c>
      <c r="K1158" t="s">
        <v>171</v>
      </c>
    </row>
    <row r="1159" spans="1:11">
      <c r="A1159" t="s">
        <v>211</v>
      </c>
      <c r="B1159">
        <v>1988</v>
      </c>
      <c r="C1159" t="s">
        <v>903</v>
      </c>
      <c r="D1159">
        <v>62.28</v>
      </c>
      <c r="E1159">
        <v>212.5</v>
      </c>
      <c r="F1159">
        <v>150</v>
      </c>
      <c r="G1159">
        <v>192.5</v>
      </c>
      <c r="H1159">
        <v>555</v>
      </c>
      <c r="I1159">
        <v>2014</v>
      </c>
      <c r="J1159" t="s">
        <v>852</v>
      </c>
      <c r="K1159" t="s">
        <v>171</v>
      </c>
    </row>
    <row r="1160" spans="1:11">
      <c r="A1160" t="s">
        <v>1023</v>
      </c>
      <c r="B1160">
        <v>1988</v>
      </c>
      <c r="C1160" t="s">
        <v>113</v>
      </c>
      <c r="D1160">
        <v>71.510000000000005</v>
      </c>
      <c r="E1160">
        <v>217.5</v>
      </c>
      <c r="F1160">
        <v>145</v>
      </c>
      <c r="G1160">
        <v>190</v>
      </c>
      <c r="H1160">
        <v>552.5</v>
      </c>
      <c r="I1160">
        <v>2012</v>
      </c>
      <c r="J1160" t="s">
        <v>852</v>
      </c>
      <c r="K1160" t="s">
        <v>171</v>
      </c>
    </row>
    <row r="1161" spans="1:11">
      <c r="A1161" t="s">
        <v>908</v>
      </c>
      <c r="B1161">
        <v>1984</v>
      </c>
      <c r="C1161" t="s">
        <v>464</v>
      </c>
      <c r="D1161">
        <v>71.040000000000006</v>
      </c>
      <c r="E1161">
        <v>222.5</v>
      </c>
      <c r="F1161">
        <v>127.5</v>
      </c>
      <c r="G1161">
        <v>200</v>
      </c>
      <c r="H1161">
        <v>550</v>
      </c>
      <c r="I1161">
        <v>2012</v>
      </c>
      <c r="J1161" t="s">
        <v>852</v>
      </c>
      <c r="K1161" t="s">
        <v>171</v>
      </c>
    </row>
    <row r="1162" spans="1:11">
      <c r="A1162" t="s">
        <v>248</v>
      </c>
      <c r="B1162">
        <v>1967</v>
      </c>
      <c r="C1162" t="s">
        <v>77</v>
      </c>
      <c r="D1162">
        <v>62.72</v>
      </c>
      <c r="E1162">
        <v>205</v>
      </c>
      <c r="F1162">
        <v>160</v>
      </c>
      <c r="G1162">
        <v>185</v>
      </c>
      <c r="H1162">
        <v>550</v>
      </c>
      <c r="I1162">
        <v>2015</v>
      </c>
      <c r="J1162" t="s">
        <v>852</v>
      </c>
      <c r="K1162" t="s">
        <v>171</v>
      </c>
    </row>
    <row r="1163" spans="1:11">
      <c r="A1163" t="s">
        <v>1046</v>
      </c>
      <c r="B1163">
        <v>1990</v>
      </c>
      <c r="C1163" t="s">
        <v>859</v>
      </c>
      <c r="D1163">
        <v>103.4</v>
      </c>
      <c r="E1163">
        <v>210</v>
      </c>
      <c r="F1163">
        <v>130</v>
      </c>
      <c r="G1163">
        <v>207.5</v>
      </c>
      <c r="H1163">
        <v>547.5</v>
      </c>
      <c r="I1163">
        <v>2014</v>
      </c>
      <c r="J1163" t="s">
        <v>852</v>
      </c>
      <c r="K1163" t="s">
        <v>171</v>
      </c>
    </row>
    <row r="1164" spans="1:11">
      <c r="A1164" t="s">
        <v>329</v>
      </c>
      <c r="B1164">
        <v>1986</v>
      </c>
      <c r="C1164" t="s">
        <v>318</v>
      </c>
      <c r="D1164">
        <v>70.540000000000006</v>
      </c>
      <c r="E1164">
        <v>197.5</v>
      </c>
      <c r="F1164">
        <v>142.5</v>
      </c>
      <c r="G1164">
        <v>207.5</v>
      </c>
      <c r="H1164">
        <v>547.5</v>
      </c>
      <c r="I1164">
        <v>2013</v>
      </c>
      <c r="J1164" t="s">
        <v>852</v>
      </c>
      <c r="K1164" t="s">
        <v>171</v>
      </c>
    </row>
    <row r="1165" spans="1:11">
      <c r="A1165" t="s">
        <v>314</v>
      </c>
      <c r="B1165">
        <v>1984</v>
      </c>
      <c r="C1165" t="s">
        <v>280</v>
      </c>
      <c r="D1165">
        <v>56.03</v>
      </c>
      <c r="E1165">
        <v>216</v>
      </c>
      <c r="F1165">
        <v>141</v>
      </c>
      <c r="G1165">
        <v>190</v>
      </c>
      <c r="H1165">
        <v>547</v>
      </c>
      <c r="I1165">
        <v>2013</v>
      </c>
      <c r="J1165" t="s">
        <v>852</v>
      </c>
      <c r="K1165" t="s">
        <v>171</v>
      </c>
    </row>
    <row r="1166" spans="1:11">
      <c r="A1166" t="s">
        <v>873</v>
      </c>
      <c r="B1166">
        <v>1991</v>
      </c>
      <c r="C1166" t="s">
        <v>85</v>
      </c>
      <c r="D1166">
        <v>82.9</v>
      </c>
      <c r="E1166">
        <v>227.5</v>
      </c>
      <c r="F1166">
        <v>115</v>
      </c>
      <c r="G1166">
        <v>202.5</v>
      </c>
      <c r="H1166">
        <v>545</v>
      </c>
      <c r="I1166">
        <v>2013</v>
      </c>
      <c r="J1166" t="s">
        <v>852</v>
      </c>
      <c r="K1166" t="s">
        <v>171</v>
      </c>
    </row>
    <row r="1167" spans="1:11">
      <c r="A1167" t="s">
        <v>1018</v>
      </c>
      <c r="B1167">
        <v>1984</v>
      </c>
      <c r="C1167" t="s">
        <v>280</v>
      </c>
      <c r="D1167">
        <v>56.38</v>
      </c>
      <c r="E1167">
        <v>215</v>
      </c>
      <c r="F1167">
        <v>135</v>
      </c>
      <c r="G1167">
        <v>195</v>
      </c>
      <c r="H1167">
        <v>545</v>
      </c>
      <c r="I1167">
        <v>2012</v>
      </c>
      <c r="J1167" t="s">
        <v>852</v>
      </c>
      <c r="K1167" t="s">
        <v>171</v>
      </c>
    </row>
    <row r="1168" spans="1:11">
      <c r="A1168" t="s">
        <v>324</v>
      </c>
      <c r="B1168">
        <v>1976</v>
      </c>
      <c r="C1168" t="s">
        <v>49</v>
      </c>
      <c r="D1168">
        <v>62.3</v>
      </c>
      <c r="E1168">
        <v>222.5</v>
      </c>
      <c r="F1168">
        <v>110</v>
      </c>
      <c r="G1168">
        <v>210</v>
      </c>
      <c r="H1168">
        <v>542.5</v>
      </c>
      <c r="I1168">
        <v>2013</v>
      </c>
      <c r="J1168" t="s">
        <v>852</v>
      </c>
      <c r="K1168" t="s">
        <v>171</v>
      </c>
    </row>
    <row r="1169" spans="1:11">
      <c r="A1169" t="s">
        <v>998</v>
      </c>
      <c r="B1169">
        <v>1986</v>
      </c>
      <c r="C1169" t="s">
        <v>28</v>
      </c>
      <c r="D1169">
        <v>56.86</v>
      </c>
      <c r="E1169">
        <v>217.5</v>
      </c>
      <c r="F1169">
        <v>135</v>
      </c>
      <c r="G1169">
        <v>190</v>
      </c>
      <c r="H1169">
        <v>542.5</v>
      </c>
      <c r="I1169">
        <v>2013</v>
      </c>
      <c r="J1169" t="s">
        <v>852</v>
      </c>
      <c r="K1169" t="s">
        <v>171</v>
      </c>
    </row>
    <row r="1170" spans="1:11">
      <c r="A1170" t="s">
        <v>256</v>
      </c>
      <c r="B1170">
        <v>1985</v>
      </c>
      <c r="C1170" t="s">
        <v>39</v>
      </c>
      <c r="D1170">
        <v>71.349999999999994</v>
      </c>
      <c r="E1170">
        <v>210</v>
      </c>
      <c r="F1170">
        <v>142.5</v>
      </c>
      <c r="G1170">
        <v>190</v>
      </c>
      <c r="H1170">
        <v>542.5</v>
      </c>
      <c r="I1170">
        <v>2015</v>
      </c>
      <c r="J1170" t="s">
        <v>852</v>
      </c>
      <c r="K1170" t="s">
        <v>171</v>
      </c>
    </row>
    <row r="1171" spans="1:11">
      <c r="A1171" t="s">
        <v>190</v>
      </c>
      <c r="B1171">
        <v>1980</v>
      </c>
      <c r="C1171" t="s">
        <v>867</v>
      </c>
      <c r="D1171">
        <v>62.24</v>
      </c>
      <c r="E1171">
        <v>207.5</v>
      </c>
      <c r="F1171">
        <v>150</v>
      </c>
      <c r="G1171">
        <v>185</v>
      </c>
      <c r="H1171">
        <v>542.5</v>
      </c>
      <c r="I1171">
        <v>2014</v>
      </c>
      <c r="J1171" t="s">
        <v>852</v>
      </c>
      <c r="K1171" t="s">
        <v>171</v>
      </c>
    </row>
    <row r="1172" spans="1:11">
      <c r="A1172" t="s">
        <v>984</v>
      </c>
      <c r="B1172">
        <v>1968</v>
      </c>
      <c r="C1172" t="s">
        <v>54</v>
      </c>
      <c r="D1172">
        <v>71.73</v>
      </c>
      <c r="E1172">
        <v>207.5</v>
      </c>
      <c r="F1172">
        <v>122.5</v>
      </c>
      <c r="G1172">
        <v>210</v>
      </c>
      <c r="H1172">
        <v>540</v>
      </c>
      <c r="I1172">
        <v>2012</v>
      </c>
      <c r="J1172" t="s">
        <v>852</v>
      </c>
      <c r="K1172" t="s">
        <v>171</v>
      </c>
    </row>
    <row r="1173" spans="1:11">
      <c r="A1173" t="s">
        <v>311</v>
      </c>
      <c r="B1173">
        <v>1983</v>
      </c>
      <c r="C1173" t="s">
        <v>51</v>
      </c>
      <c r="D1173">
        <v>83.58</v>
      </c>
      <c r="E1173">
        <v>210</v>
      </c>
      <c r="F1173">
        <v>130</v>
      </c>
      <c r="G1173">
        <v>200</v>
      </c>
      <c r="H1173">
        <v>540</v>
      </c>
      <c r="I1173">
        <v>2015</v>
      </c>
      <c r="J1173" t="s">
        <v>852</v>
      </c>
      <c r="K1173" t="s">
        <v>171</v>
      </c>
    </row>
    <row r="1174" spans="1:11">
      <c r="A1174" t="s">
        <v>329</v>
      </c>
      <c r="B1174">
        <v>1986</v>
      </c>
      <c r="C1174" t="s">
        <v>318</v>
      </c>
      <c r="D1174">
        <v>71.77</v>
      </c>
      <c r="E1174">
        <v>195</v>
      </c>
      <c r="F1174">
        <v>132.5</v>
      </c>
      <c r="G1174">
        <v>212.5</v>
      </c>
      <c r="H1174">
        <v>540</v>
      </c>
      <c r="I1174">
        <v>2012</v>
      </c>
      <c r="J1174" t="s">
        <v>852</v>
      </c>
      <c r="K1174" t="s">
        <v>171</v>
      </c>
    </row>
    <row r="1175" spans="1:11">
      <c r="A1175" t="s">
        <v>927</v>
      </c>
      <c r="B1175">
        <v>1984</v>
      </c>
      <c r="C1175" t="s">
        <v>62</v>
      </c>
      <c r="D1175">
        <v>62.12</v>
      </c>
      <c r="E1175">
        <v>205</v>
      </c>
      <c r="F1175">
        <v>112.5</v>
      </c>
      <c r="G1175">
        <v>220</v>
      </c>
      <c r="H1175">
        <v>537.5</v>
      </c>
      <c r="I1175">
        <v>2012</v>
      </c>
      <c r="J1175" t="s">
        <v>852</v>
      </c>
      <c r="K1175" t="s">
        <v>171</v>
      </c>
    </row>
    <row r="1176" spans="1:11">
      <c r="A1176" t="s">
        <v>314</v>
      </c>
      <c r="B1176">
        <v>1984</v>
      </c>
      <c r="C1176" t="s">
        <v>280</v>
      </c>
      <c r="D1176">
        <v>56.34</v>
      </c>
      <c r="E1176">
        <v>210</v>
      </c>
      <c r="F1176">
        <v>135</v>
      </c>
      <c r="G1176">
        <v>192.5</v>
      </c>
      <c r="H1176">
        <v>537.5</v>
      </c>
      <c r="I1176">
        <v>2015</v>
      </c>
      <c r="J1176" t="s">
        <v>852</v>
      </c>
      <c r="K1176" t="s">
        <v>171</v>
      </c>
    </row>
    <row r="1177" spans="1:11">
      <c r="A1177" t="s">
        <v>1040</v>
      </c>
      <c r="B1177">
        <v>1988</v>
      </c>
      <c r="C1177" t="s">
        <v>62</v>
      </c>
      <c r="D1177">
        <v>70.209999999999994</v>
      </c>
      <c r="E1177">
        <v>210</v>
      </c>
      <c r="F1177">
        <v>140</v>
      </c>
      <c r="G1177">
        <v>185</v>
      </c>
      <c r="H1177">
        <v>535</v>
      </c>
      <c r="I1177">
        <v>2013</v>
      </c>
      <c r="J1177" t="s">
        <v>852</v>
      </c>
      <c r="K1177" t="s">
        <v>171</v>
      </c>
    </row>
    <row r="1178" spans="1:11">
      <c r="A1178" t="s">
        <v>861</v>
      </c>
      <c r="B1178">
        <v>1980</v>
      </c>
      <c r="C1178" t="s">
        <v>464</v>
      </c>
      <c r="D1178">
        <v>62.06</v>
      </c>
      <c r="E1178">
        <v>210</v>
      </c>
      <c r="F1178">
        <v>112.5</v>
      </c>
      <c r="G1178">
        <v>210</v>
      </c>
      <c r="H1178">
        <v>532.5</v>
      </c>
      <c r="I1178">
        <v>2012</v>
      </c>
      <c r="J1178" t="s">
        <v>852</v>
      </c>
      <c r="K1178" t="s">
        <v>171</v>
      </c>
    </row>
    <row r="1179" spans="1:11">
      <c r="A1179" t="s">
        <v>311</v>
      </c>
      <c r="B1179">
        <v>1983</v>
      </c>
      <c r="C1179" t="s">
        <v>905</v>
      </c>
      <c r="D1179">
        <v>83.82</v>
      </c>
      <c r="E1179">
        <v>207.5</v>
      </c>
      <c r="F1179">
        <v>127.5</v>
      </c>
      <c r="G1179">
        <v>195</v>
      </c>
      <c r="H1179">
        <v>530</v>
      </c>
      <c r="I1179">
        <v>2014</v>
      </c>
      <c r="J1179" t="s">
        <v>852</v>
      </c>
      <c r="K1179" t="s">
        <v>171</v>
      </c>
    </row>
    <row r="1180" spans="1:11">
      <c r="A1180" t="s">
        <v>345</v>
      </c>
      <c r="B1180">
        <v>1986</v>
      </c>
      <c r="C1180" t="s">
        <v>74</v>
      </c>
      <c r="D1180">
        <v>56.15</v>
      </c>
      <c r="E1180">
        <v>205</v>
      </c>
      <c r="F1180">
        <v>130</v>
      </c>
      <c r="G1180">
        <v>195</v>
      </c>
      <c r="H1180">
        <v>530</v>
      </c>
      <c r="I1180">
        <v>2015</v>
      </c>
      <c r="J1180" t="s">
        <v>852</v>
      </c>
      <c r="K1180" t="s">
        <v>171</v>
      </c>
    </row>
    <row r="1181" spans="1:11">
      <c r="A1181" t="s">
        <v>308</v>
      </c>
      <c r="B1181">
        <v>1986</v>
      </c>
      <c r="C1181" t="s">
        <v>903</v>
      </c>
      <c r="D1181">
        <v>51.36</v>
      </c>
      <c r="E1181">
        <v>205</v>
      </c>
      <c r="F1181">
        <v>137.5</v>
      </c>
      <c r="G1181">
        <v>187.5</v>
      </c>
      <c r="H1181">
        <v>530</v>
      </c>
      <c r="I1181">
        <v>2014</v>
      </c>
      <c r="J1181" t="s">
        <v>852</v>
      </c>
      <c r="K1181" t="s">
        <v>171</v>
      </c>
    </row>
    <row r="1182" spans="1:11">
      <c r="A1182" t="s">
        <v>898</v>
      </c>
      <c r="B1182">
        <v>1980</v>
      </c>
      <c r="C1182" t="s">
        <v>336</v>
      </c>
      <c r="D1182">
        <v>96.31</v>
      </c>
      <c r="E1182">
        <v>200</v>
      </c>
      <c r="F1182">
        <v>152.5</v>
      </c>
      <c r="G1182">
        <v>177.5</v>
      </c>
      <c r="H1182">
        <v>530</v>
      </c>
      <c r="I1182">
        <v>2013</v>
      </c>
      <c r="J1182" t="s">
        <v>852</v>
      </c>
      <c r="K1182" t="s">
        <v>171</v>
      </c>
    </row>
    <row r="1183" spans="1:11">
      <c r="A1183" t="s">
        <v>299</v>
      </c>
      <c r="B1183">
        <v>1967</v>
      </c>
      <c r="C1183" t="s">
        <v>300</v>
      </c>
      <c r="D1183">
        <v>86.78</v>
      </c>
      <c r="E1183">
        <v>222.5</v>
      </c>
      <c r="F1183">
        <v>125</v>
      </c>
      <c r="G1183">
        <v>180</v>
      </c>
      <c r="H1183">
        <v>527.5</v>
      </c>
      <c r="I1183">
        <v>2012</v>
      </c>
      <c r="J1183" t="s">
        <v>852</v>
      </c>
      <c r="K1183" t="s">
        <v>171</v>
      </c>
    </row>
    <row r="1184" spans="1:11">
      <c r="A1184" t="s">
        <v>953</v>
      </c>
      <c r="B1184">
        <v>1979</v>
      </c>
      <c r="C1184" t="s">
        <v>878</v>
      </c>
      <c r="D1184">
        <v>70.58</v>
      </c>
      <c r="E1184">
        <v>212.5</v>
      </c>
      <c r="F1184">
        <v>125</v>
      </c>
      <c r="G1184">
        <v>190</v>
      </c>
      <c r="H1184">
        <v>527.5</v>
      </c>
      <c r="I1184">
        <v>2014</v>
      </c>
      <c r="J1184" t="s">
        <v>852</v>
      </c>
      <c r="K1184" t="s">
        <v>171</v>
      </c>
    </row>
    <row r="1185" spans="1:11">
      <c r="A1185" t="s">
        <v>984</v>
      </c>
      <c r="B1185">
        <v>1968</v>
      </c>
      <c r="C1185" t="s">
        <v>54</v>
      </c>
      <c r="D1185">
        <v>70.5</v>
      </c>
      <c r="E1185">
        <v>202.5</v>
      </c>
      <c r="F1185">
        <v>122.5</v>
      </c>
      <c r="G1185">
        <v>202.5</v>
      </c>
      <c r="H1185">
        <v>527.5</v>
      </c>
      <c r="I1185">
        <v>2013</v>
      </c>
      <c r="J1185" t="s">
        <v>852</v>
      </c>
      <c r="K1185" t="s">
        <v>171</v>
      </c>
    </row>
    <row r="1186" spans="1:11">
      <c r="A1186" t="s">
        <v>925</v>
      </c>
      <c r="B1186">
        <v>1989</v>
      </c>
      <c r="C1186" t="s">
        <v>45</v>
      </c>
      <c r="D1186">
        <v>61.02</v>
      </c>
      <c r="E1186">
        <v>195</v>
      </c>
      <c r="F1186">
        <v>142.5</v>
      </c>
      <c r="G1186">
        <v>190</v>
      </c>
      <c r="H1186">
        <v>527.5</v>
      </c>
      <c r="I1186">
        <v>2013</v>
      </c>
      <c r="J1186" t="s">
        <v>852</v>
      </c>
      <c r="K1186" t="s">
        <v>171</v>
      </c>
    </row>
    <row r="1187" spans="1:11">
      <c r="A1187" t="s">
        <v>308</v>
      </c>
      <c r="B1187">
        <v>1986</v>
      </c>
      <c r="C1187" t="s">
        <v>28</v>
      </c>
      <c r="D1187">
        <v>50.96</v>
      </c>
      <c r="E1187">
        <v>210</v>
      </c>
      <c r="F1187">
        <v>135</v>
      </c>
      <c r="G1187">
        <v>180</v>
      </c>
      <c r="H1187">
        <v>525</v>
      </c>
      <c r="I1187">
        <v>2015</v>
      </c>
      <c r="J1187" t="s">
        <v>852</v>
      </c>
      <c r="K1187" t="s">
        <v>171</v>
      </c>
    </row>
    <row r="1188" spans="1:11">
      <c r="A1188" t="s">
        <v>169</v>
      </c>
      <c r="B1188">
        <v>1981</v>
      </c>
      <c r="C1188" t="s">
        <v>54</v>
      </c>
      <c r="D1188">
        <v>83.47</v>
      </c>
      <c r="E1188">
        <v>190</v>
      </c>
      <c r="F1188">
        <v>110</v>
      </c>
      <c r="G1188">
        <v>222.5</v>
      </c>
      <c r="H1188">
        <v>522.5</v>
      </c>
      <c r="I1188">
        <v>2015</v>
      </c>
      <c r="J1188" t="s">
        <v>852</v>
      </c>
      <c r="K1188" t="s">
        <v>171</v>
      </c>
    </row>
    <row r="1189" spans="1:11">
      <c r="A1189" t="s">
        <v>308</v>
      </c>
      <c r="B1189">
        <v>1986</v>
      </c>
      <c r="C1189" t="s">
        <v>28</v>
      </c>
      <c r="D1189">
        <v>50.75</v>
      </c>
      <c r="E1189">
        <v>202.5</v>
      </c>
      <c r="F1189">
        <v>130</v>
      </c>
      <c r="G1189">
        <v>190</v>
      </c>
      <c r="H1189">
        <v>522.5</v>
      </c>
      <c r="I1189">
        <v>2013</v>
      </c>
      <c r="J1189" t="s">
        <v>852</v>
      </c>
      <c r="K1189" t="s">
        <v>171</v>
      </c>
    </row>
    <row r="1190" spans="1:11">
      <c r="A1190" t="s">
        <v>254</v>
      </c>
      <c r="B1190">
        <v>1977</v>
      </c>
      <c r="C1190" t="s">
        <v>45</v>
      </c>
      <c r="D1190">
        <v>71.349999999999994</v>
      </c>
      <c r="E1190">
        <v>207.5</v>
      </c>
      <c r="F1190">
        <v>137.5</v>
      </c>
      <c r="G1190">
        <v>177.5</v>
      </c>
      <c r="H1190">
        <v>522.5</v>
      </c>
      <c r="I1190">
        <v>2015</v>
      </c>
      <c r="J1190" t="s">
        <v>852</v>
      </c>
      <c r="K1190" t="s">
        <v>171</v>
      </c>
    </row>
    <row r="1191" spans="1:11">
      <c r="A1191" t="s">
        <v>976</v>
      </c>
      <c r="B1191">
        <v>1970</v>
      </c>
      <c r="C1191" t="s">
        <v>977</v>
      </c>
      <c r="D1191">
        <v>79.34</v>
      </c>
      <c r="E1191">
        <v>195</v>
      </c>
      <c r="F1191">
        <v>132.5</v>
      </c>
      <c r="G1191">
        <v>195</v>
      </c>
      <c r="H1191">
        <v>522.5</v>
      </c>
      <c r="I1191">
        <v>2014</v>
      </c>
      <c r="J1191" t="s">
        <v>852</v>
      </c>
      <c r="K1191" t="s">
        <v>171</v>
      </c>
    </row>
    <row r="1192" spans="1:11">
      <c r="A1192" t="s">
        <v>927</v>
      </c>
      <c r="B1192">
        <v>1984</v>
      </c>
      <c r="C1192" t="s">
        <v>62</v>
      </c>
      <c r="D1192">
        <v>62.74</v>
      </c>
      <c r="E1192">
        <v>200</v>
      </c>
      <c r="F1192">
        <v>107.5</v>
      </c>
      <c r="G1192">
        <v>212.5</v>
      </c>
      <c r="H1192">
        <v>520</v>
      </c>
      <c r="I1192">
        <v>2013</v>
      </c>
      <c r="J1192" t="s">
        <v>852</v>
      </c>
      <c r="K1192" t="s">
        <v>171</v>
      </c>
    </row>
    <row r="1193" spans="1:11">
      <c r="A1193" t="s">
        <v>984</v>
      </c>
      <c r="B1193">
        <v>1968</v>
      </c>
      <c r="C1193" t="s">
        <v>851</v>
      </c>
      <c r="D1193">
        <v>71.56</v>
      </c>
      <c r="E1193">
        <v>207.5</v>
      </c>
      <c r="F1193">
        <v>117.5</v>
      </c>
      <c r="G1193">
        <v>195</v>
      </c>
      <c r="H1193">
        <v>520</v>
      </c>
      <c r="I1193">
        <v>2014</v>
      </c>
      <c r="J1193" t="s">
        <v>852</v>
      </c>
      <c r="K1193" t="s">
        <v>171</v>
      </c>
    </row>
    <row r="1194" spans="1:11">
      <c r="A1194" t="s">
        <v>218</v>
      </c>
      <c r="B1194">
        <v>1976</v>
      </c>
      <c r="C1194" t="s">
        <v>903</v>
      </c>
      <c r="D1194">
        <v>56.54</v>
      </c>
      <c r="E1194">
        <v>222.5</v>
      </c>
      <c r="F1194">
        <v>100</v>
      </c>
      <c r="G1194">
        <v>195</v>
      </c>
      <c r="H1194">
        <v>517.5</v>
      </c>
      <c r="I1194">
        <v>2014</v>
      </c>
      <c r="J1194" t="s">
        <v>852</v>
      </c>
      <c r="K1194" t="s">
        <v>171</v>
      </c>
    </row>
    <row r="1195" spans="1:11">
      <c r="A1195" t="s">
        <v>218</v>
      </c>
      <c r="B1195">
        <v>1976</v>
      </c>
      <c r="C1195" t="s">
        <v>28</v>
      </c>
      <c r="D1195">
        <v>56.66</v>
      </c>
      <c r="E1195">
        <v>220</v>
      </c>
      <c r="F1195">
        <v>105</v>
      </c>
      <c r="G1195">
        <v>192.5</v>
      </c>
      <c r="H1195">
        <v>517.5</v>
      </c>
      <c r="I1195">
        <v>2015</v>
      </c>
      <c r="J1195" t="s">
        <v>852</v>
      </c>
      <c r="K1195" t="s">
        <v>171</v>
      </c>
    </row>
    <row r="1196" spans="1:11">
      <c r="A1196" t="s">
        <v>190</v>
      </c>
      <c r="B1196">
        <v>1980</v>
      </c>
      <c r="C1196" t="s">
        <v>49</v>
      </c>
      <c r="D1196">
        <v>61.1</v>
      </c>
      <c r="E1196">
        <v>192.5</v>
      </c>
      <c r="F1196">
        <v>140</v>
      </c>
      <c r="G1196">
        <v>185</v>
      </c>
      <c r="H1196">
        <v>517.5</v>
      </c>
      <c r="I1196">
        <v>2015</v>
      </c>
      <c r="J1196" t="s">
        <v>852</v>
      </c>
      <c r="K1196" t="s">
        <v>171</v>
      </c>
    </row>
    <row r="1197" spans="1:11">
      <c r="A1197" t="s">
        <v>953</v>
      </c>
      <c r="B1197">
        <v>1979</v>
      </c>
      <c r="C1197" t="s">
        <v>113</v>
      </c>
      <c r="D1197">
        <v>70.88</v>
      </c>
      <c r="E1197">
        <v>207.5</v>
      </c>
      <c r="F1197">
        <v>120</v>
      </c>
      <c r="G1197">
        <v>187.5</v>
      </c>
      <c r="H1197">
        <v>515</v>
      </c>
      <c r="I1197">
        <v>2012</v>
      </c>
      <c r="J1197" t="s">
        <v>852</v>
      </c>
      <c r="K1197" t="s">
        <v>171</v>
      </c>
    </row>
    <row r="1198" spans="1:11">
      <c r="A1198" t="s">
        <v>345</v>
      </c>
      <c r="B1198">
        <v>1986</v>
      </c>
      <c r="C1198" t="s">
        <v>888</v>
      </c>
      <c r="D1198">
        <v>56.38</v>
      </c>
      <c r="E1198">
        <v>197.5</v>
      </c>
      <c r="F1198">
        <v>120</v>
      </c>
      <c r="G1198">
        <v>197.5</v>
      </c>
      <c r="H1198">
        <v>515</v>
      </c>
      <c r="I1198">
        <v>2014</v>
      </c>
      <c r="J1198" t="s">
        <v>852</v>
      </c>
      <c r="K1198" t="s">
        <v>171</v>
      </c>
    </row>
    <row r="1199" spans="1:11">
      <c r="A1199" t="s">
        <v>345</v>
      </c>
      <c r="B1199">
        <v>1986</v>
      </c>
      <c r="C1199" t="s">
        <v>74</v>
      </c>
      <c r="D1199">
        <v>56.13</v>
      </c>
      <c r="E1199">
        <v>190</v>
      </c>
      <c r="F1199">
        <v>130</v>
      </c>
      <c r="G1199">
        <v>195</v>
      </c>
      <c r="H1199">
        <v>515</v>
      </c>
      <c r="I1199">
        <v>2013</v>
      </c>
      <c r="J1199" t="s">
        <v>852</v>
      </c>
      <c r="K1199" t="s">
        <v>171</v>
      </c>
    </row>
    <row r="1200" spans="1:11">
      <c r="A1200" t="s">
        <v>281</v>
      </c>
      <c r="B1200">
        <v>1980</v>
      </c>
      <c r="C1200" t="s">
        <v>282</v>
      </c>
      <c r="D1200">
        <v>54.81</v>
      </c>
      <c r="E1200">
        <v>220</v>
      </c>
      <c r="F1200">
        <v>112.5</v>
      </c>
      <c r="G1200">
        <v>177.5</v>
      </c>
      <c r="H1200">
        <v>510</v>
      </c>
      <c r="I1200">
        <v>2015</v>
      </c>
      <c r="J1200" t="s">
        <v>852</v>
      </c>
      <c r="K1200" t="s">
        <v>171</v>
      </c>
    </row>
    <row r="1201" spans="1:11">
      <c r="A1201" t="s">
        <v>311</v>
      </c>
      <c r="B1201">
        <v>1983</v>
      </c>
      <c r="C1201" t="s">
        <v>51</v>
      </c>
      <c r="D1201">
        <v>83.63</v>
      </c>
      <c r="E1201">
        <v>202.5</v>
      </c>
      <c r="F1201">
        <v>122.5</v>
      </c>
      <c r="G1201">
        <v>185</v>
      </c>
      <c r="H1201">
        <v>510</v>
      </c>
      <c r="I1201">
        <v>2013</v>
      </c>
      <c r="J1201" t="s">
        <v>852</v>
      </c>
      <c r="K1201" t="s">
        <v>171</v>
      </c>
    </row>
    <row r="1202" spans="1:11">
      <c r="A1202" t="s">
        <v>311</v>
      </c>
      <c r="B1202">
        <v>1983</v>
      </c>
      <c r="C1202" t="s">
        <v>51</v>
      </c>
      <c r="D1202">
        <v>83.82</v>
      </c>
      <c r="E1202">
        <v>185</v>
      </c>
      <c r="F1202">
        <v>130</v>
      </c>
      <c r="G1202">
        <v>192.5</v>
      </c>
      <c r="H1202">
        <v>507.5</v>
      </c>
      <c r="I1202">
        <v>2012</v>
      </c>
      <c r="J1202" t="s">
        <v>852</v>
      </c>
      <c r="K1202" t="s">
        <v>171</v>
      </c>
    </row>
    <row r="1203" spans="1:11">
      <c r="A1203" t="s">
        <v>858</v>
      </c>
      <c r="B1203">
        <v>1993</v>
      </c>
      <c r="C1203" t="s">
        <v>859</v>
      </c>
      <c r="D1203">
        <v>62.94</v>
      </c>
      <c r="E1203">
        <v>190</v>
      </c>
      <c r="F1203">
        <v>135</v>
      </c>
      <c r="G1203">
        <v>182.5</v>
      </c>
      <c r="H1203">
        <v>507.5</v>
      </c>
      <c r="I1203">
        <v>2014</v>
      </c>
      <c r="J1203" t="s">
        <v>852</v>
      </c>
      <c r="K1203" t="s">
        <v>171</v>
      </c>
    </row>
    <row r="1204" spans="1:11">
      <c r="A1204" t="s">
        <v>241</v>
      </c>
      <c r="B1204">
        <v>1983</v>
      </c>
      <c r="C1204" t="s">
        <v>888</v>
      </c>
      <c r="D1204">
        <v>83.5</v>
      </c>
      <c r="E1204">
        <v>175</v>
      </c>
      <c r="F1204">
        <v>181.5</v>
      </c>
      <c r="G1204">
        <v>150</v>
      </c>
      <c r="H1204">
        <v>506.5</v>
      </c>
      <c r="I1204">
        <v>2014</v>
      </c>
      <c r="J1204" t="s">
        <v>852</v>
      </c>
      <c r="K1204" t="s">
        <v>171</v>
      </c>
    </row>
    <row r="1205" spans="1:11">
      <c r="A1205" t="s">
        <v>324</v>
      </c>
      <c r="B1205">
        <v>1976</v>
      </c>
      <c r="C1205" t="s">
        <v>49</v>
      </c>
      <c r="D1205">
        <v>61.97</v>
      </c>
      <c r="E1205">
        <v>197.5</v>
      </c>
      <c r="F1205">
        <v>102.5</v>
      </c>
      <c r="G1205">
        <v>205</v>
      </c>
      <c r="H1205">
        <v>505</v>
      </c>
      <c r="I1205">
        <v>2012</v>
      </c>
      <c r="J1205" t="s">
        <v>852</v>
      </c>
      <c r="K1205" t="s">
        <v>171</v>
      </c>
    </row>
    <row r="1206" spans="1:11">
      <c r="A1206" t="s">
        <v>1020</v>
      </c>
      <c r="B1206">
        <v>1981</v>
      </c>
      <c r="C1206" t="s">
        <v>125</v>
      </c>
      <c r="D1206">
        <v>68.760000000000005</v>
      </c>
      <c r="E1206">
        <v>190</v>
      </c>
      <c r="F1206">
        <v>107.5</v>
      </c>
      <c r="G1206">
        <v>207.5</v>
      </c>
      <c r="H1206">
        <v>505</v>
      </c>
      <c r="I1206">
        <v>2012</v>
      </c>
      <c r="J1206" t="s">
        <v>852</v>
      </c>
      <c r="K1206" t="s">
        <v>171</v>
      </c>
    </row>
    <row r="1207" spans="1:11">
      <c r="A1207" t="s">
        <v>962</v>
      </c>
      <c r="B1207">
        <v>1988</v>
      </c>
      <c r="C1207" t="s">
        <v>859</v>
      </c>
      <c r="D1207">
        <v>59.82</v>
      </c>
      <c r="E1207">
        <v>197.5</v>
      </c>
      <c r="F1207">
        <v>112.5</v>
      </c>
      <c r="G1207">
        <v>195</v>
      </c>
      <c r="H1207">
        <v>505</v>
      </c>
      <c r="I1207">
        <v>2014</v>
      </c>
      <c r="J1207" t="s">
        <v>852</v>
      </c>
      <c r="K1207" t="s">
        <v>171</v>
      </c>
    </row>
    <row r="1208" spans="1:11">
      <c r="A1208" t="s">
        <v>308</v>
      </c>
      <c r="B1208">
        <v>1986</v>
      </c>
      <c r="C1208" t="s">
        <v>28</v>
      </c>
      <c r="D1208">
        <v>51.24</v>
      </c>
      <c r="E1208">
        <v>200</v>
      </c>
      <c r="F1208">
        <v>125</v>
      </c>
      <c r="G1208">
        <v>180</v>
      </c>
      <c r="H1208">
        <v>505</v>
      </c>
      <c r="I1208">
        <v>2012</v>
      </c>
      <c r="J1208" t="s">
        <v>852</v>
      </c>
      <c r="K1208" t="s">
        <v>171</v>
      </c>
    </row>
    <row r="1209" spans="1:11">
      <c r="A1209" t="s">
        <v>995</v>
      </c>
      <c r="B1209">
        <v>1974</v>
      </c>
      <c r="C1209" t="s">
        <v>80</v>
      </c>
      <c r="D1209">
        <v>56.88</v>
      </c>
      <c r="E1209">
        <v>205</v>
      </c>
      <c r="F1209">
        <v>117.5</v>
      </c>
      <c r="G1209">
        <v>180</v>
      </c>
      <c r="H1209">
        <v>502.5</v>
      </c>
      <c r="I1209">
        <v>2012</v>
      </c>
      <c r="J1209" t="s">
        <v>852</v>
      </c>
      <c r="K1209" t="s">
        <v>171</v>
      </c>
    </row>
    <row r="1210" spans="1:11">
      <c r="A1210" t="s">
        <v>993</v>
      </c>
      <c r="B1210">
        <v>1972</v>
      </c>
      <c r="C1210" t="s">
        <v>119</v>
      </c>
      <c r="D1210">
        <v>56.94</v>
      </c>
      <c r="E1210">
        <v>200</v>
      </c>
      <c r="F1210">
        <v>127.5</v>
      </c>
      <c r="G1210">
        <v>175</v>
      </c>
      <c r="H1210">
        <v>502.5</v>
      </c>
      <c r="I1210">
        <v>2012</v>
      </c>
      <c r="J1210" t="s">
        <v>852</v>
      </c>
      <c r="K1210" t="s">
        <v>171</v>
      </c>
    </row>
    <row r="1211" spans="1:11">
      <c r="A1211" t="s">
        <v>345</v>
      </c>
      <c r="B1211">
        <v>1986</v>
      </c>
      <c r="C1211" t="s">
        <v>74</v>
      </c>
      <c r="D1211">
        <v>56.21</v>
      </c>
      <c r="E1211">
        <v>187.5</v>
      </c>
      <c r="F1211">
        <v>120</v>
      </c>
      <c r="G1211">
        <v>195</v>
      </c>
      <c r="H1211">
        <v>502.5</v>
      </c>
      <c r="I1211">
        <v>2012</v>
      </c>
      <c r="J1211" t="s">
        <v>852</v>
      </c>
      <c r="K1211" t="s">
        <v>171</v>
      </c>
    </row>
    <row r="1212" spans="1:11">
      <c r="A1212" t="s">
        <v>872</v>
      </c>
      <c r="B1212">
        <v>1982</v>
      </c>
      <c r="C1212" t="s">
        <v>45</v>
      </c>
      <c r="D1212">
        <v>62.46</v>
      </c>
      <c r="E1212">
        <v>192.5</v>
      </c>
      <c r="F1212">
        <v>122.5</v>
      </c>
      <c r="G1212">
        <v>185</v>
      </c>
      <c r="H1212">
        <v>500</v>
      </c>
      <c r="I1212">
        <v>2013</v>
      </c>
      <c r="J1212" t="s">
        <v>852</v>
      </c>
      <c r="K1212" t="s">
        <v>171</v>
      </c>
    </row>
    <row r="1213" spans="1:11">
      <c r="A1213" t="s">
        <v>254</v>
      </c>
      <c r="B1213">
        <v>1977</v>
      </c>
      <c r="C1213" t="s">
        <v>862</v>
      </c>
      <c r="D1213">
        <v>71.92</v>
      </c>
      <c r="E1213">
        <v>197.5</v>
      </c>
      <c r="F1213">
        <v>127.5</v>
      </c>
      <c r="G1213">
        <v>175</v>
      </c>
      <c r="H1213">
        <v>500</v>
      </c>
      <c r="I1213">
        <v>2014</v>
      </c>
      <c r="J1213" t="s">
        <v>852</v>
      </c>
      <c r="K1213" t="s">
        <v>171</v>
      </c>
    </row>
    <row r="1214" spans="1:11">
      <c r="A1214" t="s">
        <v>208</v>
      </c>
      <c r="B1214">
        <v>1987</v>
      </c>
      <c r="C1214" t="s">
        <v>119</v>
      </c>
      <c r="D1214">
        <v>51.03</v>
      </c>
      <c r="E1214">
        <v>187.5</v>
      </c>
      <c r="F1214">
        <v>120</v>
      </c>
      <c r="G1214">
        <v>190</v>
      </c>
      <c r="H1214">
        <v>497.5</v>
      </c>
      <c r="I1214">
        <v>2015</v>
      </c>
      <c r="J1214" t="s">
        <v>852</v>
      </c>
      <c r="K1214" t="s">
        <v>171</v>
      </c>
    </row>
    <row r="1215" spans="1:11">
      <c r="A1215" t="s">
        <v>291</v>
      </c>
      <c r="B1215">
        <v>1976</v>
      </c>
      <c r="C1215" t="s">
        <v>51</v>
      </c>
      <c r="D1215">
        <v>117.39</v>
      </c>
      <c r="E1215">
        <v>200</v>
      </c>
      <c r="F1215">
        <v>137.5</v>
      </c>
      <c r="G1215">
        <v>160</v>
      </c>
      <c r="H1215">
        <v>497.5</v>
      </c>
      <c r="I1215">
        <v>2015</v>
      </c>
      <c r="J1215" t="s">
        <v>852</v>
      </c>
      <c r="K1215" t="s">
        <v>171</v>
      </c>
    </row>
    <row r="1216" spans="1:11">
      <c r="A1216" t="s">
        <v>281</v>
      </c>
      <c r="B1216">
        <v>1980</v>
      </c>
      <c r="C1216" t="s">
        <v>859</v>
      </c>
      <c r="D1216">
        <v>51.7</v>
      </c>
      <c r="E1216">
        <v>212.5</v>
      </c>
      <c r="F1216">
        <v>102.5</v>
      </c>
      <c r="G1216">
        <v>180</v>
      </c>
      <c r="H1216">
        <v>495</v>
      </c>
      <c r="I1216">
        <v>2014</v>
      </c>
      <c r="J1216" t="s">
        <v>852</v>
      </c>
      <c r="K1216" t="s">
        <v>171</v>
      </c>
    </row>
    <row r="1217" spans="1:11">
      <c r="A1217" t="s">
        <v>249</v>
      </c>
      <c r="B1217">
        <v>1985</v>
      </c>
      <c r="C1217" t="s">
        <v>119</v>
      </c>
      <c r="D1217">
        <v>51.69</v>
      </c>
      <c r="E1217">
        <v>185</v>
      </c>
      <c r="F1217">
        <v>125</v>
      </c>
      <c r="G1217">
        <v>185</v>
      </c>
      <c r="H1217">
        <v>495</v>
      </c>
      <c r="I1217">
        <v>2015</v>
      </c>
      <c r="J1217" t="s">
        <v>852</v>
      </c>
      <c r="K1217" t="s">
        <v>171</v>
      </c>
    </row>
    <row r="1218" spans="1:11">
      <c r="A1218" t="s">
        <v>281</v>
      </c>
      <c r="B1218">
        <v>1980</v>
      </c>
      <c r="C1218" t="s">
        <v>282</v>
      </c>
      <c r="D1218">
        <v>51.88</v>
      </c>
      <c r="E1218">
        <v>215</v>
      </c>
      <c r="F1218">
        <v>97.5</v>
      </c>
      <c r="G1218">
        <v>177.5</v>
      </c>
      <c r="H1218">
        <v>490</v>
      </c>
      <c r="I1218">
        <v>2012</v>
      </c>
      <c r="J1218" t="s">
        <v>852</v>
      </c>
      <c r="K1218" t="s">
        <v>171</v>
      </c>
    </row>
    <row r="1219" spans="1:11">
      <c r="A1219" t="s">
        <v>980</v>
      </c>
      <c r="B1219">
        <v>1985</v>
      </c>
      <c r="C1219" t="s">
        <v>45</v>
      </c>
      <c r="D1219">
        <v>71.61</v>
      </c>
      <c r="E1219">
        <v>195</v>
      </c>
      <c r="F1219">
        <v>107.5</v>
      </c>
      <c r="G1219">
        <v>187.5</v>
      </c>
      <c r="H1219">
        <v>490</v>
      </c>
      <c r="I1219">
        <v>2012</v>
      </c>
      <c r="J1219" t="s">
        <v>852</v>
      </c>
      <c r="K1219" t="s">
        <v>171</v>
      </c>
    </row>
    <row r="1220" spans="1:11">
      <c r="A1220" t="s">
        <v>980</v>
      </c>
      <c r="B1220">
        <v>1985</v>
      </c>
      <c r="C1220" t="s">
        <v>45</v>
      </c>
      <c r="D1220">
        <v>69.36</v>
      </c>
      <c r="E1220">
        <v>200</v>
      </c>
      <c r="F1220">
        <v>115</v>
      </c>
      <c r="G1220">
        <v>175</v>
      </c>
      <c r="H1220">
        <v>490</v>
      </c>
      <c r="I1220">
        <v>2013</v>
      </c>
      <c r="J1220" t="s">
        <v>852</v>
      </c>
      <c r="K1220" t="s">
        <v>171</v>
      </c>
    </row>
    <row r="1221" spans="1:11">
      <c r="A1221" t="s">
        <v>328</v>
      </c>
      <c r="B1221">
        <v>1990</v>
      </c>
      <c r="C1221" t="s">
        <v>109</v>
      </c>
      <c r="D1221">
        <v>82.45</v>
      </c>
      <c r="E1221">
        <v>190</v>
      </c>
      <c r="F1221">
        <v>122.5</v>
      </c>
      <c r="G1221">
        <v>177.5</v>
      </c>
      <c r="H1221">
        <v>490</v>
      </c>
      <c r="I1221">
        <v>2015</v>
      </c>
      <c r="J1221" t="s">
        <v>852</v>
      </c>
      <c r="K1221" t="s">
        <v>171</v>
      </c>
    </row>
    <row r="1222" spans="1:11">
      <c r="A1222" t="s">
        <v>872</v>
      </c>
      <c r="B1222">
        <v>1982</v>
      </c>
      <c r="C1222" t="s">
        <v>862</v>
      </c>
      <c r="D1222">
        <v>62.2</v>
      </c>
      <c r="E1222">
        <v>182.5</v>
      </c>
      <c r="F1222">
        <v>125</v>
      </c>
      <c r="G1222">
        <v>182.5</v>
      </c>
      <c r="H1222">
        <v>490</v>
      </c>
      <c r="I1222">
        <v>2014</v>
      </c>
      <c r="J1222" t="s">
        <v>852</v>
      </c>
      <c r="K1222" t="s">
        <v>171</v>
      </c>
    </row>
    <row r="1223" spans="1:11">
      <c r="A1223" t="s">
        <v>249</v>
      </c>
      <c r="B1223">
        <v>1985</v>
      </c>
      <c r="C1223" t="s">
        <v>901</v>
      </c>
      <c r="D1223">
        <v>51.52</v>
      </c>
      <c r="E1223">
        <v>185</v>
      </c>
      <c r="F1223">
        <v>122.5</v>
      </c>
      <c r="G1223">
        <v>180</v>
      </c>
      <c r="H1223">
        <v>487.5</v>
      </c>
      <c r="I1223">
        <v>2014</v>
      </c>
      <c r="J1223" t="s">
        <v>852</v>
      </c>
      <c r="K1223" t="s">
        <v>171</v>
      </c>
    </row>
    <row r="1224" spans="1:11">
      <c r="A1224" t="s">
        <v>261</v>
      </c>
      <c r="B1224">
        <v>1977</v>
      </c>
      <c r="C1224" t="s">
        <v>62</v>
      </c>
      <c r="D1224">
        <v>56.66</v>
      </c>
      <c r="E1224">
        <v>185</v>
      </c>
      <c r="F1224">
        <v>125</v>
      </c>
      <c r="G1224">
        <v>175</v>
      </c>
      <c r="H1224">
        <v>485</v>
      </c>
      <c r="I1224">
        <v>2015</v>
      </c>
      <c r="J1224" t="s">
        <v>852</v>
      </c>
      <c r="K1224" t="s">
        <v>171</v>
      </c>
    </row>
    <row r="1225" spans="1:11">
      <c r="A1225" t="s">
        <v>220</v>
      </c>
      <c r="B1225">
        <v>1970</v>
      </c>
      <c r="C1225" t="s">
        <v>77</v>
      </c>
      <c r="D1225">
        <v>46.09</v>
      </c>
      <c r="E1225">
        <v>187.5</v>
      </c>
      <c r="F1225">
        <v>131.5</v>
      </c>
      <c r="G1225">
        <v>165</v>
      </c>
      <c r="H1225">
        <v>484</v>
      </c>
      <c r="I1225">
        <v>2015</v>
      </c>
      <c r="J1225" t="s">
        <v>852</v>
      </c>
      <c r="K1225" t="s">
        <v>171</v>
      </c>
    </row>
    <row r="1226" spans="1:11">
      <c r="A1226" t="s">
        <v>198</v>
      </c>
      <c r="B1226">
        <v>1982</v>
      </c>
      <c r="C1226" t="s">
        <v>888</v>
      </c>
      <c r="D1226">
        <v>45.6</v>
      </c>
      <c r="E1226">
        <v>200</v>
      </c>
      <c r="F1226">
        <v>97.5</v>
      </c>
      <c r="G1226">
        <v>186</v>
      </c>
      <c r="H1226">
        <v>483.5</v>
      </c>
      <c r="I1226">
        <v>2014</v>
      </c>
      <c r="J1226" t="s">
        <v>852</v>
      </c>
      <c r="K1226" t="s">
        <v>171</v>
      </c>
    </row>
    <row r="1227" spans="1:11">
      <c r="A1227" t="s">
        <v>281</v>
      </c>
      <c r="B1227">
        <v>1980</v>
      </c>
      <c r="C1227" t="s">
        <v>282</v>
      </c>
      <c r="D1227">
        <v>51.81</v>
      </c>
      <c r="E1227">
        <v>205</v>
      </c>
      <c r="F1227">
        <v>100</v>
      </c>
      <c r="G1227">
        <v>177.5</v>
      </c>
      <c r="H1227">
        <v>482.5</v>
      </c>
      <c r="I1227">
        <v>2013</v>
      </c>
      <c r="J1227" t="s">
        <v>852</v>
      </c>
      <c r="K1227" t="s">
        <v>171</v>
      </c>
    </row>
    <row r="1228" spans="1:11">
      <c r="A1228" t="s">
        <v>208</v>
      </c>
      <c r="B1228">
        <v>1987</v>
      </c>
      <c r="C1228" t="s">
        <v>119</v>
      </c>
      <c r="D1228">
        <v>51.28</v>
      </c>
      <c r="E1228">
        <v>185</v>
      </c>
      <c r="F1228">
        <v>112.5</v>
      </c>
      <c r="G1228">
        <v>185</v>
      </c>
      <c r="H1228">
        <v>482.5</v>
      </c>
      <c r="I1228">
        <v>2013</v>
      </c>
      <c r="J1228" t="s">
        <v>852</v>
      </c>
      <c r="K1228" t="s">
        <v>171</v>
      </c>
    </row>
    <row r="1229" spans="1:11">
      <c r="A1229" t="s">
        <v>249</v>
      </c>
      <c r="B1229">
        <v>1985</v>
      </c>
      <c r="C1229" t="s">
        <v>119</v>
      </c>
      <c r="D1229">
        <v>51.98</v>
      </c>
      <c r="E1229">
        <v>192.5</v>
      </c>
      <c r="F1229">
        <v>120</v>
      </c>
      <c r="G1229">
        <v>170</v>
      </c>
      <c r="H1229">
        <v>482.5</v>
      </c>
      <c r="I1229">
        <v>2013</v>
      </c>
      <c r="J1229" t="s">
        <v>852</v>
      </c>
      <c r="K1229" t="s">
        <v>171</v>
      </c>
    </row>
    <row r="1230" spans="1:11">
      <c r="A1230" t="s">
        <v>208</v>
      </c>
      <c r="B1230">
        <v>1987</v>
      </c>
      <c r="C1230" t="s">
        <v>901</v>
      </c>
      <c r="D1230">
        <v>50.7</v>
      </c>
      <c r="E1230">
        <v>182.5</v>
      </c>
      <c r="F1230">
        <v>115</v>
      </c>
      <c r="G1230">
        <v>185</v>
      </c>
      <c r="H1230">
        <v>482.5</v>
      </c>
      <c r="I1230">
        <v>2014</v>
      </c>
      <c r="J1230" t="s">
        <v>852</v>
      </c>
      <c r="K1230" t="s">
        <v>171</v>
      </c>
    </row>
    <row r="1231" spans="1:11">
      <c r="A1231" t="s">
        <v>241</v>
      </c>
      <c r="B1231">
        <v>1983</v>
      </c>
      <c r="C1231" t="s">
        <v>74</v>
      </c>
      <c r="D1231">
        <v>83.36</v>
      </c>
      <c r="E1231">
        <v>175</v>
      </c>
      <c r="F1231">
        <v>172.5</v>
      </c>
      <c r="G1231">
        <v>135</v>
      </c>
      <c r="H1231">
        <v>482.5</v>
      </c>
      <c r="I1231">
        <v>2013</v>
      </c>
      <c r="J1231" t="s">
        <v>852</v>
      </c>
      <c r="K1231" t="s">
        <v>171</v>
      </c>
    </row>
    <row r="1232" spans="1:11">
      <c r="A1232" t="s">
        <v>241</v>
      </c>
      <c r="B1232">
        <v>1983</v>
      </c>
      <c r="C1232" t="s">
        <v>74</v>
      </c>
      <c r="D1232">
        <v>83.34</v>
      </c>
      <c r="E1232">
        <v>170</v>
      </c>
      <c r="F1232">
        <v>172.5</v>
      </c>
      <c r="G1232">
        <v>140</v>
      </c>
      <c r="H1232">
        <v>482.5</v>
      </c>
      <c r="I1232">
        <v>2015</v>
      </c>
      <c r="J1232" t="s">
        <v>852</v>
      </c>
      <c r="K1232" t="s">
        <v>171</v>
      </c>
    </row>
    <row r="1233" spans="1:11">
      <c r="A1233" t="s">
        <v>198</v>
      </c>
      <c r="B1233">
        <v>1982</v>
      </c>
      <c r="C1233" t="s">
        <v>74</v>
      </c>
      <c r="D1233">
        <v>46.56</v>
      </c>
      <c r="E1233">
        <v>197.5</v>
      </c>
      <c r="F1233">
        <v>97.5</v>
      </c>
      <c r="G1233">
        <v>185.5</v>
      </c>
      <c r="H1233">
        <v>480.5</v>
      </c>
      <c r="I1233">
        <v>2013</v>
      </c>
      <c r="J1233" t="s">
        <v>852</v>
      </c>
      <c r="K1233" t="s">
        <v>171</v>
      </c>
    </row>
    <row r="1234" spans="1:11">
      <c r="A1234" t="s">
        <v>900</v>
      </c>
      <c r="B1234">
        <v>1986</v>
      </c>
      <c r="C1234" t="s">
        <v>464</v>
      </c>
      <c r="D1234">
        <v>56.9</v>
      </c>
      <c r="E1234">
        <v>190</v>
      </c>
      <c r="F1234">
        <v>90</v>
      </c>
      <c r="G1234">
        <v>195</v>
      </c>
      <c r="H1234">
        <v>475</v>
      </c>
      <c r="I1234">
        <v>2012</v>
      </c>
      <c r="J1234" t="s">
        <v>852</v>
      </c>
      <c r="K1234" t="s">
        <v>171</v>
      </c>
    </row>
    <row r="1235" spans="1:11">
      <c r="A1235" t="s">
        <v>241</v>
      </c>
      <c r="B1235">
        <v>1983</v>
      </c>
      <c r="C1235" t="s">
        <v>74</v>
      </c>
      <c r="D1235">
        <v>83.75</v>
      </c>
      <c r="E1235">
        <v>175</v>
      </c>
      <c r="F1235">
        <v>170</v>
      </c>
      <c r="G1235">
        <v>130</v>
      </c>
      <c r="H1235">
        <v>475</v>
      </c>
      <c r="I1235">
        <v>2012</v>
      </c>
      <c r="J1235" t="s">
        <v>852</v>
      </c>
      <c r="K1235" t="s">
        <v>171</v>
      </c>
    </row>
    <row r="1236" spans="1:11">
      <c r="A1236" t="s">
        <v>201</v>
      </c>
      <c r="B1236">
        <v>1982</v>
      </c>
      <c r="C1236" t="s">
        <v>74</v>
      </c>
      <c r="D1236">
        <v>56.76</v>
      </c>
      <c r="E1236">
        <v>172.5</v>
      </c>
      <c r="F1236">
        <v>100</v>
      </c>
      <c r="G1236">
        <v>200</v>
      </c>
      <c r="H1236">
        <v>472.5</v>
      </c>
      <c r="I1236">
        <v>2013</v>
      </c>
      <c r="J1236" t="s">
        <v>852</v>
      </c>
      <c r="K1236" t="s">
        <v>171</v>
      </c>
    </row>
    <row r="1237" spans="1:11">
      <c r="A1237" t="s">
        <v>229</v>
      </c>
      <c r="B1237">
        <v>1970</v>
      </c>
      <c r="C1237" t="s">
        <v>228</v>
      </c>
      <c r="D1237">
        <v>71.52</v>
      </c>
      <c r="E1237">
        <v>180</v>
      </c>
      <c r="F1237">
        <v>112.5</v>
      </c>
      <c r="G1237">
        <v>180</v>
      </c>
      <c r="H1237">
        <v>472.5</v>
      </c>
      <c r="I1237">
        <v>2013</v>
      </c>
      <c r="J1237" t="s">
        <v>852</v>
      </c>
      <c r="K1237" t="s">
        <v>171</v>
      </c>
    </row>
    <row r="1238" spans="1:11">
      <c r="A1238" t="s">
        <v>229</v>
      </c>
      <c r="B1238">
        <v>1970</v>
      </c>
      <c r="C1238" t="s">
        <v>228</v>
      </c>
      <c r="D1238">
        <v>71.08</v>
      </c>
      <c r="E1238">
        <v>177.5</v>
      </c>
      <c r="F1238">
        <v>112.5</v>
      </c>
      <c r="G1238">
        <v>182.5</v>
      </c>
      <c r="H1238">
        <v>472.5</v>
      </c>
      <c r="I1238">
        <v>2015</v>
      </c>
      <c r="J1238" t="s">
        <v>852</v>
      </c>
      <c r="K1238" t="s">
        <v>171</v>
      </c>
    </row>
    <row r="1239" spans="1:11">
      <c r="A1239" t="s">
        <v>227</v>
      </c>
      <c r="B1239">
        <v>1974</v>
      </c>
      <c r="C1239" t="s">
        <v>228</v>
      </c>
      <c r="D1239">
        <v>62.72</v>
      </c>
      <c r="E1239">
        <v>180</v>
      </c>
      <c r="F1239">
        <v>120</v>
      </c>
      <c r="G1239">
        <v>172.5</v>
      </c>
      <c r="H1239">
        <v>472.5</v>
      </c>
      <c r="I1239">
        <v>2015</v>
      </c>
      <c r="J1239" t="s">
        <v>852</v>
      </c>
      <c r="K1239" t="s">
        <v>171</v>
      </c>
    </row>
    <row r="1240" spans="1:11">
      <c r="A1240" t="s">
        <v>872</v>
      </c>
      <c r="B1240">
        <v>1982</v>
      </c>
      <c r="C1240" t="s">
        <v>45</v>
      </c>
      <c r="D1240">
        <v>62.87</v>
      </c>
      <c r="E1240">
        <v>177.5</v>
      </c>
      <c r="F1240">
        <v>115</v>
      </c>
      <c r="G1240">
        <v>177.5</v>
      </c>
      <c r="H1240">
        <v>470</v>
      </c>
      <c r="I1240">
        <v>2012</v>
      </c>
      <c r="J1240" t="s">
        <v>852</v>
      </c>
      <c r="K1240" t="s">
        <v>171</v>
      </c>
    </row>
    <row r="1241" spans="1:11">
      <c r="A1241" t="s">
        <v>220</v>
      </c>
      <c r="B1241">
        <v>1970</v>
      </c>
      <c r="C1241" t="s">
        <v>911</v>
      </c>
      <c r="D1241">
        <v>46.42</v>
      </c>
      <c r="E1241">
        <v>170</v>
      </c>
      <c r="F1241">
        <v>130.5</v>
      </c>
      <c r="G1241">
        <v>167.5</v>
      </c>
      <c r="H1241">
        <v>468</v>
      </c>
      <c r="I1241">
        <v>2014</v>
      </c>
      <c r="J1241" t="s">
        <v>852</v>
      </c>
      <c r="K1241" t="s">
        <v>171</v>
      </c>
    </row>
    <row r="1242" spans="1:11">
      <c r="A1242" t="s">
        <v>229</v>
      </c>
      <c r="B1242">
        <v>1970</v>
      </c>
      <c r="C1242" t="s">
        <v>922</v>
      </c>
      <c r="D1242">
        <v>70.8</v>
      </c>
      <c r="E1242">
        <v>180</v>
      </c>
      <c r="F1242">
        <v>105</v>
      </c>
      <c r="G1242">
        <v>182.5</v>
      </c>
      <c r="H1242">
        <v>467.5</v>
      </c>
      <c r="I1242">
        <v>2014</v>
      </c>
      <c r="J1242" t="s">
        <v>852</v>
      </c>
      <c r="K1242" t="s">
        <v>171</v>
      </c>
    </row>
    <row r="1243" spans="1:11">
      <c r="A1243" t="s">
        <v>261</v>
      </c>
      <c r="B1243">
        <v>1977</v>
      </c>
      <c r="C1243" t="s">
        <v>62</v>
      </c>
      <c r="D1243">
        <v>56.68</v>
      </c>
      <c r="E1243">
        <v>170</v>
      </c>
      <c r="F1243">
        <v>112.5</v>
      </c>
      <c r="G1243">
        <v>185</v>
      </c>
      <c r="H1243">
        <v>467.5</v>
      </c>
      <c r="I1243">
        <v>2013</v>
      </c>
      <c r="J1243" t="s">
        <v>852</v>
      </c>
      <c r="K1243" t="s">
        <v>171</v>
      </c>
    </row>
    <row r="1244" spans="1:11">
      <c r="A1244" t="s">
        <v>208</v>
      </c>
      <c r="B1244">
        <v>1987</v>
      </c>
      <c r="C1244" t="s">
        <v>119</v>
      </c>
      <c r="D1244">
        <v>51.39</v>
      </c>
      <c r="E1244">
        <v>175</v>
      </c>
      <c r="F1244">
        <v>112.5</v>
      </c>
      <c r="G1244">
        <v>177.5</v>
      </c>
      <c r="H1244">
        <v>465</v>
      </c>
      <c r="I1244">
        <v>2012</v>
      </c>
      <c r="J1244" t="s">
        <v>852</v>
      </c>
      <c r="K1244" t="s">
        <v>171</v>
      </c>
    </row>
    <row r="1245" spans="1:11">
      <c r="A1245" t="s">
        <v>968</v>
      </c>
      <c r="B1245">
        <v>1991</v>
      </c>
      <c r="C1245" t="s">
        <v>859</v>
      </c>
      <c r="D1245">
        <v>55.78</v>
      </c>
      <c r="E1245">
        <v>195</v>
      </c>
      <c r="F1245">
        <v>92.5</v>
      </c>
      <c r="G1245">
        <v>172.5</v>
      </c>
      <c r="H1245">
        <v>460</v>
      </c>
      <c r="I1245">
        <v>2014</v>
      </c>
      <c r="J1245" t="s">
        <v>852</v>
      </c>
      <c r="K1245" t="s">
        <v>171</v>
      </c>
    </row>
    <row r="1246" spans="1:11">
      <c r="A1246" t="s">
        <v>292</v>
      </c>
      <c r="B1246">
        <v>1992</v>
      </c>
      <c r="C1246" t="s">
        <v>119</v>
      </c>
      <c r="D1246">
        <v>62.94</v>
      </c>
      <c r="E1246">
        <v>170</v>
      </c>
      <c r="F1246">
        <v>115</v>
      </c>
      <c r="G1246">
        <v>175</v>
      </c>
      <c r="H1246">
        <v>460</v>
      </c>
      <c r="I1246">
        <v>2015</v>
      </c>
      <c r="J1246" t="s">
        <v>852</v>
      </c>
      <c r="K1246" t="s">
        <v>171</v>
      </c>
    </row>
    <row r="1247" spans="1:11">
      <c r="A1247" t="s">
        <v>201</v>
      </c>
      <c r="B1247">
        <v>1982</v>
      </c>
      <c r="C1247" t="s">
        <v>74</v>
      </c>
      <c r="D1247">
        <v>56.47</v>
      </c>
      <c r="E1247">
        <v>170</v>
      </c>
      <c r="F1247">
        <v>90</v>
      </c>
      <c r="G1247">
        <v>197.5</v>
      </c>
      <c r="H1247">
        <v>457.5</v>
      </c>
      <c r="I1247">
        <v>2015</v>
      </c>
      <c r="J1247" t="s">
        <v>852</v>
      </c>
      <c r="K1247" t="s">
        <v>171</v>
      </c>
    </row>
    <row r="1248" spans="1:11">
      <c r="A1248" t="s">
        <v>181</v>
      </c>
      <c r="B1248">
        <v>1986</v>
      </c>
      <c r="C1248" t="s">
        <v>49</v>
      </c>
      <c r="D1248">
        <v>56.16</v>
      </c>
      <c r="E1248">
        <v>185</v>
      </c>
      <c r="F1248">
        <v>102.5</v>
      </c>
      <c r="G1248">
        <v>170</v>
      </c>
      <c r="H1248">
        <v>457.5</v>
      </c>
      <c r="I1248">
        <v>2015</v>
      </c>
      <c r="J1248" t="s">
        <v>852</v>
      </c>
      <c r="K1248" t="s">
        <v>171</v>
      </c>
    </row>
    <row r="1249" spans="1:11">
      <c r="A1249" t="s">
        <v>201</v>
      </c>
      <c r="B1249">
        <v>1982</v>
      </c>
      <c r="C1249" t="s">
        <v>74</v>
      </c>
      <c r="D1249">
        <v>56.33</v>
      </c>
      <c r="E1249">
        <v>175</v>
      </c>
      <c r="F1249">
        <v>97.5</v>
      </c>
      <c r="G1249">
        <v>185</v>
      </c>
      <c r="H1249">
        <v>457.5</v>
      </c>
      <c r="I1249">
        <v>2012</v>
      </c>
      <c r="J1249" t="s">
        <v>852</v>
      </c>
      <c r="K1249" t="s">
        <v>171</v>
      </c>
    </row>
    <row r="1250" spans="1:11">
      <c r="A1250" t="s">
        <v>320</v>
      </c>
      <c r="B1250">
        <v>1978</v>
      </c>
      <c r="C1250" t="s">
        <v>125</v>
      </c>
      <c r="D1250">
        <v>66.64</v>
      </c>
      <c r="E1250">
        <v>167.5</v>
      </c>
      <c r="F1250">
        <v>105</v>
      </c>
      <c r="G1250">
        <v>185</v>
      </c>
      <c r="H1250">
        <v>457.5</v>
      </c>
      <c r="I1250">
        <v>2015</v>
      </c>
      <c r="J1250" t="s">
        <v>852</v>
      </c>
      <c r="K1250" t="s">
        <v>171</v>
      </c>
    </row>
    <row r="1251" spans="1:11">
      <c r="A1251" t="s">
        <v>1027</v>
      </c>
      <c r="B1251">
        <v>1986</v>
      </c>
      <c r="C1251" t="s">
        <v>903</v>
      </c>
      <c r="D1251">
        <v>46.86</v>
      </c>
      <c r="E1251">
        <v>180</v>
      </c>
      <c r="F1251">
        <v>115</v>
      </c>
      <c r="G1251">
        <v>162.5</v>
      </c>
      <c r="H1251">
        <v>457.5</v>
      </c>
      <c r="I1251">
        <v>2014</v>
      </c>
      <c r="J1251" t="s">
        <v>852</v>
      </c>
      <c r="K1251" t="s">
        <v>171</v>
      </c>
    </row>
    <row r="1252" spans="1:11">
      <c r="A1252" t="s">
        <v>305</v>
      </c>
      <c r="B1252">
        <v>1988</v>
      </c>
      <c r="C1252" t="s">
        <v>125</v>
      </c>
      <c r="D1252">
        <v>71.16</v>
      </c>
      <c r="E1252">
        <v>162.5</v>
      </c>
      <c r="F1252">
        <v>142.5</v>
      </c>
      <c r="G1252">
        <v>152.5</v>
      </c>
      <c r="H1252">
        <v>457.5</v>
      </c>
      <c r="I1252">
        <v>2015</v>
      </c>
      <c r="J1252" t="s">
        <v>852</v>
      </c>
      <c r="K1252" t="s">
        <v>171</v>
      </c>
    </row>
    <row r="1253" spans="1:11">
      <c r="A1253" t="s">
        <v>969</v>
      </c>
      <c r="B1253">
        <v>1989</v>
      </c>
      <c r="C1253" t="s">
        <v>970</v>
      </c>
      <c r="D1253">
        <v>72.59</v>
      </c>
      <c r="E1253">
        <v>195</v>
      </c>
      <c r="F1253">
        <v>70</v>
      </c>
      <c r="G1253">
        <v>190</v>
      </c>
      <c r="H1253">
        <v>455</v>
      </c>
      <c r="I1253">
        <v>2013</v>
      </c>
      <c r="J1253" t="s">
        <v>852</v>
      </c>
      <c r="K1253" t="s">
        <v>171</v>
      </c>
    </row>
    <row r="1254" spans="1:11">
      <c r="A1254" t="s">
        <v>198</v>
      </c>
      <c r="B1254">
        <v>1982</v>
      </c>
      <c r="C1254" t="s">
        <v>74</v>
      </c>
      <c r="D1254">
        <v>46.29</v>
      </c>
      <c r="E1254">
        <v>190</v>
      </c>
      <c r="F1254">
        <v>85</v>
      </c>
      <c r="G1254">
        <v>180</v>
      </c>
      <c r="H1254">
        <v>455</v>
      </c>
      <c r="I1254">
        <v>2012</v>
      </c>
      <c r="J1254" t="s">
        <v>852</v>
      </c>
      <c r="K1254" t="s">
        <v>171</v>
      </c>
    </row>
    <row r="1255" spans="1:11">
      <c r="A1255" t="s">
        <v>924</v>
      </c>
      <c r="B1255">
        <v>1975</v>
      </c>
      <c r="C1255" t="s">
        <v>711</v>
      </c>
      <c r="D1255">
        <v>55.79</v>
      </c>
      <c r="E1255">
        <v>187.5</v>
      </c>
      <c r="F1255">
        <v>90</v>
      </c>
      <c r="G1255">
        <v>177.5</v>
      </c>
      <c r="H1255">
        <v>455</v>
      </c>
      <c r="I1255">
        <v>2012</v>
      </c>
      <c r="J1255" t="s">
        <v>852</v>
      </c>
      <c r="K1255" t="s">
        <v>171</v>
      </c>
    </row>
    <row r="1256" spans="1:11">
      <c r="A1256" t="s">
        <v>981</v>
      </c>
      <c r="B1256">
        <v>1987</v>
      </c>
      <c r="C1256" t="s">
        <v>464</v>
      </c>
      <c r="D1256">
        <v>51.84</v>
      </c>
      <c r="E1256">
        <v>182.5</v>
      </c>
      <c r="F1256">
        <v>95</v>
      </c>
      <c r="G1256">
        <v>175</v>
      </c>
      <c r="H1256">
        <v>452.5</v>
      </c>
      <c r="I1256">
        <v>2012</v>
      </c>
      <c r="J1256" t="s">
        <v>852</v>
      </c>
      <c r="K1256" t="s">
        <v>171</v>
      </c>
    </row>
    <row r="1257" spans="1:11">
      <c r="A1257" t="s">
        <v>881</v>
      </c>
      <c r="B1257">
        <v>1989</v>
      </c>
      <c r="C1257" t="s">
        <v>336</v>
      </c>
      <c r="D1257">
        <v>72</v>
      </c>
      <c r="E1257">
        <v>177.5</v>
      </c>
      <c r="F1257">
        <v>92.5</v>
      </c>
      <c r="G1257">
        <v>182.5</v>
      </c>
      <c r="H1257">
        <v>452.5</v>
      </c>
      <c r="I1257">
        <v>2012</v>
      </c>
      <c r="J1257" t="s">
        <v>852</v>
      </c>
      <c r="K1257" t="s">
        <v>171</v>
      </c>
    </row>
    <row r="1258" spans="1:11">
      <c r="A1258" t="s">
        <v>932</v>
      </c>
      <c r="B1258">
        <v>1992</v>
      </c>
      <c r="C1258" t="s">
        <v>859</v>
      </c>
      <c r="D1258">
        <v>63.5</v>
      </c>
      <c r="E1258">
        <v>192.5</v>
      </c>
      <c r="F1258">
        <v>97.5</v>
      </c>
      <c r="G1258">
        <v>160</v>
      </c>
      <c r="H1258">
        <v>450</v>
      </c>
      <c r="I1258">
        <v>2014</v>
      </c>
      <c r="J1258" t="s">
        <v>852</v>
      </c>
      <c r="K1258" t="s">
        <v>171</v>
      </c>
    </row>
    <row r="1259" spans="1:11">
      <c r="A1259" t="s">
        <v>928</v>
      </c>
      <c r="B1259">
        <v>1979</v>
      </c>
      <c r="C1259" t="s">
        <v>45</v>
      </c>
      <c r="D1259">
        <v>61.11</v>
      </c>
      <c r="E1259">
        <v>175</v>
      </c>
      <c r="F1259">
        <v>90</v>
      </c>
      <c r="G1259">
        <v>185</v>
      </c>
      <c r="H1259">
        <v>450</v>
      </c>
      <c r="I1259">
        <v>2012</v>
      </c>
      <c r="J1259" t="s">
        <v>852</v>
      </c>
      <c r="K1259" t="s">
        <v>171</v>
      </c>
    </row>
    <row r="1260" spans="1:11">
      <c r="A1260" t="s">
        <v>956</v>
      </c>
      <c r="B1260">
        <v>1977</v>
      </c>
      <c r="C1260" t="s">
        <v>51</v>
      </c>
      <c r="D1260">
        <v>56.75</v>
      </c>
      <c r="E1260">
        <v>172.5</v>
      </c>
      <c r="F1260">
        <v>95</v>
      </c>
      <c r="G1260">
        <v>182.5</v>
      </c>
      <c r="H1260">
        <v>450</v>
      </c>
      <c r="I1260">
        <v>2013</v>
      </c>
      <c r="J1260" t="s">
        <v>852</v>
      </c>
      <c r="K1260" t="s">
        <v>171</v>
      </c>
    </row>
    <row r="1261" spans="1:11">
      <c r="A1261" t="s">
        <v>229</v>
      </c>
      <c r="B1261">
        <v>1970</v>
      </c>
      <c r="C1261" t="s">
        <v>228</v>
      </c>
      <c r="D1261">
        <v>62.8</v>
      </c>
      <c r="E1261">
        <v>172.5</v>
      </c>
      <c r="F1261">
        <v>97.5</v>
      </c>
      <c r="G1261">
        <v>180</v>
      </c>
      <c r="H1261">
        <v>450</v>
      </c>
      <c r="I1261">
        <v>2012</v>
      </c>
      <c r="J1261" t="s">
        <v>852</v>
      </c>
      <c r="K1261" t="s">
        <v>171</v>
      </c>
    </row>
    <row r="1262" spans="1:11">
      <c r="A1262" t="s">
        <v>956</v>
      </c>
      <c r="B1262">
        <v>1977</v>
      </c>
      <c r="C1262" t="s">
        <v>905</v>
      </c>
      <c r="D1262">
        <v>56.56</v>
      </c>
      <c r="E1262">
        <v>167.5</v>
      </c>
      <c r="F1262">
        <v>95</v>
      </c>
      <c r="G1262">
        <v>187.5</v>
      </c>
      <c r="H1262">
        <v>450</v>
      </c>
      <c r="I1262">
        <v>2014</v>
      </c>
      <c r="J1262" t="s">
        <v>852</v>
      </c>
      <c r="K1262" t="s">
        <v>171</v>
      </c>
    </row>
    <row r="1263" spans="1:11">
      <c r="A1263" t="s">
        <v>220</v>
      </c>
      <c r="B1263">
        <v>1970</v>
      </c>
      <c r="C1263" t="s">
        <v>77</v>
      </c>
      <c r="D1263">
        <v>45.67</v>
      </c>
      <c r="E1263">
        <v>175</v>
      </c>
      <c r="F1263">
        <v>117.5</v>
      </c>
      <c r="G1263">
        <v>157.5</v>
      </c>
      <c r="H1263">
        <v>450</v>
      </c>
      <c r="I1263">
        <v>2012</v>
      </c>
      <c r="J1263" t="s">
        <v>852</v>
      </c>
      <c r="K1263" t="s">
        <v>171</v>
      </c>
    </row>
    <row r="1264" spans="1:11">
      <c r="A1264" t="s">
        <v>1045</v>
      </c>
      <c r="B1264">
        <v>1986</v>
      </c>
      <c r="C1264" t="s">
        <v>28</v>
      </c>
      <c r="D1264">
        <v>46.83</v>
      </c>
      <c r="E1264">
        <v>177.5</v>
      </c>
      <c r="F1264">
        <v>95</v>
      </c>
      <c r="G1264">
        <v>175</v>
      </c>
      <c r="H1264">
        <v>447.5</v>
      </c>
      <c r="I1264">
        <v>2013</v>
      </c>
      <c r="J1264" t="s">
        <v>852</v>
      </c>
      <c r="K1264" t="s">
        <v>171</v>
      </c>
    </row>
    <row r="1265" spans="1:11">
      <c r="A1265" t="s">
        <v>881</v>
      </c>
      <c r="B1265">
        <v>1989</v>
      </c>
      <c r="C1265" t="s">
        <v>336</v>
      </c>
      <c r="D1265">
        <v>71.400000000000006</v>
      </c>
      <c r="E1265">
        <v>175</v>
      </c>
      <c r="F1265">
        <v>97.5</v>
      </c>
      <c r="G1265">
        <v>175</v>
      </c>
      <c r="H1265">
        <v>447.5</v>
      </c>
      <c r="I1265">
        <v>2013</v>
      </c>
      <c r="J1265" t="s">
        <v>852</v>
      </c>
      <c r="K1265" t="s">
        <v>171</v>
      </c>
    </row>
    <row r="1266" spans="1:11">
      <c r="A1266" t="s">
        <v>201</v>
      </c>
      <c r="B1266">
        <v>1982</v>
      </c>
      <c r="C1266" t="s">
        <v>888</v>
      </c>
      <c r="D1266">
        <v>56.16</v>
      </c>
      <c r="E1266">
        <v>165</v>
      </c>
      <c r="F1266">
        <v>92.5</v>
      </c>
      <c r="G1266">
        <v>190</v>
      </c>
      <c r="H1266">
        <v>447.5</v>
      </c>
      <c r="I1266">
        <v>2014</v>
      </c>
      <c r="J1266" t="s">
        <v>852</v>
      </c>
      <c r="K1266" t="s">
        <v>171</v>
      </c>
    </row>
    <row r="1267" spans="1:11">
      <c r="A1267" t="s">
        <v>275</v>
      </c>
      <c r="B1267">
        <v>1988</v>
      </c>
      <c r="C1267" t="s">
        <v>51</v>
      </c>
      <c r="D1267">
        <v>56.91</v>
      </c>
      <c r="E1267">
        <v>175</v>
      </c>
      <c r="F1267">
        <v>102.5</v>
      </c>
      <c r="G1267">
        <v>170</v>
      </c>
      <c r="H1267">
        <v>447.5</v>
      </c>
      <c r="I1267">
        <v>2015</v>
      </c>
      <c r="J1267" t="s">
        <v>852</v>
      </c>
      <c r="K1267" t="s">
        <v>171</v>
      </c>
    </row>
    <row r="1268" spans="1:11">
      <c r="A1268" t="s">
        <v>887</v>
      </c>
      <c r="B1268">
        <v>1988</v>
      </c>
      <c r="C1268" t="s">
        <v>282</v>
      </c>
      <c r="D1268">
        <v>55.91</v>
      </c>
      <c r="E1268">
        <v>170</v>
      </c>
      <c r="F1268">
        <v>102.5</v>
      </c>
      <c r="G1268">
        <v>175</v>
      </c>
      <c r="H1268">
        <v>447.5</v>
      </c>
      <c r="I1268">
        <v>2013</v>
      </c>
      <c r="J1268" t="s">
        <v>852</v>
      </c>
      <c r="K1268" t="s">
        <v>171</v>
      </c>
    </row>
    <row r="1269" spans="1:11">
      <c r="A1269" t="s">
        <v>226</v>
      </c>
      <c r="B1269">
        <v>1986</v>
      </c>
      <c r="C1269" t="s">
        <v>920</v>
      </c>
      <c r="D1269">
        <v>51.4</v>
      </c>
      <c r="E1269">
        <v>190</v>
      </c>
      <c r="F1269">
        <v>85</v>
      </c>
      <c r="G1269">
        <v>170</v>
      </c>
      <c r="H1269">
        <v>445</v>
      </c>
      <c r="I1269">
        <v>2014</v>
      </c>
      <c r="J1269" t="s">
        <v>852</v>
      </c>
      <c r="K1269" t="s">
        <v>171</v>
      </c>
    </row>
    <row r="1270" spans="1:11">
      <c r="A1270" t="s">
        <v>183</v>
      </c>
      <c r="B1270">
        <v>1991</v>
      </c>
      <c r="C1270" t="s">
        <v>45</v>
      </c>
      <c r="D1270">
        <v>56.8</v>
      </c>
      <c r="E1270">
        <v>185</v>
      </c>
      <c r="F1270">
        <v>92.5</v>
      </c>
      <c r="G1270">
        <v>167.5</v>
      </c>
      <c r="H1270">
        <v>445</v>
      </c>
      <c r="I1270">
        <v>2015</v>
      </c>
      <c r="J1270" t="s">
        <v>852</v>
      </c>
      <c r="K1270" t="s">
        <v>171</v>
      </c>
    </row>
    <row r="1271" spans="1:11">
      <c r="A1271" t="s">
        <v>1032</v>
      </c>
      <c r="B1271">
        <v>1979</v>
      </c>
      <c r="C1271" t="s">
        <v>878</v>
      </c>
      <c r="D1271">
        <v>62.18</v>
      </c>
      <c r="E1271">
        <v>170</v>
      </c>
      <c r="F1271">
        <v>95</v>
      </c>
      <c r="G1271">
        <v>180</v>
      </c>
      <c r="H1271">
        <v>445</v>
      </c>
      <c r="I1271">
        <v>2014</v>
      </c>
      <c r="J1271" t="s">
        <v>852</v>
      </c>
      <c r="K1271" t="s">
        <v>171</v>
      </c>
    </row>
    <row r="1272" spans="1:11">
      <c r="A1272" t="s">
        <v>335</v>
      </c>
      <c r="B1272">
        <v>1983</v>
      </c>
      <c r="C1272" t="s">
        <v>336</v>
      </c>
      <c r="D1272">
        <v>46.35</v>
      </c>
      <c r="E1272">
        <v>182.5</v>
      </c>
      <c r="F1272">
        <v>100</v>
      </c>
      <c r="G1272">
        <v>160</v>
      </c>
      <c r="H1272">
        <v>442.5</v>
      </c>
      <c r="I1272">
        <v>2015</v>
      </c>
      <c r="J1272" t="s">
        <v>852</v>
      </c>
      <c r="K1272" t="s">
        <v>171</v>
      </c>
    </row>
    <row r="1273" spans="1:11">
      <c r="A1273" t="s">
        <v>937</v>
      </c>
      <c r="B1273">
        <v>1976</v>
      </c>
      <c r="C1273" t="s">
        <v>113</v>
      </c>
      <c r="D1273">
        <v>62.91</v>
      </c>
      <c r="E1273">
        <v>170</v>
      </c>
      <c r="F1273">
        <v>102.5</v>
      </c>
      <c r="G1273">
        <v>170</v>
      </c>
      <c r="H1273">
        <v>442.5</v>
      </c>
      <c r="I1273">
        <v>2012</v>
      </c>
      <c r="J1273" t="s">
        <v>852</v>
      </c>
      <c r="K1273" t="s">
        <v>171</v>
      </c>
    </row>
    <row r="1274" spans="1:11">
      <c r="A1274" t="s">
        <v>957</v>
      </c>
      <c r="B1274">
        <v>1973</v>
      </c>
      <c r="C1274" t="s">
        <v>80</v>
      </c>
      <c r="D1274">
        <v>56.2</v>
      </c>
      <c r="E1274">
        <v>170</v>
      </c>
      <c r="F1274">
        <v>102.5</v>
      </c>
      <c r="G1274">
        <v>170</v>
      </c>
      <c r="H1274">
        <v>442.5</v>
      </c>
      <c r="I1274">
        <v>2012</v>
      </c>
      <c r="J1274" t="s">
        <v>852</v>
      </c>
      <c r="K1274" t="s">
        <v>171</v>
      </c>
    </row>
    <row r="1275" spans="1:11">
      <c r="A1275" t="s">
        <v>210</v>
      </c>
      <c r="B1275">
        <v>1989</v>
      </c>
      <c r="C1275" t="s">
        <v>72</v>
      </c>
      <c r="D1275">
        <v>70.48</v>
      </c>
      <c r="E1275">
        <v>180</v>
      </c>
      <c r="F1275">
        <v>112.5</v>
      </c>
      <c r="G1275">
        <v>150</v>
      </c>
      <c r="H1275">
        <v>442.5</v>
      </c>
      <c r="I1275">
        <v>2015</v>
      </c>
      <c r="J1275" t="s">
        <v>852</v>
      </c>
      <c r="K1275" t="s">
        <v>171</v>
      </c>
    </row>
    <row r="1276" spans="1:11">
      <c r="A1276" t="s">
        <v>1019</v>
      </c>
      <c r="B1276">
        <v>1991</v>
      </c>
      <c r="C1276" t="s">
        <v>905</v>
      </c>
      <c r="D1276">
        <v>57.86</v>
      </c>
      <c r="E1276">
        <v>167.5</v>
      </c>
      <c r="F1276">
        <v>107.5</v>
      </c>
      <c r="G1276">
        <v>167.5</v>
      </c>
      <c r="H1276">
        <v>442.5</v>
      </c>
      <c r="I1276">
        <v>2014</v>
      </c>
      <c r="J1276" t="s">
        <v>852</v>
      </c>
      <c r="K1276" t="s">
        <v>171</v>
      </c>
    </row>
    <row r="1277" spans="1:11">
      <c r="A1277" t="s">
        <v>1059</v>
      </c>
      <c r="B1277">
        <v>1984</v>
      </c>
      <c r="C1277" t="s">
        <v>85</v>
      </c>
      <c r="D1277">
        <v>61.73</v>
      </c>
      <c r="E1277">
        <v>165</v>
      </c>
      <c r="F1277">
        <v>85</v>
      </c>
      <c r="G1277">
        <v>190</v>
      </c>
      <c r="H1277">
        <v>440</v>
      </c>
      <c r="I1277">
        <v>2013</v>
      </c>
      <c r="J1277" t="s">
        <v>852</v>
      </c>
      <c r="K1277" t="s">
        <v>171</v>
      </c>
    </row>
    <row r="1278" spans="1:11">
      <c r="A1278" t="s">
        <v>335</v>
      </c>
      <c r="B1278">
        <v>1983</v>
      </c>
      <c r="C1278" t="s">
        <v>977</v>
      </c>
      <c r="D1278">
        <v>46.42</v>
      </c>
      <c r="E1278">
        <v>185</v>
      </c>
      <c r="F1278">
        <v>100</v>
      </c>
      <c r="G1278">
        <v>155</v>
      </c>
      <c r="H1278">
        <v>440</v>
      </c>
      <c r="I1278">
        <v>2014</v>
      </c>
      <c r="J1278" t="s">
        <v>852</v>
      </c>
      <c r="K1278" t="s">
        <v>171</v>
      </c>
    </row>
    <row r="1279" spans="1:11">
      <c r="A1279" t="s">
        <v>325</v>
      </c>
      <c r="B1279">
        <v>1974</v>
      </c>
      <c r="C1279" t="s">
        <v>77</v>
      </c>
      <c r="D1279">
        <v>56.43</v>
      </c>
      <c r="E1279">
        <v>165</v>
      </c>
      <c r="F1279">
        <v>95</v>
      </c>
      <c r="G1279">
        <v>180</v>
      </c>
      <c r="H1279">
        <v>440</v>
      </c>
      <c r="I1279">
        <v>2015</v>
      </c>
      <c r="J1279" t="s">
        <v>852</v>
      </c>
      <c r="K1279" t="s">
        <v>171</v>
      </c>
    </row>
    <row r="1280" spans="1:11">
      <c r="A1280" t="s">
        <v>232</v>
      </c>
      <c r="B1280">
        <v>1968</v>
      </c>
      <c r="C1280" t="s">
        <v>876</v>
      </c>
      <c r="D1280">
        <v>51.56</v>
      </c>
      <c r="E1280">
        <v>182.5</v>
      </c>
      <c r="F1280">
        <v>90</v>
      </c>
      <c r="G1280">
        <v>165</v>
      </c>
      <c r="H1280">
        <v>437.5</v>
      </c>
      <c r="I1280">
        <v>2014</v>
      </c>
      <c r="J1280" t="s">
        <v>852</v>
      </c>
      <c r="K1280" t="s">
        <v>171</v>
      </c>
    </row>
    <row r="1281" spans="1:11">
      <c r="A1281" t="s">
        <v>181</v>
      </c>
      <c r="B1281">
        <v>1986</v>
      </c>
      <c r="C1281" t="s">
        <v>49</v>
      </c>
      <c r="D1281">
        <v>51.63</v>
      </c>
      <c r="E1281">
        <v>172.5</v>
      </c>
      <c r="F1281">
        <v>97.5</v>
      </c>
      <c r="G1281">
        <v>167.5</v>
      </c>
      <c r="H1281">
        <v>437.5</v>
      </c>
      <c r="I1281">
        <v>2012</v>
      </c>
      <c r="J1281" t="s">
        <v>852</v>
      </c>
      <c r="K1281" t="s">
        <v>171</v>
      </c>
    </row>
    <row r="1282" spans="1:11">
      <c r="A1282" t="s">
        <v>1057</v>
      </c>
      <c r="B1282">
        <v>1983</v>
      </c>
      <c r="C1282" t="s">
        <v>878</v>
      </c>
      <c r="D1282">
        <v>56.76</v>
      </c>
      <c r="E1282">
        <v>167.5</v>
      </c>
      <c r="F1282">
        <v>100</v>
      </c>
      <c r="G1282">
        <v>170</v>
      </c>
      <c r="H1282">
        <v>437.5</v>
      </c>
      <c r="I1282">
        <v>2014</v>
      </c>
      <c r="J1282" t="s">
        <v>852</v>
      </c>
      <c r="K1282" t="s">
        <v>171</v>
      </c>
    </row>
    <row r="1283" spans="1:11">
      <c r="A1283" t="s">
        <v>866</v>
      </c>
      <c r="B1283">
        <v>1986</v>
      </c>
      <c r="C1283" t="s">
        <v>336</v>
      </c>
      <c r="D1283">
        <v>83.91</v>
      </c>
      <c r="E1283">
        <v>170</v>
      </c>
      <c r="F1283">
        <v>117.5</v>
      </c>
      <c r="G1283">
        <v>150</v>
      </c>
      <c r="H1283">
        <v>437.5</v>
      </c>
      <c r="I1283">
        <v>2013</v>
      </c>
      <c r="J1283" t="s">
        <v>852</v>
      </c>
      <c r="K1283" t="s">
        <v>171</v>
      </c>
    </row>
    <row r="1284" spans="1:11">
      <c r="A1284" t="s">
        <v>226</v>
      </c>
      <c r="B1284">
        <v>1986</v>
      </c>
      <c r="C1284" t="s">
        <v>35</v>
      </c>
      <c r="D1284">
        <v>50.73</v>
      </c>
      <c r="E1284">
        <v>175</v>
      </c>
      <c r="F1284">
        <v>85</v>
      </c>
      <c r="G1284">
        <v>175</v>
      </c>
      <c r="H1284">
        <v>435</v>
      </c>
      <c r="I1284">
        <v>2015</v>
      </c>
      <c r="J1284" t="s">
        <v>852</v>
      </c>
      <c r="K1284" t="s">
        <v>171</v>
      </c>
    </row>
    <row r="1285" spans="1:11">
      <c r="A1285" t="s">
        <v>202</v>
      </c>
      <c r="B1285">
        <v>1980</v>
      </c>
      <c r="C1285" t="s">
        <v>74</v>
      </c>
      <c r="D1285">
        <v>50.82</v>
      </c>
      <c r="E1285">
        <v>165</v>
      </c>
      <c r="F1285">
        <v>82.5</v>
      </c>
      <c r="G1285">
        <v>187.5</v>
      </c>
      <c r="H1285">
        <v>435</v>
      </c>
      <c r="I1285">
        <v>2012</v>
      </c>
      <c r="J1285" t="s">
        <v>852</v>
      </c>
      <c r="K1285" t="s">
        <v>171</v>
      </c>
    </row>
    <row r="1286" spans="1:11">
      <c r="A1286" t="s">
        <v>192</v>
      </c>
      <c r="B1286">
        <v>1969</v>
      </c>
      <c r="C1286" t="s">
        <v>851</v>
      </c>
      <c r="D1286">
        <v>56.48</v>
      </c>
      <c r="E1286">
        <v>160</v>
      </c>
      <c r="F1286">
        <v>95</v>
      </c>
      <c r="G1286">
        <v>180</v>
      </c>
      <c r="H1286">
        <v>435</v>
      </c>
      <c r="I1286">
        <v>2014</v>
      </c>
      <c r="J1286" t="s">
        <v>852</v>
      </c>
      <c r="K1286" t="s">
        <v>171</v>
      </c>
    </row>
    <row r="1287" spans="1:11">
      <c r="A1287" t="s">
        <v>879</v>
      </c>
      <c r="B1287">
        <v>1987</v>
      </c>
      <c r="C1287" t="s">
        <v>35</v>
      </c>
      <c r="D1287">
        <v>51.91</v>
      </c>
      <c r="E1287">
        <v>162.5</v>
      </c>
      <c r="F1287">
        <v>102.5</v>
      </c>
      <c r="G1287">
        <v>167.5</v>
      </c>
      <c r="H1287">
        <v>432.5</v>
      </c>
      <c r="I1287">
        <v>2013</v>
      </c>
      <c r="J1287" t="s">
        <v>852</v>
      </c>
      <c r="K1287" t="s">
        <v>171</v>
      </c>
    </row>
    <row r="1288" spans="1:11">
      <c r="A1288" t="s">
        <v>869</v>
      </c>
      <c r="B1288">
        <v>1987</v>
      </c>
      <c r="C1288" t="s">
        <v>62</v>
      </c>
      <c r="D1288">
        <v>56</v>
      </c>
      <c r="E1288">
        <v>185</v>
      </c>
      <c r="F1288">
        <v>80</v>
      </c>
      <c r="G1288">
        <v>165</v>
      </c>
      <c r="H1288">
        <v>430</v>
      </c>
      <c r="I1288">
        <v>2012</v>
      </c>
      <c r="J1288" t="s">
        <v>852</v>
      </c>
      <c r="K1288" t="s">
        <v>171</v>
      </c>
    </row>
    <row r="1289" spans="1:11">
      <c r="A1289" t="s">
        <v>226</v>
      </c>
      <c r="B1289">
        <v>1986</v>
      </c>
      <c r="C1289" t="s">
        <v>35</v>
      </c>
      <c r="D1289">
        <v>50.38</v>
      </c>
      <c r="E1289">
        <v>175</v>
      </c>
      <c r="F1289">
        <v>77.5</v>
      </c>
      <c r="G1289">
        <v>175</v>
      </c>
      <c r="H1289">
        <v>427.5</v>
      </c>
      <c r="I1289">
        <v>2013</v>
      </c>
      <c r="J1289" t="s">
        <v>852</v>
      </c>
      <c r="K1289" t="s">
        <v>171</v>
      </c>
    </row>
    <row r="1290" spans="1:11">
      <c r="A1290" t="s">
        <v>202</v>
      </c>
      <c r="B1290">
        <v>1980</v>
      </c>
      <c r="C1290" t="s">
        <v>74</v>
      </c>
      <c r="D1290">
        <v>50.52</v>
      </c>
      <c r="E1290">
        <v>165</v>
      </c>
      <c r="F1290">
        <v>77.5</v>
      </c>
      <c r="G1290">
        <v>185</v>
      </c>
      <c r="H1290">
        <v>427.5</v>
      </c>
      <c r="I1290">
        <v>2015</v>
      </c>
      <c r="J1290" t="s">
        <v>852</v>
      </c>
      <c r="K1290" t="s">
        <v>171</v>
      </c>
    </row>
    <row r="1291" spans="1:11">
      <c r="A1291" t="s">
        <v>232</v>
      </c>
      <c r="B1291">
        <v>1968</v>
      </c>
      <c r="C1291" t="s">
        <v>62</v>
      </c>
      <c r="D1291">
        <v>51.49</v>
      </c>
      <c r="E1291">
        <v>167.5</v>
      </c>
      <c r="F1291">
        <v>92.5</v>
      </c>
      <c r="G1291">
        <v>167.5</v>
      </c>
      <c r="H1291">
        <v>427.5</v>
      </c>
      <c r="I1291">
        <v>2012</v>
      </c>
      <c r="J1291" t="s">
        <v>852</v>
      </c>
      <c r="K1291" t="s">
        <v>171</v>
      </c>
    </row>
    <row r="1292" spans="1:11">
      <c r="A1292" t="s">
        <v>325</v>
      </c>
      <c r="B1292">
        <v>1974</v>
      </c>
      <c r="C1292" t="s">
        <v>77</v>
      </c>
      <c r="D1292">
        <v>56.91</v>
      </c>
      <c r="E1292">
        <v>160</v>
      </c>
      <c r="F1292">
        <v>90</v>
      </c>
      <c r="G1292">
        <v>175</v>
      </c>
      <c r="H1292">
        <v>425</v>
      </c>
      <c r="I1292">
        <v>2012</v>
      </c>
      <c r="J1292" t="s">
        <v>852</v>
      </c>
      <c r="K1292" t="s">
        <v>171</v>
      </c>
    </row>
    <row r="1293" spans="1:11">
      <c r="A1293" t="s">
        <v>866</v>
      </c>
      <c r="B1293">
        <v>1986</v>
      </c>
      <c r="C1293" t="s">
        <v>336</v>
      </c>
      <c r="D1293">
        <v>78.97</v>
      </c>
      <c r="E1293">
        <v>160</v>
      </c>
      <c r="F1293">
        <v>110</v>
      </c>
      <c r="G1293">
        <v>155</v>
      </c>
      <c r="H1293">
        <v>425</v>
      </c>
      <c r="I1293">
        <v>2012</v>
      </c>
      <c r="J1293" t="s">
        <v>852</v>
      </c>
      <c r="K1293" t="s">
        <v>171</v>
      </c>
    </row>
    <row r="1294" spans="1:11">
      <c r="A1294" t="s">
        <v>202</v>
      </c>
      <c r="B1294">
        <v>1980</v>
      </c>
      <c r="C1294" t="s">
        <v>888</v>
      </c>
      <c r="D1294">
        <v>49.78</v>
      </c>
      <c r="E1294">
        <v>155</v>
      </c>
      <c r="F1294">
        <v>75</v>
      </c>
      <c r="G1294">
        <v>192.5</v>
      </c>
      <c r="H1294">
        <v>422.5</v>
      </c>
      <c r="I1294">
        <v>2014</v>
      </c>
      <c r="J1294" t="s">
        <v>852</v>
      </c>
      <c r="K1294" t="s">
        <v>171</v>
      </c>
    </row>
    <row r="1295" spans="1:11">
      <c r="A1295" t="s">
        <v>175</v>
      </c>
      <c r="B1295">
        <v>1981</v>
      </c>
      <c r="C1295" t="s">
        <v>80</v>
      </c>
      <c r="D1295">
        <v>50.38</v>
      </c>
      <c r="E1295">
        <v>162.5</v>
      </c>
      <c r="F1295">
        <v>87.5</v>
      </c>
      <c r="G1295">
        <v>172.5</v>
      </c>
      <c r="H1295">
        <v>422.5</v>
      </c>
      <c r="I1295">
        <v>2013</v>
      </c>
      <c r="J1295" t="s">
        <v>852</v>
      </c>
      <c r="K1295" t="s">
        <v>171</v>
      </c>
    </row>
    <row r="1296" spans="1:11">
      <c r="A1296" t="s">
        <v>936</v>
      </c>
      <c r="B1296">
        <v>1963</v>
      </c>
      <c r="C1296" t="s">
        <v>80</v>
      </c>
      <c r="D1296">
        <v>46.52</v>
      </c>
      <c r="E1296">
        <v>170</v>
      </c>
      <c r="F1296">
        <v>95</v>
      </c>
      <c r="G1296">
        <v>157.5</v>
      </c>
      <c r="H1296">
        <v>422.5</v>
      </c>
      <c r="I1296">
        <v>2012</v>
      </c>
      <c r="J1296" t="s">
        <v>852</v>
      </c>
      <c r="K1296" t="s">
        <v>171</v>
      </c>
    </row>
    <row r="1297" spans="1:11">
      <c r="A1297" t="s">
        <v>343</v>
      </c>
      <c r="B1297">
        <v>1979</v>
      </c>
      <c r="C1297" t="s">
        <v>318</v>
      </c>
      <c r="D1297">
        <v>56.65</v>
      </c>
      <c r="E1297">
        <v>167.5</v>
      </c>
      <c r="F1297">
        <v>102.5</v>
      </c>
      <c r="G1297">
        <v>152.5</v>
      </c>
      <c r="H1297">
        <v>422.5</v>
      </c>
      <c r="I1297">
        <v>2015</v>
      </c>
      <c r="J1297" t="s">
        <v>852</v>
      </c>
      <c r="K1297" t="s">
        <v>171</v>
      </c>
    </row>
    <row r="1298" spans="1:11">
      <c r="A1298" t="s">
        <v>265</v>
      </c>
      <c r="B1298">
        <v>1976</v>
      </c>
      <c r="C1298" t="s">
        <v>951</v>
      </c>
      <c r="D1298">
        <v>50.98</v>
      </c>
      <c r="E1298">
        <v>162.5</v>
      </c>
      <c r="F1298">
        <v>100</v>
      </c>
      <c r="G1298">
        <v>160</v>
      </c>
      <c r="H1298">
        <v>422.5</v>
      </c>
      <c r="I1298">
        <v>2014</v>
      </c>
      <c r="J1298" t="s">
        <v>852</v>
      </c>
      <c r="K1298" t="s">
        <v>171</v>
      </c>
    </row>
    <row r="1299" spans="1:11">
      <c r="A1299" t="s">
        <v>325</v>
      </c>
      <c r="B1299">
        <v>1974</v>
      </c>
      <c r="C1299" t="s">
        <v>77</v>
      </c>
      <c r="D1299">
        <v>56.67</v>
      </c>
      <c r="E1299">
        <v>160</v>
      </c>
      <c r="F1299">
        <v>95</v>
      </c>
      <c r="G1299">
        <v>165</v>
      </c>
      <c r="H1299">
        <v>420</v>
      </c>
      <c r="I1299">
        <v>2013</v>
      </c>
      <c r="J1299" t="s">
        <v>852</v>
      </c>
      <c r="K1299" t="s">
        <v>171</v>
      </c>
    </row>
    <row r="1300" spans="1:11">
      <c r="A1300" t="s">
        <v>955</v>
      </c>
      <c r="B1300">
        <v>1986</v>
      </c>
      <c r="C1300" t="s">
        <v>35</v>
      </c>
      <c r="D1300">
        <v>50.79</v>
      </c>
      <c r="E1300">
        <v>182.5</v>
      </c>
      <c r="F1300">
        <v>80</v>
      </c>
      <c r="G1300">
        <v>155</v>
      </c>
      <c r="H1300">
        <v>417.5</v>
      </c>
      <c r="I1300">
        <v>2012</v>
      </c>
      <c r="J1300" t="s">
        <v>852</v>
      </c>
      <c r="K1300" t="s">
        <v>171</v>
      </c>
    </row>
    <row r="1301" spans="1:11">
      <c r="A1301" t="s">
        <v>175</v>
      </c>
      <c r="B1301">
        <v>1981</v>
      </c>
      <c r="C1301" t="s">
        <v>80</v>
      </c>
      <c r="D1301">
        <v>50.78</v>
      </c>
      <c r="E1301">
        <v>162.5</v>
      </c>
      <c r="F1301">
        <v>87.5</v>
      </c>
      <c r="G1301">
        <v>167.5</v>
      </c>
      <c r="H1301">
        <v>417.5</v>
      </c>
      <c r="I1301">
        <v>2012</v>
      </c>
      <c r="J1301" t="s">
        <v>852</v>
      </c>
      <c r="K1301" t="s">
        <v>171</v>
      </c>
    </row>
    <row r="1302" spans="1:11">
      <c r="A1302" t="s">
        <v>265</v>
      </c>
      <c r="B1302">
        <v>1976</v>
      </c>
      <c r="C1302" t="s">
        <v>137</v>
      </c>
      <c r="D1302">
        <v>51.29</v>
      </c>
      <c r="E1302">
        <v>167.5</v>
      </c>
      <c r="F1302">
        <v>92.5</v>
      </c>
      <c r="G1302">
        <v>157.5</v>
      </c>
      <c r="H1302">
        <v>417.5</v>
      </c>
      <c r="I1302">
        <v>2013</v>
      </c>
      <c r="J1302" t="s">
        <v>852</v>
      </c>
      <c r="K1302" t="s">
        <v>171</v>
      </c>
    </row>
    <row r="1303" spans="1:11">
      <c r="A1303" t="s">
        <v>275</v>
      </c>
      <c r="B1303">
        <v>1988</v>
      </c>
      <c r="C1303" t="s">
        <v>905</v>
      </c>
      <c r="D1303">
        <v>54.74</v>
      </c>
      <c r="E1303">
        <v>167.5</v>
      </c>
      <c r="F1303">
        <v>92.5</v>
      </c>
      <c r="G1303">
        <v>157.5</v>
      </c>
      <c r="H1303">
        <v>417.5</v>
      </c>
      <c r="I1303">
        <v>2014</v>
      </c>
      <c r="J1303" t="s">
        <v>852</v>
      </c>
      <c r="K1303" t="s">
        <v>171</v>
      </c>
    </row>
    <row r="1304" spans="1:11">
      <c r="A1304" t="s">
        <v>325</v>
      </c>
      <c r="B1304">
        <v>1974</v>
      </c>
      <c r="C1304" t="s">
        <v>911</v>
      </c>
      <c r="D1304">
        <v>56.6</v>
      </c>
      <c r="E1304">
        <v>160</v>
      </c>
      <c r="F1304">
        <v>90</v>
      </c>
      <c r="G1304">
        <v>167.5</v>
      </c>
      <c r="H1304">
        <v>417.5</v>
      </c>
      <c r="I1304">
        <v>2014</v>
      </c>
      <c r="J1304" t="s">
        <v>852</v>
      </c>
      <c r="K1304" t="s">
        <v>171</v>
      </c>
    </row>
    <row r="1305" spans="1:11">
      <c r="A1305" t="s">
        <v>192</v>
      </c>
      <c r="B1305">
        <v>1969</v>
      </c>
      <c r="C1305" t="s">
        <v>54</v>
      </c>
      <c r="D1305">
        <v>56.39</v>
      </c>
      <c r="E1305">
        <v>157.5</v>
      </c>
      <c r="F1305">
        <v>87.5</v>
      </c>
      <c r="G1305">
        <v>170</v>
      </c>
      <c r="H1305">
        <v>415</v>
      </c>
      <c r="I1305">
        <v>2015</v>
      </c>
      <c r="J1305" t="s">
        <v>852</v>
      </c>
      <c r="K1305" t="s">
        <v>171</v>
      </c>
    </row>
    <row r="1306" spans="1:11">
      <c r="A1306" t="s">
        <v>335</v>
      </c>
      <c r="B1306">
        <v>1983</v>
      </c>
      <c r="C1306" t="s">
        <v>336</v>
      </c>
      <c r="D1306">
        <v>46.44</v>
      </c>
      <c r="E1306">
        <v>170</v>
      </c>
      <c r="F1306">
        <v>97.5</v>
      </c>
      <c r="G1306">
        <v>147.5</v>
      </c>
      <c r="H1306">
        <v>415</v>
      </c>
      <c r="I1306">
        <v>2013</v>
      </c>
      <c r="J1306" t="s">
        <v>852</v>
      </c>
      <c r="K1306" t="s">
        <v>171</v>
      </c>
    </row>
    <row r="1307" spans="1:11">
      <c r="A1307" t="s">
        <v>174</v>
      </c>
      <c r="B1307">
        <v>1988</v>
      </c>
      <c r="C1307" t="s">
        <v>137</v>
      </c>
      <c r="D1307">
        <v>56.58</v>
      </c>
      <c r="E1307">
        <v>160</v>
      </c>
      <c r="F1307">
        <v>120</v>
      </c>
      <c r="G1307">
        <v>135</v>
      </c>
      <c r="H1307">
        <v>415</v>
      </c>
      <c r="I1307">
        <v>2015</v>
      </c>
      <c r="J1307" t="s">
        <v>852</v>
      </c>
      <c r="K1307" t="s">
        <v>171</v>
      </c>
    </row>
    <row r="1308" spans="1:11">
      <c r="A1308" t="s">
        <v>958</v>
      </c>
      <c r="B1308">
        <v>1994</v>
      </c>
      <c r="C1308" t="s">
        <v>359</v>
      </c>
      <c r="D1308">
        <v>66.48</v>
      </c>
      <c r="E1308">
        <v>180</v>
      </c>
      <c r="F1308">
        <v>92.5</v>
      </c>
      <c r="G1308">
        <v>140</v>
      </c>
      <c r="H1308">
        <v>412.5</v>
      </c>
      <c r="I1308">
        <v>2013</v>
      </c>
      <c r="J1308" t="s">
        <v>852</v>
      </c>
      <c r="K1308" t="s">
        <v>171</v>
      </c>
    </row>
    <row r="1309" spans="1:11">
      <c r="A1309" t="s">
        <v>202</v>
      </c>
      <c r="B1309">
        <v>1980</v>
      </c>
      <c r="C1309" t="s">
        <v>74</v>
      </c>
      <c r="D1309">
        <v>51.07</v>
      </c>
      <c r="E1309">
        <v>150</v>
      </c>
      <c r="F1309">
        <v>77.5</v>
      </c>
      <c r="G1309">
        <v>185</v>
      </c>
      <c r="H1309">
        <v>412.5</v>
      </c>
      <c r="I1309">
        <v>2013</v>
      </c>
      <c r="J1309" t="s">
        <v>852</v>
      </c>
      <c r="K1309" t="s">
        <v>171</v>
      </c>
    </row>
    <row r="1310" spans="1:11">
      <c r="A1310" t="s">
        <v>178</v>
      </c>
      <c r="B1310">
        <v>1986</v>
      </c>
      <c r="C1310" t="s">
        <v>54</v>
      </c>
      <c r="D1310">
        <v>51.77</v>
      </c>
      <c r="E1310">
        <v>145</v>
      </c>
      <c r="F1310">
        <v>97.5</v>
      </c>
      <c r="G1310">
        <v>170</v>
      </c>
      <c r="H1310">
        <v>412.5</v>
      </c>
      <c r="I1310">
        <v>2015</v>
      </c>
      <c r="J1310" t="s">
        <v>852</v>
      </c>
      <c r="K1310" t="s">
        <v>171</v>
      </c>
    </row>
    <row r="1311" spans="1:11">
      <c r="A1311" t="s">
        <v>203</v>
      </c>
      <c r="B1311">
        <v>1987</v>
      </c>
      <c r="C1311" t="s">
        <v>893</v>
      </c>
      <c r="D1311">
        <v>57.68</v>
      </c>
      <c r="E1311">
        <v>162.5</v>
      </c>
      <c r="F1311">
        <v>85</v>
      </c>
      <c r="G1311">
        <v>162.5</v>
      </c>
      <c r="H1311">
        <v>410</v>
      </c>
      <c r="I1311">
        <v>2014</v>
      </c>
      <c r="J1311" t="s">
        <v>852</v>
      </c>
      <c r="K1311" t="s">
        <v>171</v>
      </c>
    </row>
    <row r="1312" spans="1:11">
      <c r="A1312" t="s">
        <v>335</v>
      </c>
      <c r="B1312">
        <v>1985</v>
      </c>
      <c r="C1312" t="s">
        <v>336</v>
      </c>
      <c r="D1312">
        <v>46.14</v>
      </c>
      <c r="E1312">
        <v>167.5</v>
      </c>
      <c r="F1312">
        <v>90</v>
      </c>
      <c r="G1312">
        <v>152.5</v>
      </c>
      <c r="H1312">
        <v>410</v>
      </c>
      <c r="I1312">
        <v>2012</v>
      </c>
      <c r="J1312" t="s">
        <v>852</v>
      </c>
      <c r="K1312" t="s">
        <v>171</v>
      </c>
    </row>
    <row r="1313" spans="1:11">
      <c r="A1313" t="s">
        <v>277</v>
      </c>
      <c r="B1313">
        <v>1981</v>
      </c>
      <c r="C1313" t="s">
        <v>62</v>
      </c>
      <c r="D1313">
        <v>51.65</v>
      </c>
      <c r="E1313">
        <v>152.5</v>
      </c>
      <c r="F1313">
        <v>90</v>
      </c>
      <c r="G1313">
        <v>167.5</v>
      </c>
      <c r="H1313">
        <v>410</v>
      </c>
      <c r="I1313">
        <v>2013</v>
      </c>
      <c r="J1313" t="s">
        <v>852</v>
      </c>
      <c r="K1313" t="s">
        <v>171</v>
      </c>
    </row>
    <row r="1314" spans="1:11">
      <c r="A1314" t="s">
        <v>203</v>
      </c>
      <c r="B1314">
        <v>1987</v>
      </c>
      <c r="C1314" t="s">
        <v>125</v>
      </c>
      <c r="D1314">
        <v>56.52</v>
      </c>
      <c r="E1314">
        <v>165</v>
      </c>
      <c r="F1314">
        <v>82.5</v>
      </c>
      <c r="G1314">
        <v>160</v>
      </c>
      <c r="H1314">
        <v>407.5</v>
      </c>
      <c r="I1314">
        <v>2015</v>
      </c>
      <c r="J1314" t="s">
        <v>852</v>
      </c>
      <c r="K1314" t="s">
        <v>171</v>
      </c>
    </row>
    <row r="1315" spans="1:11">
      <c r="A1315" t="s">
        <v>277</v>
      </c>
      <c r="B1315">
        <v>1981</v>
      </c>
      <c r="C1315" t="s">
        <v>62</v>
      </c>
      <c r="D1315">
        <v>51.12</v>
      </c>
      <c r="E1315">
        <v>165</v>
      </c>
      <c r="F1315">
        <v>92.5</v>
      </c>
      <c r="G1315">
        <v>150</v>
      </c>
      <c r="H1315">
        <v>407.5</v>
      </c>
      <c r="I1315">
        <v>2015</v>
      </c>
      <c r="J1315" t="s">
        <v>852</v>
      </c>
      <c r="K1315" t="s">
        <v>171</v>
      </c>
    </row>
    <row r="1316" spans="1:11">
      <c r="A1316" t="s">
        <v>265</v>
      </c>
      <c r="B1316">
        <v>1976</v>
      </c>
      <c r="C1316" t="s">
        <v>137</v>
      </c>
      <c r="D1316">
        <v>51.45</v>
      </c>
      <c r="E1316">
        <v>160</v>
      </c>
      <c r="F1316">
        <v>92.5</v>
      </c>
      <c r="G1316">
        <v>152.5</v>
      </c>
      <c r="H1316">
        <v>405</v>
      </c>
      <c r="I1316">
        <v>2012</v>
      </c>
      <c r="J1316" t="s">
        <v>852</v>
      </c>
      <c r="K1316" t="s">
        <v>171</v>
      </c>
    </row>
    <row r="1317" spans="1:11">
      <c r="A1317" t="s">
        <v>1012</v>
      </c>
      <c r="B1317">
        <v>1972</v>
      </c>
      <c r="C1317" t="s">
        <v>80</v>
      </c>
      <c r="D1317">
        <v>51.84</v>
      </c>
      <c r="E1317">
        <v>155</v>
      </c>
      <c r="F1317">
        <v>90</v>
      </c>
      <c r="G1317">
        <v>160</v>
      </c>
      <c r="H1317">
        <v>405</v>
      </c>
      <c r="I1317">
        <v>2012</v>
      </c>
      <c r="J1317" t="s">
        <v>852</v>
      </c>
      <c r="K1317" t="s">
        <v>171</v>
      </c>
    </row>
    <row r="1318" spans="1:11">
      <c r="A1318" t="s">
        <v>954</v>
      </c>
      <c r="B1318">
        <v>1978</v>
      </c>
      <c r="C1318" t="s">
        <v>137</v>
      </c>
      <c r="D1318">
        <v>46.03</v>
      </c>
      <c r="E1318">
        <v>155</v>
      </c>
      <c r="F1318">
        <v>92.5</v>
      </c>
      <c r="G1318">
        <v>157.5</v>
      </c>
      <c r="H1318">
        <v>405</v>
      </c>
      <c r="I1318">
        <v>2012</v>
      </c>
      <c r="J1318" t="s">
        <v>852</v>
      </c>
      <c r="K1318" t="s">
        <v>171</v>
      </c>
    </row>
    <row r="1319" spans="1:11">
      <c r="A1319" t="s">
        <v>267</v>
      </c>
      <c r="B1319">
        <v>1998</v>
      </c>
      <c r="C1319" t="s">
        <v>252</v>
      </c>
      <c r="D1319">
        <v>91.87</v>
      </c>
      <c r="E1319">
        <v>185</v>
      </c>
      <c r="F1319">
        <v>55</v>
      </c>
      <c r="G1319">
        <v>160</v>
      </c>
      <c r="H1319">
        <v>400</v>
      </c>
      <c r="I1319">
        <v>2015</v>
      </c>
      <c r="J1319" t="s">
        <v>852</v>
      </c>
      <c r="K1319" t="s">
        <v>171</v>
      </c>
    </row>
    <row r="1320" spans="1:11">
      <c r="A1320" t="s">
        <v>940</v>
      </c>
      <c r="B1320">
        <v>1992</v>
      </c>
      <c r="C1320" t="s">
        <v>85</v>
      </c>
      <c r="D1320">
        <v>73.97</v>
      </c>
      <c r="E1320">
        <v>172.5</v>
      </c>
      <c r="F1320">
        <v>77.5</v>
      </c>
      <c r="G1320">
        <v>150</v>
      </c>
      <c r="H1320">
        <v>400</v>
      </c>
      <c r="I1320">
        <v>2013</v>
      </c>
      <c r="J1320" t="s">
        <v>852</v>
      </c>
      <c r="K1320" t="s">
        <v>171</v>
      </c>
    </row>
    <row r="1321" spans="1:11">
      <c r="A1321" t="s">
        <v>307</v>
      </c>
      <c r="B1321">
        <v>1990</v>
      </c>
      <c r="C1321" t="s">
        <v>77</v>
      </c>
      <c r="D1321">
        <v>50.94</v>
      </c>
      <c r="E1321">
        <v>140</v>
      </c>
      <c r="F1321">
        <v>107.5</v>
      </c>
      <c r="G1321">
        <v>150</v>
      </c>
      <c r="H1321">
        <v>397.5</v>
      </c>
      <c r="I1321">
        <v>2015</v>
      </c>
      <c r="J1321" t="s">
        <v>852</v>
      </c>
      <c r="K1321" t="s">
        <v>171</v>
      </c>
    </row>
    <row r="1322" spans="1:11">
      <c r="A1322" t="s">
        <v>203</v>
      </c>
      <c r="B1322">
        <v>1987</v>
      </c>
      <c r="C1322" t="s">
        <v>125</v>
      </c>
      <c r="D1322">
        <v>56.94</v>
      </c>
      <c r="E1322">
        <v>150</v>
      </c>
      <c r="F1322">
        <v>85</v>
      </c>
      <c r="G1322">
        <v>160</v>
      </c>
      <c r="H1322">
        <v>395</v>
      </c>
      <c r="I1322">
        <v>2013</v>
      </c>
      <c r="J1322" t="s">
        <v>852</v>
      </c>
      <c r="K1322" t="s">
        <v>171</v>
      </c>
    </row>
    <row r="1323" spans="1:11">
      <c r="A1323" t="s">
        <v>310</v>
      </c>
      <c r="B1323">
        <v>1965</v>
      </c>
      <c r="C1323" t="s">
        <v>109</v>
      </c>
      <c r="D1323">
        <v>46.68</v>
      </c>
      <c r="E1323">
        <v>145</v>
      </c>
      <c r="F1323">
        <v>105</v>
      </c>
      <c r="G1323">
        <v>145</v>
      </c>
      <c r="H1323">
        <v>395</v>
      </c>
      <c r="I1323">
        <v>2015</v>
      </c>
      <c r="J1323" t="s">
        <v>852</v>
      </c>
      <c r="K1323" t="s">
        <v>171</v>
      </c>
    </row>
    <row r="1324" spans="1:11">
      <c r="A1324" t="s">
        <v>205</v>
      </c>
      <c r="B1324">
        <v>1983</v>
      </c>
      <c r="C1324" t="s">
        <v>137</v>
      </c>
      <c r="D1324">
        <v>56.52</v>
      </c>
      <c r="E1324">
        <v>162.5</v>
      </c>
      <c r="F1324">
        <v>75</v>
      </c>
      <c r="G1324">
        <v>155</v>
      </c>
      <c r="H1324">
        <v>392.5</v>
      </c>
      <c r="I1324">
        <v>2015</v>
      </c>
      <c r="J1324" t="s">
        <v>852</v>
      </c>
      <c r="K1324" t="s">
        <v>171</v>
      </c>
    </row>
    <row r="1325" spans="1:11">
      <c r="A1325" t="s">
        <v>273</v>
      </c>
      <c r="B1325">
        <v>1975</v>
      </c>
      <c r="C1325" t="s">
        <v>274</v>
      </c>
      <c r="D1325">
        <v>51.71</v>
      </c>
      <c r="E1325">
        <v>155</v>
      </c>
      <c r="F1325">
        <v>82.5</v>
      </c>
      <c r="G1325">
        <v>155</v>
      </c>
      <c r="H1325">
        <v>392.5</v>
      </c>
      <c r="I1325">
        <v>2015</v>
      </c>
      <c r="J1325" t="s">
        <v>852</v>
      </c>
      <c r="K1325" t="s">
        <v>171</v>
      </c>
    </row>
    <row r="1326" spans="1:11">
      <c r="A1326" t="s">
        <v>307</v>
      </c>
      <c r="B1326">
        <v>1990</v>
      </c>
      <c r="C1326" t="s">
        <v>911</v>
      </c>
      <c r="D1326">
        <v>50.5</v>
      </c>
      <c r="E1326">
        <v>150</v>
      </c>
      <c r="F1326">
        <v>92.5</v>
      </c>
      <c r="G1326">
        <v>150</v>
      </c>
      <c r="H1326">
        <v>392.5</v>
      </c>
      <c r="I1326">
        <v>2014</v>
      </c>
      <c r="J1326" t="s">
        <v>852</v>
      </c>
      <c r="K1326" t="s">
        <v>171</v>
      </c>
    </row>
    <row r="1327" spans="1:11">
      <c r="A1327" t="s">
        <v>343</v>
      </c>
      <c r="B1327">
        <v>1979</v>
      </c>
      <c r="C1327" t="s">
        <v>318</v>
      </c>
      <c r="D1327">
        <v>56.49</v>
      </c>
      <c r="E1327">
        <v>152.5</v>
      </c>
      <c r="F1327">
        <v>95</v>
      </c>
      <c r="G1327">
        <v>145</v>
      </c>
      <c r="H1327">
        <v>392.5</v>
      </c>
      <c r="I1327">
        <v>2013</v>
      </c>
      <c r="J1327" t="s">
        <v>852</v>
      </c>
      <c r="K1327" t="s">
        <v>171</v>
      </c>
    </row>
    <row r="1328" spans="1:11">
      <c r="A1328" t="s">
        <v>175</v>
      </c>
      <c r="B1328">
        <v>1981</v>
      </c>
      <c r="C1328" t="s">
        <v>80</v>
      </c>
      <c r="D1328">
        <v>46.67</v>
      </c>
      <c r="E1328">
        <v>150</v>
      </c>
      <c r="F1328">
        <v>80</v>
      </c>
      <c r="G1328">
        <v>160</v>
      </c>
      <c r="H1328">
        <v>390</v>
      </c>
      <c r="I1328">
        <v>2015</v>
      </c>
      <c r="J1328" t="s">
        <v>852</v>
      </c>
      <c r="K1328" t="s">
        <v>171</v>
      </c>
    </row>
    <row r="1329" spans="1:11">
      <c r="A1329" t="s">
        <v>1056</v>
      </c>
      <c r="B1329">
        <v>1988</v>
      </c>
      <c r="C1329" t="s">
        <v>480</v>
      </c>
      <c r="D1329">
        <v>70.400000000000006</v>
      </c>
      <c r="E1329">
        <v>160</v>
      </c>
      <c r="F1329">
        <v>100</v>
      </c>
      <c r="G1329">
        <v>130</v>
      </c>
      <c r="H1329">
        <v>390</v>
      </c>
      <c r="I1329">
        <v>2012</v>
      </c>
      <c r="J1329" t="s">
        <v>852</v>
      </c>
      <c r="K1329" t="s">
        <v>171</v>
      </c>
    </row>
    <row r="1330" spans="1:11">
      <c r="A1330" t="s">
        <v>1034</v>
      </c>
      <c r="B1330">
        <v>1962</v>
      </c>
      <c r="C1330" t="s">
        <v>77</v>
      </c>
      <c r="D1330">
        <v>51.83</v>
      </c>
      <c r="E1330">
        <v>142.5</v>
      </c>
      <c r="F1330">
        <v>95</v>
      </c>
      <c r="G1330">
        <v>150</v>
      </c>
      <c r="H1330">
        <v>387.5</v>
      </c>
      <c r="I1330">
        <v>2012</v>
      </c>
      <c r="J1330" t="s">
        <v>852</v>
      </c>
      <c r="K1330" t="s">
        <v>171</v>
      </c>
    </row>
    <row r="1331" spans="1:11">
      <c r="A1331" t="s">
        <v>1034</v>
      </c>
      <c r="B1331">
        <v>1962</v>
      </c>
      <c r="C1331" t="s">
        <v>77</v>
      </c>
      <c r="D1331">
        <v>51.59</v>
      </c>
      <c r="E1331">
        <v>137.5</v>
      </c>
      <c r="F1331">
        <v>97.5</v>
      </c>
      <c r="G1331">
        <v>150</v>
      </c>
      <c r="H1331">
        <v>385</v>
      </c>
      <c r="I1331">
        <v>2013</v>
      </c>
      <c r="J1331" t="s">
        <v>852</v>
      </c>
      <c r="K1331" t="s">
        <v>171</v>
      </c>
    </row>
    <row r="1332" spans="1:11">
      <c r="A1332" t="s">
        <v>1038</v>
      </c>
      <c r="B1332">
        <v>1991</v>
      </c>
      <c r="C1332" t="s">
        <v>480</v>
      </c>
      <c r="D1332">
        <v>62.01</v>
      </c>
      <c r="E1332">
        <v>162.5</v>
      </c>
      <c r="F1332">
        <v>80</v>
      </c>
      <c r="G1332">
        <v>140</v>
      </c>
      <c r="H1332">
        <v>382.5</v>
      </c>
      <c r="I1332">
        <v>2012</v>
      </c>
      <c r="J1332" t="s">
        <v>852</v>
      </c>
      <c r="K1332" t="s">
        <v>171</v>
      </c>
    </row>
    <row r="1333" spans="1:11">
      <c r="A1333" t="s">
        <v>972</v>
      </c>
      <c r="B1333">
        <v>1988</v>
      </c>
      <c r="C1333" t="s">
        <v>51</v>
      </c>
      <c r="D1333">
        <v>54.92</v>
      </c>
      <c r="E1333">
        <v>145</v>
      </c>
      <c r="F1333">
        <v>85</v>
      </c>
      <c r="G1333">
        <v>152.5</v>
      </c>
      <c r="H1333">
        <v>382.5</v>
      </c>
      <c r="I1333">
        <v>2013</v>
      </c>
      <c r="J1333" t="s">
        <v>852</v>
      </c>
      <c r="K1333" t="s">
        <v>171</v>
      </c>
    </row>
    <row r="1334" spans="1:11">
      <c r="A1334" t="s">
        <v>877</v>
      </c>
      <c r="B1334">
        <v>1980</v>
      </c>
      <c r="C1334" t="s">
        <v>878</v>
      </c>
      <c r="D1334">
        <v>51.26</v>
      </c>
      <c r="E1334">
        <v>155</v>
      </c>
      <c r="F1334">
        <v>82.5</v>
      </c>
      <c r="G1334">
        <v>142.5</v>
      </c>
      <c r="H1334">
        <v>380</v>
      </c>
      <c r="I1334">
        <v>2014</v>
      </c>
      <c r="J1334" t="s">
        <v>852</v>
      </c>
      <c r="K1334" t="s">
        <v>171</v>
      </c>
    </row>
    <row r="1335" spans="1:11">
      <c r="A1335" t="s">
        <v>307</v>
      </c>
      <c r="B1335">
        <v>1990</v>
      </c>
      <c r="C1335" t="s">
        <v>77</v>
      </c>
      <c r="D1335">
        <v>51.95</v>
      </c>
      <c r="E1335">
        <v>130</v>
      </c>
      <c r="F1335">
        <v>87.5</v>
      </c>
      <c r="G1335">
        <v>157.5</v>
      </c>
      <c r="H1335">
        <v>375</v>
      </c>
      <c r="I1335">
        <v>2013</v>
      </c>
      <c r="J1335" t="s">
        <v>852</v>
      </c>
      <c r="K1335" t="s">
        <v>171</v>
      </c>
    </row>
    <row r="1336" spans="1:11">
      <c r="A1336" t="s">
        <v>853</v>
      </c>
      <c r="B1336">
        <v>1981</v>
      </c>
      <c r="C1336" t="s">
        <v>418</v>
      </c>
      <c r="D1336">
        <v>75.73</v>
      </c>
      <c r="E1336">
        <v>150</v>
      </c>
      <c r="F1336">
        <v>60</v>
      </c>
      <c r="G1336">
        <v>160</v>
      </c>
      <c r="H1336">
        <v>370</v>
      </c>
      <c r="I1336">
        <v>2012</v>
      </c>
      <c r="J1336" t="s">
        <v>852</v>
      </c>
      <c r="K1336" t="s">
        <v>171</v>
      </c>
    </row>
    <row r="1337" spans="1:11">
      <c r="A1337" t="s">
        <v>213</v>
      </c>
      <c r="B1337">
        <v>1978</v>
      </c>
      <c r="C1337" t="s">
        <v>51</v>
      </c>
      <c r="D1337">
        <v>51.42</v>
      </c>
      <c r="E1337">
        <v>137.5</v>
      </c>
      <c r="F1337">
        <v>75</v>
      </c>
      <c r="G1337">
        <v>157.5</v>
      </c>
      <c r="H1337">
        <v>370</v>
      </c>
      <c r="I1337">
        <v>2015</v>
      </c>
      <c r="J1337" t="s">
        <v>852</v>
      </c>
      <c r="K1337" t="s">
        <v>171</v>
      </c>
    </row>
    <row r="1338" spans="1:11">
      <c r="A1338" t="s">
        <v>1034</v>
      </c>
      <c r="B1338">
        <v>1962</v>
      </c>
      <c r="C1338" t="s">
        <v>911</v>
      </c>
      <c r="D1338">
        <v>51.7</v>
      </c>
      <c r="E1338">
        <v>135</v>
      </c>
      <c r="F1338">
        <v>90</v>
      </c>
      <c r="G1338">
        <v>145</v>
      </c>
      <c r="H1338">
        <v>370</v>
      </c>
      <c r="I1338">
        <v>2014</v>
      </c>
      <c r="J1338" t="s">
        <v>852</v>
      </c>
      <c r="K1338" t="s">
        <v>171</v>
      </c>
    </row>
    <row r="1339" spans="1:11">
      <c r="A1339" t="s">
        <v>213</v>
      </c>
      <c r="B1339">
        <v>1978</v>
      </c>
      <c r="C1339" t="s">
        <v>905</v>
      </c>
      <c r="D1339">
        <v>50.92</v>
      </c>
      <c r="E1339">
        <v>140</v>
      </c>
      <c r="F1339">
        <v>72.5</v>
      </c>
      <c r="G1339">
        <v>155</v>
      </c>
      <c r="H1339">
        <v>367.5</v>
      </c>
      <c r="I1339">
        <v>2014</v>
      </c>
      <c r="J1339" t="s">
        <v>852</v>
      </c>
      <c r="K1339" t="s">
        <v>171</v>
      </c>
    </row>
    <row r="1340" spans="1:11">
      <c r="A1340" t="s">
        <v>950</v>
      </c>
      <c r="B1340">
        <v>1999</v>
      </c>
      <c r="C1340" t="s">
        <v>876</v>
      </c>
      <c r="D1340">
        <v>45.96</v>
      </c>
      <c r="E1340">
        <v>142.5</v>
      </c>
      <c r="F1340">
        <v>77.5</v>
      </c>
      <c r="G1340">
        <v>147.5</v>
      </c>
      <c r="H1340">
        <v>367.5</v>
      </c>
      <c r="I1340">
        <v>2014</v>
      </c>
      <c r="J1340" t="s">
        <v>852</v>
      </c>
      <c r="K1340" t="s">
        <v>171</v>
      </c>
    </row>
    <row r="1341" spans="1:11">
      <c r="A1341" t="s">
        <v>343</v>
      </c>
      <c r="B1341">
        <v>1979</v>
      </c>
      <c r="C1341" t="s">
        <v>318</v>
      </c>
      <c r="D1341">
        <v>56.78</v>
      </c>
      <c r="E1341">
        <v>145</v>
      </c>
      <c r="F1341">
        <v>87.5</v>
      </c>
      <c r="G1341">
        <v>130</v>
      </c>
      <c r="H1341">
        <v>362.5</v>
      </c>
      <c r="I1341">
        <v>2012</v>
      </c>
      <c r="J1341" t="s">
        <v>852</v>
      </c>
      <c r="K1341" t="s">
        <v>171</v>
      </c>
    </row>
    <row r="1342" spans="1:11">
      <c r="A1342" t="s">
        <v>266</v>
      </c>
      <c r="B1342">
        <v>1982</v>
      </c>
      <c r="C1342" t="s">
        <v>137</v>
      </c>
      <c r="D1342">
        <v>46.62</v>
      </c>
      <c r="E1342">
        <v>145</v>
      </c>
      <c r="F1342">
        <v>92.5</v>
      </c>
      <c r="G1342">
        <v>125</v>
      </c>
      <c r="H1342">
        <v>362.5</v>
      </c>
      <c r="I1342">
        <v>2015</v>
      </c>
      <c r="J1342" t="s">
        <v>852</v>
      </c>
      <c r="K1342" t="s">
        <v>171</v>
      </c>
    </row>
    <row r="1343" spans="1:11">
      <c r="A1343" t="s">
        <v>213</v>
      </c>
      <c r="B1343">
        <v>1978</v>
      </c>
      <c r="C1343" t="s">
        <v>51</v>
      </c>
      <c r="D1343">
        <v>50.76</v>
      </c>
      <c r="E1343">
        <v>135</v>
      </c>
      <c r="F1343">
        <v>67.5</v>
      </c>
      <c r="G1343">
        <v>152.5</v>
      </c>
      <c r="H1343">
        <v>355</v>
      </c>
      <c r="I1343">
        <v>2012</v>
      </c>
      <c r="J1343" t="s">
        <v>852</v>
      </c>
      <c r="K1343" t="s">
        <v>171</v>
      </c>
    </row>
    <row r="1344" spans="1:11">
      <c r="A1344" t="s">
        <v>213</v>
      </c>
      <c r="B1344">
        <v>1978</v>
      </c>
      <c r="C1344" t="s">
        <v>51</v>
      </c>
      <c r="D1344">
        <v>51.18</v>
      </c>
      <c r="E1344">
        <v>132.5</v>
      </c>
      <c r="F1344">
        <v>65</v>
      </c>
      <c r="G1344">
        <v>150</v>
      </c>
      <c r="H1344">
        <v>347.5</v>
      </c>
      <c r="I1344">
        <v>2013</v>
      </c>
      <c r="J1344" t="s">
        <v>852</v>
      </c>
      <c r="K1344" t="s">
        <v>171</v>
      </c>
    </row>
    <row r="1345" spans="1:11">
      <c r="A1345" t="s">
        <v>902</v>
      </c>
      <c r="B1345">
        <v>1985</v>
      </c>
      <c r="C1345" t="s">
        <v>336</v>
      </c>
      <c r="D1345">
        <v>60.99</v>
      </c>
      <c r="E1345">
        <v>152.5</v>
      </c>
      <c r="F1345">
        <v>52.5</v>
      </c>
      <c r="G1345">
        <v>137.5</v>
      </c>
      <c r="H1345">
        <v>342.5</v>
      </c>
      <c r="I1345">
        <v>2012</v>
      </c>
      <c r="J1345" t="s">
        <v>852</v>
      </c>
      <c r="K1345" t="s">
        <v>171</v>
      </c>
    </row>
    <row r="1346" spans="1:11">
      <c r="A1346" t="s">
        <v>1033</v>
      </c>
      <c r="B1346">
        <v>1994</v>
      </c>
      <c r="C1346" t="s">
        <v>336</v>
      </c>
      <c r="D1346">
        <v>55.84</v>
      </c>
      <c r="E1346">
        <v>132.5</v>
      </c>
      <c r="F1346">
        <v>65</v>
      </c>
      <c r="G1346">
        <v>140</v>
      </c>
      <c r="H1346">
        <v>337.5</v>
      </c>
      <c r="I1346">
        <v>2012</v>
      </c>
      <c r="J1346" t="s">
        <v>852</v>
      </c>
      <c r="K1346" t="s">
        <v>171</v>
      </c>
    </row>
    <row r="1347" spans="1:11">
      <c r="A1347" t="s">
        <v>287</v>
      </c>
      <c r="B1347">
        <v>1976</v>
      </c>
      <c r="C1347" t="s">
        <v>274</v>
      </c>
      <c r="D1347">
        <v>45.99</v>
      </c>
      <c r="E1347">
        <v>122.5</v>
      </c>
      <c r="F1347">
        <v>75</v>
      </c>
      <c r="G1347">
        <v>140</v>
      </c>
      <c r="H1347">
        <v>337.5</v>
      </c>
      <c r="I1347">
        <v>2015</v>
      </c>
      <c r="J1347" t="s">
        <v>852</v>
      </c>
      <c r="K1347" t="s">
        <v>171</v>
      </c>
    </row>
    <row r="1348" spans="1:11">
      <c r="A1348" t="s">
        <v>1039</v>
      </c>
      <c r="B1348">
        <v>1980</v>
      </c>
      <c r="C1348" t="s">
        <v>911</v>
      </c>
      <c r="D1348">
        <v>56.04</v>
      </c>
      <c r="E1348">
        <v>142.5</v>
      </c>
      <c r="F1348">
        <v>70</v>
      </c>
      <c r="G1348">
        <v>120</v>
      </c>
      <c r="H1348">
        <v>332.5</v>
      </c>
      <c r="I1348">
        <v>2014</v>
      </c>
      <c r="J1348" t="s">
        <v>852</v>
      </c>
      <c r="K1348" t="s">
        <v>171</v>
      </c>
    </row>
    <row r="1349" spans="1:11">
      <c r="A1349" t="s">
        <v>865</v>
      </c>
      <c r="B1349">
        <v>1988</v>
      </c>
      <c r="C1349" t="s">
        <v>336</v>
      </c>
      <c r="D1349">
        <v>51.71</v>
      </c>
      <c r="E1349">
        <v>125</v>
      </c>
      <c r="F1349">
        <v>65</v>
      </c>
      <c r="G1349">
        <v>130</v>
      </c>
      <c r="H1349">
        <v>320</v>
      </c>
      <c r="I1349">
        <v>2012</v>
      </c>
      <c r="J1349" t="s">
        <v>852</v>
      </c>
      <c r="K1349" t="s">
        <v>171</v>
      </c>
    </row>
    <row r="1350" spans="1:11">
      <c r="A1350" t="s">
        <v>1013</v>
      </c>
      <c r="B1350">
        <v>1993</v>
      </c>
      <c r="C1350" t="s">
        <v>359</v>
      </c>
      <c r="D1350">
        <v>50.98</v>
      </c>
      <c r="E1350">
        <v>100</v>
      </c>
      <c r="F1350">
        <v>92.5</v>
      </c>
      <c r="G1350">
        <v>120</v>
      </c>
      <c r="H1350">
        <v>312.5</v>
      </c>
      <c r="I1350">
        <v>2013</v>
      </c>
      <c r="J1350" t="s">
        <v>852</v>
      </c>
      <c r="K1350" t="s">
        <v>171</v>
      </c>
    </row>
    <row r="1351" spans="1:11">
      <c r="A1351" t="s">
        <v>242</v>
      </c>
      <c r="B1351">
        <v>1961</v>
      </c>
      <c r="C1351" t="s">
        <v>243</v>
      </c>
      <c r="D1351">
        <v>61.25</v>
      </c>
      <c r="E1351">
        <v>107.5</v>
      </c>
      <c r="F1351">
        <v>77.5</v>
      </c>
      <c r="G1351">
        <v>120</v>
      </c>
      <c r="H1351">
        <v>305</v>
      </c>
      <c r="I1351">
        <v>2015</v>
      </c>
      <c r="J1351" t="s">
        <v>852</v>
      </c>
      <c r="K1351" t="s">
        <v>171</v>
      </c>
    </row>
    <row r="1352" spans="1:11">
      <c r="A1352" t="s">
        <v>309</v>
      </c>
      <c r="B1352">
        <v>1985</v>
      </c>
      <c r="C1352" t="s">
        <v>252</v>
      </c>
      <c r="D1352">
        <v>50.62</v>
      </c>
      <c r="E1352">
        <v>120</v>
      </c>
      <c r="F1352">
        <v>65</v>
      </c>
      <c r="G1352">
        <v>115</v>
      </c>
      <c r="H1352">
        <v>300</v>
      </c>
      <c r="I1352">
        <v>2015</v>
      </c>
      <c r="J1352" t="s">
        <v>852</v>
      </c>
      <c r="K1352" t="s">
        <v>171</v>
      </c>
    </row>
    <row r="1353" spans="1:11">
      <c r="A1353" t="s">
        <v>215</v>
      </c>
      <c r="B1353">
        <v>1947</v>
      </c>
      <c r="C1353" t="s">
        <v>62</v>
      </c>
      <c r="D1353">
        <v>45.96</v>
      </c>
      <c r="E1353">
        <v>100</v>
      </c>
      <c r="F1353">
        <v>45</v>
      </c>
      <c r="G1353">
        <v>127.5</v>
      </c>
      <c r="H1353">
        <v>272.5</v>
      </c>
      <c r="I1353">
        <v>2015</v>
      </c>
      <c r="J1353" t="s">
        <v>852</v>
      </c>
      <c r="K1353" t="s">
        <v>171</v>
      </c>
    </row>
    <row r="1354" spans="1:11">
      <c r="A1354" t="s">
        <v>215</v>
      </c>
      <c r="B1354">
        <v>1947</v>
      </c>
      <c r="C1354" t="s">
        <v>62</v>
      </c>
      <c r="D1354">
        <v>45.69</v>
      </c>
      <c r="E1354">
        <v>97.5</v>
      </c>
      <c r="F1354">
        <v>45</v>
      </c>
      <c r="G1354">
        <v>122.5</v>
      </c>
      <c r="H1354">
        <v>265</v>
      </c>
      <c r="I1354">
        <v>2013</v>
      </c>
      <c r="J1354" t="s">
        <v>852</v>
      </c>
      <c r="K1354" t="s">
        <v>171</v>
      </c>
    </row>
    <row r="1355" spans="1:11">
      <c r="A1355" t="s">
        <v>251</v>
      </c>
      <c r="B1355">
        <v>1984</v>
      </c>
      <c r="C1355" t="s">
        <v>252</v>
      </c>
      <c r="D1355">
        <v>67.17</v>
      </c>
      <c r="E1355">
        <v>70</v>
      </c>
      <c r="F1355">
        <v>40</v>
      </c>
      <c r="G1355">
        <v>80</v>
      </c>
      <c r="H1355">
        <v>190</v>
      </c>
      <c r="I1355">
        <v>2015</v>
      </c>
      <c r="J1355" t="s">
        <v>852</v>
      </c>
      <c r="K1355" t="s">
        <v>171</v>
      </c>
    </row>
    <row r="1356" spans="1:11">
      <c r="A1356" t="s">
        <v>286</v>
      </c>
      <c r="B1356">
        <v>1986</v>
      </c>
      <c r="C1356" t="s">
        <v>252</v>
      </c>
      <c r="D1356">
        <v>65.42</v>
      </c>
      <c r="E1356">
        <v>50</v>
      </c>
      <c r="F1356">
        <v>30</v>
      </c>
      <c r="G1356">
        <v>55</v>
      </c>
      <c r="H1356">
        <v>135</v>
      </c>
      <c r="I1356">
        <v>2015</v>
      </c>
      <c r="J1356" t="s">
        <v>852</v>
      </c>
      <c r="K1356" t="s">
        <v>171</v>
      </c>
    </row>
    <row r="1358" spans="1:11">
      <c r="A1358" t="s">
        <v>413</v>
      </c>
      <c r="B1358">
        <v>1988</v>
      </c>
      <c r="C1358" t="s">
        <v>113</v>
      </c>
      <c r="D1358">
        <v>90.9</v>
      </c>
      <c r="E1358">
        <v>252.5</v>
      </c>
      <c r="F1358">
        <v>130</v>
      </c>
      <c r="G1358">
        <v>0</v>
      </c>
      <c r="H1358">
        <v>0</v>
      </c>
      <c r="I1358">
        <v>2013</v>
      </c>
      <c r="J1358" t="s">
        <v>29</v>
      </c>
      <c r="K1358" t="s">
        <v>30</v>
      </c>
    </row>
    <row r="1359" spans="1:11">
      <c r="A1359" t="s">
        <v>107</v>
      </c>
      <c r="B1359">
        <v>1982</v>
      </c>
      <c r="C1359" t="s">
        <v>42</v>
      </c>
      <c r="D1359">
        <v>58.25</v>
      </c>
      <c r="E1359">
        <v>200</v>
      </c>
      <c r="F1359">
        <v>105</v>
      </c>
      <c r="G1359">
        <v>0</v>
      </c>
      <c r="H1359">
        <v>0</v>
      </c>
      <c r="I1359">
        <v>2013</v>
      </c>
      <c r="J1359" t="s">
        <v>29</v>
      </c>
      <c r="K1359" t="s">
        <v>30</v>
      </c>
    </row>
    <row r="1360" spans="1:11">
      <c r="A1360" t="s">
        <v>68</v>
      </c>
      <c r="B1360">
        <v>1977</v>
      </c>
      <c r="C1360" t="s">
        <v>56</v>
      </c>
      <c r="D1360">
        <v>92.7</v>
      </c>
      <c r="E1360">
        <v>257.5</v>
      </c>
      <c r="F1360">
        <v>170</v>
      </c>
      <c r="G1360">
        <v>0</v>
      </c>
      <c r="H1360">
        <v>0</v>
      </c>
      <c r="I1360">
        <v>2013</v>
      </c>
      <c r="J1360" t="s">
        <v>29</v>
      </c>
      <c r="K1360" t="s">
        <v>30</v>
      </c>
    </row>
    <row r="1361" spans="1:11">
      <c r="A1361" t="s">
        <v>140</v>
      </c>
      <c r="B1361">
        <v>1970</v>
      </c>
      <c r="C1361" t="s">
        <v>56</v>
      </c>
      <c r="D1361">
        <v>140.30000000000001</v>
      </c>
      <c r="E1361">
        <v>335</v>
      </c>
      <c r="F1361">
        <v>222.5</v>
      </c>
      <c r="G1361">
        <v>0</v>
      </c>
      <c r="H1361">
        <v>0</v>
      </c>
      <c r="I1361">
        <v>2013</v>
      </c>
      <c r="J1361" t="s">
        <v>29</v>
      </c>
      <c r="K1361" t="s">
        <v>30</v>
      </c>
    </row>
    <row r="1362" spans="1:11">
      <c r="A1362" t="s">
        <v>792</v>
      </c>
      <c r="B1362">
        <v>1987</v>
      </c>
      <c r="C1362" t="s">
        <v>228</v>
      </c>
      <c r="D1362">
        <v>92.39</v>
      </c>
      <c r="E1362">
        <v>257.5</v>
      </c>
      <c r="F1362">
        <v>190</v>
      </c>
      <c r="G1362">
        <v>0</v>
      </c>
      <c r="H1362">
        <v>0</v>
      </c>
      <c r="I1362">
        <v>2015</v>
      </c>
      <c r="J1362" t="s">
        <v>29</v>
      </c>
      <c r="K1362" t="s">
        <v>30</v>
      </c>
    </row>
    <row r="1363" spans="1:11">
      <c r="A1363" t="s">
        <v>196</v>
      </c>
      <c r="B1363">
        <v>1984</v>
      </c>
      <c r="C1363" t="s">
        <v>74</v>
      </c>
      <c r="D1363">
        <v>83.5</v>
      </c>
      <c r="E1363">
        <v>197.5</v>
      </c>
      <c r="F1363">
        <v>100</v>
      </c>
      <c r="G1363">
        <v>0</v>
      </c>
      <c r="H1363">
        <v>0</v>
      </c>
      <c r="I1363">
        <v>2012</v>
      </c>
      <c r="J1363" t="s">
        <v>852</v>
      </c>
      <c r="K1363" t="s">
        <v>30</v>
      </c>
    </row>
    <row r="1364" spans="1:11">
      <c r="A1364" t="s">
        <v>363</v>
      </c>
      <c r="B1364">
        <v>1989</v>
      </c>
      <c r="C1364" t="s">
        <v>280</v>
      </c>
      <c r="D1364">
        <v>65.89</v>
      </c>
      <c r="E1364">
        <v>295</v>
      </c>
      <c r="F1364">
        <v>180</v>
      </c>
      <c r="G1364">
        <v>0</v>
      </c>
      <c r="H1364">
        <v>0</v>
      </c>
      <c r="I1364">
        <v>2013</v>
      </c>
      <c r="J1364" t="s">
        <v>29</v>
      </c>
      <c r="K1364" t="s">
        <v>171</v>
      </c>
    </row>
    <row r="1365" spans="1:11">
      <c r="A1365" t="s">
        <v>761</v>
      </c>
      <c r="B1365">
        <v>1982</v>
      </c>
      <c r="C1365" t="s">
        <v>380</v>
      </c>
      <c r="D1365">
        <v>104.32</v>
      </c>
      <c r="E1365">
        <v>330</v>
      </c>
      <c r="F1365">
        <v>230</v>
      </c>
      <c r="G1365">
        <v>0</v>
      </c>
      <c r="H1365">
        <v>0</v>
      </c>
      <c r="I1365">
        <v>2015</v>
      </c>
      <c r="J1365" t="s">
        <v>29</v>
      </c>
      <c r="K1365" t="s">
        <v>171</v>
      </c>
    </row>
    <row r="1366" spans="1:11">
      <c r="A1366" t="s">
        <v>817</v>
      </c>
      <c r="B1366">
        <v>1985</v>
      </c>
      <c r="C1366" t="s">
        <v>28</v>
      </c>
      <c r="D1366">
        <v>82.94</v>
      </c>
      <c r="E1366">
        <v>350</v>
      </c>
      <c r="F1366">
        <v>255</v>
      </c>
      <c r="G1366">
        <v>0</v>
      </c>
      <c r="H1366">
        <v>0</v>
      </c>
      <c r="I1366">
        <v>2014</v>
      </c>
      <c r="J1366" t="s">
        <v>29</v>
      </c>
      <c r="K1366" t="s">
        <v>171</v>
      </c>
    </row>
    <row r="1367" spans="1:11">
      <c r="A1367" t="s">
        <v>535</v>
      </c>
      <c r="B1367">
        <v>1981</v>
      </c>
      <c r="C1367" t="s">
        <v>74</v>
      </c>
      <c r="D1367">
        <v>73.959999999999994</v>
      </c>
      <c r="E1367">
        <v>285</v>
      </c>
      <c r="F1367">
        <v>220</v>
      </c>
      <c r="G1367">
        <v>0</v>
      </c>
      <c r="H1367">
        <v>0</v>
      </c>
      <c r="I1367">
        <v>2014</v>
      </c>
      <c r="J1367" t="s">
        <v>29</v>
      </c>
      <c r="K1367" t="s">
        <v>171</v>
      </c>
    </row>
    <row r="1368" spans="1:11">
      <c r="A1368" t="s">
        <v>185</v>
      </c>
      <c r="B1368">
        <v>1983</v>
      </c>
      <c r="C1368" t="s">
        <v>142</v>
      </c>
      <c r="D1368">
        <v>56.05</v>
      </c>
      <c r="E1368">
        <v>150</v>
      </c>
      <c r="F1368">
        <v>77.5</v>
      </c>
      <c r="G1368">
        <v>0</v>
      </c>
      <c r="H1368">
        <v>0</v>
      </c>
      <c r="I1368">
        <v>2013</v>
      </c>
      <c r="J1368" t="s">
        <v>852</v>
      </c>
      <c r="K1368" t="s">
        <v>171</v>
      </c>
    </row>
    <row r="1369" spans="1:11">
      <c r="A1369" t="s">
        <v>886</v>
      </c>
      <c r="B1369">
        <v>1979</v>
      </c>
      <c r="C1369" t="s">
        <v>859</v>
      </c>
      <c r="D1369">
        <v>55.74</v>
      </c>
      <c r="E1369">
        <v>180</v>
      </c>
      <c r="F1369">
        <v>95</v>
      </c>
      <c r="G1369">
        <v>0</v>
      </c>
      <c r="H1369">
        <v>0</v>
      </c>
      <c r="I1369">
        <v>2014</v>
      </c>
      <c r="J1369" t="s">
        <v>852</v>
      </c>
      <c r="K1369" t="s">
        <v>171</v>
      </c>
    </row>
    <row r="1370" spans="1:11">
      <c r="A1370" t="s">
        <v>196</v>
      </c>
      <c r="B1370">
        <v>1984</v>
      </c>
      <c r="C1370" t="s">
        <v>888</v>
      </c>
      <c r="D1370">
        <v>93.02</v>
      </c>
      <c r="E1370">
        <v>277.5</v>
      </c>
      <c r="F1370">
        <v>162.5</v>
      </c>
      <c r="G1370">
        <v>0</v>
      </c>
      <c r="H1370">
        <v>0</v>
      </c>
      <c r="I1370">
        <v>2014</v>
      </c>
      <c r="J1370" t="s">
        <v>852</v>
      </c>
      <c r="K1370" t="s">
        <v>171</v>
      </c>
    </row>
    <row r="1371" spans="1:11">
      <c r="A1371" t="s">
        <v>941</v>
      </c>
      <c r="B1371">
        <v>1987</v>
      </c>
      <c r="C1371" t="s">
        <v>39</v>
      </c>
      <c r="D1371">
        <v>56.93</v>
      </c>
      <c r="E1371">
        <v>190</v>
      </c>
      <c r="F1371">
        <v>117.5</v>
      </c>
      <c r="G1371">
        <v>0</v>
      </c>
      <c r="H1371">
        <v>0</v>
      </c>
      <c r="I1371">
        <v>2012</v>
      </c>
      <c r="J1371" t="s">
        <v>852</v>
      </c>
      <c r="K1371" t="s">
        <v>171</v>
      </c>
    </row>
    <row r="1372" spans="1:11">
      <c r="A1372" t="s">
        <v>246</v>
      </c>
      <c r="B1372">
        <v>1984</v>
      </c>
      <c r="C1372" t="s">
        <v>80</v>
      </c>
      <c r="D1372">
        <v>71.37</v>
      </c>
      <c r="E1372">
        <v>225</v>
      </c>
      <c r="F1372">
        <v>145</v>
      </c>
      <c r="G1372">
        <v>0</v>
      </c>
      <c r="H1372">
        <v>0</v>
      </c>
      <c r="I1372">
        <v>2012</v>
      </c>
      <c r="J1372" t="s">
        <v>852</v>
      </c>
      <c r="K1372" t="s">
        <v>171</v>
      </c>
    </row>
    <row r="1373" spans="1:11">
      <c r="A1373" t="s">
        <v>258</v>
      </c>
      <c r="B1373">
        <v>1978</v>
      </c>
      <c r="C1373" t="s">
        <v>951</v>
      </c>
      <c r="D1373">
        <v>46.1</v>
      </c>
      <c r="E1373">
        <v>145</v>
      </c>
      <c r="F1373">
        <v>95</v>
      </c>
      <c r="G1373">
        <v>0</v>
      </c>
      <c r="H1373">
        <v>0</v>
      </c>
      <c r="I1373">
        <v>2014</v>
      </c>
      <c r="J1373" t="s">
        <v>852</v>
      </c>
      <c r="K1373" t="s">
        <v>171</v>
      </c>
    </row>
    <row r="1374" spans="1:11">
      <c r="A1374" t="s">
        <v>38</v>
      </c>
      <c r="B1374">
        <v>1974</v>
      </c>
      <c r="C1374" t="s">
        <v>39</v>
      </c>
      <c r="D1374">
        <v>90.3</v>
      </c>
      <c r="E1374">
        <v>240</v>
      </c>
      <c r="F1374">
        <v>0</v>
      </c>
      <c r="G1374">
        <v>245</v>
      </c>
      <c r="H1374">
        <v>0</v>
      </c>
      <c r="I1374">
        <v>2012</v>
      </c>
      <c r="J1374" t="s">
        <v>29</v>
      </c>
      <c r="K1374" t="s">
        <v>30</v>
      </c>
    </row>
    <row r="1375" spans="1:11">
      <c r="A1375" t="s">
        <v>156</v>
      </c>
      <c r="B1375">
        <v>1986</v>
      </c>
      <c r="C1375" t="s">
        <v>32</v>
      </c>
      <c r="D1375">
        <v>115.35</v>
      </c>
      <c r="E1375">
        <v>0</v>
      </c>
      <c r="F1375">
        <v>180</v>
      </c>
      <c r="G1375">
        <v>252.5</v>
      </c>
      <c r="H1375">
        <v>0</v>
      </c>
      <c r="I1375">
        <v>2012</v>
      </c>
      <c r="J1375" t="s">
        <v>29</v>
      </c>
      <c r="K1375" t="s">
        <v>30</v>
      </c>
    </row>
    <row r="1376" spans="1:11">
      <c r="A1376" t="s">
        <v>162</v>
      </c>
      <c r="B1376">
        <v>1975</v>
      </c>
      <c r="C1376" t="s">
        <v>163</v>
      </c>
      <c r="D1376">
        <v>104.9</v>
      </c>
      <c r="E1376">
        <v>0</v>
      </c>
      <c r="F1376">
        <v>175</v>
      </c>
      <c r="G1376">
        <v>280</v>
      </c>
      <c r="H1376">
        <v>0</v>
      </c>
      <c r="I1376">
        <v>2012</v>
      </c>
      <c r="J1376" t="s">
        <v>29</v>
      </c>
      <c r="K1376" t="s">
        <v>30</v>
      </c>
    </row>
    <row r="1377" spans="1:11">
      <c r="A1377" t="s">
        <v>36</v>
      </c>
      <c r="B1377">
        <v>1967</v>
      </c>
      <c r="C1377" t="s">
        <v>35</v>
      </c>
      <c r="D1377">
        <v>73.08</v>
      </c>
      <c r="E1377">
        <v>0</v>
      </c>
      <c r="F1377">
        <v>0</v>
      </c>
      <c r="G1377">
        <v>0</v>
      </c>
      <c r="H1377">
        <v>0</v>
      </c>
      <c r="I1377">
        <v>2015</v>
      </c>
      <c r="J1377" t="s">
        <v>29</v>
      </c>
      <c r="K1377" t="s">
        <v>30</v>
      </c>
    </row>
    <row r="1378" spans="1:11">
      <c r="A1378" t="s">
        <v>444</v>
      </c>
      <c r="B1378">
        <v>1984</v>
      </c>
      <c r="C1378" t="s">
        <v>445</v>
      </c>
      <c r="D1378">
        <v>119.26</v>
      </c>
      <c r="E1378">
        <v>280</v>
      </c>
      <c r="F1378">
        <v>0</v>
      </c>
      <c r="G1378">
        <v>0</v>
      </c>
      <c r="H1378">
        <v>0</v>
      </c>
      <c r="I1378">
        <v>2015</v>
      </c>
      <c r="J1378" t="s">
        <v>29</v>
      </c>
      <c r="K1378" t="s">
        <v>30</v>
      </c>
    </row>
    <row r="1379" spans="1:11">
      <c r="A1379" t="s">
        <v>521</v>
      </c>
      <c r="B1379">
        <v>1984</v>
      </c>
      <c r="C1379" t="s">
        <v>80</v>
      </c>
      <c r="D1379">
        <v>81.45</v>
      </c>
      <c r="E1379">
        <v>242.5</v>
      </c>
      <c r="F1379">
        <v>0</v>
      </c>
      <c r="G1379">
        <v>0</v>
      </c>
      <c r="H1379">
        <v>0</v>
      </c>
      <c r="I1379">
        <v>2014</v>
      </c>
      <c r="J1379" t="s">
        <v>29</v>
      </c>
      <c r="K1379" t="s">
        <v>30</v>
      </c>
    </row>
    <row r="1380" spans="1:11">
      <c r="A1380" t="s">
        <v>82</v>
      </c>
      <c r="B1380">
        <v>1984</v>
      </c>
      <c r="C1380" t="s">
        <v>83</v>
      </c>
      <c r="D1380">
        <v>104.45</v>
      </c>
      <c r="E1380">
        <v>282.5</v>
      </c>
      <c r="F1380">
        <v>0</v>
      </c>
      <c r="G1380">
        <v>0</v>
      </c>
      <c r="H1380">
        <v>0</v>
      </c>
      <c r="I1380">
        <v>2013</v>
      </c>
      <c r="J1380" t="s">
        <v>29</v>
      </c>
      <c r="K1380" t="s">
        <v>30</v>
      </c>
    </row>
    <row r="1381" spans="1:11">
      <c r="A1381" t="s">
        <v>564</v>
      </c>
      <c r="B1381">
        <v>1988</v>
      </c>
      <c r="C1381" t="s">
        <v>42</v>
      </c>
      <c r="D1381">
        <v>91.89</v>
      </c>
      <c r="E1381">
        <v>0</v>
      </c>
      <c r="F1381">
        <v>155</v>
      </c>
      <c r="G1381">
        <v>290</v>
      </c>
      <c r="H1381">
        <v>0</v>
      </c>
      <c r="I1381">
        <v>2015</v>
      </c>
      <c r="J1381" t="s">
        <v>29</v>
      </c>
      <c r="K1381" t="s">
        <v>30</v>
      </c>
    </row>
    <row r="1382" spans="1:11">
      <c r="A1382" t="s">
        <v>105</v>
      </c>
      <c r="B1382">
        <v>1982</v>
      </c>
      <c r="C1382" t="s">
        <v>28</v>
      </c>
      <c r="D1382">
        <v>82.04</v>
      </c>
      <c r="E1382">
        <v>0</v>
      </c>
      <c r="F1382">
        <v>177.5</v>
      </c>
      <c r="G1382">
        <v>302.5</v>
      </c>
      <c r="H1382">
        <v>0</v>
      </c>
      <c r="I1382">
        <v>2015</v>
      </c>
      <c r="J1382" t="s">
        <v>29</v>
      </c>
      <c r="K1382" t="s">
        <v>30</v>
      </c>
    </row>
    <row r="1383" spans="1:11">
      <c r="A1383" t="s">
        <v>107</v>
      </c>
      <c r="B1383">
        <v>1982</v>
      </c>
      <c r="C1383" t="s">
        <v>42</v>
      </c>
      <c r="D1383">
        <v>58.85</v>
      </c>
      <c r="E1383">
        <v>220</v>
      </c>
      <c r="F1383">
        <v>0</v>
      </c>
      <c r="G1383">
        <v>225</v>
      </c>
      <c r="H1383">
        <v>0</v>
      </c>
      <c r="I1383">
        <v>2015</v>
      </c>
      <c r="J1383" t="s">
        <v>29</v>
      </c>
      <c r="K1383" t="s">
        <v>30</v>
      </c>
    </row>
    <row r="1384" spans="1:11">
      <c r="A1384" t="s">
        <v>693</v>
      </c>
      <c r="B1384">
        <v>1970</v>
      </c>
      <c r="C1384" t="s">
        <v>56</v>
      </c>
      <c r="D1384">
        <v>90.85</v>
      </c>
      <c r="E1384">
        <v>220</v>
      </c>
      <c r="F1384">
        <v>0</v>
      </c>
      <c r="G1384">
        <v>230</v>
      </c>
      <c r="H1384">
        <v>0</v>
      </c>
      <c r="I1384">
        <v>2013</v>
      </c>
      <c r="J1384" t="s">
        <v>29</v>
      </c>
      <c r="K1384" t="s">
        <v>30</v>
      </c>
    </row>
    <row r="1385" spans="1:11">
      <c r="A1385" t="s">
        <v>882</v>
      </c>
      <c r="B1385">
        <v>1986</v>
      </c>
      <c r="C1385" t="s">
        <v>39</v>
      </c>
      <c r="D1385">
        <v>69.8</v>
      </c>
      <c r="E1385">
        <v>0</v>
      </c>
      <c r="F1385">
        <v>85</v>
      </c>
      <c r="G1385">
        <v>185</v>
      </c>
      <c r="H1385">
        <v>0</v>
      </c>
      <c r="I1385">
        <v>2012</v>
      </c>
      <c r="J1385" t="s">
        <v>852</v>
      </c>
      <c r="K1385" t="s">
        <v>30</v>
      </c>
    </row>
    <row r="1386" spans="1:11">
      <c r="A1386" t="s">
        <v>1042</v>
      </c>
      <c r="B1386">
        <v>1977</v>
      </c>
      <c r="C1386" t="s">
        <v>194</v>
      </c>
      <c r="D1386">
        <v>61.35</v>
      </c>
      <c r="E1386">
        <v>0</v>
      </c>
      <c r="F1386">
        <v>62.5</v>
      </c>
      <c r="G1386">
        <v>135</v>
      </c>
      <c r="H1386">
        <v>0</v>
      </c>
      <c r="I1386">
        <v>2014</v>
      </c>
      <c r="J1386" t="s">
        <v>852</v>
      </c>
      <c r="K1386" t="s">
        <v>30</v>
      </c>
    </row>
    <row r="1387" spans="1:11">
      <c r="A1387" t="s">
        <v>348</v>
      </c>
      <c r="B1387">
        <v>1968</v>
      </c>
      <c r="C1387" t="s">
        <v>349</v>
      </c>
      <c r="D1387">
        <v>92.41</v>
      </c>
      <c r="E1387">
        <v>0</v>
      </c>
      <c r="F1387">
        <v>0</v>
      </c>
      <c r="G1387">
        <v>0</v>
      </c>
      <c r="H1387">
        <v>0</v>
      </c>
      <c r="I1387">
        <v>2013</v>
      </c>
      <c r="J1387" t="s">
        <v>29</v>
      </c>
      <c r="K1387" t="s">
        <v>171</v>
      </c>
    </row>
    <row r="1388" spans="1:11">
      <c r="A1388" t="s">
        <v>350</v>
      </c>
      <c r="B1388">
        <v>1972</v>
      </c>
      <c r="C1388" t="s">
        <v>349</v>
      </c>
      <c r="D1388">
        <v>99.85</v>
      </c>
      <c r="E1388">
        <v>0</v>
      </c>
      <c r="F1388">
        <v>0</v>
      </c>
      <c r="G1388">
        <v>0</v>
      </c>
      <c r="H1388">
        <v>0</v>
      </c>
      <c r="I1388">
        <v>2013</v>
      </c>
      <c r="J1388" t="s">
        <v>29</v>
      </c>
      <c r="K1388" t="s">
        <v>171</v>
      </c>
    </row>
    <row r="1389" spans="1:11">
      <c r="A1389" t="s">
        <v>368</v>
      </c>
      <c r="B1389">
        <v>1983</v>
      </c>
      <c r="C1389" t="s">
        <v>45</v>
      </c>
      <c r="D1389">
        <v>156.52000000000001</v>
      </c>
      <c r="E1389">
        <v>407.5</v>
      </c>
      <c r="F1389">
        <v>0</v>
      </c>
      <c r="G1389">
        <v>360</v>
      </c>
      <c r="H1389">
        <v>0</v>
      </c>
      <c r="I1389">
        <v>2012</v>
      </c>
      <c r="J1389" t="s">
        <v>29</v>
      </c>
      <c r="K1389" t="s">
        <v>171</v>
      </c>
    </row>
    <row r="1390" spans="1:11">
      <c r="A1390" t="s">
        <v>368</v>
      </c>
      <c r="B1390">
        <v>1983</v>
      </c>
      <c r="C1390" t="s">
        <v>45</v>
      </c>
      <c r="D1390">
        <v>165.86</v>
      </c>
      <c r="E1390">
        <v>415</v>
      </c>
      <c r="F1390">
        <v>0</v>
      </c>
      <c r="G1390">
        <v>350</v>
      </c>
      <c r="H1390">
        <v>0</v>
      </c>
      <c r="I1390">
        <v>2014</v>
      </c>
      <c r="J1390" t="s">
        <v>29</v>
      </c>
      <c r="K1390" t="s">
        <v>171</v>
      </c>
    </row>
    <row r="1391" spans="1:11">
      <c r="A1391" t="s">
        <v>379</v>
      </c>
      <c r="B1391">
        <v>1981</v>
      </c>
      <c r="C1391" t="s">
        <v>380</v>
      </c>
      <c r="D1391">
        <v>117.48</v>
      </c>
      <c r="E1391">
        <v>330</v>
      </c>
      <c r="F1391">
        <v>0</v>
      </c>
      <c r="G1391">
        <v>0</v>
      </c>
      <c r="H1391">
        <v>0</v>
      </c>
      <c r="I1391">
        <v>2014</v>
      </c>
      <c r="J1391" t="s">
        <v>29</v>
      </c>
      <c r="K1391" t="s">
        <v>171</v>
      </c>
    </row>
    <row r="1392" spans="1:11">
      <c r="A1392" t="s">
        <v>382</v>
      </c>
      <c r="B1392">
        <v>1981</v>
      </c>
      <c r="C1392" t="s">
        <v>380</v>
      </c>
      <c r="D1392">
        <v>114.54</v>
      </c>
      <c r="E1392">
        <v>0</v>
      </c>
      <c r="F1392">
        <v>215</v>
      </c>
      <c r="G1392">
        <v>250</v>
      </c>
      <c r="H1392">
        <v>0</v>
      </c>
      <c r="I1392">
        <v>2015</v>
      </c>
      <c r="J1392" t="s">
        <v>29</v>
      </c>
      <c r="K1392" t="s">
        <v>171</v>
      </c>
    </row>
    <row r="1393" spans="1:11">
      <c r="A1393" t="s">
        <v>384</v>
      </c>
      <c r="B1393">
        <v>1984</v>
      </c>
      <c r="C1393" t="s">
        <v>137</v>
      </c>
      <c r="D1393">
        <v>104.1</v>
      </c>
      <c r="E1393">
        <v>360</v>
      </c>
      <c r="F1393">
        <v>0</v>
      </c>
      <c r="G1393">
        <v>0</v>
      </c>
      <c r="H1393">
        <v>0</v>
      </c>
      <c r="I1393">
        <v>2012</v>
      </c>
      <c r="J1393" t="s">
        <v>29</v>
      </c>
      <c r="K1393" t="s">
        <v>171</v>
      </c>
    </row>
    <row r="1394" spans="1:11">
      <c r="A1394" t="s">
        <v>420</v>
      </c>
      <c r="B1394">
        <v>1988</v>
      </c>
      <c r="C1394" t="s">
        <v>62</v>
      </c>
      <c r="D1394">
        <v>167.58</v>
      </c>
      <c r="E1394">
        <v>435</v>
      </c>
      <c r="F1394">
        <v>0</v>
      </c>
      <c r="G1394">
        <v>350</v>
      </c>
      <c r="H1394">
        <v>0</v>
      </c>
      <c r="I1394">
        <v>2014</v>
      </c>
      <c r="J1394" t="s">
        <v>29</v>
      </c>
      <c r="K1394" t="s">
        <v>171</v>
      </c>
    </row>
    <row r="1395" spans="1:11">
      <c r="A1395" t="s">
        <v>431</v>
      </c>
      <c r="B1395">
        <v>1984</v>
      </c>
      <c r="C1395" t="s">
        <v>51</v>
      </c>
      <c r="D1395">
        <v>118.92</v>
      </c>
      <c r="E1395">
        <v>365</v>
      </c>
      <c r="F1395">
        <v>0</v>
      </c>
      <c r="G1395">
        <v>345</v>
      </c>
      <c r="H1395">
        <v>0</v>
      </c>
      <c r="I1395">
        <v>2012</v>
      </c>
      <c r="J1395" t="s">
        <v>29</v>
      </c>
      <c r="K1395" t="s">
        <v>171</v>
      </c>
    </row>
    <row r="1396" spans="1:11">
      <c r="A1396" t="s">
        <v>463</v>
      </c>
      <c r="B1396">
        <v>1982</v>
      </c>
      <c r="C1396" t="s">
        <v>464</v>
      </c>
      <c r="D1396">
        <v>82.98</v>
      </c>
      <c r="E1396">
        <v>0</v>
      </c>
      <c r="F1396">
        <v>240</v>
      </c>
      <c r="G1396">
        <v>0</v>
      </c>
      <c r="H1396">
        <v>0</v>
      </c>
      <c r="I1396">
        <v>2012</v>
      </c>
      <c r="J1396" t="s">
        <v>29</v>
      </c>
      <c r="K1396" t="s">
        <v>171</v>
      </c>
    </row>
    <row r="1397" spans="1:11">
      <c r="A1397" t="s">
        <v>470</v>
      </c>
      <c r="B1397">
        <v>1982</v>
      </c>
      <c r="C1397" t="s">
        <v>418</v>
      </c>
      <c r="D1397">
        <v>102.82</v>
      </c>
      <c r="E1397">
        <v>0</v>
      </c>
      <c r="F1397">
        <v>180</v>
      </c>
      <c r="G1397">
        <v>0</v>
      </c>
      <c r="H1397">
        <v>0</v>
      </c>
      <c r="I1397">
        <v>2014</v>
      </c>
      <c r="J1397" t="s">
        <v>29</v>
      </c>
      <c r="K1397" t="s">
        <v>171</v>
      </c>
    </row>
    <row r="1398" spans="1:11">
      <c r="A1398" t="s">
        <v>488</v>
      </c>
      <c r="B1398">
        <v>1983</v>
      </c>
      <c r="C1398" t="s">
        <v>137</v>
      </c>
      <c r="D1398">
        <v>92.84</v>
      </c>
      <c r="E1398">
        <v>0</v>
      </c>
      <c r="F1398">
        <v>232.5</v>
      </c>
      <c r="G1398">
        <v>315</v>
      </c>
      <c r="H1398">
        <v>0</v>
      </c>
      <c r="I1398">
        <v>2014</v>
      </c>
      <c r="J1398" t="s">
        <v>29</v>
      </c>
      <c r="K1398" t="s">
        <v>171</v>
      </c>
    </row>
    <row r="1399" spans="1:11">
      <c r="A1399" t="s">
        <v>495</v>
      </c>
      <c r="B1399">
        <v>1990</v>
      </c>
      <c r="C1399" t="s">
        <v>28</v>
      </c>
      <c r="D1399">
        <v>119.99</v>
      </c>
      <c r="E1399">
        <v>0</v>
      </c>
      <c r="F1399">
        <v>300</v>
      </c>
      <c r="G1399">
        <v>322.5</v>
      </c>
      <c r="H1399">
        <v>0</v>
      </c>
      <c r="I1399">
        <v>2015</v>
      </c>
      <c r="J1399" t="s">
        <v>29</v>
      </c>
      <c r="K1399" t="s">
        <v>171</v>
      </c>
    </row>
    <row r="1400" spans="1:11">
      <c r="A1400" t="s">
        <v>512</v>
      </c>
      <c r="B1400">
        <v>1969</v>
      </c>
      <c r="C1400" t="s">
        <v>77</v>
      </c>
      <c r="D1400">
        <v>73.680000000000007</v>
      </c>
      <c r="E1400">
        <v>0</v>
      </c>
      <c r="F1400">
        <v>215</v>
      </c>
      <c r="G1400">
        <v>240</v>
      </c>
      <c r="H1400">
        <v>0</v>
      </c>
      <c r="I1400">
        <v>2014</v>
      </c>
      <c r="J1400" t="s">
        <v>29</v>
      </c>
      <c r="K1400" t="s">
        <v>171</v>
      </c>
    </row>
    <row r="1401" spans="1:11">
      <c r="A1401" t="s">
        <v>515</v>
      </c>
      <c r="B1401">
        <v>1986</v>
      </c>
      <c r="C1401" t="s">
        <v>45</v>
      </c>
      <c r="D1401">
        <v>119.41</v>
      </c>
      <c r="E1401">
        <v>0</v>
      </c>
      <c r="F1401">
        <v>0</v>
      </c>
      <c r="G1401">
        <v>0</v>
      </c>
      <c r="H1401">
        <v>0</v>
      </c>
      <c r="I1401">
        <v>2015</v>
      </c>
      <c r="J1401" t="s">
        <v>29</v>
      </c>
      <c r="K1401" t="s">
        <v>171</v>
      </c>
    </row>
    <row r="1402" spans="1:11">
      <c r="A1402" t="s">
        <v>523</v>
      </c>
      <c r="B1402">
        <v>1984</v>
      </c>
      <c r="C1402" t="s">
        <v>125</v>
      </c>
      <c r="D1402">
        <v>92.84</v>
      </c>
      <c r="E1402">
        <v>0</v>
      </c>
      <c r="F1402">
        <v>0</v>
      </c>
      <c r="G1402">
        <v>0</v>
      </c>
      <c r="H1402">
        <v>0</v>
      </c>
      <c r="I1402">
        <v>2012</v>
      </c>
      <c r="J1402" t="s">
        <v>29</v>
      </c>
      <c r="K1402" t="s">
        <v>171</v>
      </c>
    </row>
    <row r="1403" spans="1:11">
      <c r="A1403" t="s">
        <v>538</v>
      </c>
      <c r="B1403">
        <v>1980</v>
      </c>
      <c r="C1403" t="s">
        <v>349</v>
      </c>
      <c r="D1403">
        <v>90.34</v>
      </c>
      <c r="E1403">
        <v>0</v>
      </c>
      <c r="F1403">
        <v>200</v>
      </c>
      <c r="G1403">
        <v>250</v>
      </c>
      <c r="H1403">
        <v>0</v>
      </c>
      <c r="I1403">
        <v>2013</v>
      </c>
      <c r="J1403" t="s">
        <v>29</v>
      </c>
      <c r="K1403" t="s">
        <v>171</v>
      </c>
    </row>
    <row r="1404" spans="1:11">
      <c r="A1404" t="s">
        <v>546</v>
      </c>
      <c r="B1404">
        <v>1995</v>
      </c>
      <c r="C1404" t="s">
        <v>125</v>
      </c>
      <c r="D1404">
        <v>118.58</v>
      </c>
      <c r="E1404">
        <v>365</v>
      </c>
      <c r="F1404">
        <v>0</v>
      </c>
      <c r="G1404">
        <v>0</v>
      </c>
      <c r="H1404">
        <v>0</v>
      </c>
      <c r="I1404">
        <v>2015</v>
      </c>
      <c r="J1404" t="s">
        <v>29</v>
      </c>
      <c r="K1404" t="s">
        <v>171</v>
      </c>
    </row>
    <row r="1405" spans="1:11">
      <c r="A1405" t="s">
        <v>551</v>
      </c>
      <c r="B1405">
        <v>1985</v>
      </c>
      <c r="C1405" t="s">
        <v>109</v>
      </c>
      <c r="D1405">
        <v>92.75</v>
      </c>
      <c r="E1405">
        <v>332.5</v>
      </c>
      <c r="F1405">
        <v>0</v>
      </c>
      <c r="G1405">
        <v>285</v>
      </c>
      <c r="H1405">
        <v>0</v>
      </c>
      <c r="I1405">
        <v>2012</v>
      </c>
      <c r="J1405" t="s">
        <v>29</v>
      </c>
      <c r="K1405" t="s">
        <v>171</v>
      </c>
    </row>
    <row r="1406" spans="1:11">
      <c r="A1406" t="s">
        <v>557</v>
      </c>
      <c r="B1406">
        <v>1972</v>
      </c>
      <c r="C1406" t="s">
        <v>228</v>
      </c>
      <c r="D1406">
        <v>143.4</v>
      </c>
      <c r="E1406">
        <v>0</v>
      </c>
      <c r="F1406">
        <v>0</v>
      </c>
      <c r="G1406">
        <v>335</v>
      </c>
      <c r="H1406">
        <v>0</v>
      </c>
      <c r="I1406">
        <v>2013</v>
      </c>
      <c r="J1406" t="s">
        <v>29</v>
      </c>
      <c r="K1406" t="s">
        <v>171</v>
      </c>
    </row>
    <row r="1407" spans="1:11">
      <c r="A1407" t="s">
        <v>568</v>
      </c>
      <c r="B1407">
        <v>1987</v>
      </c>
      <c r="C1407" t="s">
        <v>80</v>
      </c>
      <c r="D1407">
        <v>104.48</v>
      </c>
      <c r="E1407">
        <v>0</v>
      </c>
      <c r="F1407">
        <v>210</v>
      </c>
      <c r="G1407">
        <v>310</v>
      </c>
      <c r="H1407">
        <v>0</v>
      </c>
      <c r="I1407">
        <v>2014</v>
      </c>
      <c r="J1407" t="s">
        <v>29</v>
      </c>
      <c r="K1407" t="s">
        <v>171</v>
      </c>
    </row>
    <row r="1408" spans="1:11">
      <c r="A1408" t="s">
        <v>573</v>
      </c>
      <c r="B1408">
        <v>1985</v>
      </c>
      <c r="C1408" t="s">
        <v>380</v>
      </c>
      <c r="D1408">
        <v>97.41</v>
      </c>
      <c r="E1408">
        <v>200</v>
      </c>
      <c r="F1408">
        <v>0</v>
      </c>
      <c r="G1408">
        <v>0</v>
      </c>
      <c r="H1408">
        <v>0</v>
      </c>
      <c r="I1408">
        <v>2015</v>
      </c>
      <c r="J1408" t="s">
        <v>29</v>
      </c>
      <c r="K1408" t="s">
        <v>171</v>
      </c>
    </row>
    <row r="1409" spans="1:11">
      <c r="A1409" t="s">
        <v>580</v>
      </c>
      <c r="B1409">
        <v>1975</v>
      </c>
      <c r="C1409" t="s">
        <v>77</v>
      </c>
      <c r="D1409">
        <v>82.42</v>
      </c>
      <c r="E1409">
        <v>305</v>
      </c>
      <c r="F1409">
        <v>0</v>
      </c>
      <c r="G1409">
        <v>290</v>
      </c>
      <c r="H1409">
        <v>0</v>
      </c>
      <c r="I1409">
        <v>2014</v>
      </c>
      <c r="J1409" t="s">
        <v>29</v>
      </c>
      <c r="K1409" t="s">
        <v>171</v>
      </c>
    </row>
    <row r="1410" spans="1:11">
      <c r="A1410" t="s">
        <v>591</v>
      </c>
      <c r="B1410">
        <v>1987</v>
      </c>
      <c r="C1410" t="s">
        <v>142</v>
      </c>
      <c r="D1410">
        <v>114.57</v>
      </c>
      <c r="E1410">
        <v>0</v>
      </c>
      <c r="F1410">
        <v>0</v>
      </c>
      <c r="G1410">
        <v>0</v>
      </c>
      <c r="H1410">
        <v>0</v>
      </c>
      <c r="I1410">
        <v>2013</v>
      </c>
      <c r="J1410" t="s">
        <v>29</v>
      </c>
      <c r="K1410" t="s">
        <v>171</v>
      </c>
    </row>
    <row r="1411" spans="1:11">
      <c r="A1411" t="s">
        <v>613</v>
      </c>
      <c r="B1411">
        <v>1981</v>
      </c>
      <c r="C1411" t="s">
        <v>380</v>
      </c>
      <c r="D1411">
        <v>73.760000000000005</v>
      </c>
      <c r="E1411">
        <v>190</v>
      </c>
      <c r="F1411">
        <v>0</v>
      </c>
      <c r="G1411">
        <v>215</v>
      </c>
      <c r="H1411">
        <v>0</v>
      </c>
      <c r="I1411">
        <v>2015</v>
      </c>
      <c r="J1411" t="s">
        <v>29</v>
      </c>
      <c r="K1411" t="s">
        <v>171</v>
      </c>
    </row>
    <row r="1412" spans="1:11">
      <c r="A1412" t="s">
        <v>619</v>
      </c>
      <c r="B1412">
        <v>1991</v>
      </c>
      <c r="C1412" t="s">
        <v>72</v>
      </c>
      <c r="D1412">
        <v>145.72999999999999</v>
      </c>
      <c r="E1412">
        <v>0</v>
      </c>
      <c r="F1412">
        <v>307.5</v>
      </c>
      <c r="G1412">
        <v>350</v>
      </c>
      <c r="H1412">
        <v>0</v>
      </c>
      <c r="I1412">
        <v>2015</v>
      </c>
      <c r="J1412" t="s">
        <v>29</v>
      </c>
      <c r="K1412" t="s">
        <v>171</v>
      </c>
    </row>
    <row r="1413" spans="1:11">
      <c r="A1413" t="s">
        <v>636</v>
      </c>
      <c r="B1413">
        <v>1989</v>
      </c>
      <c r="C1413" t="s">
        <v>39</v>
      </c>
      <c r="D1413">
        <v>91.7</v>
      </c>
      <c r="E1413">
        <v>0</v>
      </c>
      <c r="F1413">
        <v>240</v>
      </c>
      <c r="G1413">
        <v>270</v>
      </c>
      <c r="H1413">
        <v>0</v>
      </c>
      <c r="I1413">
        <v>2014</v>
      </c>
      <c r="J1413" t="s">
        <v>29</v>
      </c>
      <c r="K1413" t="s">
        <v>171</v>
      </c>
    </row>
    <row r="1414" spans="1:11">
      <c r="A1414" t="s">
        <v>650</v>
      </c>
      <c r="B1414">
        <v>1977</v>
      </c>
      <c r="C1414" t="s">
        <v>352</v>
      </c>
      <c r="D1414">
        <v>82.62</v>
      </c>
      <c r="E1414">
        <v>315</v>
      </c>
      <c r="F1414">
        <v>0</v>
      </c>
      <c r="G1414">
        <v>280</v>
      </c>
      <c r="H1414">
        <v>0</v>
      </c>
      <c r="I1414">
        <v>2012</v>
      </c>
      <c r="J1414" t="s">
        <v>29</v>
      </c>
      <c r="K1414" t="s">
        <v>171</v>
      </c>
    </row>
    <row r="1415" spans="1:11">
      <c r="A1415" t="s">
        <v>660</v>
      </c>
      <c r="B1415">
        <v>1988</v>
      </c>
      <c r="C1415" t="s">
        <v>380</v>
      </c>
      <c r="D1415">
        <v>82.72</v>
      </c>
      <c r="E1415">
        <v>0</v>
      </c>
      <c r="F1415">
        <v>217.5</v>
      </c>
      <c r="G1415">
        <v>280</v>
      </c>
      <c r="H1415">
        <v>0</v>
      </c>
      <c r="I1415">
        <v>2015</v>
      </c>
      <c r="J1415" t="s">
        <v>29</v>
      </c>
      <c r="K1415" t="s">
        <v>171</v>
      </c>
    </row>
    <row r="1416" spans="1:11">
      <c r="A1416" t="s">
        <v>668</v>
      </c>
      <c r="B1416">
        <v>1989</v>
      </c>
      <c r="C1416" t="s">
        <v>39</v>
      </c>
      <c r="D1416">
        <v>82.22</v>
      </c>
      <c r="E1416">
        <v>320</v>
      </c>
      <c r="F1416">
        <v>0</v>
      </c>
      <c r="G1416">
        <v>250</v>
      </c>
      <c r="H1416">
        <v>0</v>
      </c>
      <c r="I1416">
        <v>2014</v>
      </c>
      <c r="J1416" t="s">
        <v>29</v>
      </c>
      <c r="K1416" t="s">
        <v>171</v>
      </c>
    </row>
    <row r="1417" spans="1:11">
      <c r="A1417" t="s">
        <v>685</v>
      </c>
      <c r="B1417">
        <v>1969</v>
      </c>
      <c r="C1417" t="s">
        <v>113</v>
      </c>
      <c r="D1417">
        <v>102.34</v>
      </c>
      <c r="E1417">
        <v>0</v>
      </c>
      <c r="F1417">
        <v>222.5</v>
      </c>
      <c r="G1417">
        <v>270</v>
      </c>
      <c r="H1417">
        <v>0</v>
      </c>
      <c r="I1417">
        <v>2014</v>
      </c>
      <c r="J1417" t="s">
        <v>29</v>
      </c>
      <c r="K1417" t="s">
        <v>171</v>
      </c>
    </row>
    <row r="1418" spans="1:11">
      <c r="A1418" t="s">
        <v>688</v>
      </c>
      <c r="B1418">
        <v>1977</v>
      </c>
      <c r="C1418" t="s">
        <v>85</v>
      </c>
      <c r="D1418">
        <v>58.74</v>
      </c>
      <c r="E1418">
        <v>0</v>
      </c>
      <c r="F1418">
        <v>145</v>
      </c>
      <c r="G1418">
        <v>220</v>
      </c>
      <c r="H1418">
        <v>0</v>
      </c>
      <c r="I1418">
        <v>2015</v>
      </c>
      <c r="J1418" t="s">
        <v>29</v>
      </c>
      <c r="K1418" t="s">
        <v>171</v>
      </c>
    </row>
    <row r="1419" spans="1:11">
      <c r="A1419" t="s">
        <v>690</v>
      </c>
      <c r="B1419">
        <v>1980</v>
      </c>
      <c r="C1419" t="s">
        <v>77</v>
      </c>
      <c r="D1419">
        <v>73.75</v>
      </c>
      <c r="E1419">
        <v>0</v>
      </c>
      <c r="F1419">
        <v>200</v>
      </c>
      <c r="G1419">
        <v>260</v>
      </c>
      <c r="H1419">
        <v>0</v>
      </c>
      <c r="I1419">
        <v>2012</v>
      </c>
      <c r="J1419" t="s">
        <v>29</v>
      </c>
      <c r="K1419" t="s">
        <v>171</v>
      </c>
    </row>
    <row r="1420" spans="1:11">
      <c r="A1420" t="s">
        <v>691</v>
      </c>
      <c r="B1420">
        <v>1982</v>
      </c>
      <c r="C1420" t="s">
        <v>239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2015</v>
      </c>
      <c r="J1420" t="s">
        <v>29</v>
      </c>
      <c r="K1420" t="s">
        <v>171</v>
      </c>
    </row>
    <row r="1421" spans="1:11">
      <c r="A1421" t="s">
        <v>694</v>
      </c>
      <c r="B1421">
        <v>1992</v>
      </c>
      <c r="C1421" t="s">
        <v>125</v>
      </c>
      <c r="D1421">
        <v>114.13</v>
      </c>
      <c r="E1421">
        <v>0</v>
      </c>
      <c r="F1421">
        <v>242.5</v>
      </c>
      <c r="G1421">
        <v>290</v>
      </c>
      <c r="H1421">
        <v>0</v>
      </c>
      <c r="I1421">
        <v>2015</v>
      </c>
      <c r="J1421" t="s">
        <v>29</v>
      </c>
      <c r="K1421" t="s">
        <v>171</v>
      </c>
    </row>
    <row r="1422" spans="1:11">
      <c r="A1422" t="s">
        <v>696</v>
      </c>
      <c r="B1422">
        <v>1990</v>
      </c>
      <c r="C1422" t="s">
        <v>39</v>
      </c>
      <c r="D1422">
        <v>104.2</v>
      </c>
      <c r="E1422">
        <v>0</v>
      </c>
      <c r="F1422">
        <v>245</v>
      </c>
      <c r="G1422">
        <v>300</v>
      </c>
      <c r="H1422">
        <v>0</v>
      </c>
      <c r="I1422">
        <v>2014</v>
      </c>
      <c r="J1422" t="s">
        <v>29</v>
      </c>
      <c r="K1422" t="s">
        <v>171</v>
      </c>
    </row>
    <row r="1423" spans="1:11">
      <c r="A1423" t="s">
        <v>697</v>
      </c>
      <c r="B1423">
        <v>1973</v>
      </c>
      <c r="C1423" t="s">
        <v>485</v>
      </c>
      <c r="D1423">
        <v>100.82</v>
      </c>
      <c r="E1423">
        <v>0</v>
      </c>
      <c r="F1423">
        <v>245</v>
      </c>
      <c r="G1423">
        <v>260</v>
      </c>
      <c r="H1423">
        <v>0</v>
      </c>
      <c r="I1423">
        <v>2014</v>
      </c>
      <c r="J1423" t="s">
        <v>29</v>
      </c>
      <c r="K1423" t="s">
        <v>171</v>
      </c>
    </row>
    <row r="1424" spans="1:11">
      <c r="A1424" t="s">
        <v>710</v>
      </c>
      <c r="B1424">
        <v>1981</v>
      </c>
      <c r="C1424" t="s">
        <v>711</v>
      </c>
      <c r="D1424">
        <v>65.819999999999993</v>
      </c>
      <c r="E1424">
        <v>0</v>
      </c>
      <c r="F1424">
        <v>180</v>
      </c>
      <c r="G1424">
        <v>245</v>
      </c>
      <c r="H1424">
        <v>0</v>
      </c>
      <c r="I1424">
        <v>2014</v>
      </c>
      <c r="J1424" t="s">
        <v>29</v>
      </c>
      <c r="K1424" t="s">
        <v>171</v>
      </c>
    </row>
    <row r="1425" spans="1:11">
      <c r="A1425" t="s">
        <v>730</v>
      </c>
      <c r="B1425">
        <v>1981</v>
      </c>
      <c r="C1425" t="s">
        <v>464</v>
      </c>
      <c r="D1425">
        <v>92.82</v>
      </c>
      <c r="E1425">
        <v>380</v>
      </c>
      <c r="F1425">
        <v>0</v>
      </c>
      <c r="G1425">
        <v>0</v>
      </c>
      <c r="H1425">
        <v>0</v>
      </c>
      <c r="I1425">
        <v>2012</v>
      </c>
      <c r="J1425" t="s">
        <v>29</v>
      </c>
      <c r="K1425" t="s">
        <v>171</v>
      </c>
    </row>
    <row r="1426" spans="1:11">
      <c r="A1426" t="s">
        <v>758</v>
      </c>
      <c r="B1426">
        <v>1973</v>
      </c>
      <c r="C1426" t="s">
        <v>300</v>
      </c>
      <c r="D1426">
        <v>104.74</v>
      </c>
      <c r="E1426">
        <v>0</v>
      </c>
      <c r="F1426">
        <v>210</v>
      </c>
      <c r="G1426">
        <v>0</v>
      </c>
      <c r="H1426">
        <v>0</v>
      </c>
      <c r="I1426">
        <v>2012</v>
      </c>
      <c r="J1426" t="s">
        <v>29</v>
      </c>
      <c r="K1426" t="s">
        <v>171</v>
      </c>
    </row>
    <row r="1427" spans="1:11">
      <c r="A1427" t="s">
        <v>768</v>
      </c>
      <c r="B1427">
        <v>1976</v>
      </c>
      <c r="C1427" t="s">
        <v>142</v>
      </c>
      <c r="D1427">
        <v>92.98</v>
      </c>
      <c r="E1427">
        <v>360</v>
      </c>
      <c r="F1427">
        <v>0</v>
      </c>
      <c r="G1427">
        <v>340</v>
      </c>
      <c r="H1427">
        <v>0</v>
      </c>
      <c r="I1427">
        <v>2012</v>
      </c>
      <c r="J1427" t="s">
        <v>29</v>
      </c>
      <c r="K1427" t="s">
        <v>171</v>
      </c>
    </row>
    <row r="1428" spans="1:11">
      <c r="A1428" t="s">
        <v>784</v>
      </c>
      <c r="B1428">
        <v>1985</v>
      </c>
      <c r="C1428" t="s">
        <v>280</v>
      </c>
      <c r="D1428">
        <v>64.86</v>
      </c>
      <c r="E1428">
        <v>265</v>
      </c>
      <c r="F1428">
        <v>0</v>
      </c>
      <c r="G1428">
        <v>0</v>
      </c>
      <c r="H1428">
        <v>0</v>
      </c>
      <c r="I1428">
        <v>2012</v>
      </c>
      <c r="J1428" t="s">
        <v>29</v>
      </c>
      <c r="K1428" t="s">
        <v>171</v>
      </c>
    </row>
    <row r="1429" spans="1:11">
      <c r="A1429" t="s">
        <v>787</v>
      </c>
      <c r="B1429">
        <v>1979</v>
      </c>
      <c r="C1429" t="s">
        <v>35</v>
      </c>
      <c r="D1429">
        <v>153.29</v>
      </c>
      <c r="E1429">
        <v>372.5</v>
      </c>
      <c r="F1429">
        <v>0</v>
      </c>
      <c r="G1429">
        <v>0</v>
      </c>
      <c r="H1429">
        <v>0</v>
      </c>
      <c r="I1429">
        <v>2015</v>
      </c>
      <c r="J1429" t="s">
        <v>29</v>
      </c>
      <c r="K1429" t="s">
        <v>171</v>
      </c>
    </row>
    <row r="1430" spans="1:11">
      <c r="A1430" t="s">
        <v>789</v>
      </c>
      <c r="B1430">
        <v>1984</v>
      </c>
      <c r="C1430" t="s">
        <v>85</v>
      </c>
      <c r="D1430">
        <v>58.55</v>
      </c>
      <c r="E1430">
        <v>0</v>
      </c>
      <c r="F1430">
        <v>130</v>
      </c>
      <c r="G1430">
        <v>180</v>
      </c>
      <c r="H1430">
        <v>0</v>
      </c>
      <c r="I1430">
        <v>2013</v>
      </c>
      <c r="J1430" t="s">
        <v>29</v>
      </c>
      <c r="K1430" t="s">
        <v>171</v>
      </c>
    </row>
    <row r="1431" spans="1:11">
      <c r="A1431" t="s">
        <v>790</v>
      </c>
      <c r="B1431">
        <v>1988</v>
      </c>
      <c r="C1431" t="s">
        <v>77</v>
      </c>
      <c r="D1431">
        <v>58.54</v>
      </c>
      <c r="E1431">
        <v>222.5</v>
      </c>
      <c r="F1431">
        <v>0</v>
      </c>
      <c r="G1431">
        <v>210</v>
      </c>
      <c r="H1431">
        <v>0</v>
      </c>
      <c r="I1431">
        <v>2014</v>
      </c>
      <c r="J1431" t="s">
        <v>29</v>
      </c>
      <c r="K1431" t="s">
        <v>171</v>
      </c>
    </row>
    <row r="1432" spans="1:11">
      <c r="A1432" t="s">
        <v>796</v>
      </c>
      <c r="B1432">
        <v>1978</v>
      </c>
      <c r="C1432" t="s">
        <v>137</v>
      </c>
      <c r="D1432">
        <v>58.67</v>
      </c>
      <c r="E1432">
        <v>0</v>
      </c>
      <c r="F1432">
        <v>150</v>
      </c>
      <c r="G1432">
        <v>225</v>
      </c>
      <c r="H1432">
        <v>0</v>
      </c>
      <c r="I1432">
        <v>2012</v>
      </c>
      <c r="J1432" t="s">
        <v>29</v>
      </c>
      <c r="K1432" t="s">
        <v>171</v>
      </c>
    </row>
    <row r="1433" spans="1:11">
      <c r="A1433" t="s">
        <v>808</v>
      </c>
      <c r="B1433">
        <v>1972</v>
      </c>
      <c r="C1433" t="s">
        <v>318</v>
      </c>
      <c r="D1433">
        <v>92.78</v>
      </c>
      <c r="E1433">
        <v>0</v>
      </c>
      <c r="F1433">
        <v>0</v>
      </c>
      <c r="G1433">
        <v>0</v>
      </c>
      <c r="H1433">
        <v>0</v>
      </c>
      <c r="I1433">
        <v>2012</v>
      </c>
      <c r="J1433" t="s">
        <v>29</v>
      </c>
      <c r="K1433" t="s">
        <v>171</v>
      </c>
    </row>
    <row r="1434" spans="1:11">
      <c r="A1434" t="s">
        <v>816</v>
      </c>
      <c r="B1434">
        <v>1978</v>
      </c>
      <c r="C1434" t="s">
        <v>352</v>
      </c>
      <c r="D1434">
        <v>82.75</v>
      </c>
      <c r="E1434">
        <v>305</v>
      </c>
      <c r="F1434">
        <v>0</v>
      </c>
      <c r="G1434">
        <v>290</v>
      </c>
      <c r="H1434">
        <v>0</v>
      </c>
      <c r="I1434">
        <v>2015</v>
      </c>
      <c r="J1434" t="s">
        <v>29</v>
      </c>
      <c r="K1434" t="s">
        <v>171</v>
      </c>
    </row>
    <row r="1435" spans="1:11">
      <c r="A1435" t="s">
        <v>817</v>
      </c>
      <c r="B1435">
        <v>1985</v>
      </c>
      <c r="C1435" t="s">
        <v>28</v>
      </c>
      <c r="D1435">
        <v>82.85</v>
      </c>
      <c r="E1435">
        <v>0</v>
      </c>
      <c r="F1435">
        <v>240</v>
      </c>
      <c r="G1435">
        <v>0</v>
      </c>
      <c r="H1435">
        <v>0</v>
      </c>
      <c r="I1435">
        <v>2013</v>
      </c>
      <c r="J1435" t="s">
        <v>29</v>
      </c>
      <c r="K1435" t="s">
        <v>171</v>
      </c>
    </row>
    <row r="1436" spans="1:11">
      <c r="A1436" t="s">
        <v>826</v>
      </c>
      <c r="B1436">
        <v>1990</v>
      </c>
      <c r="C1436" t="s">
        <v>74</v>
      </c>
      <c r="D1436">
        <v>58.63</v>
      </c>
      <c r="E1436">
        <v>257.5</v>
      </c>
      <c r="F1436">
        <v>0</v>
      </c>
      <c r="G1436">
        <v>235</v>
      </c>
      <c r="H1436">
        <v>0</v>
      </c>
      <c r="I1436">
        <v>2013</v>
      </c>
      <c r="J1436" t="s">
        <v>29</v>
      </c>
      <c r="K1436" t="s">
        <v>171</v>
      </c>
    </row>
    <row r="1437" spans="1:11">
      <c r="A1437" t="s">
        <v>836</v>
      </c>
      <c r="B1437">
        <v>1975</v>
      </c>
      <c r="C1437" t="s">
        <v>85</v>
      </c>
      <c r="D1437">
        <v>104.37</v>
      </c>
      <c r="E1437">
        <v>385</v>
      </c>
      <c r="F1437">
        <v>0</v>
      </c>
      <c r="G1437">
        <v>320</v>
      </c>
      <c r="H1437">
        <v>0</v>
      </c>
      <c r="I1437">
        <v>2012</v>
      </c>
      <c r="J1437" t="s">
        <v>29</v>
      </c>
      <c r="K1437" t="s">
        <v>171</v>
      </c>
    </row>
    <row r="1438" spans="1:11">
      <c r="A1438" t="s">
        <v>842</v>
      </c>
      <c r="B1438">
        <v>1980</v>
      </c>
      <c r="C1438" t="s">
        <v>77</v>
      </c>
      <c r="D1438">
        <v>109.92</v>
      </c>
      <c r="E1438">
        <v>305</v>
      </c>
      <c r="F1438">
        <v>0</v>
      </c>
      <c r="G1438">
        <v>265</v>
      </c>
      <c r="H1438">
        <v>0</v>
      </c>
      <c r="I1438">
        <v>2012</v>
      </c>
      <c r="J1438" t="s">
        <v>29</v>
      </c>
      <c r="K1438" t="s">
        <v>171</v>
      </c>
    </row>
    <row r="1439" spans="1:11">
      <c r="A1439" t="s">
        <v>844</v>
      </c>
      <c r="B1439">
        <v>1982</v>
      </c>
      <c r="C1439" t="s">
        <v>39</v>
      </c>
      <c r="D1439">
        <v>92.35</v>
      </c>
      <c r="E1439">
        <v>0</v>
      </c>
      <c r="F1439">
        <v>240</v>
      </c>
      <c r="G1439">
        <v>0</v>
      </c>
      <c r="H1439">
        <v>0</v>
      </c>
      <c r="I1439">
        <v>2012</v>
      </c>
      <c r="J1439" t="s">
        <v>29</v>
      </c>
      <c r="K1439" t="s">
        <v>171</v>
      </c>
    </row>
    <row r="1440" spans="1:11">
      <c r="A1440" t="s">
        <v>186</v>
      </c>
      <c r="B1440">
        <v>1995</v>
      </c>
      <c r="C1440" t="s">
        <v>51</v>
      </c>
      <c r="D1440">
        <v>83.2</v>
      </c>
      <c r="E1440">
        <v>0</v>
      </c>
      <c r="F1440">
        <v>67.5</v>
      </c>
      <c r="G1440">
        <v>122.5</v>
      </c>
      <c r="H1440">
        <v>0</v>
      </c>
      <c r="I1440">
        <v>2015</v>
      </c>
      <c r="J1440" t="s">
        <v>852</v>
      </c>
      <c r="K1440" t="s">
        <v>171</v>
      </c>
    </row>
    <row r="1441" spans="1:11">
      <c r="A1441" t="s">
        <v>265</v>
      </c>
      <c r="B1441">
        <v>1976</v>
      </c>
      <c r="C1441" t="s">
        <v>137</v>
      </c>
      <c r="D1441">
        <v>51.49</v>
      </c>
      <c r="E1441">
        <v>0</v>
      </c>
      <c r="F1441">
        <v>0</v>
      </c>
      <c r="G1441">
        <v>0</v>
      </c>
      <c r="H1441">
        <v>0</v>
      </c>
      <c r="I1441">
        <v>2015</v>
      </c>
      <c r="J1441" t="s">
        <v>852</v>
      </c>
      <c r="K1441" t="s">
        <v>171</v>
      </c>
    </row>
    <row r="1442" spans="1:11">
      <c r="A1442" t="s">
        <v>853</v>
      </c>
      <c r="B1442">
        <v>1981</v>
      </c>
      <c r="C1442" t="s">
        <v>854</v>
      </c>
      <c r="D1442">
        <v>69.88</v>
      </c>
      <c r="E1442">
        <v>0</v>
      </c>
      <c r="F1442">
        <v>70</v>
      </c>
      <c r="G1442">
        <v>170</v>
      </c>
      <c r="H1442">
        <v>0</v>
      </c>
      <c r="I1442">
        <v>2014</v>
      </c>
      <c r="J1442" t="s">
        <v>852</v>
      </c>
      <c r="K1442" t="s">
        <v>171</v>
      </c>
    </row>
    <row r="1443" spans="1:11">
      <c r="A1443" t="s">
        <v>181</v>
      </c>
      <c r="B1443">
        <v>1986</v>
      </c>
      <c r="C1443" t="s">
        <v>867</v>
      </c>
      <c r="D1443">
        <v>51.76</v>
      </c>
      <c r="E1443">
        <v>180</v>
      </c>
      <c r="F1443">
        <v>0</v>
      </c>
      <c r="G1443">
        <v>157.5</v>
      </c>
      <c r="H1443">
        <v>0</v>
      </c>
      <c r="I1443">
        <v>2014</v>
      </c>
      <c r="J1443" t="s">
        <v>852</v>
      </c>
      <c r="K1443" t="s">
        <v>171</v>
      </c>
    </row>
    <row r="1444" spans="1:11">
      <c r="A1444" t="s">
        <v>192</v>
      </c>
      <c r="B1444">
        <v>1969</v>
      </c>
      <c r="C1444" t="s">
        <v>54</v>
      </c>
      <c r="D1444">
        <v>56.59</v>
      </c>
      <c r="E1444">
        <v>0</v>
      </c>
      <c r="F1444">
        <v>85</v>
      </c>
      <c r="G1444">
        <v>172.5</v>
      </c>
      <c r="H1444">
        <v>0</v>
      </c>
      <c r="I1444">
        <v>2013</v>
      </c>
      <c r="J1444" t="s">
        <v>852</v>
      </c>
      <c r="K1444" t="s">
        <v>171</v>
      </c>
    </row>
    <row r="1445" spans="1:11">
      <c r="A1445" t="s">
        <v>886</v>
      </c>
      <c r="B1445">
        <v>1979</v>
      </c>
      <c r="C1445" t="s">
        <v>282</v>
      </c>
      <c r="D1445">
        <v>56.35</v>
      </c>
      <c r="E1445">
        <v>0</v>
      </c>
      <c r="F1445">
        <v>102.5</v>
      </c>
      <c r="G1445">
        <v>187.5</v>
      </c>
      <c r="H1445">
        <v>0</v>
      </c>
      <c r="I1445">
        <v>2013</v>
      </c>
      <c r="J1445" t="s">
        <v>852</v>
      </c>
      <c r="K1445" t="s">
        <v>171</v>
      </c>
    </row>
    <row r="1446" spans="1:11">
      <c r="A1446" t="s">
        <v>197</v>
      </c>
      <c r="B1446">
        <v>1990</v>
      </c>
      <c r="C1446" t="s">
        <v>74</v>
      </c>
      <c r="D1446">
        <v>123.02</v>
      </c>
      <c r="E1446">
        <v>245</v>
      </c>
      <c r="F1446">
        <v>0</v>
      </c>
      <c r="G1446">
        <v>160</v>
      </c>
      <c r="H1446">
        <v>0</v>
      </c>
      <c r="I1446">
        <v>2012</v>
      </c>
      <c r="J1446" t="s">
        <v>852</v>
      </c>
      <c r="K1446" t="s">
        <v>171</v>
      </c>
    </row>
    <row r="1447" spans="1:11">
      <c r="A1447" t="s">
        <v>197</v>
      </c>
      <c r="B1447">
        <v>1990</v>
      </c>
      <c r="C1447" t="s">
        <v>888</v>
      </c>
      <c r="D1447">
        <v>124.48</v>
      </c>
      <c r="E1447">
        <v>0</v>
      </c>
      <c r="F1447">
        <v>155</v>
      </c>
      <c r="G1447">
        <v>195</v>
      </c>
      <c r="H1447">
        <v>0</v>
      </c>
      <c r="I1447">
        <v>2014</v>
      </c>
      <c r="J1447" t="s">
        <v>852</v>
      </c>
      <c r="K1447" t="s">
        <v>171</v>
      </c>
    </row>
    <row r="1448" spans="1:11">
      <c r="A1448" t="s">
        <v>214</v>
      </c>
      <c r="B1448">
        <v>1990</v>
      </c>
      <c r="C1448" t="s">
        <v>862</v>
      </c>
      <c r="D1448">
        <v>71.14</v>
      </c>
      <c r="E1448">
        <v>237.5</v>
      </c>
      <c r="F1448">
        <v>0</v>
      </c>
      <c r="G1448">
        <v>215</v>
      </c>
      <c r="H1448">
        <v>0</v>
      </c>
      <c r="I1448">
        <v>2014</v>
      </c>
      <c r="J1448" t="s">
        <v>852</v>
      </c>
      <c r="K1448" t="s">
        <v>171</v>
      </c>
    </row>
    <row r="1449" spans="1:11">
      <c r="A1449" t="s">
        <v>907</v>
      </c>
      <c r="B1449">
        <v>1992</v>
      </c>
      <c r="C1449" t="s">
        <v>85</v>
      </c>
      <c r="D1449">
        <v>56.19</v>
      </c>
      <c r="E1449">
        <v>0</v>
      </c>
      <c r="F1449">
        <v>92.5</v>
      </c>
      <c r="G1449">
        <v>0</v>
      </c>
      <c r="H1449">
        <v>0</v>
      </c>
      <c r="I1449">
        <v>2013</v>
      </c>
      <c r="J1449" t="s">
        <v>852</v>
      </c>
      <c r="K1449" t="s">
        <v>171</v>
      </c>
    </row>
    <row r="1450" spans="1:11">
      <c r="A1450" t="s">
        <v>258</v>
      </c>
      <c r="B1450">
        <v>1978</v>
      </c>
      <c r="C1450" t="s">
        <v>137</v>
      </c>
      <c r="D1450">
        <v>46.23</v>
      </c>
      <c r="E1450">
        <v>0</v>
      </c>
      <c r="F1450">
        <v>92.5</v>
      </c>
      <c r="G1450">
        <v>157.5</v>
      </c>
      <c r="H1450">
        <v>0</v>
      </c>
      <c r="I1450">
        <v>2013</v>
      </c>
      <c r="J1450" t="s">
        <v>852</v>
      </c>
      <c r="K1450" t="s">
        <v>171</v>
      </c>
    </row>
    <row r="1451" spans="1:11">
      <c r="A1451" t="s">
        <v>261</v>
      </c>
      <c r="B1451">
        <v>1977</v>
      </c>
      <c r="C1451" t="s">
        <v>876</v>
      </c>
      <c r="D1451">
        <v>56.56</v>
      </c>
      <c r="E1451">
        <v>170</v>
      </c>
      <c r="F1451">
        <v>0</v>
      </c>
      <c r="G1451">
        <v>192.5</v>
      </c>
      <c r="H1451">
        <v>0</v>
      </c>
      <c r="I1451">
        <v>2014</v>
      </c>
      <c r="J1451" t="s">
        <v>852</v>
      </c>
      <c r="K1451" t="s">
        <v>171</v>
      </c>
    </row>
    <row r="1452" spans="1:11">
      <c r="A1452" t="s">
        <v>269</v>
      </c>
      <c r="B1452">
        <v>1986</v>
      </c>
      <c r="C1452" t="s">
        <v>903</v>
      </c>
      <c r="D1452">
        <v>67.400000000000006</v>
      </c>
      <c r="E1452">
        <v>0</v>
      </c>
      <c r="F1452">
        <v>0</v>
      </c>
      <c r="G1452">
        <v>0</v>
      </c>
      <c r="H1452">
        <v>0</v>
      </c>
      <c r="I1452">
        <v>2014</v>
      </c>
      <c r="J1452" t="s">
        <v>852</v>
      </c>
      <c r="K1452" t="s">
        <v>171</v>
      </c>
    </row>
    <row r="1453" spans="1:11">
      <c r="A1453" t="s">
        <v>986</v>
      </c>
      <c r="B1453">
        <v>1985</v>
      </c>
      <c r="C1453" t="s">
        <v>28</v>
      </c>
      <c r="D1453">
        <v>56.44</v>
      </c>
      <c r="E1453">
        <v>0</v>
      </c>
      <c r="F1453">
        <v>142.5</v>
      </c>
      <c r="G1453">
        <v>180</v>
      </c>
      <c r="H1453">
        <v>0</v>
      </c>
      <c r="I1453">
        <v>2013</v>
      </c>
      <c r="J1453" t="s">
        <v>852</v>
      </c>
      <c r="K1453" t="s">
        <v>171</v>
      </c>
    </row>
    <row r="1454" spans="1:11">
      <c r="A1454" t="s">
        <v>306</v>
      </c>
      <c r="B1454">
        <v>1991</v>
      </c>
      <c r="C1454" t="s">
        <v>45</v>
      </c>
      <c r="D1454">
        <v>80.349999999999994</v>
      </c>
      <c r="E1454">
        <v>232.5</v>
      </c>
      <c r="F1454">
        <v>0</v>
      </c>
      <c r="G1454">
        <v>197.5</v>
      </c>
      <c r="H1454">
        <v>0</v>
      </c>
      <c r="I1454">
        <v>2013</v>
      </c>
      <c r="J1454" t="s">
        <v>852</v>
      </c>
      <c r="K1454" t="s">
        <v>171</v>
      </c>
    </row>
    <row r="1455" spans="1:11">
      <c r="A1455" t="s">
        <v>1008</v>
      </c>
      <c r="B1455">
        <v>1965</v>
      </c>
      <c r="C1455" t="s">
        <v>109</v>
      </c>
      <c r="D1455">
        <v>46.72</v>
      </c>
      <c r="E1455">
        <v>135</v>
      </c>
      <c r="F1455">
        <v>0</v>
      </c>
      <c r="G1455">
        <v>0</v>
      </c>
      <c r="H1455">
        <v>0</v>
      </c>
      <c r="I1455">
        <v>2012</v>
      </c>
      <c r="J1455" t="s">
        <v>852</v>
      </c>
      <c r="K1455" t="s">
        <v>171</v>
      </c>
    </row>
    <row r="1456" spans="1:11">
      <c r="A1456" t="s">
        <v>1012</v>
      </c>
      <c r="B1456">
        <v>1972</v>
      </c>
      <c r="C1456" t="s">
        <v>80</v>
      </c>
      <c r="D1456">
        <v>51.83</v>
      </c>
      <c r="E1456">
        <v>0</v>
      </c>
      <c r="F1456">
        <v>92.5</v>
      </c>
      <c r="G1456">
        <v>150</v>
      </c>
      <c r="H1456">
        <v>0</v>
      </c>
      <c r="I1456">
        <v>2013</v>
      </c>
      <c r="J1456" t="s">
        <v>852</v>
      </c>
      <c r="K1456" t="s">
        <v>171</v>
      </c>
    </row>
  </sheetData>
  <sortState ref="A2:K1354">
    <sortCondition ref="K2:K1354"/>
    <sortCondition ref="J2:J135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</dc:creator>
  <cp:keywords/>
  <dc:description/>
  <cp:lastModifiedBy>Tom</cp:lastModifiedBy>
  <cp:revision/>
  <dcterms:created xsi:type="dcterms:W3CDTF">2016-02-24T03:39:50Z</dcterms:created>
  <dcterms:modified xsi:type="dcterms:W3CDTF">2016-07-17T03:17:20Z</dcterms:modified>
  <cp:category/>
  <cp:contentStatus/>
</cp:coreProperties>
</file>